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'库存（父sku）'!$A$4:$AT$1624</definedName>
    <definedName name="_xlnm._FilterDatabase" localSheetId="0" hidden="1">'库存（子SKU）'!$C$6:$C$2620</definedName>
  </definedNames>
  <calcPr calcId="144525" concurrentCalc="0"/>
</workbook>
</file>

<file path=xl/sharedStrings.xml><?xml version="1.0" encoding="utf-8"?>
<sst xmlns="http://schemas.openxmlformats.org/spreadsheetml/2006/main" count="4494">
  <si>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</si>
  <si>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</si>
  <si>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</si>
  <si>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</si>
  <si>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</si>
  <si>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</si>
  <si>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</si>
  <si>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</si>
  <si>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</si>
  <si>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</si>
  <si>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</si>
  <si>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</si>
  <si>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</si>
  <si>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</si>
  <si>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</si>
  <si>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</si>
  <si>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</si>
  <si>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</si>
  <si>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</si>
  <si>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</si>
  <si>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</si>
  <si>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</si>
  <si>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</si>
  <si>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</si>
  <si>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</si>
  <si>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</si>
  <si>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</si>
  <si>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</si>
  <si>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</si>
  <si>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</si>
  <si>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</si>
  <si>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</si>
  <si>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</si>
  <si>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</si>
  <si>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</si>
  <si>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</si>
  <si>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</si>
  <si>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</si>
  <si>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</si>
  <si>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</si>
  <si>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</si>
  <si>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</si>
  <si>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</si>
  <si>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</si>
  <si>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</si>
  <si>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</si>
  <si>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</si>
  <si>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</si>
  <si>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</si>
  <si>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</si>
  <si>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</si>
  <si>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</si>
  <si>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</si>
  <si>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</si>
  <si>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</si>
  <si>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</si>
  <si>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</si>
  <si>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</si>
  <si>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</si>
  <si>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</si>
  <si>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</si>
  <si>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</si>
  <si>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</si>
  <si>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</si>
  <si>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</si>
  <si>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</si>
  <si>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</si>
  <si>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</si>
  <si>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</si>
  <si>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</si>
  <si>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</si>
  <si>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</si>
  <si>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</si>
  <si>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</si>
  <si>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</si>
  <si>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</si>
  <si>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</si>
  <si>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</si>
  <si>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</si>
  <si>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</si>
  <si>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</si>
  <si>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</si>
  <si>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</si>
  <si>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</si>
  <si>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</si>
  <si>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</si>
  <si>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</si>
  <si>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</si>
  <si>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</si>
  <si>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</si>
  <si>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</si>
  <si>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</si>
  <si>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</si>
  <si>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</si>
  <si>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</si>
  <si>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</si>
  <si>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</si>
  <si>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</si>
  <si>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</si>
  <si>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</si>
  <si>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</si>
  <si>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</si>
  <si>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</si>
  <si>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</si>
  <si>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</si>
  <si>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</si>
  <si>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</si>
  <si>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</si>
  <si>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</si>
  <si>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</si>
  <si>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</si>
  <si>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</si>
  <si>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</si>
  <si>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</si>
  <si>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</si>
  <si>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</si>
  <si>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</si>
  <si>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</si>
  <si>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</si>
  <si>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</si>
  <si>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</si>
  <si>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</si>
  <si>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</si>
  <si>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</si>
  <si>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</si>
  <si>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</si>
  <si>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</si>
  <si>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</si>
  <si>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</si>
  <si>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</si>
  <si>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</si>
  <si>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</si>
  <si>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</si>
  <si>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</si>
  <si>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</si>
  <si>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</si>
  <si>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</si>
  <si>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</si>
  <si>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</si>
  <si>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</si>
  <si>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</si>
  <si>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</si>
  <si>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</si>
  <si>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</si>
  <si>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</si>
  <si>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</si>
  <si>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</si>
  <si>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</si>
  <si>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</si>
  <si>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</si>
  <si>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</si>
  <si>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</si>
  <si>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</si>
  <si>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</si>
  <si>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</si>
  <si>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</si>
  <si>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</si>
  <si>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</si>
  <si>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</si>
  <si>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</si>
  <si>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</si>
  <si>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</si>
  <si>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</si>
  <si>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</si>
  <si>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</si>
  <si>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</si>
  <si>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</si>
  <si>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</si>
  <si>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</si>
  <si>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</si>
  <si>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</si>
  <si>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</si>
  <si>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</si>
  <si>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</si>
  <si>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</si>
  <si>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</si>
  <si>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</si>
  <si>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</si>
  <si>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</si>
  <si>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</si>
  <si>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</si>
  <si>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</si>
  <si>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</si>
  <si>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</si>
  <si>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</si>
  <si>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</si>
  <si>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</si>
  <si>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</si>
  <si>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</si>
  <si>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</si>
  <si>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</si>
  <si>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</si>
  <si>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</si>
  <si>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</si>
  <si>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</si>
  <si>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</si>
  <si>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</si>
  <si>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</si>
  <si>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</si>
  <si>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</si>
  <si>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</si>
  <si>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</si>
  <si>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</si>
  <si>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</si>
  <si>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</si>
  <si>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</si>
  <si>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</si>
  <si>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</si>
  <si>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</si>
  <si>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</si>
  <si>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</si>
  <si>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CFY-M1798-BK-XL</t>
  </si>
  <si>
    <t>B076T6LXHL</t>
  </si>
  <si>
    <t>CFY-M1798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</si>
  <si>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</si>
  <si>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</si>
  <si>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</si>
  <si>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</si>
  <si>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</si>
  <si>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</si>
  <si>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</si>
  <si>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</si>
  <si>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</si>
  <si>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</si>
  <si>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</si>
  <si>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</si>
  <si>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</si>
  <si>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</si>
  <si>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</si>
  <si>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</si>
  <si>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</si>
  <si>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</si>
  <si>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</si>
  <si>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</si>
  <si>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</si>
  <si>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</si>
  <si>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</si>
  <si>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CFY-M1830-LB-M</t>
  </si>
  <si>
    <t>B076TZ3LSZ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</si>
  <si>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</si>
  <si>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</si>
  <si>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</si>
  <si>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</si>
  <si>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</si>
  <si>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</si>
  <si>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</si>
  <si>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</si>
  <si>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</si>
  <si>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</si>
  <si>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</si>
  <si>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</si>
  <si>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</t>
  </si>
  <si>
    <t>无销售广告费为2.19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</si>
  <si>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</si>
  <si>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</si>
  <si>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</si>
  <si>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</si>
  <si>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</si>
  <si>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</si>
  <si>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</si>
  <si>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</si>
  <si>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</si>
  <si>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</si>
  <si>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</si>
  <si>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</si>
  <si>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</si>
  <si>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</si>
  <si>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</si>
  <si>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</si>
  <si>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</si>
  <si>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</si>
  <si>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</si>
  <si>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</si>
  <si>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</si>
  <si>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</si>
  <si>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</si>
  <si>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</si>
  <si>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无销售广告费为0.72</t>
  </si>
  <si>
    <t>无销售广告费为1.2</t>
  </si>
  <si>
    <t>无销售广告费为0.47</t>
  </si>
  <si>
    <t>CFY-W1830-RR-L</t>
  </si>
  <si>
    <t>B076HPT8P1</t>
  </si>
  <si>
    <t>CFY-W1830-RR-S</t>
  </si>
  <si>
    <t>B076HPQ2ZR</t>
  </si>
  <si>
    <t>CS-2LHY171-ZL918-XL</t>
  </si>
  <si>
    <t>B07FR2JGRN</t>
  </si>
  <si>
    <t>CS-2LHY171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</si>
  <si>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</si>
  <si>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</si>
  <si>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</si>
  <si>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</si>
  <si>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</si>
  <si>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</si>
  <si>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</si>
  <si>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</si>
  <si>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</si>
  <si>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</si>
  <si>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</si>
  <si>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</si>
  <si>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</si>
  <si>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</si>
  <si>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</si>
  <si>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</si>
  <si>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</si>
  <si>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</si>
  <si>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</si>
  <si>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</si>
  <si>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</si>
  <si>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</si>
  <si>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</si>
  <si>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</si>
  <si>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</si>
  <si>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</si>
  <si>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</si>
  <si>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</si>
  <si>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</si>
  <si>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</si>
  <si>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</si>
  <si>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</si>
  <si>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</si>
  <si>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</si>
  <si>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无销售广告费为0.32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</si>
  <si>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</si>
  <si>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</si>
  <si>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</si>
  <si>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</si>
  <si>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</si>
  <si>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</si>
  <si>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</si>
  <si>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</si>
  <si>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</si>
  <si>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</si>
  <si>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</si>
  <si>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</si>
  <si>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</si>
  <si>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</si>
  <si>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</si>
  <si>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</si>
  <si>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</si>
  <si>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</si>
  <si>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</si>
  <si>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</si>
  <si>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</si>
  <si>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</si>
  <si>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</si>
  <si>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</si>
  <si>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</si>
  <si>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</si>
  <si>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</si>
  <si>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</si>
  <si>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</si>
  <si>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</si>
  <si>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</si>
  <si>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</si>
  <si>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</si>
  <si>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</si>
  <si>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</si>
  <si>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</si>
  <si>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</si>
  <si>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</si>
  <si>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</si>
  <si>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</si>
  <si>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</si>
  <si>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</si>
  <si>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</si>
  <si>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</si>
  <si>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</si>
  <si>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</si>
  <si>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</si>
  <si>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</si>
  <si>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</si>
  <si>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</si>
  <si>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</si>
  <si>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</si>
  <si>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</si>
  <si>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</si>
  <si>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</si>
  <si>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</si>
  <si>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</si>
  <si>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</si>
  <si>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</si>
  <si>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</si>
  <si>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</si>
  <si>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</si>
  <si>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</si>
  <si>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</si>
  <si>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</si>
  <si>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</si>
  <si>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</si>
  <si>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</si>
  <si>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</si>
  <si>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</si>
  <si>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</si>
  <si>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</si>
  <si>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</si>
  <si>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</si>
  <si>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</si>
  <si>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</si>
  <si>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</si>
  <si>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</si>
  <si>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</si>
  <si>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</si>
  <si>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</si>
  <si>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</si>
  <si>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</si>
  <si>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</si>
  <si>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</si>
  <si>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</si>
  <si>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</si>
  <si>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</si>
  <si>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</si>
  <si>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</si>
  <si>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</si>
  <si>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</si>
  <si>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</si>
  <si>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无销售广告费为68.58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</si>
  <si>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</si>
  <si>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</si>
  <si>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</si>
  <si>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</si>
  <si>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</si>
  <si>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</si>
  <si>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</si>
  <si>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</si>
  <si>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</si>
  <si>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</t>
  </si>
  <si>
    <t>无销售广告费为1.86</t>
  </si>
  <si>
    <t>无销售广告费为0.3</t>
  </si>
  <si>
    <t>无销售广告费为2.34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</si>
  <si>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</si>
  <si>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</si>
  <si>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</si>
  <si>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</si>
  <si>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</si>
  <si>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</si>
  <si>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</si>
  <si>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</si>
  <si>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</si>
  <si>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</si>
  <si>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</si>
  <si>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</si>
  <si>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</si>
  <si>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</si>
  <si>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</si>
  <si>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</si>
  <si>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</si>
  <si>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</si>
  <si>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</si>
  <si>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</si>
  <si>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</si>
  <si>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</si>
  <si>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</si>
  <si>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</si>
  <si>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</si>
  <si>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</si>
  <si>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</si>
  <si>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</si>
  <si>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</si>
  <si>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</si>
  <si>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</si>
  <si>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</si>
  <si>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</si>
  <si>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</si>
  <si>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</si>
  <si>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</si>
  <si>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</si>
  <si>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</si>
  <si>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</si>
  <si>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</si>
  <si>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</si>
  <si>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</si>
  <si>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</si>
  <si>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</si>
  <si>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</si>
  <si>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</si>
  <si>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</si>
  <si>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</si>
  <si>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</si>
  <si>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</si>
  <si>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</si>
  <si>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</si>
  <si>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</si>
  <si>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</si>
  <si>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</si>
  <si>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</si>
  <si>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</si>
  <si>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</si>
  <si>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</si>
  <si>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</si>
  <si>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</si>
  <si>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</si>
  <si>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</si>
  <si>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</si>
  <si>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</si>
  <si>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</si>
  <si>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</si>
  <si>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</si>
  <si>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</si>
  <si>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</si>
  <si>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</si>
  <si>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</si>
  <si>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</si>
  <si>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</si>
  <si>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</si>
  <si>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</si>
  <si>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</si>
  <si>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</si>
  <si>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</si>
  <si>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</si>
  <si>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</si>
  <si>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</si>
  <si>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</si>
  <si>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</si>
  <si>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</si>
  <si>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</si>
  <si>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无销售广告费为4.19</t>
  </si>
  <si>
    <t>无销售广告费为0.61</t>
  </si>
  <si>
    <t>无销售广告费为0.82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</si>
  <si>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</si>
  <si>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</si>
  <si>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</si>
  <si>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</si>
  <si>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</si>
  <si>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</si>
  <si>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</si>
  <si>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</si>
  <si>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</si>
  <si>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</si>
  <si>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</si>
  <si>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</si>
  <si>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</si>
  <si>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</si>
  <si>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无销售广告费为8.17</t>
  </si>
  <si>
    <t>CS-BUSB031-GN2-XXL</t>
  </si>
  <si>
    <t>B078VZ2JPL</t>
  </si>
  <si>
    <t>无销售广告费为7.83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</si>
  <si>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</si>
  <si>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</si>
  <si>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</si>
  <si>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</si>
  <si>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</si>
  <si>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</si>
  <si>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</si>
  <si>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</si>
  <si>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</si>
  <si>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</si>
  <si>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</si>
  <si>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</si>
  <si>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</si>
  <si>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</si>
  <si>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</si>
  <si>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</si>
  <si>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</si>
  <si>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</si>
  <si>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</si>
  <si>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</si>
  <si>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</si>
  <si>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</si>
  <si>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</si>
  <si>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</si>
  <si>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</si>
  <si>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</si>
  <si>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</si>
  <si>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</si>
  <si>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</si>
  <si>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</si>
  <si>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</si>
  <si>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</si>
  <si>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</si>
  <si>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</si>
  <si>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</si>
  <si>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</si>
  <si>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</si>
  <si>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</si>
  <si>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</si>
  <si>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</si>
  <si>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</si>
  <si>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</si>
  <si>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</si>
  <si>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</si>
  <si>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</si>
  <si>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</si>
  <si>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</si>
  <si>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</si>
  <si>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无销售广告费为8.84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</si>
  <si>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</si>
  <si>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</si>
  <si>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</si>
  <si>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</si>
  <si>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</si>
  <si>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</si>
  <si>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</si>
  <si>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</si>
  <si>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</si>
  <si>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</si>
  <si>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</si>
  <si>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</si>
  <si>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</si>
  <si>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</si>
  <si>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</si>
  <si>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</si>
  <si>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</si>
  <si>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</si>
  <si>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</si>
  <si>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</si>
  <si>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</si>
  <si>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</si>
  <si>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</si>
  <si>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</si>
  <si>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</si>
  <si>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</si>
  <si>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</si>
  <si>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</si>
  <si>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</si>
  <si>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</si>
  <si>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</si>
  <si>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</si>
  <si>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无销售广告费为0.18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</si>
  <si>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</si>
  <si>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</si>
  <si>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</si>
  <si>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</si>
  <si>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</si>
  <si>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</si>
  <si>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</si>
  <si>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</si>
  <si>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</si>
  <si>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</si>
  <si>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无销售广告费为85.29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</si>
  <si>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</si>
  <si>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</si>
  <si>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</si>
  <si>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</si>
  <si>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</si>
  <si>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</si>
  <si>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</si>
  <si>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</si>
  <si>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</si>
  <si>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</si>
  <si>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</si>
  <si>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</si>
  <si>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</si>
  <si>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</si>
  <si>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</si>
  <si>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</si>
  <si>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</si>
  <si>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</si>
  <si>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</si>
  <si>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</si>
  <si>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</si>
  <si>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</si>
  <si>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</si>
  <si>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</si>
  <si>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无销售广告费为17.71</t>
  </si>
  <si>
    <t>CS-BUSB032-YL-S</t>
  </si>
  <si>
    <t>CS-BUSB032-YL-XL</t>
  </si>
  <si>
    <t>CS-BUSB032-YL-XXL</t>
  </si>
  <si>
    <t>CS-CA031-GN1-L</t>
  </si>
  <si>
    <t>B07G2699RJ</t>
  </si>
  <si>
    <t>CS-CA031</t>
  </si>
  <si>
    <t>CS-CA031-GN1-M</t>
  </si>
  <si>
    <t>B07G2T23HW</t>
  </si>
  <si>
    <t>CS-CA031-GN1-S</t>
  </si>
  <si>
    <t>B07G2CBXV9</t>
  </si>
  <si>
    <t>CS-CA031-GN1-XL</t>
  </si>
  <si>
    <t>B07G2Q4YPQ</t>
  </si>
  <si>
    <t>CS-CA031-GN1-XXL</t>
  </si>
  <si>
    <t>B07G2BV58F</t>
  </si>
  <si>
    <t>CS-CA031-GN2-L</t>
  </si>
  <si>
    <t>B07G299MPL</t>
  </si>
  <si>
    <t>CS-CA031-GN2-M</t>
  </si>
  <si>
    <t>B07G2QFB48</t>
  </si>
  <si>
    <t>CS-CA031-GN2-S</t>
  </si>
  <si>
    <t>B07G1ZVHHD</t>
  </si>
  <si>
    <t>CS-CA031-GN2-XL</t>
  </si>
  <si>
    <t>B07G2FL525</t>
  </si>
  <si>
    <t>CS-CA031-GN2-XXL</t>
  </si>
  <si>
    <t>B07G28W1V3</t>
  </si>
  <si>
    <t>CS-CA031-GN3-L</t>
  </si>
  <si>
    <t>B07G2729N9</t>
  </si>
  <si>
    <t>CS-CA031-GN3-M</t>
  </si>
  <si>
    <t>B07G216SLN</t>
  </si>
  <si>
    <t>CS-CA031-GN3-S</t>
  </si>
  <si>
    <t>B07G22JK7R</t>
  </si>
  <si>
    <t>CS-CA031-GN3-XL</t>
  </si>
  <si>
    <t>B07G2GJ43J</t>
  </si>
  <si>
    <t>CS-CA031-GN3-XXL</t>
  </si>
  <si>
    <t>B07G279MFW</t>
  </si>
  <si>
    <t>CS-CA031-RD1-L</t>
  </si>
  <si>
    <t>B07G22JR9K</t>
  </si>
  <si>
    <t>CS-CA031-RD1-M</t>
  </si>
  <si>
    <t>B07G26356D</t>
  </si>
  <si>
    <t>CS-CA031-RD1-S</t>
  </si>
  <si>
    <t>B07G2JQSKB</t>
  </si>
  <si>
    <t>CS-CA031-RD1-XL</t>
  </si>
  <si>
    <t>B07G2RD6XX</t>
  </si>
  <si>
    <t>CS-CA031-RD1-XXL</t>
  </si>
  <si>
    <t>B07G265233</t>
  </si>
  <si>
    <t>CS-CA031-RD2-L</t>
  </si>
  <si>
    <t>B07G2HRHSL</t>
  </si>
  <si>
    <t>CS-CA031-RD2-M</t>
  </si>
  <si>
    <t>B07G2QDT5D</t>
  </si>
  <si>
    <t>CS-CA031-RD2-S</t>
  </si>
  <si>
    <t>B07G2PL6KD</t>
  </si>
  <si>
    <t>CS-CA031-RD2-XL</t>
  </si>
  <si>
    <t>B07G2FHPX8</t>
  </si>
  <si>
    <t>CS-CA031-RD2-XXL</t>
  </si>
  <si>
    <t>B07G2L6FQW</t>
  </si>
  <si>
    <t>CS-CA031-YL1-L</t>
  </si>
  <si>
    <t>B07G2L47JZ</t>
  </si>
  <si>
    <t>CS-CA031-YL1-M</t>
  </si>
  <si>
    <t>B07G2QVT2Z</t>
  </si>
  <si>
    <t>CS-CA031-YL1-S</t>
  </si>
  <si>
    <t>B07G2BJWK9</t>
  </si>
  <si>
    <t>CS-CA031-YL1-XL</t>
  </si>
  <si>
    <t>B07G288MX6</t>
  </si>
  <si>
    <t>CS-CA031-YL1-XXL</t>
  </si>
  <si>
    <t>B07G27K1CD</t>
  </si>
  <si>
    <t>CS-CA031-YL2-L</t>
  </si>
  <si>
    <t>B07G231MC3</t>
  </si>
  <si>
    <t>CS-CA031-YL2-M</t>
  </si>
  <si>
    <t>B07G2PB37G</t>
  </si>
  <si>
    <t>CS-CA031-YL2-S</t>
  </si>
  <si>
    <t>B07G2HKVSY</t>
  </si>
  <si>
    <t>CS-CA031-YL2-XL</t>
  </si>
  <si>
    <t>B07G2N2W69</t>
  </si>
  <si>
    <t>CS-CA031-YL2-XXL</t>
  </si>
  <si>
    <t>B07G2C2M8W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</si>
  <si>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</si>
  <si>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</si>
  <si>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</si>
  <si>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</si>
  <si>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</si>
  <si>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</si>
  <si>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</si>
  <si>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</si>
  <si>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</si>
  <si>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</si>
  <si>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</si>
  <si>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</si>
  <si>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</si>
  <si>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</si>
  <si>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</si>
  <si>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</si>
  <si>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</si>
  <si>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</si>
  <si>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</si>
  <si>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</si>
  <si>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</si>
  <si>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</si>
  <si>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</si>
  <si>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</si>
  <si>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</si>
  <si>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</si>
  <si>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</si>
  <si>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</si>
  <si>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</si>
  <si>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</si>
  <si>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</si>
  <si>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</si>
  <si>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</si>
  <si>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</si>
  <si>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</si>
  <si>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</si>
  <si>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</si>
  <si>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</si>
  <si>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</si>
  <si>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</si>
  <si>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</si>
  <si>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</si>
  <si>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</si>
  <si>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</si>
  <si>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</si>
  <si>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</si>
  <si>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</si>
  <si>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</si>
  <si>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</si>
  <si>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</si>
  <si>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</si>
  <si>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</si>
  <si>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</si>
  <si>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</si>
  <si>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</si>
  <si>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</si>
  <si>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</si>
  <si>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</si>
  <si>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</si>
  <si>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</si>
  <si>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</si>
  <si>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</si>
  <si>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</si>
  <si>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</si>
  <si>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</si>
  <si>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</si>
  <si>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</si>
  <si>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</si>
  <si>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</si>
  <si>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</si>
  <si>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</si>
  <si>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</si>
  <si>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</si>
  <si>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</si>
  <si>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</si>
  <si>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</si>
  <si>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</si>
  <si>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</si>
  <si>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</si>
  <si>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</si>
  <si>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</si>
  <si>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</si>
  <si>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</si>
  <si>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</si>
  <si>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</si>
  <si>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</si>
  <si>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</si>
  <si>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</si>
  <si>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</si>
  <si>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</si>
  <si>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</si>
  <si>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</si>
  <si>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</si>
  <si>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</si>
  <si>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</si>
  <si>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</si>
  <si>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</si>
  <si>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</si>
  <si>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</si>
  <si>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</si>
  <si>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</si>
  <si>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</si>
  <si>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</si>
  <si>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</si>
  <si>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</si>
  <si>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</si>
  <si>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</si>
  <si>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</si>
  <si>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</si>
  <si>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</si>
  <si>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</si>
  <si>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</si>
  <si>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</si>
  <si>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</si>
  <si>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</si>
  <si>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</si>
  <si>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</si>
  <si>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</si>
  <si>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</si>
  <si>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</si>
  <si>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</si>
  <si>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</si>
  <si>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</si>
  <si>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</si>
  <si>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</si>
  <si>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</si>
  <si>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</si>
  <si>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</si>
  <si>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</si>
  <si>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</si>
  <si>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</si>
  <si>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</si>
  <si>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</si>
  <si>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</si>
  <si>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</si>
  <si>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</si>
  <si>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</si>
  <si>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</si>
  <si>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</si>
  <si>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</si>
  <si>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</si>
  <si>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</si>
  <si>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</si>
  <si>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</si>
  <si>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</si>
  <si>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</si>
  <si>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</si>
  <si>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</si>
  <si>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</si>
  <si>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</si>
  <si>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</si>
  <si>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</si>
  <si>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</si>
  <si>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</si>
  <si>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</si>
  <si>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</si>
  <si>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</si>
  <si>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</si>
  <si>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</si>
  <si>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</si>
  <si>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</si>
  <si>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</si>
  <si>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</si>
  <si>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</si>
  <si>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</si>
  <si>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</si>
  <si>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</si>
  <si>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</si>
  <si>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</si>
  <si>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</si>
  <si>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</si>
  <si>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</si>
  <si>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</si>
  <si>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</si>
  <si>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</si>
  <si>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</si>
  <si>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</si>
  <si>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</si>
  <si>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</si>
  <si>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</si>
  <si>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</si>
  <si>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</si>
  <si>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</si>
  <si>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</si>
  <si>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</si>
  <si>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</si>
  <si>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</si>
  <si>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</si>
  <si>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</si>
  <si>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</si>
  <si>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</si>
  <si>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</si>
  <si>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</si>
  <si>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</si>
  <si>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</si>
  <si>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</si>
  <si>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</si>
  <si>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</si>
  <si>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</si>
  <si>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</si>
  <si>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</si>
  <si>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</si>
  <si>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</si>
  <si>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</si>
  <si>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</si>
  <si>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</si>
  <si>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</si>
  <si>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</si>
  <si>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</si>
  <si>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</si>
  <si>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</si>
  <si>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</si>
  <si>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</si>
  <si>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</si>
  <si>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</si>
  <si>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</si>
  <si>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</si>
  <si>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</si>
  <si>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</si>
  <si>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</si>
  <si>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</si>
  <si>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</si>
  <si>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</si>
  <si>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</si>
  <si>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</si>
  <si>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</si>
  <si>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</si>
  <si>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</si>
  <si>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</si>
  <si>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</si>
  <si>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</si>
  <si>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</si>
  <si>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</si>
  <si>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</si>
  <si>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</si>
  <si>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</si>
  <si>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</si>
  <si>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</si>
  <si>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</si>
  <si>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</si>
  <si>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</si>
  <si>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</si>
  <si>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</si>
  <si>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</si>
  <si>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</si>
  <si>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</si>
  <si>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</si>
  <si>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</si>
  <si>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</si>
  <si>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</si>
  <si>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</si>
  <si>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</si>
  <si>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</si>
  <si>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</si>
  <si>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</si>
  <si>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</si>
  <si>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</si>
  <si>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</si>
  <si>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</si>
  <si>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</si>
  <si>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</si>
  <si>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</si>
  <si>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</si>
  <si>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</si>
  <si>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</si>
  <si>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</si>
  <si>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</si>
  <si>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</si>
  <si>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</si>
  <si>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</si>
  <si>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</si>
  <si>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</si>
  <si>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</si>
  <si>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</si>
  <si>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</si>
  <si>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</si>
  <si>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</si>
  <si>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</si>
  <si>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</si>
  <si>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</si>
  <si>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</si>
  <si>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</si>
  <si>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</si>
  <si>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</si>
  <si>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</si>
  <si>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</si>
  <si>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</si>
  <si>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</si>
  <si>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</si>
  <si>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</si>
  <si>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</si>
  <si>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</si>
  <si>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</si>
  <si>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</si>
  <si>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</si>
  <si>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</si>
  <si>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</si>
  <si>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</si>
  <si>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</si>
  <si>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</si>
  <si>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</si>
  <si>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</si>
  <si>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</si>
  <si>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</si>
  <si>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</si>
  <si>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</si>
  <si>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</si>
  <si>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</si>
  <si>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</si>
  <si>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</si>
  <si>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</si>
  <si>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</si>
  <si>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</si>
  <si>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</si>
  <si>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</si>
  <si>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</si>
  <si>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</si>
  <si>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</si>
  <si>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</si>
  <si>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</si>
  <si>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</si>
  <si>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</si>
  <si>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</si>
  <si>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</si>
  <si>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</si>
  <si>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</si>
  <si>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</si>
  <si>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</si>
  <si>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</si>
  <si>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</si>
  <si>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</si>
  <si>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</si>
  <si>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</si>
  <si>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</si>
  <si>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</si>
  <si>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</si>
  <si>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</si>
  <si>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</si>
  <si>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</si>
  <si>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</si>
  <si>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</si>
  <si>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</si>
  <si>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</si>
  <si>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</si>
  <si>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</si>
  <si>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</si>
  <si>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</si>
  <si>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</si>
  <si>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</si>
  <si>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</si>
  <si>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</si>
  <si>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</si>
  <si>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</si>
  <si>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</si>
  <si>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</si>
  <si>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</si>
  <si>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</si>
  <si>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</si>
  <si>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</si>
  <si>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</si>
  <si>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</si>
  <si>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</si>
  <si>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</si>
  <si>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</si>
  <si>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</si>
  <si>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</si>
  <si>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</si>
  <si>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</si>
  <si>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</si>
  <si>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</si>
  <si>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</si>
  <si>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</si>
  <si>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</si>
  <si>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</si>
  <si>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</si>
  <si>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</si>
  <si>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</si>
  <si>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</si>
  <si>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</si>
  <si>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</si>
  <si>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</si>
  <si>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</si>
  <si>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</si>
  <si>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</si>
  <si>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</si>
  <si>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</si>
  <si>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</si>
  <si>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</si>
  <si>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</si>
  <si>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</si>
  <si>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</si>
  <si>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</si>
  <si>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</si>
  <si>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</si>
  <si>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</si>
  <si>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</si>
  <si>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</si>
  <si>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</si>
  <si>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</si>
  <si>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</si>
  <si>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</si>
  <si>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</si>
  <si>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</si>
  <si>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</si>
  <si>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</si>
  <si>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</si>
  <si>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</si>
  <si>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</si>
  <si>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</si>
  <si>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</si>
  <si>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</si>
  <si>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</si>
  <si>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</si>
  <si>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</si>
  <si>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</si>
  <si>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</si>
  <si>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</si>
  <si>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</si>
  <si>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</si>
  <si>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</si>
  <si>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</si>
  <si>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</si>
  <si>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</si>
  <si>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</si>
  <si>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</si>
  <si>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</si>
  <si>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</si>
  <si>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</si>
  <si>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</si>
  <si>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</si>
  <si>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</si>
  <si>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</si>
  <si>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</si>
  <si>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</si>
  <si>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</si>
  <si>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</si>
  <si>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</si>
  <si>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</si>
  <si>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</si>
  <si>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</si>
  <si>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</si>
  <si>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</si>
  <si>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</si>
  <si>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</si>
  <si>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</si>
  <si>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</si>
  <si>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</si>
  <si>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</si>
  <si>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</si>
  <si>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</si>
  <si>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</si>
  <si>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</si>
  <si>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</si>
  <si>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</si>
  <si>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</si>
  <si>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</si>
  <si>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</si>
  <si>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</si>
  <si>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</si>
  <si>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</si>
  <si>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</si>
  <si>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</si>
  <si>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无销售广告费为3.04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</si>
  <si>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</si>
  <si>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</si>
  <si>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</si>
  <si>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</si>
  <si>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</si>
  <si>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</si>
  <si>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</si>
  <si>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</si>
  <si>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</si>
  <si>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</si>
  <si>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</si>
  <si>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</si>
  <si>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</si>
  <si>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</si>
  <si>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</si>
  <si>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</si>
  <si>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</si>
  <si>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</si>
  <si>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</si>
  <si>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</si>
  <si>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</si>
  <si>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</si>
  <si>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</si>
  <si>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</si>
  <si>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</si>
  <si>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</si>
  <si>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</si>
  <si>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</si>
  <si>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</si>
  <si>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</si>
  <si>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</si>
  <si>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</si>
  <si>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</si>
  <si>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</si>
  <si>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</si>
  <si>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</si>
  <si>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</si>
  <si>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</si>
  <si>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</si>
  <si>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</si>
  <si>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</si>
  <si>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</si>
  <si>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</si>
  <si>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</si>
  <si>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</si>
  <si>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</si>
  <si>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</si>
  <si>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</si>
  <si>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</si>
  <si>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</si>
  <si>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</si>
  <si>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</si>
  <si>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</si>
  <si>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</si>
  <si>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</si>
  <si>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</si>
  <si>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</si>
  <si>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</si>
  <si>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</si>
  <si>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</si>
  <si>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</si>
  <si>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</si>
  <si>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</si>
  <si>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</si>
  <si>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</si>
  <si>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</si>
  <si>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</si>
  <si>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</si>
  <si>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</si>
  <si>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</si>
  <si>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</si>
  <si>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</si>
  <si>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</si>
  <si>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</si>
  <si>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</si>
  <si>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</si>
  <si>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</si>
  <si>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</si>
  <si>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</si>
  <si>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</si>
  <si>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</si>
  <si>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</si>
  <si>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</si>
  <si>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</si>
  <si>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</si>
  <si>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</si>
  <si>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</si>
  <si>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</si>
  <si>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</si>
  <si>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</si>
  <si>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</si>
  <si>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</si>
  <si>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</si>
  <si>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</si>
  <si>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</si>
  <si>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无销售广告费为1.4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</si>
  <si>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</si>
  <si>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</si>
  <si>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</si>
  <si>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</si>
  <si>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</si>
  <si>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</si>
  <si>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</si>
  <si>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</si>
  <si>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</si>
  <si>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无销售广告费为9.93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</si>
  <si>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</si>
  <si>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</si>
  <si>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</si>
  <si>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</si>
  <si>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</si>
  <si>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</si>
  <si>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</si>
  <si>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</si>
  <si>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</si>
  <si>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</si>
  <si>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</si>
  <si>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</si>
  <si>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</si>
  <si>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</si>
  <si>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</si>
  <si>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</si>
  <si>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</si>
  <si>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</si>
  <si>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</si>
  <si>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</si>
  <si>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</si>
  <si>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</si>
  <si>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</si>
  <si>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</si>
  <si>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</si>
  <si>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</si>
  <si>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</si>
  <si>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</si>
  <si>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</si>
  <si>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</si>
  <si>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</si>
  <si>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</si>
  <si>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</si>
  <si>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</si>
  <si>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</si>
  <si>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</si>
  <si>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</si>
  <si>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</si>
  <si>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</si>
  <si>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</si>
  <si>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</si>
  <si>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</si>
  <si>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</si>
  <si>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</si>
  <si>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</si>
  <si>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</si>
  <si>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</si>
  <si>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</si>
  <si>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</si>
  <si>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</si>
  <si>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</si>
  <si>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</si>
  <si>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</si>
  <si>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</si>
  <si>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</si>
  <si>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</si>
  <si>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</si>
  <si>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</si>
  <si>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</si>
  <si>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</si>
  <si>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</si>
  <si>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</si>
  <si>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</si>
  <si>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</si>
  <si>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</si>
  <si>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</si>
  <si>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</si>
  <si>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</si>
  <si>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</si>
  <si>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</si>
  <si>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</si>
  <si>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</si>
  <si>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</si>
  <si>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</si>
  <si>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</si>
  <si>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</si>
  <si>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</si>
  <si>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</si>
  <si>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</si>
  <si>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</si>
  <si>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</si>
  <si>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</si>
  <si>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</si>
  <si>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</si>
  <si>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</si>
  <si>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</si>
  <si>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</si>
  <si>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</si>
  <si>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</si>
  <si>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</si>
  <si>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</si>
  <si>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</si>
  <si>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</si>
  <si>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</si>
  <si>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</si>
  <si>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</si>
  <si>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</si>
  <si>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</si>
  <si>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</si>
  <si>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</si>
  <si>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</si>
  <si>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</si>
  <si>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</si>
  <si>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</si>
  <si>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</si>
  <si>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</si>
  <si>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</si>
  <si>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</si>
  <si>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</si>
  <si>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</si>
  <si>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</si>
  <si>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</si>
  <si>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</si>
  <si>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</si>
  <si>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</si>
  <si>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</si>
  <si>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</si>
  <si>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</si>
  <si>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</si>
  <si>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</si>
  <si>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</si>
  <si>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</si>
  <si>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</si>
  <si>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</si>
  <si>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</si>
  <si>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</si>
  <si>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</si>
  <si>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</si>
  <si>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</si>
  <si>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</si>
  <si>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</si>
  <si>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</si>
  <si>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</si>
  <si>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</si>
  <si>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</si>
  <si>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</si>
  <si>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</si>
  <si>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</si>
  <si>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</si>
  <si>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</si>
  <si>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</si>
  <si>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</si>
  <si>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</si>
  <si>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</si>
  <si>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</si>
  <si>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</si>
  <si>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</si>
  <si>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</si>
  <si>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</si>
  <si>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</si>
  <si>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</si>
  <si>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</si>
  <si>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</si>
  <si>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</si>
  <si>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</si>
  <si>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</si>
  <si>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</si>
  <si>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</si>
  <si>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</si>
  <si>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</si>
  <si>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</si>
  <si>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</si>
  <si>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</si>
  <si>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</si>
  <si>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</si>
  <si>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</si>
  <si>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</si>
  <si>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</si>
  <si>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</si>
  <si>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</si>
  <si>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</si>
  <si>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</si>
  <si>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</si>
  <si>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</si>
  <si>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</si>
  <si>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</si>
  <si>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</si>
  <si>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</si>
  <si>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</si>
  <si>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</si>
  <si>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</si>
  <si>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</si>
  <si>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</si>
  <si>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</si>
  <si>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</si>
  <si>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</si>
  <si>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</si>
  <si>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</si>
  <si>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</si>
  <si>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</si>
  <si>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</si>
  <si>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</si>
  <si>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</si>
  <si>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</si>
  <si>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</si>
  <si>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</si>
  <si>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</si>
  <si>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</si>
  <si>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</si>
  <si>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</si>
  <si>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</si>
  <si>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</si>
  <si>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</si>
  <si>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</si>
  <si>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</si>
  <si>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</si>
  <si>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</si>
  <si>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</si>
  <si>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</si>
  <si>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</si>
  <si>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</si>
  <si>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</si>
  <si>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</si>
  <si>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</si>
  <si>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</si>
  <si>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</si>
  <si>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</si>
  <si>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</si>
  <si>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</si>
  <si>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</si>
  <si>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</si>
  <si>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</si>
  <si>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</si>
  <si>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</si>
  <si>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</si>
  <si>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</si>
  <si>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</si>
  <si>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</si>
  <si>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</si>
  <si>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</si>
  <si>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</si>
  <si>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</si>
  <si>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</si>
  <si>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</si>
  <si>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</si>
  <si>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</si>
  <si>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</si>
  <si>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</si>
  <si>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</si>
  <si>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</si>
  <si>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</si>
  <si>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</si>
  <si>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</si>
  <si>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</si>
  <si>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</si>
  <si>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</si>
  <si>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</si>
  <si>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</si>
  <si>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</si>
  <si>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</si>
  <si>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</si>
  <si>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</si>
  <si>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</si>
  <si>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</si>
  <si>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</si>
  <si>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</si>
  <si>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</si>
  <si>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</si>
  <si>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</si>
  <si>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</si>
  <si>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</si>
  <si>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CS-LHY171-G912-L</t>
  </si>
  <si>
    <t>CS-LHY171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</si>
  <si>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</si>
  <si>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</si>
  <si>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</si>
  <si>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</si>
  <si>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</si>
  <si>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</si>
  <si>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</si>
  <si>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</si>
  <si>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</si>
  <si>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</si>
  <si>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</si>
  <si>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</si>
  <si>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</si>
  <si>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</si>
  <si>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</si>
  <si>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</si>
  <si>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</si>
  <si>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</si>
  <si>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</si>
  <si>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</si>
  <si>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</si>
  <si>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</si>
  <si>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</si>
  <si>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</si>
  <si>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</si>
  <si>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</si>
  <si>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</si>
  <si>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</si>
  <si>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</si>
  <si>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</si>
  <si>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</si>
  <si>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</si>
  <si>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</si>
  <si>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</si>
  <si>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</si>
  <si>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</si>
  <si>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</si>
  <si>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</si>
  <si>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</si>
  <si>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</si>
  <si>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</si>
  <si>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</si>
  <si>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</si>
  <si>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</si>
  <si>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</si>
  <si>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</si>
  <si>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</si>
  <si>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</si>
  <si>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</si>
  <si>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CS-LHY171-ZL918-XL</t>
  </si>
  <si>
    <t>B07CZW3MW1</t>
  </si>
  <si>
    <t>CS-LHY171-ZL918-XXL</t>
  </si>
  <si>
    <t>B0788NS23T</t>
  </si>
  <si>
    <t>CS-LHY181-G912-L</t>
  </si>
  <si>
    <t>B073PPLXB3</t>
  </si>
  <si>
    <t>CS-LHY181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</si>
  <si>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</si>
  <si>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</si>
  <si>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</si>
  <si>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</si>
  <si>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</si>
  <si>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</si>
  <si>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</si>
  <si>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</si>
  <si>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</si>
  <si>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</si>
  <si>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</si>
  <si>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</si>
  <si>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</si>
  <si>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</si>
  <si>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</si>
  <si>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</si>
  <si>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</si>
  <si>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</si>
  <si>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</si>
  <si>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</si>
  <si>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</si>
  <si>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</si>
  <si>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</si>
  <si>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</si>
  <si>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</si>
  <si>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</si>
  <si>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</si>
  <si>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</si>
  <si>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</si>
  <si>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</si>
  <si>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</si>
  <si>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</si>
  <si>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</si>
  <si>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</si>
  <si>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</si>
  <si>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</si>
  <si>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</si>
  <si>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</si>
  <si>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</si>
  <si>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</si>
  <si>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</si>
  <si>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</si>
  <si>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</si>
  <si>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</si>
  <si>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</si>
  <si>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</si>
  <si>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</si>
  <si>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</si>
  <si>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</si>
  <si>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</si>
  <si>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</si>
  <si>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</si>
  <si>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</si>
  <si>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</si>
  <si>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</si>
  <si>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</si>
  <si>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</si>
  <si>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</si>
  <si>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</si>
  <si>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</si>
  <si>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</si>
  <si>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</si>
  <si>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</si>
  <si>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</si>
  <si>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</si>
  <si>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</si>
  <si>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</si>
  <si>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</si>
  <si>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</si>
  <si>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</si>
  <si>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</si>
  <si>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</si>
  <si>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</si>
  <si>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</si>
  <si>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</si>
  <si>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</si>
  <si>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</si>
  <si>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</si>
  <si>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</si>
  <si>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</si>
  <si>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</t>
  </si>
  <si>
    <t>CS-LY082-G0-XXL</t>
  </si>
  <si>
    <t>B06XRMZFZ2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</si>
  <si>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</si>
  <si>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</si>
  <si>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</si>
  <si>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</si>
  <si>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</si>
  <si>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</si>
  <si>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</si>
  <si>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</si>
  <si>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</si>
  <si>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</si>
  <si>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</si>
  <si>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</si>
  <si>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</si>
  <si>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</si>
  <si>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</si>
  <si>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</si>
  <si>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无销售广告费为18.33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</si>
  <si>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</si>
  <si>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</si>
  <si>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</si>
  <si>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</si>
  <si>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</si>
  <si>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</si>
  <si>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</si>
  <si>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</si>
  <si>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</si>
  <si>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</si>
  <si>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</si>
  <si>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</si>
  <si>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</si>
  <si>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</si>
  <si>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</si>
  <si>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</si>
  <si>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</si>
  <si>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</si>
  <si>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</si>
  <si>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</si>
  <si>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</si>
  <si>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</si>
  <si>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</si>
  <si>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</si>
  <si>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</si>
  <si>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</si>
  <si>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</si>
  <si>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</si>
  <si>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无销售广告费为0.44</t>
  </si>
  <si>
    <t>CS-LY085-G912-M</t>
  </si>
  <si>
    <t>B06XYNCLQ7</t>
  </si>
  <si>
    <t>CS-LY085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</si>
  <si>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</si>
  <si>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</si>
  <si>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</si>
  <si>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</si>
  <si>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</si>
  <si>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</si>
  <si>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</si>
  <si>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</si>
  <si>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</si>
  <si>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</si>
  <si>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</si>
  <si>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</si>
  <si>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</si>
  <si>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</si>
  <si>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</si>
  <si>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</si>
  <si>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</si>
  <si>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</si>
  <si>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</si>
  <si>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</si>
  <si>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无销售广告费为1.44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</si>
  <si>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</si>
  <si>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</si>
  <si>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</si>
  <si>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</si>
  <si>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</si>
  <si>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</si>
  <si>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</si>
  <si>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</si>
  <si>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</si>
  <si>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</si>
  <si>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</si>
  <si>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</si>
  <si>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</si>
  <si>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</si>
  <si>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</si>
  <si>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</si>
  <si>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</si>
  <si>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</si>
  <si>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</si>
  <si>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</si>
  <si>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</si>
  <si>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</si>
  <si>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</si>
  <si>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</si>
  <si>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</si>
  <si>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</si>
  <si>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</si>
  <si>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</si>
  <si>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</si>
  <si>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</si>
  <si>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</si>
  <si>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</si>
  <si>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</si>
  <si>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</si>
  <si>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</si>
  <si>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</si>
  <si>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</si>
  <si>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</si>
  <si>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</si>
  <si>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</si>
  <si>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</si>
  <si>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</si>
  <si>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</si>
  <si>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</si>
  <si>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</si>
  <si>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</si>
  <si>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</si>
  <si>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</si>
  <si>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</si>
  <si>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</si>
  <si>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</si>
  <si>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</si>
  <si>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</si>
  <si>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</si>
  <si>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</si>
  <si>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</si>
  <si>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</si>
  <si>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</si>
  <si>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CS-LY085-ZL918-XXL</t>
  </si>
  <si>
    <t>B06Y229TP7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</si>
  <si>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</si>
  <si>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</si>
  <si>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</si>
  <si>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</si>
  <si>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</si>
  <si>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</si>
  <si>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</si>
  <si>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</si>
  <si>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</si>
  <si>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</si>
  <si>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</si>
  <si>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</si>
  <si>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</si>
  <si>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</si>
  <si>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</si>
  <si>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</si>
  <si>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</si>
  <si>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</si>
  <si>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</si>
  <si>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</si>
  <si>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</si>
  <si>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</si>
  <si>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</si>
  <si>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</si>
  <si>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</si>
  <si>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</si>
  <si>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</si>
  <si>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</si>
  <si>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</si>
  <si>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</si>
  <si>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</si>
  <si>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</si>
  <si>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</si>
  <si>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</si>
  <si>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</si>
  <si>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</si>
  <si>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</si>
  <si>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</si>
  <si>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</si>
  <si>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</si>
  <si>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</si>
  <si>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</si>
  <si>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</si>
  <si>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</si>
  <si>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</si>
  <si>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</si>
  <si>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</si>
  <si>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</si>
  <si>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</si>
  <si>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</si>
  <si>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</si>
  <si>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</si>
  <si>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</si>
  <si>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</si>
  <si>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</si>
  <si>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</si>
  <si>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</si>
  <si>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</si>
  <si>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</si>
  <si>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</si>
  <si>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</si>
  <si>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</si>
  <si>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</si>
  <si>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</si>
  <si>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</si>
  <si>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</si>
  <si>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</si>
  <si>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</si>
  <si>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</si>
  <si>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</si>
  <si>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</si>
  <si>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</si>
  <si>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</si>
  <si>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</si>
  <si>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</si>
  <si>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</si>
  <si>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</si>
  <si>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</si>
  <si>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</si>
  <si>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</si>
  <si>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</si>
  <si>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</si>
  <si>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</si>
  <si>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</si>
  <si>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</si>
  <si>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</si>
  <si>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</si>
  <si>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</si>
  <si>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</si>
  <si>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</si>
  <si>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</si>
  <si>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</si>
  <si>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</si>
  <si>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</si>
  <si>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</si>
  <si>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</si>
  <si>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</si>
  <si>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</si>
  <si>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</si>
  <si>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</si>
  <si>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</si>
  <si>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</si>
  <si>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</si>
  <si>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</si>
  <si>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</si>
  <si>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</si>
  <si>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</si>
  <si>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</si>
  <si>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</si>
  <si>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</si>
  <si>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</si>
  <si>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</si>
  <si>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</si>
  <si>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</si>
  <si>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</si>
  <si>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</si>
  <si>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</si>
  <si>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</si>
  <si>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</si>
  <si>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</si>
  <si>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</si>
  <si>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</si>
  <si>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</si>
  <si>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</si>
  <si>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</si>
  <si>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</si>
  <si>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</si>
  <si>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</si>
  <si>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</si>
  <si>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</si>
  <si>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CS-LY170-W902-M</t>
  </si>
  <si>
    <t>B073PQ4WFY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</si>
  <si>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</si>
  <si>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</si>
  <si>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</si>
  <si>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</si>
  <si>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</si>
  <si>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</si>
  <si>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</si>
  <si>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</si>
  <si>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</si>
  <si>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</si>
  <si>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</si>
  <si>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</si>
  <si>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</si>
  <si>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</si>
  <si>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</si>
  <si>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</si>
  <si>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</si>
  <si>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</si>
  <si>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</si>
  <si>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</si>
  <si>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</si>
  <si>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</si>
  <si>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</si>
  <si>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</si>
  <si>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</si>
  <si>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</si>
  <si>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无销售广告费为1.19</t>
  </si>
  <si>
    <t>CS-LY171-LG907-L</t>
  </si>
  <si>
    <t>CS-LY171-LG907-M</t>
  </si>
  <si>
    <t>无销售广告费为7.68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</si>
  <si>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</si>
  <si>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</si>
  <si>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</si>
  <si>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</si>
  <si>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</si>
  <si>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</si>
  <si>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</si>
  <si>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</si>
  <si>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</si>
  <si>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</si>
  <si>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</si>
  <si>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</si>
  <si>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</si>
  <si>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</si>
  <si>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</si>
  <si>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</si>
  <si>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</si>
  <si>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</si>
  <si>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</si>
  <si>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</si>
  <si>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</si>
  <si>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</si>
  <si>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</si>
  <si>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</si>
  <si>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</si>
  <si>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</si>
  <si>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</si>
  <si>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</si>
  <si>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</si>
  <si>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</si>
  <si>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</si>
  <si>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</si>
  <si>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</si>
  <si>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</si>
  <si>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</si>
  <si>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</si>
  <si>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</si>
  <si>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</si>
  <si>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</si>
  <si>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</si>
  <si>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</si>
  <si>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</si>
  <si>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</si>
  <si>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</si>
  <si>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</si>
  <si>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</si>
  <si>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</si>
  <si>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</si>
  <si>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</si>
  <si>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</si>
  <si>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</si>
  <si>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</si>
  <si>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</si>
  <si>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</si>
  <si>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</si>
  <si>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</si>
  <si>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</si>
  <si>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</si>
  <si>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</si>
  <si>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</si>
  <si>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</si>
  <si>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</si>
  <si>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</si>
  <si>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</si>
  <si>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</si>
  <si>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</si>
  <si>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</si>
  <si>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</si>
  <si>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</si>
  <si>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</si>
  <si>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</si>
  <si>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</si>
  <si>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</si>
  <si>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</si>
  <si>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</si>
  <si>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</si>
  <si>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</si>
  <si>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</si>
  <si>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</si>
  <si>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</si>
  <si>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</si>
  <si>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</si>
  <si>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</si>
  <si>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</si>
  <si>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</si>
  <si>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</si>
  <si>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</si>
  <si>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</si>
  <si>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</si>
  <si>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</si>
  <si>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</si>
  <si>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</si>
  <si>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</si>
  <si>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</si>
  <si>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</si>
  <si>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</si>
  <si>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</si>
  <si>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</si>
  <si>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</si>
  <si>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</si>
  <si>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</si>
  <si>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</si>
  <si>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</si>
  <si>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</si>
  <si>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</si>
  <si>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</si>
  <si>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</si>
  <si>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</si>
  <si>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</si>
  <si>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</si>
  <si>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</si>
  <si>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</si>
  <si>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</si>
  <si>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</si>
  <si>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</si>
  <si>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</si>
  <si>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</si>
  <si>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</si>
  <si>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</si>
  <si>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</si>
  <si>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</si>
  <si>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</si>
  <si>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</si>
  <si>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</si>
  <si>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</si>
  <si>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</si>
  <si>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</si>
  <si>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</si>
  <si>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</si>
  <si>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</si>
  <si>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</si>
  <si>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</si>
  <si>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</si>
  <si>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</si>
  <si>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</si>
  <si>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</si>
  <si>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</si>
  <si>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</si>
  <si>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</si>
  <si>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</si>
  <si>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</si>
  <si>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</si>
  <si>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</si>
  <si>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</si>
  <si>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</si>
  <si>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</si>
  <si>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</si>
  <si>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</si>
  <si>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</si>
  <si>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</si>
  <si>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</si>
  <si>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</si>
  <si>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</si>
  <si>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</si>
  <si>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</si>
  <si>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</si>
  <si>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</si>
  <si>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</si>
  <si>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</si>
  <si>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</si>
  <si>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</si>
  <si>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</si>
  <si>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</si>
  <si>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</si>
  <si>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</si>
  <si>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</si>
  <si>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</si>
  <si>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</si>
  <si>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</si>
  <si>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</si>
  <si>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</si>
  <si>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</si>
  <si>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</si>
  <si>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</si>
  <si>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</si>
  <si>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</si>
  <si>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</si>
  <si>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</si>
  <si>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</si>
  <si>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</si>
  <si>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</si>
  <si>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</si>
  <si>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</si>
  <si>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</si>
  <si>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</si>
  <si>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</si>
  <si>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</si>
  <si>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</si>
  <si>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</si>
  <si>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</si>
  <si>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</si>
  <si>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</si>
  <si>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</si>
  <si>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</si>
  <si>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</si>
  <si>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</si>
  <si>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</si>
  <si>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</si>
  <si>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</t>
  </si>
  <si>
    <t>CS-SB002-BK-M</t>
  </si>
  <si>
    <t>CS-SB002-BK-S</t>
  </si>
  <si>
    <t>CS-SB002-BK-XL</t>
  </si>
  <si>
    <t>CS-SB002-BL-M</t>
  </si>
  <si>
    <t>CS-SB002-BL-S</t>
  </si>
  <si>
    <t>CS-SB002-BL-XL</t>
  </si>
  <si>
    <t>CS-SB002-BL-XXL</t>
  </si>
  <si>
    <t>CS-SB002-BLNGN-2XL</t>
  </si>
  <si>
    <t>CS-SB002-BLNGN-L</t>
  </si>
  <si>
    <t>CS-SB002-BLNGN-M</t>
  </si>
  <si>
    <t>CS-SB002-BLNGN-S</t>
  </si>
  <si>
    <t>CS-SB002-BLNGN-XL</t>
  </si>
  <si>
    <t>CS-SB002-CF-L</t>
  </si>
  <si>
    <t>无销售广告费为0.97</t>
  </si>
  <si>
    <t>无销售广告费为1.52</t>
  </si>
  <si>
    <t>无销售广告费为0.68</t>
  </si>
  <si>
    <t>CS-SB002-CF-M</t>
  </si>
  <si>
    <t>CS-SB002-CF-S</t>
  </si>
  <si>
    <t>CS-SB002-CF-XL</t>
  </si>
  <si>
    <t>CS-SB002-CF-XXL</t>
  </si>
  <si>
    <t>CS-SB002-LB-2XL</t>
  </si>
  <si>
    <t>无销售广告费为1.74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</si>
  <si>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</si>
  <si>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</si>
  <si>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</si>
  <si>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</si>
  <si>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</si>
  <si>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</si>
  <si>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</si>
  <si>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</si>
  <si>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</si>
  <si>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</si>
  <si>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</si>
  <si>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</si>
  <si>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</si>
  <si>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</si>
  <si>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</si>
  <si>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</si>
  <si>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</si>
  <si>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</si>
  <si>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</si>
  <si>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</si>
  <si>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</si>
  <si>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</si>
  <si>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</si>
  <si>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</si>
  <si>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</si>
  <si>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</si>
  <si>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</si>
  <si>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</si>
  <si>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</si>
  <si>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</si>
  <si>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</si>
  <si>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</si>
  <si>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</si>
  <si>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</si>
  <si>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</si>
  <si>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</si>
  <si>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</si>
  <si>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</si>
  <si>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</si>
  <si>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</si>
  <si>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</si>
  <si>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</si>
  <si>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</si>
  <si>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</si>
  <si>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</si>
  <si>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</t>
  </si>
  <si>
    <t>CS-SB005-BK-L</t>
  </si>
  <si>
    <t>CS-SB005-BK-M</t>
  </si>
  <si>
    <t>CS-SB005-BK-S</t>
  </si>
  <si>
    <t>CS-SB005-BK-XL</t>
  </si>
  <si>
    <t>无销售广告费为2.37</t>
  </si>
  <si>
    <t>无销售广告费为1.35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</si>
  <si>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</si>
  <si>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</si>
  <si>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</si>
  <si>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</si>
  <si>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</si>
  <si>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</si>
  <si>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</si>
  <si>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无销售广告费为3.19</t>
  </si>
  <si>
    <t>无销售广告费为0.84</t>
  </si>
  <si>
    <t>CS-SB005-BL2-M</t>
  </si>
  <si>
    <t>CS-SB005-BL2-S</t>
  </si>
  <si>
    <t>CS-SB005-BL2-XL</t>
  </si>
  <si>
    <t>CS-SB005-GN-2XL</t>
  </si>
  <si>
    <t>CS-SB005-GN-L</t>
  </si>
  <si>
    <t>CS-SB005-GN-M</t>
  </si>
  <si>
    <t>无销售广告费为1.88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</si>
  <si>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</si>
  <si>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</si>
  <si>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</si>
  <si>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</si>
  <si>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</si>
  <si>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</si>
  <si>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</si>
  <si>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</si>
  <si>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</si>
  <si>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</si>
  <si>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</si>
  <si>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</si>
  <si>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</si>
  <si>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</si>
  <si>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</si>
  <si>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</si>
  <si>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</t>
  </si>
  <si>
    <t>无销售广告费为4.27</t>
  </si>
  <si>
    <t>无销售广告费为0.42</t>
  </si>
  <si>
    <t>无销售广告费为0.98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</si>
  <si>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</si>
  <si>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</si>
  <si>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</si>
  <si>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</si>
  <si>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</si>
  <si>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</si>
  <si>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</si>
  <si>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</si>
  <si>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</si>
  <si>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</si>
  <si>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无销售广告费为1.68</t>
  </si>
  <si>
    <t>CS-SB006-BL2-L</t>
  </si>
  <si>
    <t>CS-SB006-BL2-M</t>
  </si>
  <si>
    <t>CS-SB006-BL2-S</t>
  </si>
  <si>
    <t>CS-SB006-BL2-XL</t>
  </si>
  <si>
    <t>无销售广告费为0.94</t>
  </si>
  <si>
    <t>CS-SB006-CF-2XL</t>
  </si>
  <si>
    <t>CS-SB006-CF-L</t>
  </si>
  <si>
    <t>CS-SB006-CF-M</t>
  </si>
  <si>
    <t>CS-SB006-CF-S</t>
  </si>
  <si>
    <t>CS-SB006-CF-XL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</si>
  <si>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</si>
  <si>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</si>
  <si>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</si>
  <si>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</si>
  <si>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</si>
  <si>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</si>
  <si>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</si>
  <si>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</si>
  <si>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</si>
  <si>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</si>
  <si>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</si>
  <si>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</si>
  <si>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</si>
  <si>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</si>
  <si>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</si>
  <si>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</si>
  <si>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</si>
  <si>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无销售广告费为1.23</t>
  </si>
  <si>
    <t>CS-SB007-BL-M</t>
  </si>
  <si>
    <t>CS-SB007-BL-S</t>
  </si>
  <si>
    <t>CS-SB007-BL-XL</t>
  </si>
  <si>
    <t>无销售广告费为2.75</t>
  </si>
  <si>
    <t>无销售广告费为0.99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</si>
  <si>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</si>
  <si>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</si>
  <si>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</si>
  <si>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</si>
  <si>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</si>
  <si>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</si>
  <si>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</si>
  <si>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</si>
  <si>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</si>
  <si>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无销售广告费为0.24</t>
  </si>
  <si>
    <t>无销售广告费为0.38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</si>
  <si>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</si>
  <si>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</si>
  <si>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</si>
  <si>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</si>
  <si>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</si>
  <si>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</si>
  <si>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</si>
  <si>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</si>
  <si>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</si>
  <si>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</si>
  <si>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无销售广告费为0.15</t>
  </si>
  <si>
    <t>无销售广告费为0.58</t>
  </si>
  <si>
    <t>CS-SB007-PP-L</t>
  </si>
  <si>
    <t>CS-SB007-PP-M</t>
  </si>
  <si>
    <t>CS-SB007-PP-S</t>
  </si>
  <si>
    <t>CS-SB007-PP-XL</t>
  </si>
  <si>
    <t>CS-SB007-PP-XXL</t>
  </si>
  <si>
    <t>无销售广告费为1.41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</si>
  <si>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</si>
  <si>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</si>
  <si>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</si>
  <si>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</si>
  <si>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</si>
  <si>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</si>
  <si>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</si>
  <si>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</si>
  <si>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</si>
  <si>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</si>
  <si>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</si>
  <si>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</si>
  <si>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</si>
  <si>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</si>
  <si>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</si>
  <si>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</si>
  <si>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</si>
  <si>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</si>
  <si>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</si>
  <si>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</si>
  <si>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</si>
  <si>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</si>
  <si>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</si>
  <si>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</si>
  <si>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</si>
  <si>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</si>
  <si>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</si>
  <si>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</si>
  <si>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</si>
  <si>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</si>
  <si>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</si>
  <si>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</si>
  <si>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</si>
  <si>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</si>
  <si>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</si>
  <si>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</si>
  <si>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</si>
  <si>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</si>
  <si>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</si>
  <si>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</si>
  <si>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</si>
  <si>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</si>
  <si>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</si>
  <si>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</si>
  <si>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</si>
  <si>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</si>
  <si>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</si>
  <si>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</si>
  <si>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</si>
  <si>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</si>
  <si>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</si>
  <si>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</si>
  <si>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</si>
  <si>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</si>
  <si>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</si>
  <si>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</si>
  <si>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</si>
  <si>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</si>
  <si>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</si>
  <si>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</si>
  <si>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</si>
  <si>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</si>
  <si>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</si>
  <si>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</si>
  <si>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</si>
  <si>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</si>
  <si>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</si>
  <si>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</si>
  <si>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</si>
  <si>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</si>
  <si>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</si>
  <si>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CS-SB010-WT-5</t>
  </si>
  <si>
    <t>B07555L3KW</t>
  </si>
  <si>
    <t>CS-SB010-WT-6</t>
  </si>
  <si>
    <t>B0755CGZ1Q</t>
  </si>
  <si>
    <t>CS-SB010-WT-7</t>
  </si>
  <si>
    <t>B075584M2W</t>
  </si>
  <si>
    <t>无销售广告费为0.49</t>
  </si>
  <si>
    <t>CS-SB010-WT-8</t>
  </si>
  <si>
    <t>B07556LCKF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</si>
  <si>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</si>
  <si>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</si>
  <si>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</si>
  <si>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</si>
  <si>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</si>
  <si>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</si>
  <si>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</si>
  <si>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</si>
  <si>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</si>
  <si>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</si>
  <si>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</si>
  <si>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</si>
  <si>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</si>
  <si>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</si>
  <si>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</si>
  <si>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</si>
  <si>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</si>
  <si>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</si>
  <si>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</si>
  <si>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</si>
  <si>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</si>
  <si>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</si>
  <si>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</si>
  <si>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</si>
  <si>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</si>
  <si>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</si>
  <si>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</si>
  <si>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</si>
  <si>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</si>
  <si>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</si>
  <si>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</si>
  <si>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</si>
  <si>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</si>
  <si>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</si>
  <si>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</si>
  <si>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</si>
  <si>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</si>
  <si>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</si>
  <si>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</si>
  <si>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</si>
  <si>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</si>
  <si>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</si>
  <si>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</si>
  <si>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</si>
  <si>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</si>
  <si>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</si>
  <si>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</si>
  <si>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</si>
  <si>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</si>
  <si>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</si>
  <si>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</si>
  <si>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</si>
  <si>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</si>
  <si>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</si>
  <si>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</si>
  <si>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</si>
  <si>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</si>
  <si>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</si>
  <si>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</si>
  <si>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</si>
  <si>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</si>
  <si>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</si>
  <si>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</si>
  <si>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</si>
  <si>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</si>
  <si>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</si>
  <si>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</si>
  <si>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</si>
  <si>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</si>
  <si>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</si>
  <si>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</si>
  <si>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</si>
  <si>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</si>
  <si>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</si>
  <si>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</si>
  <si>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</si>
  <si>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</si>
  <si>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</si>
  <si>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</si>
  <si>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</si>
  <si>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</si>
  <si>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</si>
  <si>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</si>
  <si>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</si>
  <si>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</si>
  <si>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</si>
  <si>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</si>
  <si>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</si>
  <si>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</si>
  <si>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</si>
  <si>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</si>
  <si>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</si>
  <si>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</si>
  <si>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</si>
  <si>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</si>
  <si>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</si>
  <si>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</si>
  <si>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</si>
  <si>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</si>
  <si>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</si>
  <si>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</si>
  <si>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</si>
  <si>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</si>
  <si>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</si>
  <si>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</si>
  <si>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</si>
  <si>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</si>
  <si>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</si>
  <si>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</si>
  <si>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</si>
  <si>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</si>
  <si>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</si>
  <si>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</si>
  <si>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</si>
  <si>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</si>
  <si>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</si>
  <si>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</si>
  <si>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</si>
  <si>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</si>
  <si>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</si>
  <si>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</si>
  <si>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</si>
  <si>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</si>
  <si>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</si>
  <si>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无销售广告费为1.09</t>
  </si>
  <si>
    <t>CS-SB084-H16-XXL</t>
  </si>
  <si>
    <t>CS-SB084-H6-XL</t>
  </si>
  <si>
    <t>B07D7MW4W4</t>
  </si>
  <si>
    <t>CS-SB086-B0-L</t>
  </si>
  <si>
    <t>CS-SB086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</si>
  <si>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</si>
  <si>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</si>
  <si>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</si>
  <si>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</si>
  <si>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</si>
  <si>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</si>
  <si>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</si>
  <si>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</si>
  <si>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</si>
  <si>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</si>
  <si>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</si>
  <si>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</si>
  <si>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</si>
  <si>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</si>
  <si>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</si>
  <si>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</si>
  <si>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</si>
  <si>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</si>
  <si>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</si>
  <si>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</si>
  <si>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</si>
  <si>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</si>
  <si>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</si>
  <si>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</si>
  <si>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</si>
  <si>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</si>
  <si>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</si>
  <si>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无销售广告费为1.43</t>
  </si>
  <si>
    <t>无销售广告费为1.81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</si>
  <si>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</si>
  <si>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</si>
  <si>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</si>
  <si>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</si>
  <si>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</si>
  <si>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</si>
  <si>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</si>
  <si>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</si>
  <si>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</si>
  <si>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</si>
  <si>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</si>
  <si>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</si>
  <si>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无销售广告费为0.41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</si>
  <si>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</si>
  <si>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</si>
  <si>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</si>
  <si>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</si>
  <si>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</si>
  <si>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</si>
  <si>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</si>
  <si>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</si>
  <si>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</si>
  <si>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无销售广告费为0.34</t>
  </si>
  <si>
    <t>无销售广告费为2.95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</si>
  <si>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</si>
  <si>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</si>
  <si>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</si>
  <si>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</si>
  <si>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</si>
  <si>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</si>
  <si>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</si>
  <si>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</si>
  <si>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</si>
  <si>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</si>
  <si>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</si>
  <si>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</si>
  <si>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</si>
  <si>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</si>
  <si>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</si>
  <si>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</si>
  <si>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</si>
  <si>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</si>
  <si>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</si>
  <si>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</si>
  <si>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</si>
  <si>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</si>
  <si>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</si>
  <si>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</si>
  <si>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</si>
  <si>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</si>
  <si>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</si>
  <si>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</si>
  <si>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</si>
  <si>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</si>
  <si>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</si>
  <si>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</si>
  <si>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</si>
  <si>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</si>
  <si>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无销售广告费为15.17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</si>
  <si>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</si>
  <si>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</si>
  <si>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</si>
  <si>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</si>
  <si>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</si>
  <si>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</si>
  <si>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</si>
  <si>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</si>
  <si>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</si>
  <si>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</si>
  <si>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</si>
  <si>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</si>
  <si>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</si>
  <si>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</si>
  <si>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</si>
  <si>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</si>
  <si>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</si>
  <si>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</si>
  <si>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</si>
  <si>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</si>
  <si>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</si>
  <si>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无销售广告费为16.59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</si>
  <si>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</si>
  <si>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</si>
  <si>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</si>
  <si>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</si>
  <si>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</si>
  <si>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</si>
  <si>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</si>
  <si>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</si>
  <si>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</si>
  <si>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</si>
  <si>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</si>
  <si>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</si>
  <si>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</si>
  <si>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</si>
  <si>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</si>
  <si>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</si>
  <si>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</si>
  <si>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</si>
  <si>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</si>
  <si>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</si>
  <si>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</si>
  <si>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</si>
  <si>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</si>
  <si>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</si>
  <si>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</si>
  <si>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无销售广告费为7.51</t>
  </si>
  <si>
    <t>CS-SB171-WR917-L</t>
  </si>
  <si>
    <t>CS-SB171-WR917-M</t>
  </si>
  <si>
    <t>CS-SB171-WR917-S</t>
  </si>
  <si>
    <t>CS-SB171-WR917-XL</t>
  </si>
  <si>
    <t>无销售广告费为1.14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</si>
  <si>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</si>
  <si>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</si>
  <si>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</si>
  <si>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</si>
  <si>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</si>
  <si>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</si>
  <si>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</si>
  <si>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</si>
  <si>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</si>
  <si>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</si>
  <si>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</si>
  <si>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</si>
  <si>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</si>
  <si>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</si>
  <si>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</si>
  <si>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</si>
  <si>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</si>
  <si>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</si>
  <si>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</si>
  <si>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</si>
  <si>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</si>
  <si>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</si>
  <si>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</si>
  <si>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</si>
  <si>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</si>
  <si>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</si>
  <si>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</si>
  <si>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</si>
  <si>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</si>
  <si>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</si>
  <si>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</si>
  <si>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无销售广告费为61.19</t>
  </si>
  <si>
    <t>CS-SB181-ZL918-XXL</t>
  </si>
  <si>
    <t>CS-XIN085-LB916-L</t>
  </si>
  <si>
    <t>B07G7SLNY3</t>
  </si>
  <si>
    <t>CS-XIN085</t>
  </si>
  <si>
    <t>CS-XIN085-LB916-M</t>
  </si>
  <si>
    <t>B07G7L2V6R</t>
  </si>
  <si>
    <t>CS-XIN085-LB916-XL</t>
  </si>
  <si>
    <t>B07G7WVXC4</t>
  </si>
  <si>
    <t>CS-XIN085-LB916-XXL</t>
  </si>
  <si>
    <t>B07G7Z8ZP6</t>
  </si>
  <si>
    <t>CS-XIN085-LG907-S</t>
  </si>
  <si>
    <t>B07G7TMRDK</t>
  </si>
  <si>
    <t>CS-XIN085-PI908-L</t>
  </si>
  <si>
    <t>B07G7ZFG75</t>
  </si>
  <si>
    <t>CS-XIN085-PI908-M</t>
  </si>
  <si>
    <t>B07G7SDXND</t>
  </si>
  <si>
    <t>CS-XIN085-PI908-S</t>
  </si>
  <si>
    <t>B07G7XRG7G</t>
  </si>
  <si>
    <t>CS-XIN085-PI908-XL</t>
  </si>
  <si>
    <t>B07G7SKV1Z</t>
  </si>
  <si>
    <t>CS-XIN085-PI908-XXL</t>
  </si>
  <si>
    <t>B07G7QLJSJ</t>
  </si>
  <si>
    <t>CS-XIN085-R901-XL</t>
  </si>
  <si>
    <t>B07G817S2H</t>
  </si>
  <si>
    <t>CS-XIN085-R901-XXL</t>
  </si>
  <si>
    <t>B07G7RW6GN</t>
  </si>
  <si>
    <t>CS-XIN085-Sa911-L</t>
  </si>
  <si>
    <t>B07G86YKJ7</t>
  </si>
  <si>
    <t>CS-XIN085-Sa911-M</t>
  </si>
  <si>
    <t>B07G7N3GY2</t>
  </si>
  <si>
    <t>CS-XIN085-Sa911-XL</t>
  </si>
  <si>
    <t>B07G7RTJJW</t>
  </si>
  <si>
    <t>CS-XIN085-Sa911-XXL</t>
  </si>
  <si>
    <t>B07G7VSHZR</t>
  </si>
  <si>
    <t>CS-XIN085-W902-M</t>
  </si>
  <si>
    <t>B07G7WP1RV</t>
  </si>
  <si>
    <t>CS-XIN085-W902-XL</t>
  </si>
  <si>
    <t>B07G7T73JM</t>
  </si>
  <si>
    <t>CS-XIN085-WR917-S</t>
  </si>
  <si>
    <t>B07G7LMG9L</t>
  </si>
  <si>
    <t>CS-XIN085-WR917-XXL</t>
  </si>
  <si>
    <t>B07G7TGKDG</t>
  </si>
  <si>
    <t>CS-XIN085-ZL918-M</t>
  </si>
  <si>
    <t>B07G7MCRZ4</t>
  </si>
  <si>
    <t>CS-XIN085-ZL918-S</t>
  </si>
  <si>
    <t>B07G811RG2</t>
  </si>
  <si>
    <t>CS-XIN171-G912-L</t>
  </si>
  <si>
    <t>B07G7QY2N8</t>
  </si>
  <si>
    <t>CS-XIN171</t>
  </si>
  <si>
    <t>CS-XIN171-G912-M</t>
  </si>
  <si>
    <t>B07G7Y85VR</t>
  </si>
  <si>
    <t>CS-XIN171-G912-S</t>
  </si>
  <si>
    <t>B07G7YSYJT</t>
  </si>
  <si>
    <t>CS-XIN171-G912-XL</t>
  </si>
  <si>
    <t>B07G7RFG76</t>
  </si>
  <si>
    <t>CS-XIN171-LB916-L</t>
  </si>
  <si>
    <t>B07G817NZ1</t>
  </si>
  <si>
    <t>CS-XIN171-LB916-M</t>
  </si>
  <si>
    <t>B07G82NR16</t>
  </si>
  <si>
    <t>CS-XIN171-LB916-S</t>
  </si>
  <si>
    <t>B07G7NXHQG</t>
  </si>
  <si>
    <t>CS-XIN171-LB916-XL</t>
  </si>
  <si>
    <t>B07G81YTTD</t>
  </si>
  <si>
    <t>CS-XIN171-LB916-XXL</t>
  </si>
  <si>
    <t>B07G7RQJNZ</t>
  </si>
  <si>
    <t>CS-XIN171-LG907-L</t>
  </si>
  <si>
    <t>B07G7SBSFS</t>
  </si>
  <si>
    <t>CS-XIN171-LG907-XL</t>
  </si>
  <si>
    <t>B07G7XNJPB</t>
  </si>
  <si>
    <t>CS-XIN171-PI908-L</t>
  </si>
  <si>
    <t>B07G7W5JG2</t>
  </si>
  <si>
    <t>CS-XIN171-PI908-M</t>
  </si>
  <si>
    <t>B07G7VSWYG</t>
  </si>
  <si>
    <t>CS-XIN171-PI908-S</t>
  </si>
  <si>
    <t>B07G83BZB7</t>
  </si>
  <si>
    <t>CS-XIN171-PI908-XL</t>
  </si>
  <si>
    <t>B07G7PDDFD</t>
  </si>
  <si>
    <t>CS-XIN171-PI908-XXL</t>
  </si>
  <si>
    <t>B07G7LMB37</t>
  </si>
  <si>
    <t>CS-XIN171-Sa911-L</t>
  </si>
  <si>
    <t>B07G7WP1RZ</t>
  </si>
  <si>
    <t>CS-XIN171-Sa911-M</t>
  </si>
  <si>
    <t>B07G7Z8WNP</t>
  </si>
  <si>
    <t>CS-XIN171-Sa911-XL</t>
  </si>
  <si>
    <t>B07G872KGK</t>
  </si>
  <si>
    <t>CS-XIN171-Sa911-XXL</t>
  </si>
  <si>
    <t>B07G83BZBG</t>
  </si>
  <si>
    <t>CS-XIN171-W902-L</t>
  </si>
  <si>
    <t>B07G7R9D29</t>
  </si>
  <si>
    <t>CS-XIN171-W902-XL</t>
  </si>
  <si>
    <t>B07G7RF7FP</t>
  </si>
  <si>
    <t>CS-XIN171-WR917-S</t>
  </si>
  <si>
    <t>B07G7N3J8R</t>
  </si>
  <si>
    <t>CS-XIN171-WR917-XL</t>
  </si>
  <si>
    <t>B07G7NXHQM</t>
  </si>
  <si>
    <t>CS-XIN171-ZL918-L</t>
  </si>
  <si>
    <t>B07G7T2KJL</t>
  </si>
  <si>
    <t>CS-XIN171-ZL918-M</t>
  </si>
  <si>
    <t>B07G835FRR</t>
  </si>
  <si>
    <t>CS-XIN171-ZL918-S</t>
  </si>
  <si>
    <t>B07G8CVZQQ</t>
  </si>
  <si>
    <t>DK-LY-K157-AG-40</t>
  </si>
  <si>
    <t>B073Q1977L</t>
  </si>
  <si>
    <t>DK-LY-K157</t>
  </si>
  <si>
    <t>DK-LY-K157-B0-32</t>
  </si>
  <si>
    <t>B073Q1437J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</si>
  <si>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</si>
  <si>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</si>
  <si>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</si>
  <si>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</si>
  <si>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</si>
  <si>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</si>
  <si>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</si>
  <si>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</si>
  <si>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</si>
  <si>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</si>
  <si>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</si>
  <si>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</si>
  <si>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</si>
  <si>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</si>
  <si>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</si>
  <si>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</si>
  <si>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</si>
  <si>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</si>
  <si>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</si>
  <si>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</si>
  <si>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</t>
  </si>
  <si>
    <t>DK-LY-K518-B0-42</t>
  </si>
  <si>
    <t>B073PZQ835</t>
  </si>
  <si>
    <t>DK-LY-K518-B0-44</t>
  </si>
  <si>
    <t>B073PZV417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</si>
  <si>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</si>
  <si>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</si>
  <si>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</si>
  <si>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</si>
  <si>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</si>
  <si>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</si>
  <si>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</si>
  <si>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</si>
  <si>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</si>
  <si>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</si>
  <si>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</si>
  <si>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</si>
  <si>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</si>
  <si>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</si>
  <si>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</si>
  <si>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</si>
  <si>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</si>
  <si>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</si>
  <si>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</si>
  <si>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</si>
  <si>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</si>
  <si>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</si>
  <si>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</si>
  <si>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</si>
  <si>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</si>
  <si>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</si>
  <si>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</si>
  <si>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</si>
  <si>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</si>
  <si>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</si>
  <si>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</si>
  <si>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</si>
  <si>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</si>
  <si>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</si>
  <si>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</si>
  <si>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</si>
  <si>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</si>
  <si>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</si>
  <si>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</si>
  <si>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</si>
  <si>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</si>
  <si>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</si>
  <si>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</si>
  <si>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</si>
  <si>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</si>
  <si>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</si>
  <si>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</si>
  <si>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</si>
  <si>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</si>
  <si>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</si>
  <si>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</si>
  <si>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</si>
  <si>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</si>
  <si>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</si>
  <si>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</si>
  <si>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</si>
  <si>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</si>
  <si>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</si>
  <si>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</si>
  <si>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</si>
  <si>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</si>
  <si>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</si>
  <si>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</si>
  <si>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</si>
  <si>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</si>
  <si>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</si>
  <si>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</si>
  <si>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</si>
  <si>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</si>
  <si>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</si>
  <si>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</si>
  <si>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</si>
  <si>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</si>
  <si>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</si>
  <si>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</si>
  <si>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</si>
  <si>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</si>
  <si>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</si>
  <si>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</si>
  <si>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</si>
  <si>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</si>
  <si>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</si>
  <si>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</si>
  <si>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</si>
  <si>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</si>
  <si>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</si>
  <si>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</si>
  <si>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</si>
  <si>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</si>
  <si>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</si>
  <si>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</si>
  <si>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</si>
  <si>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</si>
  <si>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</si>
  <si>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</si>
  <si>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</si>
  <si>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</si>
  <si>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</si>
  <si>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</si>
  <si>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MTX-IULHY-DBM8022-CF-28</t>
  </si>
  <si>
    <t>B07G55RTQV</t>
  </si>
  <si>
    <t>MTX-IULHY-DBM8022</t>
  </si>
  <si>
    <t>MTX-IULHY-DBM8022-CF-29</t>
  </si>
  <si>
    <t>B07G572MKQ</t>
  </si>
  <si>
    <t>MTX-IULHY-DBM8022-DG-28</t>
  </si>
  <si>
    <t>B07G57BS9J</t>
  </si>
  <si>
    <t>MTX-IULHY-DBM8022-DG-29</t>
  </si>
  <si>
    <t>B07G4YQDN5</t>
  </si>
  <si>
    <t>MTX-IULHY-GBM8022-CF-28</t>
  </si>
  <si>
    <t>B07G4Z1M7B</t>
  </si>
  <si>
    <t>MTX-IULHY-GBM8022-CF-29</t>
  </si>
  <si>
    <t>B07G5FDVT6</t>
  </si>
  <si>
    <t>MTX-IULHY-GBM8022-DG-28</t>
  </si>
  <si>
    <t>B07G55181F</t>
  </si>
  <si>
    <t>MTX-IULHY-GBM8022-DG-29</t>
  </si>
  <si>
    <t>B07G56K995</t>
  </si>
  <si>
    <t>MTX-IULHY-M1758-DC-27</t>
  </si>
  <si>
    <t>B07FM1XCF2</t>
  </si>
  <si>
    <t>MTX-IULHY-M1758</t>
  </si>
  <si>
    <t>MTX-IULHY-M1758-DC-28</t>
  </si>
  <si>
    <t>B07FLWQ2VC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</si>
  <si>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</si>
  <si>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</si>
  <si>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</si>
  <si>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</si>
  <si>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</si>
  <si>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</si>
  <si>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</si>
  <si>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</si>
  <si>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MTX-IULHY-M1798-BK-27</t>
  </si>
  <si>
    <t>B07FM92G8H</t>
  </si>
  <si>
    <t>MTX-IULHY-M1798</t>
  </si>
  <si>
    <t>MTX-IULHY-M1798-BK-28</t>
  </si>
  <si>
    <t>B07FM2HH8B</t>
  </si>
  <si>
    <t>MTX-IULHY-M1798-BK-29</t>
  </si>
  <si>
    <t>B07FMM1TMM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</si>
  <si>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</si>
  <si>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</si>
  <si>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</si>
  <si>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</si>
  <si>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</si>
  <si>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</si>
  <si>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MTX-IULHY-M188-CF-40/42</t>
  </si>
  <si>
    <t>B07FM4PQ1T</t>
  </si>
  <si>
    <t>MTX-IULHY-M188</t>
  </si>
  <si>
    <t>MTX-IULHY-M188-CF-43/44</t>
  </si>
  <si>
    <t>B07FM2HW18</t>
  </si>
  <si>
    <t>MTX-IULHY-M188-GR-40/42</t>
  </si>
  <si>
    <t>B07FM76VGV</t>
  </si>
  <si>
    <t>MTX-IULHY-M188-GR-43/44</t>
  </si>
  <si>
    <t>B07FM4YDSB</t>
  </si>
  <si>
    <t>MTX-IULHY-MA86-BK-41</t>
  </si>
  <si>
    <t>B07G54ZLZY</t>
  </si>
  <si>
    <t>MTX-IULHY-MA86</t>
  </si>
  <si>
    <t>MTX-IULHY-MA86-BK-43</t>
  </si>
  <si>
    <t>B07G4ZR5XD</t>
  </si>
  <si>
    <t>MTX-IULHY-MA86-CF-41</t>
  </si>
  <si>
    <t>B07G55NW35</t>
  </si>
  <si>
    <t>MTX-IULHY-MA86-CF-43</t>
  </si>
  <si>
    <t>B07G586Q3D</t>
  </si>
  <si>
    <t>MTX-IULHY-MA86-KK-41</t>
  </si>
  <si>
    <t>B07G554259</t>
  </si>
  <si>
    <t>MTX-IULHY-MA86-KK-43</t>
  </si>
  <si>
    <t>B07G54ZTD8</t>
  </si>
  <si>
    <t>MTX-IULHY-MA89-CF-41</t>
  </si>
  <si>
    <t>B07G5KD46R</t>
  </si>
  <si>
    <t>MTX-IULHY-MA89</t>
  </si>
  <si>
    <t>MTX-IULHY-MA89-CF-43</t>
  </si>
  <si>
    <t>B07G5B7V42</t>
  </si>
  <si>
    <t>MTX-IULHY-MA89-DG-41</t>
  </si>
  <si>
    <t>B07G57BVY1</t>
  </si>
  <si>
    <t>MTX-IULHY-MA89-DG-43</t>
  </si>
  <si>
    <t>B07G5DQJ99</t>
  </si>
  <si>
    <t>MTX-IULHY-MA89-KK-41</t>
  </si>
  <si>
    <t>B07G57XR3M</t>
  </si>
  <si>
    <t>MTX-IULHY-MA89-KK-43</t>
  </si>
  <si>
    <t>B07G573ZYR</t>
  </si>
  <si>
    <t>MTX-IULHY-MT836-DG-27</t>
  </si>
  <si>
    <t>B07G5B1QS4</t>
  </si>
  <si>
    <t>MTX-IULHY-MT836</t>
  </si>
  <si>
    <t>MTX-IULHY-MT836-DG-28</t>
  </si>
  <si>
    <t>B07G58RYFD</t>
  </si>
  <si>
    <t>MTX-IULHY-MT836-DG-29</t>
  </si>
  <si>
    <t>B07G59Y2HT</t>
  </si>
  <si>
    <t>MTX-IULHY-MT836-KK-27</t>
  </si>
  <si>
    <t>B07G53QX4P</t>
  </si>
  <si>
    <t>MTX-IULHY-MT836-KK-28</t>
  </si>
  <si>
    <t>B07G53G7XQ</t>
  </si>
  <si>
    <t>MTX-IULHY-MT836-KK-29</t>
  </si>
  <si>
    <t>B07G5CTGWG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</si>
  <si>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</si>
  <si>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</si>
  <si>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</si>
  <si>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</si>
  <si>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</si>
  <si>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</si>
  <si>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</si>
  <si>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</si>
  <si>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</si>
  <si>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</si>
  <si>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</si>
  <si>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</si>
  <si>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</si>
  <si>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</si>
  <si>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</si>
  <si>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</si>
  <si>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</si>
  <si>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</si>
  <si>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</si>
  <si>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</si>
  <si>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</si>
  <si>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</si>
  <si>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</si>
  <si>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</si>
  <si>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</si>
  <si>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</si>
  <si>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</si>
  <si>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</si>
  <si>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</si>
  <si>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</si>
  <si>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</si>
  <si>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</si>
  <si>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</si>
  <si>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</si>
  <si>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</si>
  <si>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</si>
  <si>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</si>
  <si>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</si>
  <si>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</si>
  <si>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</si>
  <si>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</si>
  <si>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</si>
  <si>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</si>
  <si>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</si>
  <si>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</si>
  <si>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</si>
  <si>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</si>
  <si>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</si>
  <si>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</si>
  <si>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</si>
  <si>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</si>
  <si>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</si>
  <si>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</si>
  <si>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</si>
  <si>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</si>
  <si>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</si>
  <si>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</si>
  <si>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</si>
  <si>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</si>
  <si>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</si>
  <si>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</si>
  <si>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</si>
  <si>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</si>
  <si>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</si>
  <si>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</si>
  <si>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</si>
  <si>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</si>
  <si>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</si>
  <si>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</si>
  <si>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</si>
  <si>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</si>
  <si>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</si>
  <si>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</si>
  <si>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</si>
  <si>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</si>
  <si>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</si>
  <si>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</si>
  <si>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</si>
  <si>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</si>
  <si>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</si>
  <si>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</si>
  <si>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</si>
  <si>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</si>
  <si>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</si>
  <si>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</si>
  <si>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</si>
  <si>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</si>
  <si>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</si>
  <si>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</si>
  <si>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</si>
  <si>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</si>
  <si>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</si>
  <si>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</si>
  <si>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</si>
  <si>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</si>
  <si>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</si>
  <si>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</si>
  <si>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</si>
  <si>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</si>
  <si>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</si>
  <si>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</si>
  <si>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</si>
  <si>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</si>
  <si>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</si>
  <si>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</si>
  <si>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</si>
  <si>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</si>
  <si>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</si>
  <si>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</si>
  <si>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</si>
  <si>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</si>
  <si>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</si>
  <si>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</si>
  <si>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</si>
  <si>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</si>
  <si>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</si>
  <si>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</si>
  <si>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</si>
  <si>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</si>
  <si>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</si>
  <si>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</si>
  <si>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</si>
  <si>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</si>
  <si>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</si>
  <si>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</si>
  <si>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</si>
  <si>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</si>
  <si>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</si>
  <si>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</si>
  <si>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</si>
  <si>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</si>
  <si>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</si>
  <si>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</si>
  <si>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</si>
  <si>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</si>
  <si>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</si>
  <si>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</si>
  <si>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</si>
  <si>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</si>
  <si>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</si>
  <si>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</si>
  <si>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</si>
  <si>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</si>
  <si>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</si>
  <si>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</si>
  <si>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</si>
  <si>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</si>
  <si>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</si>
  <si>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</si>
  <si>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</si>
  <si>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</si>
  <si>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</si>
  <si>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</si>
  <si>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</si>
  <si>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</si>
  <si>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</si>
  <si>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</si>
  <si>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</si>
  <si>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</si>
  <si>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</si>
  <si>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</si>
  <si>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</si>
  <si>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</si>
  <si>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</si>
  <si>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</si>
  <si>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</si>
  <si>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</si>
  <si>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</si>
  <si>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</si>
  <si>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</si>
  <si>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</si>
  <si>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</si>
  <si>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</si>
  <si>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</si>
  <si>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</si>
  <si>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</si>
  <si>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</si>
  <si>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</si>
  <si>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</si>
  <si>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</si>
  <si>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</si>
  <si>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</si>
  <si>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</si>
  <si>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</si>
  <si>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</si>
  <si>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</si>
  <si>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</si>
  <si>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</si>
  <si>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</si>
  <si>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</si>
  <si>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</si>
  <si>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</si>
  <si>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</si>
  <si>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</si>
  <si>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</si>
  <si>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</si>
  <si>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</si>
  <si>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</si>
  <si>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</si>
  <si>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</si>
  <si>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</si>
  <si>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</si>
  <si>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</si>
  <si>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</si>
  <si>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</si>
  <si>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</si>
  <si>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</si>
  <si>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</si>
  <si>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</si>
  <si>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</si>
  <si>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</si>
  <si>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</si>
  <si>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</si>
  <si>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</si>
  <si>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</si>
  <si>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</si>
  <si>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</si>
  <si>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</si>
  <si>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</si>
  <si>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</si>
  <si>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</si>
  <si>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</si>
  <si>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</si>
  <si>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</si>
  <si>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</si>
  <si>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</si>
  <si>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</si>
  <si>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</si>
  <si>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</si>
  <si>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</si>
  <si>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</si>
  <si>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</si>
  <si>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</si>
  <si>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</si>
  <si>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</si>
  <si>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</si>
  <si>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</si>
  <si>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</si>
  <si>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</si>
  <si>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</si>
  <si>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</si>
  <si>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</si>
  <si>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</si>
  <si>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</si>
  <si>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</si>
  <si>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</si>
  <si>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</si>
  <si>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</si>
  <si>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</si>
  <si>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</si>
  <si>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</si>
  <si>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</si>
  <si>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</si>
  <si>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</si>
  <si>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</si>
  <si>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</si>
  <si>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</si>
  <si>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</si>
  <si>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</si>
  <si>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</si>
  <si>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</si>
  <si>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</si>
  <si>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</si>
  <si>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</si>
  <si>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</si>
  <si>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</si>
  <si>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</si>
  <si>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</si>
  <si>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</si>
  <si>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</si>
  <si>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</si>
  <si>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</si>
  <si>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</si>
  <si>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</si>
  <si>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</si>
  <si>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</si>
  <si>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</si>
  <si>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</si>
  <si>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</si>
  <si>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</si>
  <si>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</si>
  <si>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</si>
  <si>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</si>
  <si>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</si>
  <si>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</si>
  <si>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</si>
  <si>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</si>
  <si>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</si>
  <si>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</si>
  <si>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</si>
  <si>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</si>
  <si>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</si>
  <si>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</si>
  <si>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</si>
  <si>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</si>
  <si>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</si>
  <si>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</si>
  <si>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</si>
  <si>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</si>
  <si>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</si>
  <si>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</si>
  <si>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</si>
  <si>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</si>
  <si>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</si>
  <si>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</si>
  <si>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</si>
  <si>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</si>
  <si>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</si>
  <si>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</si>
  <si>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</si>
  <si>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</si>
  <si>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</si>
  <si>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</si>
  <si>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</si>
  <si>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</si>
  <si>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</si>
  <si>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</si>
  <si>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</si>
  <si>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</si>
  <si>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</si>
  <si>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</si>
  <si>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</si>
  <si>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</si>
  <si>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</si>
  <si>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</si>
  <si>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</si>
  <si>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</si>
  <si>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</si>
  <si>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</si>
  <si>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</si>
  <si>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</si>
  <si>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</si>
  <si>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</si>
  <si>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</si>
  <si>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</si>
  <si>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</si>
  <si>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</si>
  <si>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</si>
  <si>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</si>
  <si>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</si>
  <si>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</si>
  <si>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</si>
  <si>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</si>
  <si>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</si>
  <si>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</si>
  <si>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</si>
  <si>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</si>
  <si>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</si>
  <si>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</si>
  <si>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</si>
  <si>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</si>
  <si>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</si>
  <si>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</si>
  <si>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</si>
  <si>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</si>
  <si>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</si>
  <si>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</si>
  <si>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</si>
  <si>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</si>
  <si>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</si>
  <si>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</si>
  <si>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</si>
  <si>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</si>
  <si>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</si>
  <si>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</si>
  <si>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</si>
  <si>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</si>
  <si>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</si>
  <si>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</si>
  <si>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</si>
  <si>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</si>
  <si>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</si>
  <si>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</si>
  <si>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</si>
  <si>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</si>
  <si>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</si>
  <si>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</si>
  <si>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</si>
  <si>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</si>
  <si>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</si>
  <si>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</si>
  <si>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</si>
  <si>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</si>
  <si>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</si>
  <si>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</si>
  <si>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</si>
  <si>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</si>
  <si>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</si>
  <si>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</si>
  <si>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</si>
  <si>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</si>
  <si>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</si>
  <si>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</si>
  <si>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</si>
  <si>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</si>
  <si>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</si>
  <si>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MY-CA-Point021-DG-L</t>
  </si>
  <si>
    <t>B07G274ZQT</t>
  </si>
  <si>
    <t>MY-CA-Point021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</si>
  <si>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</si>
  <si>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</si>
  <si>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</si>
  <si>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</si>
  <si>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</si>
  <si>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</si>
  <si>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</si>
  <si>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</si>
  <si>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</si>
  <si>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</si>
  <si>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</si>
  <si>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</si>
  <si>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</si>
  <si>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</si>
  <si>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</si>
  <si>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</si>
  <si>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</si>
  <si>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</si>
  <si>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</si>
  <si>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</si>
  <si>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</si>
  <si>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</si>
  <si>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</si>
  <si>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</si>
  <si>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</si>
  <si>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</si>
  <si>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</si>
  <si>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</si>
  <si>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</si>
  <si>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</si>
  <si>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</si>
  <si>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</si>
  <si>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</si>
  <si>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</si>
  <si>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</si>
  <si>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</si>
  <si>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</si>
  <si>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</si>
  <si>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</si>
  <si>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</si>
  <si>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</si>
  <si>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</si>
  <si>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</si>
  <si>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</si>
  <si>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</si>
  <si>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</si>
  <si>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</si>
  <si>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</si>
  <si>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</si>
  <si>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</si>
  <si>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</si>
  <si>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</si>
  <si>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</si>
  <si>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</si>
  <si>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</si>
  <si>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</si>
  <si>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</si>
  <si>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</si>
  <si>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</si>
  <si>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</si>
  <si>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</si>
  <si>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</si>
  <si>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</si>
  <si>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</si>
  <si>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</si>
  <si>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</si>
  <si>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</si>
  <si>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</si>
  <si>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</si>
  <si>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</si>
  <si>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</si>
  <si>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</si>
  <si>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</si>
  <si>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</si>
  <si>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</si>
  <si>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</si>
  <si>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</si>
  <si>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</si>
  <si>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</si>
  <si>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</si>
  <si>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</si>
  <si>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</si>
  <si>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</si>
  <si>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</si>
  <si>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</si>
  <si>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</si>
  <si>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</si>
  <si>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</si>
  <si>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</si>
  <si>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</si>
  <si>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</si>
  <si>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</si>
  <si>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</si>
  <si>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</si>
  <si>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</si>
  <si>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</si>
  <si>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</si>
  <si>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</si>
  <si>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</si>
  <si>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</si>
  <si>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</si>
  <si>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</si>
  <si>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</si>
  <si>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</si>
  <si>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</si>
  <si>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</si>
  <si>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</si>
  <si>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</si>
  <si>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</si>
  <si>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</si>
  <si>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</si>
  <si>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</si>
  <si>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</si>
  <si>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</si>
  <si>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</si>
  <si>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</si>
  <si>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</si>
  <si>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</si>
  <si>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</si>
  <si>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</si>
  <si>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</si>
  <si>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</si>
  <si>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</si>
  <si>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</si>
  <si>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</si>
  <si>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</si>
  <si>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</si>
  <si>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</si>
  <si>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</si>
  <si>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</si>
  <si>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</si>
  <si>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</si>
  <si>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</si>
  <si>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</si>
  <si>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</si>
  <si>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</si>
  <si>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</si>
  <si>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</si>
  <si>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</si>
  <si>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</si>
  <si>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</si>
  <si>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</si>
  <si>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</si>
  <si>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</si>
  <si>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</si>
  <si>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</si>
  <si>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</si>
  <si>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</si>
  <si>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</si>
  <si>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</si>
  <si>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</si>
  <si>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</si>
  <si>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</si>
  <si>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</si>
  <si>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</si>
  <si>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</si>
  <si>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</si>
  <si>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</si>
  <si>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</si>
  <si>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</si>
  <si>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</si>
  <si>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</si>
  <si>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</si>
  <si>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</si>
  <si>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</si>
  <si>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</si>
  <si>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</si>
  <si>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</si>
  <si>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</si>
  <si>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</si>
  <si>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</si>
  <si>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</si>
  <si>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</si>
  <si>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</si>
  <si>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</si>
  <si>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</si>
  <si>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</si>
  <si>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</si>
  <si>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</si>
  <si>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</si>
  <si>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</si>
  <si>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</si>
  <si>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</si>
  <si>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</si>
  <si>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MY-LYHigh303-GR-M</t>
  </si>
  <si>
    <t>B073XJKBF6</t>
  </si>
  <si>
    <t>MY-LYHigh303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</si>
  <si>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</si>
  <si>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</si>
  <si>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</si>
  <si>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</si>
  <si>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</si>
  <si>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</si>
  <si>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</si>
  <si>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</si>
  <si>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MY-LYHigh303-OR-S</t>
  </si>
  <si>
    <t>B073XJHHKT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</si>
  <si>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</si>
  <si>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</si>
  <si>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</si>
  <si>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</si>
  <si>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</si>
  <si>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</si>
  <si>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</si>
  <si>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</si>
  <si>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MY-LYPoint021-BL-L</t>
  </si>
  <si>
    <t>B0788DYWCT</t>
  </si>
  <si>
    <t>MY-LYPoint021</t>
  </si>
  <si>
    <t>无销售广告费为6.39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</si>
  <si>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</si>
  <si>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</si>
  <si>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</si>
  <si>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</si>
  <si>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</si>
  <si>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</si>
  <si>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</si>
  <si>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</si>
  <si>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</si>
  <si>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</si>
  <si>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</si>
  <si>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</si>
  <si>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</si>
  <si>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</si>
  <si>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</si>
  <si>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</si>
  <si>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</si>
  <si>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</si>
  <si>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</si>
  <si>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</si>
  <si>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</si>
  <si>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</si>
  <si>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</si>
  <si>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</si>
  <si>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</si>
  <si>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</si>
  <si>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</si>
  <si>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</si>
  <si>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</si>
  <si>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</si>
  <si>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</si>
  <si>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</si>
  <si>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</si>
  <si>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</si>
  <si>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</si>
  <si>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</si>
  <si>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</si>
  <si>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</si>
  <si>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</si>
  <si>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</si>
  <si>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</si>
  <si>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</si>
  <si>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</si>
  <si>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</si>
  <si>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</si>
  <si>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</si>
  <si>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</si>
  <si>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</si>
  <si>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</si>
  <si>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</si>
  <si>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</si>
  <si>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</si>
  <si>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</si>
  <si>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</si>
  <si>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</si>
  <si>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</si>
  <si>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</si>
  <si>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</si>
  <si>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</si>
  <si>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</si>
  <si>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MY-LYPoint021-W0-L</t>
  </si>
  <si>
    <t>B073XKD3LL</t>
  </si>
  <si>
    <t>MY-LYPoint021-W0-M</t>
  </si>
  <si>
    <t>B073XJLB1W</t>
  </si>
  <si>
    <t>无销售广告费为28.43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</si>
  <si>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</si>
  <si>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</si>
  <si>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</si>
  <si>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</si>
  <si>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</si>
  <si>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</si>
  <si>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</si>
  <si>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</si>
  <si>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</si>
  <si>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</si>
  <si>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</si>
  <si>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</si>
  <si>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</si>
  <si>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</si>
  <si>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</si>
  <si>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</si>
  <si>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</si>
  <si>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无销售广告费为2.66</t>
  </si>
  <si>
    <t>无销售广告费为1</t>
  </si>
  <si>
    <t>无销售广告费为1.03</t>
  </si>
  <si>
    <t>无销售广告费为2.08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</si>
  <si>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</si>
  <si>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</si>
  <si>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</si>
  <si>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</si>
  <si>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</si>
  <si>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</si>
  <si>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</si>
  <si>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</si>
  <si>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</si>
  <si>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</si>
  <si>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</si>
  <si>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</si>
  <si>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</si>
  <si>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</si>
  <si>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</si>
  <si>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</si>
  <si>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</si>
  <si>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</si>
  <si>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</si>
  <si>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</si>
  <si>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</si>
  <si>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</si>
  <si>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无销售广告费为10.96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</si>
  <si>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</si>
  <si>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</si>
  <si>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</si>
  <si>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</si>
  <si>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</si>
  <si>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</si>
  <si>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</si>
  <si>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</si>
  <si>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无销售广告费为6.19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</si>
  <si>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</si>
  <si>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</si>
  <si>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</si>
  <si>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</si>
  <si>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</si>
  <si>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</si>
  <si>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</si>
  <si>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</si>
  <si>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</si>
  <si>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</si>
  <si>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</si>
  <si>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</si>
  <si>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</si>
  <si>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</si>
  <si>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</si>
  <si>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</si>
  <si>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</si>
  <si>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</si>
  <si>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</si>
  <si>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</si>
  <si>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</si>
  <si>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</si>
  <si>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</si>
  <si>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</si>
  <si>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</si>
  <si>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</si>
  <si>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</si>
  <si>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</si>
  <si>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无销售广告费为1.78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</si>
  <si>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</si>
  <si>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</si>
  <si>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</si>
  <si>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</si>
  <si>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</si>
  <si>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</si>
  <si>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</si>
  <si>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</si>
  <si>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</si>
  <si>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</si>
  <si>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</si>
  <si>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</si>
  <si>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</si>
  <si>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</si>
  <si>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</si>
  <si>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</si>
  <si>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</si>
  <si>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</si>
  <si>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无销售广告费为8.41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</si>
  <si>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</si>
  <si>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</si>
  <si>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</si>
  <si>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</si>
  <si>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</si>
  <si>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</si>
  <si>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</si>
  <si>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</si>
  <si>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</si>
  <si>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</si>
  <si>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</si>
  <si>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</si>
  <si>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</si>
  <si>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</si>
  <si>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</si>
  <si>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</si>
  <si>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</si>
  <si>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</si>
  <si>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</si>
  <si>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</si>
  <si>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</si>
  <si>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</si>
  <si>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</si>
  <si>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</si>
  <si>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无销售广告费为7.75</t>
  </si>
  <si>
    <t>无销售广告费为10.01</t>
  </si>
  <si>
    <t>无销售广告费为10.13</t>
  </si>
  <si>
    <t>MY-SB011-LG-L</t>
  </si>
  <si>
    <t>MY-SB011-LG-M</t>
  </si>
  <si>
    <t>MY-SB011-LG-XL</t>
  </si>
  <si>
    <t>MY-SB011-NY-L</t>
  </si>
  <si>
    <t>无销售广告费为3.59</t>
  </si>
  <si>
    <t>MY-SB011-NY-M</t>
  </si>
  <si>
    <t>MY-SB011-NY-S</t>
  </si>
  <si>
    <t>MY-SB011-NY-XL</t>
  </si>
  <si>
    <t>无销售广告费为2.42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</si>
  <si>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</si>
  <si>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</si>
  <si>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</si>
  <si>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</si>
  <si>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</si>
  <si>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</si>
  <si>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</si>
  <si>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</si>
  <si>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</si>
  <si>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</si>
  <si>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</si>
  <si>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</si>
  <si>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</si>
  <si>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</si>
  <si>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</si>
  <si>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</si>
  <si>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</si>
  <si>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</si>
  <si>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</si>
  <si>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</si>
  <si>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</si>
  <si>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</si>
  <si>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</si>
  <si>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</si>
  <si>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</si>
  <si>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</si>
  <si>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</si>
  <si>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</si>
  <si>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</si>
  <si>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</si>
  <si>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</si>
  <si>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</si>
  <si>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</si>
  <si>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</si>
  <si>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</si>
  <si>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</si>
  <si>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</si>
  <si>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</si>
  <si>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</si>
  <si>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</si>
  <si>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</si>
  <si>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</si>
  <si>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</si>
  <si>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</si>
  <si>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</t>
  </si>
  <si>
    <t>MY-SB013-BO-XS</t>
  </si>
  <si>
    <t>B076186DXC</t>
  </si>
  <si>
    <t>MY-SB013-KK-S</t>
  </si>
  <si>
    <t>B0761K51HR</t>
  </si>
  <si>
    <t>MY-SB015-BL-S</t>
  </si>
  <si>
    <t>B076J8NQXH</t>
  </si>
  <si>
    <t>MY-SB015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</si>
  <si>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</si>
  <si>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</si>
  <si>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</si>
  <si>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</si>
  <si>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</si>
  <si>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</si>
  <si>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</si>
  <si>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</si>
  <si>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</si>
  <si>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</si>
  <si>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</si>
  <si>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</si>
  <si>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</si>
  <si>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</si>
  <si>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</si>
  <si>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</si>
  <si>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</si>
  <si>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</si>
  <si>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</si>
  <si>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</si>
  <si>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</si>
  <si>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</si>
  <si>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</si>
  <si>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</si>
  <si>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</si>
  <si>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</si>
  <si>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</si>
  <si>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</si>
  <si>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</si>
  <si>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</si>
  <si>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</si>
  <si>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</si>
  <si>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</si>
  <si>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</si>
  <si>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</si>
  <si>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</si>
  <si>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</si>
  <si>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</si>
  <si>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无销售广告费为0.93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</si>
  <si>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</si>
  <si>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</si>
  <si>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</si>
  <si>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</si>
  <si>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</si>
  <si>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</si>
  <si>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</si>
  <si>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</si>
  <si>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</si>
  <si>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</si>
  <si>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</si>
  <si>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</si>
  <si>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</si>
  <si>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</si>
  <si>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无销售广告费为2.28</t>
  </si>
  <si>
    <t>无销售广告费为0.85</t>
  </si>
  <si>
    <t>MY-SB020-BK-M</t>
  </si>
  <si>
    <t>MY-SB020-BK-S</t>
  </si>
  <si>
    <t>MY-SB020-BL-XL</t>
  </si>
  <si>
    <t>MY-SB020-DG-L</t>
  </si>
  <si>
    <t>MY-SB020-DG-M</t>
  </si>
  <si>
    <t>无销售广告费为0.23</t>
  </si>
  <si>
    <t>无销售广告费为0.62</t>
  </si>
  <si>
    <t>无销售广告费为0.66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</si>
  <si>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</si>
  <si>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</si>
  <si>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</si>
  <si>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</si>
  <si>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</si>
  <si>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</si>
  <si>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</si>
  <si>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</si>
  <si>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</si>
  <si>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</si>
  <si>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</si>
  <si>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</si>
  <si>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</si>
  <si>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</si>
  <si>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</si>
  <si>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</si>
  <si>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</si>
  <si>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</si>
  <si>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</si>
  <si>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</si>
  <si>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</si>
  <si>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</si>
  <si>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</si>
  <si>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</si>
  <si>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</si>
  <si>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MY-SB026-LG-M</t>
  </si>
  <si>
    <t>MY-SB026-LG-S</t>
  </si>
  <si>
    <t>MY-SB026-NY-L</t>
  </si>
  <si>
    <t>MY-SB026-NY-M</t>
  </si>
  <si>
    <t>MY-SB026-NY-S</t>
  </si>
  <si>
    <t>MY-SB026-NY-XL</t>
  </si>
  <si>
    <t>MY-SB026-RD-L</t>
  </si>
  <si>
    <t>无销售广告费为5.42</t>
  </si>
  <si>
    <t>MY-SB026-RD-M</t>
  </si>
  <si>
    <t>MY-SB026-RD-S</t>
  </si>
  <si>
    <t>MY-SB026-RD-XL</t>
  </si>
  <si>
    <t>无销售广告费为1.73</t>
  </si>
  <si>
    <t>MY-SB027-BK-L</t>
  </si>
  <si>
    <t>MY-SB027</t>
  </si>
  <si>
    <t>MY-SB027-BK-M</t>
  </si>
  <si>
    <t>MY-SB027-BK-S</t>
  </si>
  <si>
    <t>MY-SB027-BK-XL</t>
  </si>
  <si>
    <t>MY-SB027-BL-L</t>
  </si>
  <si>
    <t>无销售广告费为5.96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</si>
  <si>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</si>
  <si>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</si>
  <si>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</si>
  <si>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</si>
  <si>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</si>
  <si>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</si>
  <si>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</si>
  <si>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</si>
  <si>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</si>
  <si>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</si>
  <si>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</si>
  <si>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</si>
  <si>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</si>
  <si>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</si>
  <si>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</si>
  <si>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</si>
  <si>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</si>
  <si>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</si>
  <si>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</si>
  <si>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</si>
  <si>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</si>
  <si>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</si>
  <si>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</si>
  <si>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</si>
  <si>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</si>
  <si>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</si>
  <si>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</si>
  <si>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</si>
  <si>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</si>
  <si>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</si>
  <si>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</si>
  <si>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</si>
  <si>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</si>
  <si>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</si>
  <si>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</si>
  <si>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</si>
  <si>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</si>
  <si>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</si>
  <si>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</si>
  <si>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</si>
  <si>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</si>
  <si>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</si>
  <si>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</si>
  <si>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</si>
  <si>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</si>
  <si>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</si>
  <si>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</si>
  <si>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</si>
  <si>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</si>
  <si>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</si>
  <si>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</si>
  <si>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</si>
  <si>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</si>
  <si>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</si>
  <si>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</si>
  <si>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</si>
  <si>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</si>
  <si>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</si>
  <si>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</si>
  <si>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</si>
  <si>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B073XKSK6M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</si>
  <si>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</si>
  <si>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</si>
  <si>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</si>
  <si>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</si>
  <si>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</si>
  <si>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</si>
  <si>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</si>
  <si>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</si>
  <si>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</si>
  <si>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</si>
  <si>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</si>
  <si>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</si>
  <si>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</si>
  <si>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</si>
  <si>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</si>
  <si>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</si>
  <si>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</si>
  <si>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</si>
  <si>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</si>
  <si>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</si>
  <si>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</si>
  <si>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</si>
  <si>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</si>
  <si>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</si>
  <si>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</si>
  <si>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</si>
  <si>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</si>
  <si>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</si>
  <si>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</si>
  <si>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</si>
  <si>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</si>
  <si>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</si>
  <si>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</si>
  <si>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</si>
  <si>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</si>
  <si>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</si>
  <si>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</si>
  <si>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</si>
  <si>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</si>
  <si>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</si>
  <si>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</si>
  <si>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无销售广告费为0.55</t>
  </si>
  <si>
    <t>无销售广告费为0.63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</si>
  <si>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</si>
  <si>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</si>
  <si>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</si>
  <si>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</si>
  <si>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</si>
  <si>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</si>
  <si>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</si>
  <si>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</si>
  <si>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</si>
  <si>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</si>
  <si>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</si>
  <si>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</si>
  <si>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</si>
  <si>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</si>
  <si>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</si>
  <si>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</si>
  <si>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</si>
  <si>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</si>
  <si>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</si>
  <si>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</si>
  <si>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</si>
  <si>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</si>
  <si>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</si>
  <si>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无销售广告费为3.15</t>
  </si>
  <si>
    <t>无销售广告费为11.84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</si>
  <si>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</si>
  <si>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</si>
  <si>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</si>
  <si>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</si>
  <si>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</si>
  <si>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</si>
  <si>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</si>
  <si>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</si>
  <si>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</si>
  <si>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</si>
  <si>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</si>
  <si>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</si>
  <si>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</si>
  <si>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</si>
  <si>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</si>
  <si>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</si>
  <si>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</si>
  <si>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</si>
  <si>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</si>
  <si>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</si>
  <si>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</si>
  <si>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</si>
  <si>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</si>
  <si>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</si>
  <si>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</si>
  <si>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</si>
  <si>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</si>
  <si>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</si>
  <si>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</si>
  <si>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</si>
  <si>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</si>
  <si>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</si>
  <si>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</si>
  <si>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</si>
  <si>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</si>
  <si>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</si>
  <si>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</si>
  <si>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</si>
  <si>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</si>
  <si>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</si>
  <si>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</si>
  <si>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</si>
  <si>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</si>
  <si>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</si>
  <si>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</si>
  <si>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</si>
  <si>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</si>
  <si>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</si>
  <si>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</si>
  <si>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</si>
  <si>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</si>
  <si>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</si>
  <si>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</si>
  <si>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无销售广告费为4.08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</si>
  <si>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</si>
  <si>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</si>
  <si>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</si>
  <si>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</si>
  <si>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</si>
  <si>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</si>
  <si>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</si>
  <si>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</si>
  <si>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无销售广告费为16.6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</si>
  <si>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</si>
  <si>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</si>
  <si>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</si>
  <si>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</si>
  <si>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</si>
  <si>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</si>
  <si>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</si>
  <si>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</si>
  <si>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</si>
  <si>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</si>
  <si>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</si>
  <si>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</si>
  <si>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</si>
  <si>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</si>
  <si>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</si>
  <si>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</si>
  <si>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</si>
  <si>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</si>
  <si>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</si>
  <si>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</si>
  <si>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</si>
  <si>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</si>
  <si>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</si>
  <si>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</si>
  <si>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</si>
  <si>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</si>
  <si>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</si>
  <si>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</si>
  <si>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</si>
  <si>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</si>
  <si>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</si>
  <si>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</si>
  <si>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</si>
  <si>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</si>
  <si>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</si>
  <si>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</si>
  <si>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</si>
  <si>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</si>
  <si>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</si>
  <si>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</si>
  <si>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</si>
  <si>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</si>
  <si>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</si>
  <si>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</si>
  <si>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</si>
  <si>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</si>
  <si>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</si>
  <si>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</si>
  <si>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</si>
  <si>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</si>
  <si>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</si>
  <si>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</si>
  <si>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</si>
  <si>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</si>
  <si>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</si>
  <si>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</si>
  <si>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</si>
  <si>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</si>
  <si>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</si>
  <si>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</si>
  <si>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</si>
  <si>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</si>
  <si>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</si>
  <si>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</si>
  <si>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</si>
  <si>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</si>
  <si>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</t>
  </si>
  <si>
    <t>SB-YL002-KCN100S</t>
  </si>
  <si>
    <t>B0776W7JGT</t>
  </si>
  <si>
    <t>SB-YL002-KCN120S</t>
  </si>
  <si>
    <t>B0776W29SX</t>
  </si>
  <si>
    <t>SB-YL002-KCN80BNR</t>
  </si>
  <si>
    <t>B0776WJDHZ</t>
  </si>
  <si>
    <t>无销售广告费为0.28</t>
  </si>
  <si>
    <t>无销售广告费为1.97</t>
  </si>
  <si>
    <t>无销售广告费为0.95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</si>
  <si>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</si>
  <si>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</si>
  <si>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</si>
  <si>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</si>
  <si>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</si>
  <si>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</si>
  <si>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</si>
  <si>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</si>
  <si>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</si>
  <si>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无销售广告费为0.96</t>
  </si>
  <si>
    <t>无销售广告费为2.07</t>
  </si>
  <si>
    <t>无销售广告费为3.34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</si>
  <si>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</si>
  <si>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</si>
  <si>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</si>
  <si>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</si>
  <si>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</si>
  <si>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</si>
  <si>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</si>
  <si>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</si>
  <si>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</si>
  <si>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</si>
  <si>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</si>
  <si>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无销售广告费为2.13</t>
  </si>
  <si>
    <t>无销售广告费为3.3</t>
  </si>
  <si>
    <t>SB-YL004-FD60</t>
  </si>
  <si>
    <t>B0776L7Y4R</t>
  </si>
  <si>
    <t>SB-YL005-KS70</t>
  </si>
  <si>
    <t>B0776PDLH2</t>
  </si>
  <si>
    <t>SB-YL005</t>
  </si>
  <si>
    <t>SB-YL005-KS80</t>
  </si>
  <si>
    <t>B0776P6SZP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</si>
  <si>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</si>
  <si>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</si>
  <si>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</si>
  <si>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</si>
  <si>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</si>
  <si>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</si>
  <si>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</si>
  <si>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</si>
  <si>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</si>
  <si>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</si>
  <si>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</si>
  <si>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</si>
  <si>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</si>
  <si>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</si>
  <si>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</si>
  <si>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</si>
  <si>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</si>
  <si>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</si>
  <si>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</si>
  <si>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</si>
  <si>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</si>
  <si>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</si>
  <si>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</si>
  <si>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</si>
  <si>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</si>
  <si>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</si>
  <si>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</si>
  <si>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</si>
  <si>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</si>
  <si>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</si>
  <si>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SHIRTS-SB002-BL-XL</t>
  </si>
  <si>
    <t>SHIRTS-SB002-BL-XXL</t>
  </si>
  <si>
    <t>SK-LY168-311-76D-L</t>
  </si>
  <si>
    <t>B071213ZRS</t>
  </si>
  <si>
    <t>SK-LY168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</si>
  <si>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</si>
  <si>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</si>
  <si>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</si>
  <si>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</si>
  <si>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</si>
  <si>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</si>
  <si>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</si>
  <si>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WQS-BN-1503-GR-2XL</t>
  </si>
  <si>
    <t>WQS-BN-1503</t>
  </si>
  <si>
    <t>无销售广告费为1.37</t>
  </si>
  <si>
    <t>WQS-BN-1503-GR-L</t>
  </si>
  <si>
    <t>WQS-BN-1503-GR-M</t>
  </si>
  <si>
    <t>WQS-BN-1503-GR-S</t>
  </si>
  <si>
    <t>WQS-BN-1503-GR-XL</t>
  </si>
  <si>
    <t>WQS-BN-1503-KO-2XL</t>
  </si>
  <si>
    <t>无销售广告费为5.78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</si>
  <si>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</si>
  <si>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</si>
  <si>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</si>
  <si>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</si>
  <si>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</si>
  <si>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</si>
  <si>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</si>
  <si>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</si>
  <si>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</si>
  <si>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</si>
  <si>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</si>
  <si>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</si>
  <si>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</si>
  <si>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</si>
  <si>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</si>
  <si>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</si>
  <si>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</si>
  <si>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</si>
  <si>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</si>
  <si>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</si>
  <si>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</si>
  <si>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</si>
  <si>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</si>
  <si>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</si>
  <si>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</si>
  <si>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</si>
  <si>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</si>
  <si>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</si>
  <si>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</si>
  <si>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</si>
  <si>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</si>
  <si>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</si>
  <si>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</si>
  <si>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</si>
  <si>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</si>
  <si>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</si>
  <si>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</si>
  <si>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无销售广告费为1.58</t>
  </si>
  <si>
    <t>无销售广告费为0.29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</si>
  <si>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</si>
  <si>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</si>
  <si>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</si>
  <si>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</si>
  <si>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</si>
  <si>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</si>
  <si>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</si>
  <si>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</si>
  <si>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</si>
  <si>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</si>
  <si>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</si>
  <si>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</si>
  <si>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</si>
  <si>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</si>
  <si>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</si>
  <si>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</si>
  <si>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</si>
  <si>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</si>
  <si>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无销售广告费为0.12</t>
  </si>
  <si>
    <t>无销售广告费为1.55</t>
  </si>
  <si>
    <t>WY-SB017-PK-L</t>
  </si>
  <si>
    <t>B078NNGB3G</t>
  </si>
  <si>
    <t>WY-SB017-PK-M</t>
  </si>
  <si>
    <t>B078NPY3QQ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</si>
  <si>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</si>
  <si>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</si>
  <si>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</si>
  <si>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</si>
  <si>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</si>
  <si>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</si>
  <si>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</si>
  <si>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</si>
  <si>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</si>
  <si>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</si>
  <si>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</si>
  <si>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</si>
  <si>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无销售广告费为0.78</t>
  </si>
  <si>
    <t>无销售广告费为0.33</t>
  </si>
  <si>
    <t>无销售广告费为0.71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</si>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</sst>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8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1" fillId="22" borderId="7" applyNumberFormat="0" applyAlignment="0" applyProtection="0">
      <alignment vertical="center"/>
    </xf>
    <xf numFmtId="0" fontId="19" fillId="22" borderId="3" applyNumberFormat="0" applyAlignment="0" applyProtection="0">
      <alignment vertical="center"/>
    </xf>
    <xf numFmtId="0" fontId="18" fillId="21" borderId="6" applyNumberForma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1175.43</v>
          </cell>
        </row>
        <row r="3">
          <cell r="G3">
            <v>757.98</v>
          </cell>
        </row>
        <row r="3">
          <cell r="J3">
            <v>877.43</v>
          </cell>
        </row>
        <row r="3">
          <cell r="M3">
            <v>767.7</v>
          </cell>
        </row>
        <row r="4">
          <cell r="A4" t="str">
            <v>CS-SB002-LB-2XL</v>
          </cell>
          <cell r="B4">
            <v>2846</v>
          </cell>
          <cell r="C4">
            <v>3</v>
          </cell>
          <cell r="D4">
            <v>1.74</v>
          </cell>
          <cell r="E4">
            <v>416</v>
          </cell>
          <cell r="F4">
            <v>5</v>
          </cell>
          <cell r="G4">
            <v>1.92</v>
          </cell>
          <cell r="H4">
            <v>800</v>
          </cell>
          <cell r="I4">
            <v>2</v>
          </cell>
          <cell r="J4">
            <v>0.97</v>
          </cell>
          <cell r="K4">
            <v>808</v>
          </cell>
          <cell r="L4">
            <v>7</v>
          </cell>
          <cell r="M4">
            <v>4.28</v>
          </cell>
        </row>
        <row r="5">
          <cell r="A5" t="str">
            <v>CS-SB007-LB-S</v>
          </cell>
          <cell r="B5">
            <v>365</v>
          </cell>
          <cell r="C5">
            <v>1</v>
          </cell>
          <cell r="D5">
            <v>0.24</v>
          </cell>
          <cell r="E5">
            <v>211</v>
          </cell>
          <cell r="F5">
            <v>1</v>
          </cell>
          <cell r="G5">
            <v>0.38</v>
          </cell>
          <cell r="H5">
            <v>270</v>
          </cell>
          <cell r="I5">
            <v>0</v>
          </cell>
          <cell r="J5">
            <v>0</v>
          </cell>
          <cell r="K5">
            <v>66</v>
          </cell>
          <cell r="L5">
            <v>0</v>
          </cell>
          <cell r="M5">
            <v>0</v>
          </cell>
        </row>
        <row r="6">
          <cell r="A6" t="str">
            <v>CS-SB007-LP-XXL</v>
          </cell>
          <cell r="B6">
            <v>308</v>
          </cell>
          <cell r="C6">
            <v>1</v>
          </cell>
          <cell r="D6">
            <v>0.15</v>
          </cell>
          <cell r="E6">
            <v>204</v>
          </cell>
          <cell r="F6">
            <v>0</v>
          </cell>
          <cell r="G6">
            <v>0</v>
          </cell>
          <cell r="H6">
            <v>333</v>
          </cell>
          <cell r="I6">
            <v>1</v>
          </cell>
          <cell r="J6">
            <v>0.58</v>
          </cell>
          <cell r="K6">
            <v>255</v>
          </cell>
          <cell r="L6">
            <v>1</v>
          </cell>
          <cell r="M6">
            <v>0.24</v>
          </cell>
        </row>
        <row r="7">
          <cell r="A7" t="str">
            <v>CS-SB007-PP-XXL</v>
          </cell>
          <cell r="B7">
            <v>58</v>
          </cell>
          <cell r="C7">
            <v>1</v>
          </cell>
          <cell r="D7">
            <v>0.31</v>
          </cell>
          <cell r="E7">
            <v>6098</v>
          </cell>
          <cell r="F7">
            <v>3</v>
          </cell>
          <cell r="G7">
            <v>1.41</v>
          </cell>
          <cell r="H7">
            <v>9050</v>
          </cell>
          <cell r="I7">
            <v>4</v>
          </cell>
          <cell r="J7">
            <v>1.41</v>
          </cell>
          <cell r="K7">
            <v>16965</v>
          </cell>
          <cell r="L7">
            <v>8</v>
          </cell>
          <cell r="M7">
            <v>4.15</v>
          </cell>
        </row>
        <row r="8">
          <cell r="A8" t="str">
            <v>CS-SB009-CF-M</v>
          </cell>
          <cell r="B8">
            <v>2</v>
          </cell>
          <cell r="C8">
            <v>0</v>
          </cell>
          <cell r="D8">
            <v>0</v>
          </cell>
          <cell r="E8">
            <v>5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9</v>
          </cell>
          <cell r="L8">
            <v>0</v>
          </cell>
          <cell r="M8">
            <v>0</v>
          </cell>
        </row>
        <row r="9">
          <cell r="A9" t="str">
            <v>CS-SB009-YL-S</v>
          </cell>
          <cell r="B9">
            <v>6</v>
          </cell>
          <cell r="C9">
            <v>0</v>
          </cell>
          <cell r="D9">
            <v>0</v>
          </cell>
          <cell r="E9">
            <v>4</v>
          </cell>
          <cell r="F9">
            <v>0</v>
          </cell>
          <cell r="G9">
            <v>0</v>
          </cell>
          <cell r="H9">
            <v>24</v>
          </cell>
          <cell r="I9">
            <v>0</v>
          </cell>
          <cell r="J9">
            <v>0</v>
          </cell>
          <cell r="K9">
            <v>22</v>
          </cell>
          <cell r="L9">
            <v>1</v>
          </cell>
          <cell r="M9">
            <v>0.66</v>
          </cell>
        </row>
        <row r="10">
          <cell r="A10" t="str">
            <v>CS-SB009-LB1-S</v>
          </cell>
          <cell r="B10">
            <v>32</v>
          </cell>
          <cell r="C10">
            <v>0</v>
          </cell>
          <cell r="D10">
            <v>0</v>
          </cell>
          <cell r="E10">
            <v>24</v>
          </cell>
          <cell r="F10">
            <v>0</v>
          </cell>
          <cell r="G10">
            <v>0</v>
          </cell>
          <cell r="H10">
            <v>4</v>
          </cell>
          <cell r="I10">
            <v>0</v>
          </cell>
          <cell r="J10">
            <v>0</v>
          </cell>
          <cell r="K10">
            <v>12</v>
          </cell>
          <cell r="L10">
            <v>1</v>
          </cell>
          <cell r="M10">
            <v>0.44</v>
          </cell>
        </row>
        <row r="11">
          <cell r="A11" t="str">
            <v>CS-SB009-GN-S</v>
          </cell>
          <cell r="B11">
            <v>1</v>
          </cell>
          <cell r="C11">
            <v>0</v>
          </cell>
          <cell r="D11">
            <v>0</v>
          </cell>
          <cell r="E11">
            <v>2</v>
          </cell>
          <cell r="F11">
            <v>0</v>
          </cell>
          <cell r="G11">
            <v>0</v>
          </cell>
          <cell r="H11">
            <v>9</v>
          </cell>
          <cell r="I11">
            <v>0</v>
          </cell>
          <cell r="J11">
            <v>0</v>
          </cell>
          <cell r="K11">
            <v>2</v>
          </cell>
          <cell r="L11">
            <v>0</v>
          </cell>
          <cell r="M11">
            <v>0</v>
          </cell>
        </row>
        <row r="12">
          <cell r="A12" t="str">
            <v>MY-SB026-RD-L</v>
          </cell>
          <cell r="B12">
            <v>2372</v>
          </cell>
          <cell r="C12">
            <v>3</v>
          </cell>
          <cell r="D12">
            <v>1.27</v>
          </cell>
          <cell r="E12">
            <v>2725</v>
          </cell>
          <cell r="F12">
            <v>10</v>
          </cell>
          <cell r="G12">
            <v>5.42</v>
          </cell>
          <cell r="H12">
            <v>5247</v>
          </cell>
          <cell r="I12">
            <v>5</v>
          </cell>
          <cell r="J12">
            <v>1.46</v>
          </cell>
          <cell r="K12">
            <v>12711</v>
          </cell>
          <cell r="L12">
            <v>34</v>
          </cell>
          <cell r="M12">
            <v>12.17</v>
          </cell>
        </row>
        <row r="13">
          <cell r="A13" t="str">
            <v>WY-SB017-LG-L</v>
          </cell>
          <cell r="B13">
            <v>1262</v>
          </cell>
          <cell r="C13">
            <v>2</v>
          </cell>
          <cell r="D13">
            <v>1.58</v>
          </cell>
          <cell r="E13">
            <v>528</v>
          </cell>
          <cell r="F13">
            <v>1</v>
          </cell>
          <cell r="G13">
            <v>0.29</v>
          </cell>
          <cell r="H13">
            <v>663</v>
          </cell>
          <cell r="I13">
            <v>0</v>
          </cell>
          <cell r="J13">
            <v>0</v>
          </cell>
          <cell r="K13">
            <v>1272</v>
          </cell>
          <cell r="L13">
            <v>1</v>
          </cell>
          <cell r="M13">
            <v>0.28</v>
          </cell>
        </row>
        <row r="14">
          <cell r="A14" t="str">
            <v>WY-SB017-NY-XXL</v>
          </cell>
          <cell r="B14">
            <v>463</v>
          </cell>
          <cell r="C14">
            <v>2</v>
          </cell>
          <cell r="D14">
            <v>0.12</v>
          </cell>
          <cell r="E14">
            <v>2499</v>
          </cell>
          <cell r="F14">
            <v>2</v>
          </cell>
          <cell r="G14">
            <v>0.97</v>
          </cell>
          <cell r="H14">
            <v>3606</v>
          </cell>
          <cell r="I14">
            <v>0</v>
          </cell>
          <cell r="J14">
            <v>0</v>
          </cell>
          <cell r="K14">
            <v>3543</v>
          </cell>
          <cell r="L14">
            <v>4</v>
          </cell>
          <cell r="M14">
            <v>1.55</v>
          </cell>
        </row>
        <row r="15">
          <cell r="A15" t="str">
            <v>WY-SB017-RD-XXL</v>
          </cell>
          <cell r="B15">
            <v>126</v>
          </cell>
          <cell r="C15">
            <v>1</v>
          </cell>
          <cell r="D15">
            <v>0.78</v>
          </cell>
          <cell r="E15">
            <v>477</v>
          </cell>
          <cell r="F15">
            <v>1</v>
          </cell>
          <cell r="G15">
            <v>0.33</v>
          </cell>
          <cell r="H15">
            <v>2157</v>
          </cell>
          <cell r="I15">
            <v>0</v>
          </cell>
          <cell r="J15">
            <v>0</v>
          </cell>
          <cell r="K15">
            <v>2618</v>
          </cell>
          <cell r="L15">
            <v>1</v>
          </cell>
          <cell r="M15">
            <v>0.71</v>
          </cell>
        </row>
        <row r="16">
          <cell r="A16" t="str">
            <v>CS-SB009-GN-XL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2</v>
          </cell>
          <cell r="L16">
            <v>0</v>
          </cell>
          <cell r="M16">
            <v>0</v>
          </cell>
        </row>
        <row r="17">
          <cell r="A17" t="str">
            <v>CS-SB009-YL-XL</v>
          </cell>
          <cell r="B17">
            <v>0</v>
          </cell>
          <cell r="C17">
            <v>0</v>
          </cell>
          <cell r="D17">
            <v>0</v>
          </cell>
          <cell r="E17">
            <v>7</v>
          </cell>
          <cell r="F17">
            <v>0</v>
          </cell>
          <cell r="G17">
            <v>0</v>
          </cell>
          <cell r="H17">
            <v>24</v>
          </cell>
          <cell r="I17">
            <v>0</v>
          </cell>
          <cell r="J17">
            <v>0</v>
          </cell>
          <cell r="K17">
            <v>18</v>
          </cell>
          <cell r="L17">
            <v>0</v>
          </cell>
          <cell r="M17">
            <v>0</v>
          </cell>
        </row>
        <row r="18">
          <cell r="A18" t="str">
            <v>CS-SB009-LB1-XXL</v>
          </cell>
          <cell r="B18">
            <v>1805</v>
          </cell>
          <cell r="C18">
            <v>14</v>
          </cell>
          <cell r="D18">
            <v>13.66</v>
          </cell>
          <cell r="E18">
            <v>4086</v>
          </cell>
          <cell r="F18">
            <v>12</v>
          </cell>
          <cell r="G18">
            <v>6.69</v>
          </cell>
          <cell r="H18">
            <v>6539</v>
          </cell>
          <cell r="I18">
            <v>19</v>
          </cell>
          <cell r="J18">
            <v>12.78</v>
          </cell>
          <cell r="K18">
            <v>7224</v>
          </cell>
          <cell r="L18">
            <v>35</v>
          </cell>
          <cell r="M18">
            <v>25.58</v>
          </cell>
        </row>
        <row r="19">
          <cell r="A19" t="str">
            <v>CS-LY084-H12-XXL</v>
          </cell>
          <cell r="B19">
            <v>1482</v>
          </cell>
          <cell r="C19">
            <v>13</v>
          </cell>
          <cell r="D19">
            <v>7.95</v>
          </cell>
          <cell r="E19">
            <v>2546</v>
          </cell>
          <cell r="F19">
            <v>13</v>
          </cell>
          <cell r="G19">
            <v>6.87</v>
          </cell>
          <cell r="H19">
            <v>5394</v>
          </cell>
          <cell r="I19">
            <v>34</v>
          </cell>
          <cell r="J19">
            <v>17.42</v>
          </cell>
          <cell r="K19">
            <v>3932</v>
          </cell>
          <cell r="L19">
            <v>31</v>
          </cell>
          <cell r="M19">
            <v>18.33</v>
          </cell>
        </row>
        <row r="20">
          <cell r="A20" t="str">
            <v>CS-LY171-LG907-M</v>
          </cell>
          <cell r="B20">
            <v>5570</v>
          </cell>
          <cell r="C20">
            <v>8</v>
          </cell>
          <cell r="D20">
            <v>4.26</v>
          </cell>
          <cell r="E20">
            <v>9665</v>
          </cell>
          <cell r="F20">
            <v>36</v>
          </cell>
          <cell r="G20">
            <v>17.79</v>
          </cell>
          <cell r="H20">
            <v>9760</v>
          </cell>
          <cell r="I20">
            <v>21</v>
          </cell>
          <cell r="J20">
            <v>9.37</v>
          </cell>
          <cell r="K20">
            <v>10027</v>
          </cell>
          <cell r="L20">
            <v>15</v>
          </cell>
          <cell r="M20">
            <v>7.68</v>
          </cell>
        </row>
        <row r="21">
          <cell r="A21" t="str">
            <v>CS-SB170-W902-XL</v>
          </cell>
          <cell r="B21">
            <v>0</v>
          </cell>
          <cell r="C21">
            <v>0</v>
          </cell>
          <cell r="D21">
            <v>0</v>
          </cell>
          <cell r="E21">
            <v>168</v>
          </cell>
          <cell r="F21">
            <v>0</v>
          </cell>
          <cell r="G21">
            <v>0</v>
          </cell>
          <cell r="H21">
            <v>185</v>
          </cell>
          <cell r="I21">
            <v>0</v>
          </cell>
          <cell r="J21">
            <v>0</v>
          </cell>
          <cell r="K21">
            <v>3841</v>
          </cell>
          <cell r="L21">
            <v>26</v>
          </cell>
          <cell r="M21">
            <v>16.59</v>
          </cell>
        </row>
        <row r="22">
          <cell r="A22" t="str">
            <v>CS-BUSB031-GN1-M</v>
          </cell>
          <cell r="B22">
            <v>1251</v>
          </cell>
          <cell r="C22">
            <v>4</v>
          </cell>
          <cell r="D22">
            <v>4.19</v>
          </cell>
          <cell r="E22">
            <v>135</v>
          </cell>
          <cell r="F22">
            <v>1</v>
          </cell>
          <cell r="G22">
            <v>0.61</v>
          </cell>
          <cell r="H22">
            <v>408</v>
          </cell>
          <cell r="I22">
            <v>3</v>
          </cell>
          <cell r="J22">
            <v>1.45</v>
          </cell>
          <cell r="K22">
            <v>324</v>
          </cell>
          <cell r="L22">
            <v>2</v>
          </cell>
          <cell r="M22">
            <v>0.82</v>
          </cell>
        </row>
        <row r="23">
          <cell r="A23" t="str">
            <v>CS-BUSB031-GN3-S</v>
          </cell>
          <cell r="B23">
            <v>0</v>
          </cell>
          <cell r="C23">
            <v>0</v>
          </cell>
          <cell r="D23">
            <v>0</v>
          </cell>
          <cell r="E23">
            <v>27</v>
          </cell>
          <cell r="F23">
            <v>0</v>
          </cell>
          <cell r="G23">
            <v>0</v>
          </cell>
          <cell r="H23">
            <v>91</v>
          </cell>
          <cell r="I23">
            <v>0</v>
          </cell>
          <cell r="J23">
            <v>0</v>
          </cell>
          <cell r="K23">
            <v>130</v>
          </cell>
          <cell r="L23">
            <v>0</v>
          </cell>
          <cell r="M23">
            <v>0</v>
          </cell>
        </row>
        <row r="24">
          <cell r="A24" t="str">
            <v>CS-SB171-LG907-L</v>
          </cell>
          <cell r="B24">
            <v>379</v>
          </cell>
          <cell r="C24">
            <v>3</v>
          </cell>
          <cell r="D24">
            <v>2.98</v>
          </cell>
          <cell r="E24">
            <v>269</v>
          </cell>
          <cell r="F24">
            <v>0</v>
          </cell>
          <cell r="G24">
            <v>0</v>
          </cell>
          <cell r="H24">
            <v>461</v>
          </cell>
          <cell r="I24">
            <v>2</v>
          </cell>
          <cell r="J24">
            <v>0.97</v>
          </cell>
          <cell r="K24">
            <v>212</v>
          </cell>
          <cell r="L24">
            <v>1</v>
          </cell>
          <cell r="M24">
            <v>0.8</v>
          </cell>
        </row>
        <row r="25">
          <cell r="A25" t="str">
            <v>CS-SB171-WR917-XL</v>
          </cell>
          <cell r="B25">
            <v>954</v>
          </cell>
          <cell r="C25">
            <v>2</v>
          </cell>
          <cell r="D25">
            <v>1.14</v>
          </cell>
          <cell r="E25">
            <v>172</v>
          </cell>
          <cell r="F25">
            <v>3</v>
          </cell>
          <cell r="G25">
            <v>0.74</v>
          </cell>
          <cell r="H25">
            <v>108</v>
          </cell>
          <cell r="I25">
            <v>0</v>
          </cell>
          <cell r="J25">
            <v>0</v>
          </cell>
          <cell r="K25">
            <v>156</v>
          </cell>
          <cell r="L25">
            <v>1</v>
          </cell>
          <cell r="M25">
            <v>0.02</v>
          </cell>
        </row>
        <row r="26">
          <cell r="A26" t="str">
            <v>CS-SB171-W902-XL</v>
          </cell>
          <cell r="B26">
            <v>11348</v>
          </cell>
          <cell r="C26">
            <v>27</v>
          </cell>
          <cell r="D26">
            <v>16.79</v>
          </cell>
          <cell r="E26">
            <v>13608</v>
          </cell>
          <cell r="F26">
            <v>15</v>
          </cell>
          <cell r="G26">
            <v>7.85</v>
          </cell>
          <cell r="H26">
            <v>3289</v>
          </cell>
          <cell r="I26">
            <v>26</v>
          </cell>
          <cell r="J26">
            <v>13.39</v>
          </cell>
          <cell r="K26">
            <v>2193</v>
          </cell>
          <cell r="L26">
            <v>12</v>
          </cell>
          <cell r="M26">
            <v>7.51</v>
          </cell>
        </row>
        <row r="27">
          <cell r="A27" t="str">
            <v>CS-SB010-WT-1</v>
          </cell>
          <cell r="B27">
            <v>50</v>
          </cell>
          <cell r="C27">
            <v>0</v>
          </cell>
          <cell r="D27">
            <v>0</v>
          </cell>
          <cell r="E27">
            <v>40</v>
          </cell>
          <cell r="F27">
            <v>0</v>
          </cell>
          <cell r="G27">
            <v>0</v>
          </cell>
          <cell r="H27">
            <v>14</v>
          </cell>
          <cell r="I27">
            <v>0</v>
          </cell>
          <cell r="J27">
            <v>0</v>
          </cell>
          <cell r="K27">
            <v>55</v>
          </cell>
          <cell r="L27">
            <v>0</v>
          </cell>
          <cell r="M27">
            <v>0</v>
          </cell>
        </row>
        <row r="28">
          <cell r="A28" t="str">
            <v>CS-SB010-WT-4</v>
          </cell>
          <cell r="B28">
            <v>103</v>
          </cell>
          <cell r="C28">
            <v>1</v>
          </cell>
          <cell r="D28">
            <v>0.3</v>
          </cell>
          <cell r="E28">
            <v>57</v>
          </cell>
          <cell r="F28">
            <v>0</v>
          </cell>
          <cell r="G28">
            <v>0</v>
          </cell>
          <cell r="H28">
            <v>34</v>
          </cell>
          <cell r="I28">
            <v>0</v>
          </cell>
          <cell r="J28">
            <v>0</v>
          </cell>
          <cell r="K28">
            <v>37</v>
          </cell>
          <cell r="L28">
            <v>0</v>
          </cell>
          <cell r="M28">
            <v>0</v>
          </cell>
        </row>
        <row r="29">
          <cell r="A29" t="str">
            <v>CS-SB010-WT-7</v>
          </cell>
          <cell r="B29">
            <v>93</v>
          </cell>
          <cell r="C29">
            <v>1</v>
          </cell>
          <cell r="D29">
            <v>0.49</v>
          </cell>
          <cell r="E29">
            <v>39</v>
          </cell>
          <cell r="F29">
            <v>0</v>
          </cell>
          <cell r="G29">
            <v>0</v>
          </cell>
          <cell r="H29">
            <v>22</v>
          </cell>
          <cell r="I29">
            <v>0</v>
          </cell>
          <cell r="J29">
            <v>0</v>
          </cell>
          <cell r="K29">
            <v>27</v>
          </cell>
          <cell r="L29">
            <v>0</v>
          </cell>
          <cell r="M29">
            <v>0</v>
          </cell>
        </row>
        <row r="30">
          <cell r="A30" t="str">
            <v>CS-SB010-WT-8</v>
          </cell>
          <cell r="B30">
            <v>40</v>
          </cell>
          <cell r="C30">
            <v>0</v>
          </cell>
          <cell r="D30">
            <v>0</v>
          </cell>
          <cell r="E30">
            <v>34</v>
          </cell>
          <cell r="F30">
            <v>1</v>
          </cell>
          <cell r="G30">
            <v>0.49</v>
          </cell>
          <cell r="H30">
            <v>11</v>
          </cell>
          <cell r="I30">
            <v>0</v>
          </cell>
          <cell r="J30">
            <v>0</v>
          </cell>
          <cell r="K30">
            <v>23</v>
          </cell>
          <cell r="L30">
            <v>0</v>
          </cell>
          <cell r="M30">
            <v>0</v>
          </cell>
        </row>
        <row r="31">
          <cell r="A31" t="str">
            <v>MY-SB020-DG-M</v>
          </cell>
          <cell r="B31">
            <v>2703</v>
          </cell>
          <cell r="C31">
            <v>9</v>
          </cell>
          <cell r="D31">
            <v>5.6</v>
          </cell>
          <cell r="E31">
            <v>628</v>
          </cell>
          <cell r="F31">
            <v>1</v>
          </cell>
          <cell r="G31">
            <v>0.23</v>
          </cell>
          <cell r="H31">
            <v>395</v>
          </cell>
          <cell r="I31">
            <v>2</v>
          </cell>
          <cell r="J31">
            <v>0.62</v>
          </cell>
          <cell r="K31">
            <v>1154</v>
          </cell>
          <cell r="L31">
            <v>2</v>
          </cell>
          <cell r="M31">
            <v>0.66</v>
          </cell>
        </row>
        <row r="32">
          <cell r="A32" t="str">
            <v>MY-SB020-BK-L</v>
          </cell>
          <cell r="B32">
            <v>1792</v>
          </cell>
          <cell r="C32">
            <v>5</v>
          </cell>
          <cell r="D32">
            <v>2.28</v>
          </cell>
          <cell r="E32">
            <v>740</v>
          </cell>
          <cell r="F32">
            <v>4</v>
          </cell>
          <cell r="G32">
            <v>1.32</v>
          </cell>
          <cell r="H32">
            <v>847</v>
          </cell>
          <cell r="I32">
            <v>0</v>
          </cell>
          <cell r="J32">
            <v>0</v>
          </cell>
          <cell r="K32">
            <v>1757</v>
          </cell>
          <cell r="L32">
            <v>2</v>
          </cell>
          <cell r="M32">
            <v>0.85</v>
          </cell>
        </row>
        <row r="33">
          <cell r="A33" t="str">
            <v>CS-SB166-B28-4-L</v>
          </cell>
          <cell r="B33">
            <v>25001</v>
          </cell>
          <cell r="C33">
            <v>61</v>
          </cell>
          <cell r="D33">
            <v>35.52</v>
          </cell>
          <cell r="E33">
            <v>482</v>
          </cell>
          <cell r="F33">
            <v>3</v>
          </cell>
          <cell r="G33">
            <v>1.43</v>
          </cell>
          <cell r="H33">
            <v>365</v>
          </cell>
          <cell r="I33">
            <v>4</v>
          </cell>
          <cell r="J33">
            <v>1.81</v>
          </cell>
          <cell r="K33">
            <v>491</v>
          </cell>
          <cell r="L33">
            <v>2</v>
          </cell>
          <cell r="M33">
            <v>0.84</v>
          </cell>
        </row>
        <row r="34">
          <cell r="A34" t="str">
            <v>POLO-SB014-GN-M</v>
          </cell>
          <cell r="B34">
            <v>0</v>
          </cell>
          <cell r="C34">
            <v>0</v>
          </cell>
          <cell r="D34">
            <v>0</v>
          </cell>
          <cell r="E34">
            <v>1416</v>
          </cell>
          <cell r="F34">
            <v>9</v>
          </cell>
          <cell r="G34">
            <v>4.08</v>
          </cell>
          <cell r="H34">
            <v>2573</v>
          </cell>
          <cell r="I34">
            <v>11</v>
          </cell>
          <cell r="J34">
            <v>4.95</v>
          </cell>
          <cell r="K34">
            <v>1236</v>
          </cell>
          <cell r="L34">
            <v>2</v>
          </cell>
          <cell r="M34">
            <v>0.8</v>
          </cell>
        </row>
        <row r="35">
          <cell r="A35" t="str">
            <v>CS-BUSB032-BL-S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9196</v>
          </cell>
          <cell r="I35">
            <v>45</v>
          </cell>
          <cell r="J35">
            <v>22.13</v>
          </cell>
          <cell r="K35">
            <v>29014</v>
          </cell>
          <cell r="L35">
            <v>141</v>
          </cell>
          <cell r="M35">
            <v>85.29</v>
          </cell>
        </row>
        <row r="36">
          <cell r="A36" t="str">
            <v>CS-BUSB032-YL-M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6828</v>
          </cell>
          <cell r="I36">
            <v>31</v>
          </cell>
          <cell r="J36">
            <v>17.71</v>
          </cell>
          <cell r="K36">
            <v>58782</v>
          </cell>
          <cell r="L36">
            <v>170</v>
          </cell>
          <cell r="M36">
            <v>111.15</v>
          </cell>
        </row>
        <row r="37">
          <cell r="A37" t="str">
            <v>POLO-SB014-GR-M</v>
          </cell>
          <cell r="B37">
            <v>0</v>
          </cell>
          <cell r="C37">
            <v>0</v>
          </cell>
          <cell r="D37">
            <v>0</v>
          </cell>
          <cell r="E37">
            <v>11508</v>
          </cell>
          <cell r="F37">
            <v>35</v>
          </cell>
          <cell r="G37">
            <v>17.44</v>
          </cell>
          <cell r="H37">
            <v>25205</v>
          </cell>
          <cell r="I37">
            <v>40</v>
          </cell>
          <cell r="J37">
            <v>16.6</v>
          </cell>
          <cell r="K37">
            <v>62397</v>
          </cell>
          <cell r="L37">
            <v>51</v>
          </cell>
          <cell r="M37">
            <v>18.54</v>
          </cell>
        </row>
        <row r="38">
          <cell r="A38" t="str">
            <v>CS-SB166-K33-2-L</v>
          </cell>
          <cell r="B38">
            <v>166</v>
          </cell>
          <cell r="C38">
            <v>1</v>
          </cell>
          <cell r="D38">
            <v>0.34</v>
          </cell>
          <cell r="E38">
            <v>235</v>
          </cell>
          <cell r="F38">
            <v>5</v>
          </cell>
          <cell r="G38">
            <v>2.95</v>
          </cell>
          <cell r="H38">
            <v>260</v>
          </cell>
          <cell r="I38">
            <v>1</v>
          </cell>
          <cell r="J38">
            <v>0.3</v>
          </cell>
          <cell r="K38">
            <v>170</v>
          </cell>
          <cell r="L38">
            <v>3</v>
          </cell>
          <cell r="M38">
            <v>1.24</v>
          </cell>
        </row>
        <row r="39">
          <cell r="A39" t="str">
            <v>MY-SB026-BK-M</v>
          </cell>
          <cell r="B39">
            <v>794</v>
          </cell>
          <cell r="C39">
            <v>4</v>
          </cell>
          <cell r="D39">
            <v>2.4</v>
          </cell>
          <cell r="E39">
            <v>365</v>
          </cell>
          <cell r="F39">
            <v>3</v>
          </cell>
          <cell r="G39">
            <v>1.13</v>
          </cell>
          <cell r="H39">
            <v>282</v>
          </cell>
          <cell r="I39">
            <v>1</v>
          </cell>
          <cell r="J39">
            <v>0.21</v>
          </cell>
          <cell r="K39">
            <v>1064</v>
          </cell>
          <cell r="L39">
            <v>1</v>
          </cell>
          <cell r="M39">
            <v>0.45</v>
          </cell>
        </row>
        <row r="40">
          <cell r="A40" t="str">
            <v>MY-LYPoint021-W0-M</v>
          </cell>
          <cell r="B40">
            <v>16690</v>
          </cell>
          <cell r="C40">
            <v>41</v>
          </cell>
          <cell r="D40">
            <v>29.1</v>
          </cell>
          <cell r="E40">
            <v>7763</v>
          </cell>
          <cell r="F40">
            <v>25</v>
          </cell>
          <cell r="G40">
            <v>11.77</v>
          </cell>
          <cell r="H40">
            <v>31436</v>
          </cell>
          <cell r="I40">
            <v>46</v>
          </cell>
          <cell r="J40">
            <v>28.43</v>
          </cell>
          <cell r="K40">
            <v>29715</v>
          </cell>
          <cell r="L40">
            <v>38</v>
          </cell>
          <cell r="M40">
            <v>26.82</v>
          </cell>
        </row>
        <row r="41">
          <cell r="A41" t="str">
            <v>CS-SB086-LB-XL</v>
          </cell>
          <cell r="B41">
            <v>2796</v>
          </cell>
          <cell r="C41">
            <v>7</v>
          </cell>
          <cell r="D41">
            <v>1.67</v>
          </cell>
          <cell r="E41">
            <v>5445</v>
          </cell>
          <cell r="F41">
            <v>8</v>
          </cell>
          <cell r="G41">
            <v>1.97</v>
          </cell>
          <cell r="H41">
            <v>6996</v>
          </cell>
          <cell r="I41">
            <v>16</v>
          </cell>
          <cell r="J41">
            <v>3.94</v>
          </cell>
          <cell r="K41">
            <v>7782</v>
          </cell>
          <cell r="L41">
            <v>11</v>
          </cell>
          <cell r="M41">
            <v>2.47</v>
          </cell>
        </row>
        <row r="42">
          <cell r="A42" t="str">
            <v>SB-YL002-KCN80BNR</v>
          </cell>
          <cell r="B42">
            <v>102</v>
          </cell>
          <cell r="C42">
            <v>1</v>
          </cell>
          <cell r="D42">
            <v>0.28</v>
          </cell>
          <cell r="E42">
            <v>762</v>
          </cell>
          <cell r="F42">
            <v>2</v>
          </cell>
          <cell r="G42">
            <v>0.54</v>
          </cell>
          <cell r="H42">
            <v>535</v>
          </cell>
          <cell r="I42">
            <v>4</v>
          </cell>
          <cell r="J42">
            <v>1.97</v>
          </cell>
          <cell r="K42">
            <v>814</v>
          </cell>
          <cell r="L42">
            <v>2</v>
          </cell>
          <cell r="M42">
            <v>0.95</v>
          </cell>
        </row>
        <row r="43">
          <cell r="A43" t="str">
            <v>CS-SB084-H15-XXL</v>
          </cell>
          <cell r="B43">
            <v>1075</v>
          </cell>
          <cell r="C43">
            <v>9</v>
          </cell>
          <cell r="D43">
            <v>6.35</v>
          </cell>
          <cell r="E43">
            <v>740</v>
          </cell>
          <cell r="F43">
            <v>8</v>
          </cell>
          <cell r="G43">
            <v>4.25</v>
          </cell>
          <cell r="H43">
            <v>301</v>
          </cell>
          <cell r="I43">
            <v>2</v>
          </cell>
          <cell r="J43">
            <v>1.26</v>
          </cell>
          <cell r="K43">
            <v>433</v>
          </cell>
          <cell r="L43">
            <v>2</v>
          </cell>
          <cell r="M43">
            <v>1.09</v>
          </cell>
        </row>
        <row r="44">
          <cell r="A44" t="str">
            <v>CFY-W1798-BL-XL</v>
          </cell>
          <cell r="B44">
            <v>827</v>
          </cell>
          <cell r="C44">
            <v>1</v>
          </cell>
          <cell r="D44">
            <v>0.3</v>
          </cell>
          <cell r="E44">
            <v>1035</v>
          </cell>
          <cell r="F44">
            <v>5</v>
          </cell>
          <cell r="G44">
            <v>2.19</v>
          </cell>
          <cell r="H44">
            <v>1594</v>
          </cell>
          <cell r="I44">
            <v>2</v>
          </cell>
          <cell r="J44">
            <v>0.81</v>
          </cell>
          <cell r="K44">
            <v>1512</v>
          </cell>
          <cell r="L44">
            <v>3</v>
          </cell>
          <cell r="M44">
            <v>1.47</v>
          </cell>
        </row>
        <row r="45">
          <cell r="A45" t="str">
            <v>CS-LY084-H15-XL</v>
          </cell>
          <cell r="B45">
            <v>504</v>
          </cell>
          <cell r="C45">
            <v>1</v>
          </cell>
          <cell r="D45">
            <v>0.66</v>
          </cell>
          <cell r="E45">
            <v>431</v>
          </cell>
          <cell r="F45">
            <v>2</v>
          </cell>
          <cell r="G45">
            <v>1</v>
          </cell>
          <cell r="H45">
            <v>514</v>
          </cell>
          <cell r="I45">
            <v>2</v>
          </cell>
          <cell r="J45">
            <v>0.9</v>
          </cell>
          <cell r="K45">
            <v>545</v>
          </cell>
          <cell r="L45">
            <v>0</v>
          </cell>
          <cell r="M45">
            <v>0</v>
          </cell>
        </row>
        <row r="46">
          <cell r="A46" t="str">
            <v>CFY-W1830-RD-XL</v>
          </cell>
          <cell r="B46">
            <v>1667</v>
          </cell>
          <cell r="C46">
            <v>2</v>
          </cell>
          <cell r="D46">
            <v>0.72</v>
          </cell>
          <cell r="E46">
            <v>1877</v>
          </cell>
          <cell r="F46">
            <v>3</v>
          </cell>
          <cell r="G46">
            <v>1.2</v>
          </cell>
          <cell r="H46">
            <v>582</v>
          </cell>
          <cell r="I46">
            <v>2</v>
          </cell>
          <cell r="J46">
            <v>0.47</v>
          </cell>
          <cell r="K46">
            <v>637</v>
          </cell>
          <cell r="L46">
            <v>0</v>
          </cell>
          <cell r="M46">
            <v>0</v>
          </cell>
        </row>
        <row r="47">
          <cell r="A47" t="str">
            <v>CS-SB009-BK-XXL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364</v>
          </cell>
          <cell r="I47">
            <v>0</v>
          </cell>
          <cell r="J47">
            <v>0</v>
          </cell>
          <cell r="K47">
            <v>10809</v>
          </cell>
          <cell r="L47">
            <v>38</v>
          </cell>
          <cell r="M47">
            <v>22.26</v>
          </cell>
        </row>
        <row r="48">
          <cell r="A48" t="str">
            <v>CS-SB009-LB1-XL</v>
          </cell>
          <cell r="B48">
            <v>26983</v>
          </cell>
          <cell r="C48">
            <v>57</v>
          </cell>
          <cell r="D48">
            <v>46.92</v>
          </cell>
          <cell r="E48">
            <v>18871</v>
          </cell>
          <cell r="F48">
            <v>40</v>
          </cell>
          <cell r="G48">
            <v>23.61</v>
          </cell>
          <cell r="H48">
            <v>19476</v>
          </cell>
          <cell r="I48">
            <v>36</v>
          </cell>
          <cell r="J48">
            <v>21.85</v>
          </cell>
          <cell r="K48">
            <v>17372</v>
          </cell>
          <cell r="L48">
            <v>45</v>
          </cell>
          <cell r="M48">
            <v>27.16</v>
          </cell>
        </row>
        <row r="49">
          <cell r="A49" t="str">
            <v>CS-SB005-BK-XL</v>
          </cell>
          <cell r="B49">
            <v>265</v>
          </cell>
          <cell r="C49">
            <v>0</v>
          </cell>
          <cell r="D49">
            <v>0</v>
          </cell>
          <cell r="E49">
            <v>378</v>
          </cell>
          <cell r="F49">
            <v>4</v>
          </cell>
          <cell r="G49">
            <v>2.37</v>
          </cell>
          <cell r="H49">
            <v>428</v>
          </cell>
          <cell r="I49">
            <v>3</v>
          </cell>
          <cell r="J49">
            <v>1.35</v>
          </cell>
          <cell r="K49">
            <v>329</v>
          </cell>
          <cell r="L49">
            <v>0</v>
          </cell>
          <cell r="M49">
            <v>0</v>
          </cell>
        </row>
        <row r="50">
          <cell r="A50" t="str">
            <v>CS-SB005-BL2-2XL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115</v>
          </cell>
          <cell r="L50">
            <v>0</v>
          </cell>
          <cell r="M50">
            <v>0</v>
          </cell>
        </row>
        <row r="51">
          <cell r="A51" t="str">
            <v>CS-BBS006-GN-L</v>
          </cell>
          <cell r="B51">
            <v>298</v>
          </cell>
          <cell r="C51">
            <v>0</v>
          </cell>
          <cell r="D51">
            <v>0</v>
          </cell>
          <cell r="E51">
            <v>52</v>
          </cell>
          <cell r="F51">
            <v>1</v>
          </cell>
          <cell r="G51">
            <v>0.32</v>
          </cell>
          <cell r="H51">
            <v>233</v>
          </cell>
          <cell r="I51">
            <v>1</v>
          </cell>
          <cell r="J51">
            <v>0.32</v>
          </cell>
          <cell r="K51">
            <v>96</v>
          </cell>
          <cell r="L51">
            <v>0</v>
          </cell>
          <cell r="M51">
            <v>0</v>
          </cell>
        </row>
        <row r="52">
          <cell r="A52" t="str">
            <v>CS-SB006-BK-2XL</v>
          </cell>
          <cell r="B52">
            <v>822</v>
          </cell>
          <cell r="C52">
            <v>5</v>
          </cell>
          <cell r="D52">
            <v>4.27</v>
          </cell>
          <cell r="E52">
            <v>130</v>
          </cell>
          <cell r="F52">
            <v>1</v>
          </cell>
          <cell r="G52">
            <v>0.42</v>
          </cell>
          <cell r="H52">
            <v>150</v>
          </cell>
          <cell r="I52">
            <v>0</v>
          </cell>
          <cell r="J52">
            <v>0</v>
          </cell>
          <cell r="K52">
            <v>229</v>
          </cell>
          <cell r="L52">
            <v>2</v>
          </cell>
          <cell r="M52">
            <v>0.98</v>
          </cell>
        </row>
        <row r="53">
          <cell r="A53" t="str">
            <v>CS-SB006-BL2-XL</v>
          </cell>
          <cell r="B53">
            <v>7010</v>
          </cell>
          <cell r="C53">
            <v>10</v>
          </cell>
          <cell r="D53">
            <v>4.84</v>
          </cell>
          <cell r="E53">
            <v>845</v>
          </cell>
          <cell r="F53">
            <v>5</v>
          </cell>
          <cell r="G53">
            <v>1.88</v>
          </cell>
          <cell r="H53">
            <v>1202</v>
          </cell>
          <cell r="I53">
            <v>6</v>
          </cell>
          <cell r="J53">
            <v>1.81</v>
          </cell>
          <cell r="K53">
            <v>1310</v>
          </cell>
          <cell r="L53">
            <v>3</v>
          </cell>
          <cell r="M53">
            <v>0.94</v>
          </cell>
        </row>
        <row r="54">
          <cell r="A54" t="str">
            <v>CS-LY084-H6-XXL</v>
          </cell>
          <cell r="B54">
            <v>0</v>
          </cell>
          <cell r="C54">
            <v>0</v>
          </cell>
          <cell r="D54">
            <v>0</v>
          </cell>
          <cell r="E54">
            <v>54</v>
          </cell>
          <cell r="F54">
            <v>1</v>
          </cell>
          <cell r="G54">
            <v>0.44</v>
          </cell>
          <cell r="H54">
            <v>159</v>
          </cell>
          <cell r="I54">
            <v>0</v>
          </cell>
          <cell r="J54">
            <v>0</v>
          </cell>
          <cell r="K54">
            <v>162</v>
          </cell>
          <cell r="L54">
            <v>0</v>
          </cell>
          <cell r="M54">
            <v>0</v>
          </cell>
        </row>
        <row r="55">
          <cell r="A55" t="str">
            <v>MY-SB011-DG-XL</v>
          </cell>
          <cell r="B55">
            <v>2085</v>
          </cell>
          <cell r="C55">
            <v>12</v>
          </cell>
          <cell r="D55">
            <v>7.75</v>
          </cell>
          <cell r="E55">
            <v>3335</v>
          </cell>
          <cell r="F55">
            <v>23</v>
          </cell>
          <cell r="G55">
            <v>10.01</v>
          </cell>
          <cell r="H55">
            <v>2633</v>
          </cell>
          <cell r="I55">
            <v>19</v>
          </cell>
          <cell r="J55">
            <v>10.13</v>
          </cell>
          <cell r="K55">
            <v>9285</v>
          </cell>
          <cell r="L55">
            <v>30</v>
          </cell>
          <cell r="M55">
            <v>21.35</v>
          </cell>
        </row>
        <row r="56">
          <cell r="A56" t="str">
            <v>CS-SB002-RNBL-2XL</v>
          </cell>
          <cell r="B56">
            <v>4</v>
          </cell>
          <cell r="C56">
            <v>0</v>
          </cell>
          <cell r="D56">
            <v>0</v>
          </cell>
          <cell r="E56">
            <v>16</v>
          </cell>
          <cell r="F56">
            <v>0</v>
          </cell>
          <cell r="G56">
            <v>0</v>
          </cell>
          <cell r="H56">
            <v>15</v>
          </cell>
          <cell r="I56">
            <v>0</v>
          </cell>
          <cell r="J56">
            <v>0</v>
          </cell>
          <cell r="K56">
            <v>7</v>
          </cell>
          <cell r="L56">
            <v>0</v>
          </cell>
          <cell r="M56">
            <v>0</v>
          </cell>
        </row>
        <row r="57">
          <cell r="A57" t="str">
            <v>CS-SB007-GR-L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40</v>
          </cell>
          <cell r="I57">
            <v>0</v>
          </cell>
          <cell r="J57">
            <v>0</v>
          </cell>
          <cell r="K57">
            <v>4485</v>
          </cell>
          <cell r="L57">
            <v>7</v>
          </cell>
          <cell r="M57">
            <v>4.08</v>
          </cell>
        </row>
        <row r="58">
          <cell r="A58" t="str">
            <v>CS-SB166-B28-1-L</v>
          </cell>
          <cell r="B58">
            <v>222</v>
          </cell>
          <cell r="C58">
            <v>0</v>
          </cell>
          <cell r="D58">
            <v>0</v>
          </cell>
          <cell r="E58">
            <v>128</v>
          </cell>
          <cell r="F58">
            <v>0</v>
          </cell>
          <cell r="G58">
            <v>0</v>
          </cell>
          <cell r="H58">
            <v>312</v>
          </cell>
          <cell r="I58">
            <v>1</v>
          </cell>
          <cell r="J58">
            <v>0.44</v>
          </cell>
          <cell r="K58">
            <v>347</v>
          </cell>
          <cell r="L58">
            <v>0</v>
          </cell>
          <cell r="M58">
            <v>0</v>
          </cell>
        </row>
        <row r="59">
          <cell r="A59" t="str">
            <v>CS-SB166-B28-5-XL</v>
          </cell>
          <cell r="B59">
            <v>495</v>
          </cell>
          <cell r="C59">
            <v>0</v>
          </cell>
          <cell r="D59">
            <v>0</v>
          </cell>
          <cell r="E59">
            <v>759</v>
          </cell>
          <cell r="F59">
            <v>0</v>
          </cell>
          <cell r="G59">
            <v>0</v>
          </cell>
          <cell r="H59">
            <v>860</v>
          </cell>
          <cell r="I59">
            <v>0</v>
          </cell>
          <cell r="J59">
            <v>0</v>
          </cell>
          <cell r="K59">
            <v>1038</v>
          </cell>
          <cell r="L59">
            <v>1</v>
          </cell>
          <cell r="M59">
            <v>0.41</v>
          </cell>
        </row>
        <row r="60">
          <cell r="A60" t="str">
            <v>CS-SB009-BL-XL</v>
          </cell>
          <cell r="B60">
            <v>46746</v>
          </cell>
          <cell r="C60">
            <v>111</v>
          </cell>
          <cell r="D60">
            <v>82.72</v>
          </cell>
          <cell r="E60">
            <v>70017</v>
          </cell>
          <cell r="F60">
            <v>124</v>
          </cell>
          <cell r="G60">
            <v>78.18</v>
          </cell>
          <cell r="H60">
            <v>76707</v>
          </cell>
          <cell r="I60">
            <v>165</v>
          </cell>
          <cell r="J60">
            <v>103.54</v>
          </cell>
          <cell r="K60">
            <v>37726</v>
          </cell>
          <cell r="L60">
            <v>58</v>
          </cell>
          <cell r="M60">
            <v>35.41</v>
          </cell>
        </row>
        <row r="61">
          <cell r="A61" t="str">
            <v>MY-LYRound020-K0-L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176</v>
          </cell>
          <cell r="I61">
            <v>2</v>
          </cell>
          <cell r="J61">
            <v>0.84</v>
          </cell>
          <cell r="K61">
            <v>1088</v>
          </cell>
          <cell r="L61">
            <v>10</v>
          </cell>
          <cell r="M61">
            <v>6.19</v>
          </cell>
        </row>
        <row r="62">
          <cell r="A62" t="str">
            <v>CS-SB007-BL-L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374</v>
          </cell>
          <cell r="I62">
            <v>1</v>
          </cell>
          <cell r="J62">
            <v>0.56</v>
          </cell>
          <cell r="K62">
            <v>2361</v>
          </cell>
          <cell r="L62">
            <v>2</v>
          </cell>
          <cell r="M62">
            <v>1.23</v>
          </cell>
        </row>
        <row r="63">
          <cell r="A63" t="str">
            <v>POLO-1503-NY-L</v>
          </cell>
          <cell r="B63">
            <v>3333</v>
          </cell>
          <cell r="C63">
            <v>6</v>
          </cell>
          <cell r="D63">
            <v>2.65</v>
          </cell>
          <cell r="E63">
            <v>150</v>
          </cell>
          <cell r="F63">
            <v>2</v>
          </cell>
          <cell r="G63">
            <v>1.14</v>
          </cell>
          <cell r="H63">
            <v>207</v>
          </cell>
          <cell r="I63">
            <v>1</v>
          </cell>
          <cell r="J63">
            <v>0.6</v>
          </cell>
          <cell r="K63">
            <v>542</v>
          </cell>
          <cell r="L63">
            <v>2</v>
          </cell>
          <cell r="M63">
            <v>0.73</v>
          </cell>
        </row>
        <row r="64">
          <cell r="A64" t="str">
            <v>MY-LYRound020-BL-M</v>
          </cell>
          <cell r="B64">
            <v>2912</v>
          </cell>
          <cell r="C64">
            <v>5</v>
          </cell>
          <cell r="D64">
            <v>2.66</v>
          </cell>
          <cell r="E64">
            <v>1585</v>
          </cell>
          <cell r="F64">
            <v>3</v>
          </cell>
          <cell r="G64">
            <v>1</v>
          </cell>
          <cell r="H64">
            <v>1675</v>
          </cell>
          <cell r="I64">
            <v>4</v>
          </cell>
          <cell r="J64">
            <v>1.03</v>
          </cell>
          <cell r="K64">
            <v>3494</v>
          </cell>
          <cell r="L64">
            <v>7</v>
          </cell>
          <cell r="M64">
            <v>2.08</v>
          </cell>
        </row>
        <row r="65">
          <cell r="A65" t="str">
            <v>CS-SB181-ZL918-XL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36890</v>
          </cell>
          <cell r="I65">
            <v>86</v>
          </cell>
          <cell r="J65">
            <v>61.19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CS-SB170-LB916-L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6647</v>
          </cell>
          <cell r="L66">
            <v>47</v>
          </cell>
          <cell r="M66">
            <v>34.23</v>
          </cell>
        </row>
        <row r="67">
          <cell r="A67" t="str">
            <v>MY-LYRound020-GR-L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7746</v>
          </cell>
          <cell r="L67">
            <v>18</v>
          </cell>
          <cell r="M67">
            <v>10.96</v>
          </cell>
        </row>
        <row r="68">
          <cell r="A68" t="str">
            <v>CS-SB170-Sa911-XXL</v>
          </cell>
          <cell r="B68">
            <v>10</v>
          </cell>
          <cell r="C68">
            <v>0</v>
          </cell>
          <cell r="D68">
            <v>0</v>
          </cell>
          <cell r="E68">
            <v>137</v>
          </cell>
          <cell r="F68">
            <v>1</v>
          </cell>
          <cell r="G68">
            <v>0.49</v>
          </cell>
          <cell r="H68">
            <v>24</v>
          </cell>
          <cell r="I68">
            <v>1</v>
          </cell>
          <cell r="J68">
            <v>0.61</v>
          </cell>
          <cell r="K68">
            <v>695</v>
          </cell>
          <cell r="L68">
            <v>6</v>
          </cell>
          <cell r="M68">
            <v>3.64</v>
          </cell>
        </row>
        <row r="69">
          <cell r="A69" t="str">
            <v>CS-SB002-CF-L</v>
          </cell>
          <cell r="B69">
            <v>244</v>
          </cell>
          <cell r="C69">
            <v>2</v>
          </cell>
          <cell r="D69">
            <v>0.97</v>
          </cell>
          <cell r="E69">
            <v>192</v>
          </cell>
          <cell r="F69">
            <v>2</v>
          </cell>
          <cell r="G69">
            <v>1.52</v>
          </cell>
          <cell r="H69">
            <v>262</v>
          </cell>
          <cell r="I69">
            <v>3</v>
          </cell>
          <cell r="J69">
            <v>2.04</v>
          </cell>
          <cell r="K69">
            <v>178</v>
          </cell>
          <cell r="L69">
            <v>1</v>
          </cell>
          <cell r="M69">
            <v>0.68</v>
          </cell>
        </row>
        <row r="70">
          <cell r="A70" t="str">
            <v>CS-SB171-LG907-XL</v>
          </cell>
          <cell r="B70">
            <v>8011</v>
          </cell>
          <cell r="C70">
            <v>13</v>
          </cell>
          <cell r="D70">
            <v>10.48</v>
          </cell>
          <cell r="E70">
            <v>16454</v>
          </cell>
          <cell r="F70">
            <v>35</v>
          </cell>
          <cell r="G70">
            <v>23.3</v>
          </cell>
          <cell r="H70">
            <v>750</v>
          </cell>
          <cell r="I70">
            <v>3</v>
          </cell>
          <cell r="J70">
            <v>1.66</v>
          </cell>
          <cell r="K70">
            <v>923</v>
          </cell>
          <cell r="L70">
            <v>4</v>
          </cell>
          <cell r="M70">
            <v>2.08</v>
          </cell>
        </row>
        <row r="71">
          <cell r="A71" t="str">
            <v>MY-SB019-BL-XL</v>
          </cell>
          <cell r="B71">
            <v>449</v>
          </cell>
          <cell r="C71">
            <v>0</v>
          </cell>
          <cell r="D71">
            <v>0</v>
          </cell>
          <cell r="E71">
            <v>183</v>
          </cell>
          <cell r="F71">
            <v>0</v>
          </cell>
          <cell r="G71">
            <v>0</v>
          </cell>
          <cell r="H71">
            <v>257</v>
          </cell>
          <cell r="I71">
            <v>0</v>
          </cell>
          <cell r="J71">
            <v>0</v>
          </cell>
          <cell r="K71">
            <v>233</v>
          </cell>
          <cell r="L71">
            <v>1</v>
          </cell>
          <cell r="M71">
            <v>0.93</v>
          </cell>
        </row>
        <row r="72">
          <cell r="A72" t="str">
            <v>CS-SB170-LB916-XL</v>
          </cell>
          <cell r="B72">
            <v>0</v>
          </cell>
          <cell r="C72">
            <v>0</v>
          </cell>
          <cell r="D72">
            <v>0</v>
          </cell>
          <cell r="E72">
            <v>248</v>
          </cell>
          <cell r="F72">
            <v>0</v>
          </cell>
          <cell r="G72">
            <v>0</v>
          </cell>
          <cell r="H72">
            <v>6806</v>
          </cell>
          <cell r="I72">
            <v>24</v>
          </cell>
          <cell r="J72">
            <v>15.17</v>
          </cell>
          <cell r="K72">
            <v>5464</v>
          </cell>
          <cell r="L72">
            <v>15</v>
          </cell>
          <cell r="M72">
            <v>10.31</v>
          </cell>
        </row>
        <row r="73">
          <cell r="A73" t="str">
            <v>CS-SB170-Sa911-XL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1611</v>
          </cell>
          <cell r="I73">
            <v>13</v>
          </cell>
          <cell r="J73">
            <v>9.96</v>
          </cell>
          <cell r="K73">
            <v>1565</v>
          </cell>
          <cell r="L73">
            <v>10</v>
          </cell>
          <cell r="M73">
            <v>7.18</v>
          </cell>
        </row>
        <row r="74">
          <cell r="A74" t="str">
            <v>MY-SBRound020-NY-XL</v>
          </cell>
          <cell r="B74">
            <v>77</v>
          </cell>
          <cell r="C74">
            <v>1</v>
          </cell>
          <cell r="D74">
            <v>0.55</v>
          </cell>
          <cell r="E74">
            <v>276</v>
          </cell>
          <cell r="F74">
            <v>0</v>
          </cell>
          <cell r="G74">
            <v>0</v>
          </cell>
          <cell r="H74">
            <v>263</v>
          </cell>
          <cell r="I74">
            <v>1</v>
          </cell>
          <cell r="J74">
            <v>0.63</v>
          </cell>
          <cell r="K74">
            <v>272</v>
          </cell>
          <cell r="L74">
            <v>0</v>
          </cell>
          <cell r="M74">
            <v>0</v>
          </cell>
        </row>
        <row r="75">
          <cell r="A75" t="str">
            <v>CS-SB171-W902-L</v>
          </cell>
          <cell r="B75">
            <v>64</v>
          </cell>
          <cell r="C75">
            <v>0</v>
          </cell>
          <cell r="D75">
            <v>0</v>
          </cell>
          <cell r="E75">
            <v>766</v>
          </cell>
          <cell r="F75">
            <v>0</v>
          </cell>
          <cell r="G75">
            <v>0</v>
          </cell>
          <cell r="H75">
            <v>982</v>
          </cell>
          <cell r="I75">
            <v>0</v>
          </cell>
          <cell r="J75">
            <v>0</v>
          </cell>
          <cell r="K75">
            <v>1420</v>
          </cell>
          <cell r="L75">
            <v>0</v>
          </cell>
          <cell r="M75">
            <v>0</v>
          </cell>
        </row>
        <row r="76">
          <cell r="A76" t="str">
            <v>CS-SB171-ZL918-L</v>
          </cell>
          <cell r="B76">
            <v>2583</v>
          </cell>
          <cell r="C76">
            <v>13</v>
          </cell>
          <cell r="D76">
            <v>7.18</v>
          </cell>
          <cell r="E76">
            <v>4301</v>
          </cell>
          <cell r="F76">
            <v>6</v>
          </cell>
          <cell r="G76">
            <v>7</v>
          </cell>
          <cell r="H76">
            <v>5785</v>
          </cell>
          <cell r="I76">
            <v>13</v>
          </cell>
          <cell r="J76">
            <v>10.16</v>
          </cell>
          <cell r="K76">
            <v>1469</v>
          </cell>
          <cell r="L76">
            <v>2</v>
          </cell>
          <cell r="M76">
            <v>2.36</v>
          </cell>
        </row>
        <row r="77">
          <cell r="A77" t="str">
            <v>MY-SBPoint021-GR-XL</v>
          </cell>
          <cell r="B77">
            <v>53</v>
          </cell>
          <cell r="C77">
            <v>0</v>
          </cell>
          <cell r="D77">
            <v>0</v>
          </cell>
          <cell r="E77">
            <v>121</v>
          </cell>
          <cell r="F77">
            <v>0</v>
          </cell>
          <cell r="G77">
            <v>0</v>
          </cell>
          <cell r="H77">
            <v>196</v>
          </cell>
          <cell r="I77">
            <v>0</v>
          </cell>
          <cell r="J77">
            <v>0</v>
          </cell>
          <cell r="K77">
            <v>268</v>
          </cell>
          <cell r="L77">
            <v>2</v>
          </cell>
          <cell r="M77">
            <v>1.23</v>
          </cell>
        </row>
        <row r="78">
          <cell r="A78" t="str">
            <v>CS-SB170-LG907-XL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317</v>
          </cell>
          <cell r="L78">
            <v>8</v>
          </cell>
          <cell r="M78">
            <v>6.18</v>
          </cell>
        </row>
        <row r="79">
          <cell r="A79" t="str">
            <v>CS-SB170-LG907-L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99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CS-SB170-W902-L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87</v>
          </cell>
          <cell r="L80">
            <v>1</v>
          </cell>
          <cell r="M80">
            <v>0.48</v>
          </cell>
        </row>
        <row r="81">
          <cell r="A81" t="str">
            <v>CS-BS003-LB-L</v>
          </cell>
          <cell r="B81">
            <v>22989</v>
          </cell>
          <cell r="C81">
            <v>138</v>
          </cell>
          <cell r="D81">
            <v>68.58</v>
          </cell>
          <cell r="E81">
            <v>45983</v>
          </cell>
          <cell r="F81">
            <v>233</v>
          </cell>
          <cell r="G81">
            <v>109.59</v>
          </cell>
          <cell r="H81">
            <v>38418</v>
          </cell>
          <cell r="I81">
            <v>228</v>
          </cell>
          <cell r="J81">
            <v>121.59</v>
          </cell>
          <cell r="K81">
            <v>35577</v>
          </cell>
          <cell r="L81">
            <v>216</v>
          </cell>
          <cell r="M81">
            <v>103.8</v>
          </cell>
        </row>
        <row r="82">
          <cell r="A82" t="str">
            <v>CS-LY085-LG907-S</v>
          </cell>
          <cell r="B82">
            <v>5486</v>
          </cell>
          <cell r="C82">
            <v>18</v>
          </cell>
          <cell r="D82">
            <v>9.18</v>
          </cell>
          <cell r="E82">
            <v>9832</v>
          </cell>
          <cell r="F82">
            <v>21</v>
          </cell>
          <cell r="G82">
            <v>9.58</v>
          </cell>
          <cell r="H82">
            <v>3241</v>
          </cell>
          <cell r="I82">
            <v>11</v>
          </cell>
          <cell r="J82">
            <v>4.79</v>
          </cell>
          <cell r="K82">
            <v>3362</v>
          </cell>
          <cell r="L82">
            <v>2</v>
          </cell>
          <cell r="M82">
            <v>1.44</v>
          </cell>
        </row>
        <row r="83">
          <cell r="A83" t="str">
            <v>POLO-1503-BK-XL</v>
          </cell>
          <cell r="B83">
            <v>19015</v>
          </cell>
          <cell r="C83">
            <v>28</v>
          </cell>
          <cell r="D83">
            <v>17.66</v>
          </cell>
          <cell r="E83">
            <v>1579</v>
          </cell>
          <cell r="F83">
            <v>9</v>
          </cell>
          <cell r="G83">
            <v>3.15</v>
          </cell>
          <cell r="H83">
            <v>5163</v>
          </cell>
          <cell r="I83">
            <v>14</v>
          </cell>
          <cell r="J83">
            <v>5.15</v>
          </cell>
          <cell r="K83">
            <v>20394</v>
          </cell>
          <cell r="L83">
            <v>34</v>
          </cell>
          <cell r="M83">
            <v>11.84</v>
          </cell>
        </row>
        <row r="84">
          <cell r="A84" t="str">
            <v>KZ-LHYX001-BLK-L</v>
          </cell>
          <cell r="B84">
            <v>60170</v>
          </cell>
          <cell r="C84">
            <v>249</v>
          </cell>
          <cell r="D84">
            <v>108.29</v>
          </cell>
          <cell r="E84">
            <v>20699</v>
          </cell>
          <cell r="F84">
            <v>135</v>
          </cell>
          <cell r="G84">
            <v>50.43</v>
          </cell>
          <cell r="H84">
            <v>11957</v>
          </cell>
          <cell r="I84">
            <v>79</v>
          </cell>
          <cell r="J84">
            <v>30</v>
          </cell>
          <cell r="K84">
            <v>3022</v>
          </cell>
          <cell r="L84">
            <v>15</v>
          </cell>
          <cell r="M84">
            <v>5.34</v>
          </cell>
        </row>
        <row r="85">
          <cell r="A85" t="str">
            <v>KZ-LHYX001-GRY-L</v>
          </cell>
          <cell r="B85">
            <v>19618</v>
          </cell>
          <cell r="C85">
            <v>48</v>
          </cell>
          <cell r="D85">
            <v>23.64</v>
          </cell>
          <cell r="E85">
            <v>55737</v>
          </cell>
          <cell r="F85">
            <v>159</v>
          </cell>
          <cell r="G85">
            <v>76.14</v>
          </cell>
          <cell r="H85">
            <v>72850</v>
          </cell>
          <cell r="I85">
            <v>305</v>
          </cell>
          <cell r="J85">
            <v>144.49</v>
          </cell>
          <cell r="K85">
            <v>11985</v>
          </cell>
          <cell r="L85">
            <v>77</v>
          </cell>
          <cell r="M85">
            <v>38.04</v>
          </cell>
        </row>
        <row r="86">
          <cell r="A86" t="str">
            <v>SB-YL003-GH80</v>
          </cell>
          <cell r="B86">
            <v>1486</v>
          </cell>
          <cell r="C86">
            <v>3</v>
          </cell>
          <cell r="D86">
            <v>0.96</v>
          </cell>
          <cell r="E86">
            <v>3530</v>
          </cell>
          <cell r="F86">
            <v>9</v>
          </cell>
          <cell r="G86">
            <v>2.07</v>
          </cell>
          <cell r="H86">
            <v>2557</v>
          </cell>
          <cell r="I86">
            <v>2</v>
          </cell>
          <cell r="J86">
            <v>0.74</v>
          </cell>
          <cell r="K86">
            <v>2415</v>
          </cell>
          <cell r="L86">
            <v>10</v>
          </cell>
          <cell r="M86">
            <v>3.34</v>
          </cell>
        </row>
        <row r="87">
          <cell r="A87" t="str">
            <v>SB-YL004-FD50</v>
          </cell>
          <cell r="B87">
            <v>745</v>
          </cell>
          <cell r="C87">
            <v>7</v>
          </cell>
          <cell r="D87">
            <v>2.13</v>
          </cell>
          <cell r="E87">
            <v>940</v>
          </cell>
          <cell r="F87">
            <v>2</v>
          </cell>
          <cell r="G87">
            <v>0.99</v>
          </cell>
          <cell r="H87">
            <v>1037</v>
          </cell>
          <cell r="I87">
            <v>7</v>
          </cell>
          <cell r="J87">
            <v>2.34</v>
          </cell>
          <cell r="K87">
            <v>2929</v>
          </cell>
          <cell r="L87">
            <v>9</v>
          </cell>
          <cell r="M87">
            <v>3.3</v>
          </cell>
        </row>
        <row r="88">
          <cell r="A88" t="str">
            <v>CS-LHY032-GN1-L</v>
          </cell>
          <cell r="B88">
            <v>1377</v>
          </cell>
          <cell r="C88">
            <v>11</v>
          </cell>
          <cell r="D88">
            <v>9.09</v>
          </cell>
          <cell r="E88">
            <v>0</v>
          </cell>
          <cell r="F88">
            <v>0</v>
          </cell>
          <cell r="G88">
            <v>0</v>
          </cell>
          <cell r="H88">
            <v>120</v>
          </cell>
          <cell r="I88">
            <v>0</v>
          </cell>
          <cell r="J88">
            <v>0</v>
          </cell>
          <cell r="K88">
            <v>936</v>
          </cell>
          <cell r="L88">
            <v>3</v>
          </cell>
          <cell r="M88">
            <v>1.4</v>
          </cell>
        </row>
        <row r="89">
          <cell r="A89" t="str">
            <v>CS-SB030-NY-M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1338</v>
          </cell>
          <cell r="L89">
            <v>18</v>
          </cell>
          <cell r="M89">
            <v>12.62</v>
          </cell>
        </row>
        <row r="90">
          <cell r="A90" t="str">
            <v>CS-SB170-WR-XL</v>
          </cell>
          <cell r="B90">
            <v>47</v>
          </cell>
          <cell r="C90">
            <v>0</v>
          </cell>
          <cell r="D90">
            <v>0</v>
          </cell>
          <cell r="E90">
            <v>65</v>
          </cell>
          <cell r="F90">
            <v>0</v>
          </cell>
          <cell r="G90">
            <v>0</v>
          </cell>
          <cell r="H90">
            <v>296</v>
          </cell>
          <cell r="I90">
            <v>1</v>
          </cell>
          <cell r="J90">
            <v>0.55</v>
          </cell>
          <cell r="K90">
            <v>172</v>
          </cell>
          <cell r="L90">
            <v>1</v>
          </cell>
          <cell r="M90">
            <v>0.35</v>
          </cell>
        </row>
        <row r="91">
          <cell r="A91" t="str">
            <v>CS-BS016-B0-L</v>
          </cell>
          <cell r="B91">
            <v>814</v>
          </cell>
          <cell r="C91">
            <v>1</v>
          </cell>
          <cell r="D91">
            <v>1.13</v>
          </cell>
          <cell r="E91">
            <v>418</v>
          </cell>
          <cell r="F91">
            <v>4</v>
          </cell>
          <cell r="G91">
            <v>1.86</v>
          </cell>
          <cell r="H91">
            <v>523</v>
          </cell>
          <cell r="I91">
            <v>1</v>
          </cell>
          <cell r="J91">
            <v>0.3</v>
          </cell>
          <cell r="K91">
            <v>652</v>
          </cell>
          <cell r="L91">
            <v>4</v>
          </cell>
          <cell r="M91">
            <v>2.34</v>
          </cell>
        </row>
        <row r="92">
          <cell r="A92" t="str">
            <v>WQS-BN-1503-KO-2XL</v>
          </cell>
          <cell r="B92">
            <v>5731</v>
          </cell>
          <cell r="C92">
            <v>29</v>
          </cell>
          <cell r="D92">
            <v>19.16</v>
          </cell>
          <cell r="E92">
            <v>3413</v>
          </cell>
          <cell r="F92">
            <v>22</v>
          </cell>
          <cell r="G92">
            <v>10.27</v>
          </cell>
          <cell r="H92">
            <v>978</v>
          </cell>
          <cell r="I92">
            <v>10</v>
          </cell>
          <cell r="J92">
            <v>5.78</v>
          </cell>
          <cell r="K92">
            <v>404</v>
          </cell>
          <cell r="L92">
            <v>2</v>
          </cell>
          <cell r="M92">
            <v>0.61</v>
          </cell>
        </row>
        <row r="93">
          <cell r="A93" t="str">
            <v>MY-SB026-NY-L</v>
          </cell>
          <cell r="B93">
            <v>1922</v>
          </cell>
          <cell r="C93">
            <v>12</v>
          </cell>
          <cell r="D93">
            <v>4.72</v>
          </cell>
          <cell r="E93">
            <v>472</v>
          </cell>
          <cell r="F93">
            <v>2</v>
          </cell>
          <cell r="G93">
            <v>0.43</v>
          </cell>
          <cell r="H93">
            <v>1254</v>
          </cell>
          <cell r="I93">
            <v>4</v>
          </cell>
          <cell r="J93">
            <v>0.94</v>
          </cell>
          <cell r="K93">
            <v>2722</v>
          </cell>
          <cell r="L93">
            <v>4</v>
          </cell>
          <cell r="M93">
            <v>1.68</v>
          </cell>
        </row>
        <row r="94">
          <cell r="A94" t="str">
            <v>MY-SB026-DG-L</v>
          </cell>
          <cell r="B94">
            <v>4386</v>
          </cell>
          <cell r="C94">
            <v>15</v>
          </cell>
          <cell r="D94">
            <v>6.41</v>
          </cell>
          <cell r="E94">
            <v>3615</v>
          </cell>
          <cell r="F94">
            <v>5</v>
          </cell>
          <cell r="G94">
            <v>1.5</v>
          </cell>
          <cell r="H94">
            <v>5972</v>
          </cell>
          <cell r="I94">
            <v>14</v>
          </cell>
          <cell r="J94">
            <v>5.58</v>
          </cell>
          <cell r="K94">
            <v>11617</v>
          </cell>
          <cell r="L94">
            <v>25</v>
          </cell>
          <cell r="M94">
            <v>10.45</v>
          </cell>
        </row>
        <row r="95">
          <cell r="A95" t="str">
            <v>CS-LHY030-BK-XXL</v>
          </cell>
          <cell r="B95">
            <v>23097</v>
          </cell>
          <cell r="C95">
            <v>71</v>
          </cell>
          <cell r="D95">
            <v>38.39</v>
          </cell>
          <cell r="E95">
            <v>43639</v>
          </cell>
          <cell r="F95">
            <v>126</v>
          </cell>
          <cell r="G95">
            <v>69.48</v>
          </cell>
          <cell r="H95">
            <v>42965</v>
          </cell>
          <cell r="I95">
            <v>125</v>
          </cell>
          <cell r="J95">
            <v>63.94</v>
          </cell>
          <cell r="K95">
            <v>5090</v>
          </cell>
          <cell r="L95">
            <v>17</v>
          </cell>
          <cell r="M95">
            <v>8.26</v>
          </cell>
        </row>
        <row r="96">
          <cell r="A96" t="str">
            <v>MY-SB011-NY-L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1256</v>
          </cell>
          <cell r="L96">
            <v>5</v>
          </cell>
          <cell r="M96">
            <v>3.59</v>
          </cell>
        </row>
        <row r="97">
          <cell r="A97" t="str">
            <v>CS-SB005-BL2-L</v>
          </cell>
          <cell r="B97">
            <v>2419</v>
          </cell>
          <cell r="C97">
            <v>6</v>
          </cell>
          <cell r="D97">
            <v>4.41</v>
          </cell>
          <cell r="E97">
            <v>1292</v>
          </cell>
          <cell r="F97">
            <v>7</v>
          </cell>
          <cell r="G97">
            <v>3.21</v>
          </cell>
          <cell r="H97">
            <v>2718</v>
          </cell>
          <cell r="I97">
            <v>6</v>
          </cell>
          <cell r="J97">
            <v>3.19</v>
          </cell>
          <cell r="K97">
            <v>2222</v>
          </cell>
          <cell r="L97">
            <v>2</v>
          </cell>
          <cell r="M97">
            <v>0.84</v>
          </cell>
        </row>
        <row r="98">
          <cell r="A98" t="str">
            <v>CS-LHY170-ZL918-XXL</v>
          </cell>
          <cell r="B98">
            <v>2453</v>
          </cell>
          <cell r="C98">
            <v>18</v>
          </cell>
          <cell r="D98">
            <v>15.33</v>
          </cell>
          <cell r="E98">
            <v>4797</v>
          </cell>
          <cell r="F98">
            <v>36</v>
          </cell>
          <cell r="G98">
            <v>37.12</v>
          </cell>
          <cell r="H98">
            <v>1866</v>
          </cell>
          <cell r="I98">
            <v>18</v>
          </cell>
          <cell r="J98">
            <v>18.95</v>
          </cell>
          <cell r="K98">
            <v>318</v>
          </cell>
          <cell r="L98">
            <v>1</v>
          </cell>
          <cell r="M98">
            <v>0.95</v>
          </cell>
        </row>
        <row r="99">
          <cell r="A99" t="str">
            <v>CS-LHY170-ZL918-XL</v>
          </cell>
          <cell r="B99">
            <v>372</v>
          </cell>
          <cell r="C99">
            <v>11</v>
          </cell>
          <cell r="D99">
            <v>8.22</v>
          </cell>
          <cell r="E99">
            <v>593</v>
          </cell>
          <cell r="F99">
            <v>13</v>
          </cell>
          <cell r="G99">
            <v>9.82</v>
          </cell>
          <cell r="H99">
            <v>380</v>
          </cell>
          <cell r="I99">
            <v>5</v>
          </cell>
          <cell r="J99">
            <v>3.88</v>
          </cell>
          <cell r="K99">
            <v>32</v>
          </cell>
          <cell r="L99">
            <v>0</v>
          </cell>
          <cell r="M99">
            <v>0</v>
          </cell>
        </row>
        <row r="100">
          <cell r="A100" t="str">
            <v>CS-SB170-W902-XXL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MY-LYRound020-WR-L</v>
          </cell>
          <cell r="B101">
            <v>1906</v>
          </cell>
          <cell r="C101">
            <v>12</v>
          </cell>
          <cell r="D101">
            <v>8.41</v>
          </cell>
          <cell r="E101">
            <v>569</v>
          </cell>
          <cell r="F101">
            <v>3</v>
          </cell>
          <cell r="G101">
            <v>1.12</v>
          </cell>
          <cell r="H101">
            <v>489</v>
          </cell>
          <cell r="I101">
            <v>2</v>
          </cell>
          <cell r="J101">
            <v>1.09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KZ-LHY001-BLK-M</v>
          </cell>
          <cell r="B102">
            <v>9789</v>
          </cell>
          <cell r="C102">
            <v>64</v>
          </cell>
          <cell r="D102">
            <v>36.21</v>
          </cell>
          <cell r="E102">
            <v>6503</v>
          </cell>
          <cell r="F102">
            <v>34</v>
          </cell>
          <cell r="G102">
            <v>12.87</v>
          </cell>
          <cell r="H102">
            <v>755</v>
          </cell>
          <cell r="I102">
            <v>9</v>
          </cell>
          <cell r="J102">
            <v>3.8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CS-LHY170-W902-XL</v>
          </cell>
          <cell r="B103">
            <v>2337</v>
          </cell>
          <cell r="C103">
            <v>15</v>
          </cell>
          <cell r="D103">
            <v>13.71</v>
          </cell>
          <cell r="E103">
            <v>9268</v>
          </cell>
          <cell r="F103">
            <v>28</v>
          </cell>
          <cell r="G103">
            <v>20.03</v>
          </cell>
          <cell r="H103">
            <v>15560</v>
          </cell>
          <cell r="I103">
            <v>37</v>
          </cell>
          <cell r="J103">
            <v>26.38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CS-LHY170-ZL918-L</v>
          </cell>
          <cell r="B104">
            <v>6038</v>
          </cell>
          <cell r="C104">
            <v>68</v>
          </cell>
          <cell r="D104">
            <v>52.09</v>
          </cell>
          <cell r="E104">
            <v>1691</v>
          </cell>
          <cell r="F104">
            <v>39</v>
          </cell>
          <cell r="G104">
            <v>31.63</v>
          </cell>
          <cell r="H104">
            <v>994</v>
          </cell>
          <cell r="I104">
            <v>25</v>
          </cell>
          <cell r="J104">
            <v>18.33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CS-SB170-LG907-XXL</v>
          </cell>
          <cell r="B105">
            <v>1481</v>
          </cell>
          <cell r="C105">
            <v>20</v>
          </cell>
          <cell r="D105">
            <v>10.87</v>
          </cell>
          <cell r="E105">
            <v>1500</v>
          </cell>
          <cell r="F105">
            <v>14</v>
          </cell>
          <cell r="G105">
            <v>8.6</v>
          </cell>
          <cell r="H105">
            <v>913</v>
          </cell>
          <cell r="I105">
            <v>13</v>
          </cell>
          <cell r="J105">
            <v>9.82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WQS-BN-1503-GR-2XL</v>
          </cell>
          <cell r="B106">
            <v>976</v>
          </cell>
          <cell r="C106">
            <v>2</v>
          </cell>
          <cell r="D106">
            <v>1.37</v>
          </cell>
          <cell r="E106">
            <v>231</v>
          </cell>
          <cell r="F106">
            <v>2</v>
          </cell>
          <cell r="G106">
            <v>0.49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CS-LHY170-WR917-XL</v>
          </cell>
          <cell r="B107">
            <v>0</v>
          </cell>
          <cell r="C107">
            <v>0</v>
          </cell>
          <cell r="D107">
            <v>0</v>
          </cell>
          <cell r="E107">
            <v>12284</v>
          </cell>
          <cell r="F107">
            <v>35</v>
          </cell>
          <cell r="G107">
            <v>17.38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CS-BUSB031-YL2-XL</v>
          </cell>
          <cell r="B108">
            <v>6129</v>
          </cell>
          <cell r="C108">
            <v>14</v>
          </cell>
          <cell r="D108">
            <v>8.84</v>
          </cell>
          <cell r="E108">
            <v>2659</v>
          </cell>
          <cell r="F108">
            <v>6</v>
          </cell>
          <cell r="G108">
            <v>1.75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CS-BUSB031-GN2-XL</v>
          </cell>
          <cell r="B109">
            <v>38718</v>
          </cell>
          <cell r="C109">
            <v>82</v>
          </cell>
          <cell r="D109">
            <v>39.05</v>
          </cell>
          <cell r="E109">
            <v>5098</v>
          </cell>
          <cell r="F109">
            <v>18</v>
          </cell>
          <cell r="G109">
            <v>8.17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CS-BUSB031-GN2-XXL</v>
          </cell>
          <cell r="B110">
            <v>6235</v>
          </cell>
          <cell r="C110">
            <v>13</v>
          </cell>
          <cell r="D110">
            <v>7.83</v>
          </cell>
          <cell r="E110">
            <v>12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CS-SB007-BL-XL</v>
          </cell>
          <cell r="B111">
            <v>1558</v>
          </cell>
          <cell r="C111">
            <v>6</v>
          </cell>
          <cell r="D111">
            <v>2.75</v>
          </cell>
          <cell r="E111">
            <v>213</v>
          </cell>
          <cell r="F111">
            <v>2</v>
          </cell>
          <cell r="G111">
            <v>0.99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CS-SB171-ZL918-M</v>
          </cell>
          <cell r="B112">
            <v>9080</v>
          </cell>
          <cell r="C112">
            <v>14</v>
          </cell>
          <cell r="D112">
            <v>9.79</v>
          </cell>
          <cell r="E112">
            <v>18304</v>
          </cell>
          <cell r="F112">
            <v>24</v>
          </cell>
          <cell r="G112">
            <v>14.37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CS-LY084-H15-L</v>
          </cell>
          <cell r="B113">
            <v>8382</v>
          </cell>
          <cell r="C113">
            <v>14</v>
          </cell>
          <cell r="D113">
            <v>8.15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MY-SB011-RD-M</v>
          </cell>
          <cell r="B114">
            <v>871</v>
          </cell>
          <cell r="C114">
            <v>3</v>
          </cell>
          <cell r="D114">
            <v>1.43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CS-SB006-BL2-2XL</v>
          </cell>
          <cell r="B115">
            <v>373</v>
          </cell>
          <cell r="C115">
            <v>3</v>
          </cell>
          <cell r="D115">
            <v>1.68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MY-SB011-NY-XL</v>
          </cell>
          <cell r="B116">
            <v>327</v>
          </cell>
          <cell r="C116">
            <v>3</v>
          </cell>
          <cell r="D116">
            <v>2.42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CS-LHY009-GN-L</v>
          </cell>
          <cell r="B117">
            <v>228</v>
          </cell>
          <cell r="C117">
            <v>6</v>
          </cell>
          <cell r="D117">
            <v>3.04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CS-LHY032-GN2-XL</v>
          </cell>
          <cell r="B118">
            <v>18751</v>
          </cell>
          <cell r="C118">
            <v>33</v>
          </cell>
          <cell r="D118">
            <v>27.3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MY-SB011JR-LG-L</v>
          </cell>
          <cell r="B119">
            <v>47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MY-SB027-BL-L</v>
          </cell>
          <cell r="B120">
            <v>6443</v>
          </cell>
          <cell r="C120">
            <v>11</v>
          </cell>
          <cell r="D120">
            <v>5.96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MY-SB027-NY-M</v>
          </cell>
          <cell r="B121">
            <v>3804</v>
          </cell>
          <cell r="C121">
            <v>8</v>
          </cell>
          <cell r="D121">
            <v>4.69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MY-SB027-BK-L</v>
          </cell>
          <cell r="B122">
            <v>1221</v>
          </cell>
          <cell r="C122">
            <v>4</v>
          </cell>
          <cell r="D122">
            <v>2.36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CS-LHY032-BL-L</v>
          </cell>
          <cell r="B123">
            <v>34014</v>
          </cell>
          <cell r="C123">
            <v>123</v>
          </cell>
          <cell r="D123">
            <v>91.57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MY-LYPoint021-BL-L</v>
          </cell>
          <cell r="B124">
            <v>1794</v>
          </cell>
          <cell r="C124">
            <v>8</v>
          </cell>
          <cell r="D124">
            <v>6.39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MY-LYPoint021-NY-M</v>
          </cell>
          <cell r="B125">
            <v>780</v>
          </cell>
          <cell r="C125">
            <v>6</v>
          </cell>
          <cell r="D125">
            <v>3.73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CS-LHY032-GN2-XXL</v>
          </cell>
          <cell r="B126">
            <v>6752</v>
          </cell>
          <cell r="C126">
            <v>14</v>
          </cell>
          <cell r="D126">
            <v>9.93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MY-LYPoint021-GR-L</v>
          </cell>
          <cell r="B127">
            <v>837</v>
          </cell>
          <cell r="C127">
            <v>5</v>
          </cell>
          <cell r="D127">
            <v>4.1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MY-LYRound020-NY-S</v>
          </cell>
          <cell r="B128">
            <v>465</v>
          </cell>
          <cell r="C128">
            <v>3</v>
          </cell>
          <cell r="D128">
            <v>1.78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CS-SB005-BK-S</v>
          </cell>
          <cell r="B129">
            <v>1530</v>
          </cell>
          <cell r="C129">
            <v>1</v>
          </cell>
          <cell r="D129">
            <v>0.33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CS-BUSB031LHY-YL1-XL</v>
          </cell>
          <cell r="B130">
            <v>436</v>
          </cell>
          <cell r="C130">
            <v>1</v>
          </cell>
          <cell r="D130">
            <v>0.18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MY-LYRound020-K0-M</v>
          </cell>
          <cell r="B131">
            <v>380</v>
          </cell>
          <cell r="C131">
            <v>2</v>
          </cell>
          <cell r="D131">
            <v>1.09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KZ-LHY001-WHT-XL</v>
          </cell>
          <cell r="B132">
            <v>9469</v>
          </cell>
          <cell r="C132">
            <v>64</v>
          </cell>
          <cell r="D132">
            <v>38.98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CS-SB005-YL-L</v>
          </cell>
          <cell r="B133">
            <v>1342</v>
          </cell>
          <cell r="C133">
            <v>3</v>
          </cell>
          <cell r="D133">
            <v>2.29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CS-SB005-GN-M</v>
          </cell>
          <cell r="B134">
            <v>205</v>
          </cell>
          <cell r="C134">
            <v>2</v>
          </cell>
          <cell r="D134">
            <v>1.88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CS-LHY170-WR917-L</v>
          </cell>
          <cell r="B135">
            <v>3255</v>
          </cell>
          <cell r="C135">
            <v>7</v>
          </cell>
          <cell r="D135">
            <v>3.7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MY-LYRound020-GN-S</v>
          </cell>
          <cell r="B136">
            <v>1578</v>
          </cell>
          <cell r="C136">
            <v>3</v>
          </cell>
          <cell r="D136">
            <v>1.68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CS-SB166-B28-3-M</v>
          </cell>
          <cell r="B137">
            <v>32733</v>
          </cell>
          <cell r="C137">
            <v>35</v>
          </cell>
          <cell r="D137">
            <v>17.49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MY-SB026-RD-XL</v>
          </cell>
          <cell r="B138">
            <v>1852</v>
          </cell>
          <cell r="C138">
            <v>5</v>
          </cell>
          <cell r="D138">
            <v>1.73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CS-LY171-LB916-XXL</v>
          </cell>
          <cell r="B139">
            <v>2340</v>
          </cell>
          <cell r="C139">
            <v>3</v>
          </cell>
          <cell r="D139">
            <v>1.19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CS-SB016-BK-XXL</v>
          </cell>
          <cell r="B140">
            <v>303</v>
          </cell>
          <cell r="C140">
            <v>1</v>
          </cell>
          <cell r="D140">
            <v>0.47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CS-LHY170-LG907-L</v>
          </cell>
          <cell r="B141">
            <v>70711</v>
          </cell>
          <cell r="C141">
            <v>123</v>
          </cell>
          <cell r="D141">
            <v>81.15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MTX-IULHY-M188-GR-43/44</v>
          </cell>
          <cell r="B142">
            <v>150</v>
          </cell>
          <cell r="C142">
            <v>1</v>
          </cell>
          <cell r="D142">
            <v>0.58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MTX-IULHY-M188-CF-43/44</v>
          </cell>
          <cell r="B143">
            <v>126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MTX-IULHY-M1798-BK-29</v>
          </cell>
          <cell r="B144">
            <v>2857</v>
          </cell>
          <cell r="C144">
            <v>5</v>
          </cell>
          <cell r="D144">
            <v>3.82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MTX-IULHY-M1798-CF-29</v>
          </cell>
          <cell r="B145">
            <v>718</v>
          </cell>
          <cell r="C145">
            <v>2</v>
          </cell>
          <cell r="D145">
            <v>1.96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MTX-IULHY-M1758-DC-28</v>
          </cell>
          <cell r="B146">
            <v>127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MTX-IULHY-M1758-LC-29</v>
          </cell>
          <cell r="B147">
            <v>145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1583</v>
          </cell>
          <cell r="D2">
            <v>1287</v>
          </cell>
          <cell r="E2">
            <v>1752</v>
          </cell>
          <cell r="F2">
            <v>1210</v>
          </cell>
        </row>
        <row r="3">
          <cell r="A3" t="str">
            <v>CA084-H12-XXL</v>
          </cell>
          <cell r="B3" t="str">
            <v>CA084</v>
          </cell>
          <cell r="C3">
            <v>0</v>
          </cell>
          <cell r="D3">
            <v>0</v>
          </cell>
          <cell r="E3">
            <v>2</v>
          </cell>
          <cell r="F3">
            <v>1</v>
          </cell>
        </row>
        <row r="4">
          <cell r="A4" t="str">
            <v>CS-CA170-WR917-XXL</v>
          </cell>
          <cell r="B4" t="str">
            <v>CS-CA170</v>
          </cell>
          <cell r="C4">
            <v>1</v>
          </cell>
          <cell r="D4">
            <v>0</v>
          </cell>
          <cell r="E4">
            <v>2</v>
          </cell>
          <cell r="F4">
            <v>3</v>
          </cell>
        </row>
        <row r="5">
          <cell r="A5" t="str">
            <v>CS-CA170-ZL918-XXL</v>
          </cell>
          <cell r="B5" t="str">
            <v>CS-CA170</v>
          </cell>
          <cell r="C5">
            <v>0</v>
          </cell>
          <cell r="D5">
            <v>2</v>
          </cell>
          <cell r="E5">
            <v>2</v>
          </cell>
          <cell r="F5">
            <v>1</v>
          </cell>
        </row>
        <row r="6">
          <cell r="A6" t="str">
            <v>CS-SB009-BL-XXL</v>
          </cell>
          <cell r="B6" t="str">
            <v>CS-SB009</v>
          </cell>
          <cell r="C6">
            <v>0</v>
          </cell>
          <cell r="D6">
            <v>0</v>
          </cell>
          <cell r="E6">
            <v>9</v>
          </cell>
          <cell r="F6">
            <v>8</v>
          </cell>
        </row>
        <row r="7">
          <cell r="A7" t="str">
            <v>CS-LHY170-W902-XL</v>
          </cell>
          <cell r="B7" t="str">
            <v>CS-LHY170</v>
          </cell>
          <cell r="C7">
            <v>12</v>
          </cell>
          <cell r="D7">
            <v>20</v>
          </cell>
          <cell r="E7">
            <v>7</v>
          </cell>
          <cell r="F7">
            <v>21</v>
          </cell>
        </row>
        <row r="8">
          <cell r="A8" t="str">
            <v>CS-LY170-W902-L</v>
          </cell>
          <cell r="B8" t="str">
            <v>CS-LY170</v>
          </cell>
          <cell r="C8">
            <v>4</v>
          </cell>
          <cell r="D8">
            <v>1</v>
          </cell>
          <cell r="E8">
            <v>2</v>
          </cell>
          <cell r="F8">
            <v>3</v>
          </cell>
        </row>
        <row r="9">
          <cell r="A9" t="str">
            <v>CS-LY171-LG907-S</v>
          </cell>
          <cell r="B9" t="str">
            <v>CS-LY171</v>
          </cell>
          <cell r="C9">
            <v>1</v>
          </cell>
          <cell r="D9">
            <v>0</v>
          </cell>
          <cell r="E9">
            <v>9</v>
          </cell>
          <cell r="F9">
            <v>2</v>
          </cell>
        </row>
        <row r="10">
          <cell r="A10" t="str">
            <v>CS-SB003-NB-L</v>
          </cell>
          <cell r="B10" t="str">
            <v>CS-SB003</v>
          </cell>
          <cell r="C10">
            <v>2</v>
          </cell>
          <cell r="D10">
            <v>4</v>
          </cell>
          <cell r="E10">
            <v>0</v>
          </cell>
          <cell r="F10">
            <v>3</v>
          </cell>
        </row>
        <row r="11">
          <cell r="A11" t="str">
            <v>CS-BS003-LB-L</v>
          </cell>
          <cell r="B11" t="str">
            <v>CS-BS003</v>
          </cell>
          <cell r="C11">
            <v>0</v>
          </cell>
          <cell r="D11">
            <v>6</v>
          </cell>
          <cell r="E11">
            <v>14</v>
          </cell>
          <cell r="F11">
            <v>10</v>
          </cell>
        </row>
        <row r="12">
          <cell r="A12" t="str">
            <v>CS-SB003-B0-L</v>
          </cell>
          <cell r="B12" t="str">
            <v>CS-SB003</v>
          </cell>
          <cell r="C12">
            <v>2</v>
          </cell>
          <cell r="D12">
            <v>0</v>
          </cell>
          <cell r="E12">
            <v>7</v>
          </cell>
          <cell r="F12">
            <v>7</v>
          </cell>
        </row>
        <row r="13">
          <cell r="A13" t="str">
            <v>CS-LY170-G912-S</v>
          </cell>
          <cell r="B13" t="str">
            <v>CS-LY170</v>
          </cell>
          <cell r="C13">
            <v>0</v>
          </cell>
          <cell r="D13">
            <v>1</v>
          </cell>
          <cell r="E13">
            <v>2</v>
          </cell>
          <cell r="F13">
            <v>4</v>
          </cell>
        </row>
        <row r="14">
          <cell r="A14" t="str">
            <v>CS-LHY170-LG907-L</v>
          </cell>
          <cell r="B14" t="str">
            <v>CS-LHY170</v>
          </cell>
          <cell r="C14">
            <v>24</v>
          </cell>
          <cell r="D14">
            <v>16</v>
          </cell>
          <cell r="E14">
            <v>20</v>
          </cell>
          <cell r="F14">
            <v>15</v>
          </cell>
        </row>
        <row r="15">
          <cell r="A15" t="str">
            <v>CS-LHY170-ZL918-XL</v>
          </cell>
          <cell r="B15" t="str">
            <v>CS-LHY170</v>
          </cell>
          <cell r="C15">
            <v>27</v>
          </cell>
          <cell r="D15">
            <v>40</v>
          </cell>
          <cell r="E15">
            <v>23</v>
          </cell>
          <cell r="F15">
            <v>24</v>
          </cell>
        </row>
        <row r="16">
          <cell r="A16" t="str">
            <v>CS-SB006-RD2-XL</v>
          </cell>
          <cell r="B16" t="str">
            <v>CS-SB006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</row>
        <row r="17">
          <cell r="A17" t="str">
            <v>CS-SB030-GR-XL</v>
          </cell>
          <cell r="B17" t="str">
            <v>CS-SB030</v>
          </cell>
          <cell r="C17">
            <v>0</v>
          </cell>
          <cell r="D17">
            <v>1</v>
          </cell>
          <cell r="E17">
            <v>6</v>
          </cell>
          <cell r="F17">
            <v>4</v>
          </cell>
        </row>
        <row r="18">
          <cell r="A18" t="str">
            <v>CS-LHY032-GN2-XL</v>
          </cell>
          <cell r="B18" t="str">
            <v>CS-LHY032</v>
          </cell>
          <cell r="C18">
            <v>1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CS-BUSB032-YL-XXL</v>
          </cell>
          <cell r="B19" t="str">
            <v>CS-BUSB032</v>
          </cell>
          <cell r="C19">
            <v>1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CS-LHY032-BL-L</v>
          </cell>
          <cell r="B20" t="str">
            <v>CS-LHY032</v>
          </cell>
          <cell r="C20">
            <v>5</v>
          </cell>
          <cell r="D20">
            <v>4</v>
          </cell>
          <cell r="E20">
            <v>0</v>
          </cell>
          <cell r="F20">
            <v>2</v>
          </cell>
        </row>
        <row r="21">
          <cell r="A21" t="str">
            <v>CS-LHY170-ZL918-XXL</v>
          </cell>
          <cell r="B21" t="str">
            <v>CS-LHY170</v>
          </cell>
          <cell r="C21">
            <v>32</v>
          </cell>
          <cell r="D21">
            <v>21</v>
          </cell>
          <cell r="E21">
            <v>20</v>
          </cell>
          <cell r="F21">
            <v>36</v>
          </cell>
        </row>
        <row r="22">
          <cell r="A22" t="str">
            <v>CS-SB009-RD-XXL</v>
          </cell>
          <cell r="B22" t="str">
            <v>CS-SB009</v>
          </cell>
          <cell r="C22">
            <v>1</v>
          </cell>
          <cell r="D22">
            <v>8</v>
          </cell>
          <cell r="E22">
            <v>3</v>
          </cell>
          <cell r="F22">
            <v>8</v>
          </cell>
        </row>
        <row r="23">
          <cell r="A23" t="str">
            <v>CS-SB170-PI908-L</v>
          </cell>
          <cell r="B23" t="str">
            <v>CS-SB170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</row>
        <row r="24">
          <cell r="A24" t="str">
            <v>CS-SB009-CF-XXL</v>
          </cell>
          <cell r="B24" t="str">
            <v>CS-SB009</v>
          </cell>
          <cell r="C24">
            <v>1</v>
          </cell>
          <cell r="D24">
            <v>0</v>
          </cell>
          <cell r="E24">
            <v>1</v>
          </cell>
          <cell r="F24">
            <v>4</v>
          </cell>
        </row>
        <row r="25">
          <cell r="A25" t="str">
            <v>CFY-W1798-BL-XL</v>
          </cell>
          <cell r="B25" t="str">
            <v>CFY-W1798</v>
          </cell>
          <cell r="C25">
            <v>1</v>
          </cell>
          <cell r="D25">
            <v>0</v>
          </cell>
          <cell r="E25">
            <v>1</v>
          </cell>
          <cell r="F25">
            <v>1</v>
          </cell>
        </row>
        <row r="26">
          <cell r="A26" t="str">
            <v>MY-LYPoint021-GR-M</v>
          </cell>
          <cell r="B26" t="str">
            <v>MY-LYPoint021</v>
          </cell>
          <cell r="C26">
            <v>4</v>
          </cell>
          <cell r="D26">
            <v>5</v>
          </cell>
          <cell r="E26">
            <v>5</v>
          </cell>
          <cell r="F26">
            <v>2</v>
          </cell>
        </row>
        <row r="27">
          <cell r="A27" t="str">
            <v>CS-LHY032-NB-L</v>
          </cell>
          <cell r="B27" t="str">
            <v>CS-LHY032</v>
          </cell>
          <cell r="C27">
            <v>0</v>
          </cell>
          <cell r="D27">
            <v>3</v>
          </cell>
          <cell r="E27">
            <v>0</v>
          </cell>
          <cell r="F27">
            <v>2</v>
          </cell>
        </row>
        <row r="28">
          <cell r="A28" t="str">
            <v>CS-SB170-WR-XL</v>
          </cell>
          <cell r="B28" t="str">
            <v>CS-SB170</v>
          </cell>
          <cell r="C28">
            <v>1</v>
          </cell>
          <cell r="D28">
            <v>12</v>
          </cell>
          <cell r="E28">
            <v>8</v>
          </cell>
          <cell r="F28">
            <v>18</v>
          </cell>
        </row>
        <row r="29">
          <cell r="A29" t="str">
            <v>CS-LY170-LG907-S</v>
          </cell>
          <cell r="B29" t="str">
            <v>CS-LY170</v>
          </cell>
          <cell r="C29">
            <v>1</v>
          </cell>
          <cell r="D29">
            <v>2</v>
          </cell>
          <cell r="E29">
            <v>4</v>
          </cell>
          <cell r="F29">
            <v>2</v>
          </cell>
        </row>
        <row r="30">
          <cell r="A30" t="str">
            <v>CS-SB009-GN-XXL</v>
          </cell>
          <cell r="B30" t="str">
            <v>CS-SB009</v>
          </cell>
          <cell r="C30">
            <v>5</v>
          </cell>
          <cell r="D30">
            <v>1</v>
          </cell>
          <cell r="E30">
            <v>4</v>
          </cell>
          <cell r="F30">
            <v>2</v>
          </cell>
        </row>
        <row r="31">
          <cell r="A31" t="str">
            <v>CS-SB009-YL-L</v>
          </cell>
          <cell r="B31" t="str">
            <v>CS-SB009</v>
          </cell>
          <cell r="C31">
            <v>1</v>
          </cell>
          <cell r="D31">
            <v>3</v>
          </cell>
          <cell r="E31">
            <v>10</v>
          </cell>
          <cell r="F31">
            <v>7</v>
          </cell>
        </row>
        <row r="32">
          <cell r="A32" t="str">
            <v>CS-SB009-CF-L</v>
          </cell>
          <cell r="B32" t="str">
            <v>CS-SB009</v>
          </cell>
          <cell r="C32">
            <v>0</v>
          </cell>
          <cell r="D32">
            <v>0</v>
          </cell>
          <cell r="E32">
            <v>0</v>
          </cell>
          <cell r="F32">
            <v>2</v>
          </cell>
        </row>
        <row r="33">
          <cell r="A33" t="str">
            <v>CS-BBS030-BK-M</v>
          </cell>
          <cell r="B33" t="str">
            <v>CS-BBS030</v>
          </cell>
          <cell r="C33">
            <v>8</v>
          </cell>
          <cell r="D33">
            <v>3</v>
          </cell>
          <cell r="E33">
            <v>5</v>
          </cell>
          <cell r="F33">
            <v>9</v>
          </cell>
        </row>
        <row r="34">
          <cell r="A34" t="str">
            <v>KZ-LHY001-RED-M</v>
          </cell>
          <cell r="B34" t="str">
            <v>KZ-LHY001</v>
          </cell>
          <cell r="C34">
            <v>2</v>
          </cell>
          <cell r="D34">
            <v>3</v>
          </cell>
          <cell r="E34">
            <v>0</v>
          </cell>
          <cell r="F34">
            <v>1</v>
          </cell>
        </row>
        <row r="35">
          <cell r="A35" t="str">
            <v>CS-SB009-BK-XXL</v>
          </cell>
          <cell r="B35" t="str">
            <v>CS-SB009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</row>
        <row r="36">
          <cell r="A36" t="str">
            <v>KZ-LHYX001-GRY-L</v>
          </cell>
          <cell r="B36" t="str">
            <v>KZ-LHYX001</v>
          </cell>
          <cell r="C36">
            <v>4</v>
          </cell>
          <cell r="D36">
            <v>6</v>
          </cell>
          <cell r="E36">
            <v>4</v>
          </cell>
          <cell r="F36">
            <v>5</v>
          </cell>
        </row>
        <row r="37">
          <cell r="A37" t="str">
            <v>CS-SB009-RDNY-M</v>
          </cell>
          <cell r="B37" t="str">
            <v>CS-SB009</v>
          </cell>
          <cell r="C37">
            <v>2</v>
          </cell>
          <cell r="D37">
            <v>3</v>
          </cell>
          <cell r="E37">
            <v>2</v>
          </cell>
          <cell r="F37">
            <v>2</v>
          </cell>
        </row>
        <row r="38">
          <cell r="A38" t="str">
            <v>CS-SB170-G912-M</v>
          </cell>
          <cell r="B38" t="str">
            <v>CS-SB170</v>
          </cell>
          <cell r="C38">
            <v>3</v>
          </cell>
          <cell r="D38">
            <v>6</v>
          </cell>
          <cell r="E38">
            <v>6</v>
          </cell>
          <cell r="F38">
            <v>8</v>
          </cell>
        </row>
        <row r="39">
          <cell r="A39" t="str">
            <v>KZ-LHY001-GRY-XL</v>
          </cell>
          <cell r="B39" t="str">
            <v>KZ-LHY001</v>
          </cell>
          <cell r="C39">
            <v>5</v>
          </cell>
          <cell r="D39">
            <v>5</v>
          </cell>
          <cell r="E39">
            <v>4</v>
          </cell>
          <cell r="F39">
            <v>7</v>
          </cell>
        </row>
        <row r="40">
          <cell r="A40" t="str">
            <v>CS-SB002-BL-S</v>
          </cell>
          <cell r="B40" t="str">
            <v>CS-SB002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</row>
        <row r="41">
          <cell r="A41" t="str">
            <v>CS-SB170-PI908-XL</v>
          </cell>
          <cell r="B41" t="str">
            <v>CS-SB170</v>
          </cell>
          <cell r="C41">
            <v>0</v>
          </cell>
          <cell r="D41">
            <v>2</v>
          </cell>
          <cell r="E41">
            <v>1</v>
          </cell>
          <cell r="F41">
            <v>7</v>
          </cell>
        </row>
        <row r="42">
          <cell r="A42" t="str">
            <v>MY-SB026-DG-S</v>
          </cell>
          <cell r="B42" t="str">
            <v>MY-SB026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MY-SB026-DG-M</v>
          </cell>
          <cell r="B43" t="str">
            <v>MY-SB026</v>
          </cell>
          <cell r="C43">
            <v>0</v>
          </cell>
          <cell r="D43">
            <v>0</v>
          </cell>
          <cell r="E43">
            <v>2</v>
          </cell>
          <cell r="F43">
            <v>3</v>
          </cell>
        </row>
        <row r="44">
          <cell r="A44" t="str">
            <v>MY-SB027-GN-M</v>
          </cell>
          <cell r="B44" t="str">
            <v>MY-SB027</v>
          </cell>
          <cell r="C44">
            <v>0</v>
          </cell>
          <cell r="D44">
            <v>1</v>
          </cell>
          <cell r="E44">
            <v>0</v>
          </cell>
          <cell r="F44">
            <v>1</v>
          </cell>
        </row>
        <row r="45">
          <cell r="A45" t="str">
            <v>CS-LHY170-WR917-XXL</v>
          </cell>
          <cell r="B45" t="str">
            <v>CS-LHY170</v>
          </cell>
          <cell r="C45">
            <v>19</v>
          </cell>
          <cell r="D45">
            <v>19</v>
          </cell>
          <cell r="E45">
            <v>38</v>
          </cell>
          <cell r="F45">
            <v>13</v>
          </cell>
        </row>
        <row r="46">
          <cell r="A46" t="str">
            <v>CS-LHY170-WR917-L</v>
          </cell>
          <cell r="B46" t="str">
            <v>CS-LHY170</v>
          </cell>
          <cell r="C46">
            <v>22</v>
          </cell>
          <cell r="D46">
            <v>11</v>
          </cell>
          <cell r="E46">
            <v>23</v>
          </cell>
          <cell r="F46">
            <v>16</v>
          </cell>
        </row>
        <row r="47">
          <cell r="A47" t="str">
            <v>CS-BBS030-BK-L</v>
          </cell>
          <cell r="B47" t="str">
            <v>CS-BBS030</v>
          </cell>
          <cell r="C47">
            <v>14</v>
          </cell>
          <cell r="D47">
            <v>8</v>
          </cell>
          <cell r="E47">
            <v>16</v>
          </cell>
          <cell r="F47">
            <v>5</v>
          </cell>
        </row>
        <row r="48">
          <cell r="A48" t="str">
            <v>KZ-LHY001-BLK-XL</v>
          </cell>
          <cell r="B48" t="str">
            <v>KZ-LHY001</v>
          </cell>
          <cell r="C48">
            <v>6</v>
          </cell>
          <cell r="D48">
            <v>9</v>
          </cell>
          <cell r="E48">
            <v>11</v>
          </cell>
          <cell r="F48">
            <v>11</v>
          </cell>
        </row>
        <row r="49">
          <cell r="A49" t="str">
            <v>CS-LHY170-ZL918-L</v>
          </cell>
          <cell r="B49" t="str">
            <v>CS-LHY170</v>
          </cell>
          <cell r="C49">
            <v>42</v>
          </cell>
          <cell r="D49">
            <v>34</v>
          </cell>
          <cell r="E49">
            <v>28</v>
          </cell>
          <cell r="F49">
            <v>24</v>
          </cell>
        </row>
        <row r="50">
          <cell r="A50" t="str">
            <v>CS-SB181-WR917-M</v>
          </cell>
          <cell r="B50" t="str">
            <v>CS-SB181</v>
          </cell>
          <cell r="C50">
            <v>4</v>
          </cell>
          <cell r="D50">
            <v>2</v>
          </cell>
          <cell r="E50">
            <v>2</v>
          </cell>
          <cell r="F50">
            <v>3</v>
          </cell>
        </row>
        <row r="51">
          <cell r="A51" t="str">
            <v>CS-SB170-Sa911-XL</v>
          </cell>
          <cell r="B51" t="str">
            <v>CS-SB170</v>
          </cell>
          <cell r="C51">
            <v>0</v>
          </cell>
          <cell r="D51">
            <v>0</v>
          </cell>
          <cell r="E51">
            <v>9</v>
          </cell>
          <cell r="F51">
            <v>11</v>
          </cell>
        </row>
        <row r="52">
          <cell r="A52" t="str">
            <v>CS-SB030-YL-XL</v>
          </cell>
          <cell r="B52" t="str">
            <v>CS-SB030</v>
          </cell>
          <cell r="C52">
            <v>0</v>
          </cell>
          <cell r="D52">
            <v>0</v>
          </cell>
          <cell r="E52">
            <v>0</v>
          </cell>
          <cell r="F52">
            <v>2</v>
          </cell>
        </row>
        <row r="53">
          <cell r="A53" t="str">
            <v>CS-SB170-G912-XL</v>
          </cell>
          <cell r="B53" t="str">
            <v>CS-SB170</v>
          </cell>
          <cell r="C53">
            <v>5</v>
          </cell>
          <cell r="D53">
            <v>15</v>
          </cell>
          <cell r="E53">
            <v>12</v>
          </cell>
          <cell r="F53">
            <v>7</v>
          </cell>
        </row>
        <row r="54">
          <cell r="A54" t="str">
            <v>CS-SB170-PI908-XXL</v>
          </cell>
          <cell r="B54" t="str">
            <v>CS-SB170</v>
          </cell>
          <cell r="C54">
            <v>2</v>
          </cell>
          <cell r="D54">
            <v>2</v>
          </cell>
          <cell r="E54">
            <v>4</v>
          </cell>
          <cell r="F54">
            <v>6</v>
          </cell>
        </row>
        <row r="55">
          <cell r="A55" t="str">
            <v>CS-LY084-H4-L</v>
          </cell>
          <cell r="B55" t="str">
            <v>CS-LY084</v>
          </cell>
          <cell r="C55">
            <v>3</v>
          </cell>
          <cell r="D55">
            <v>0</v>
          </cell>
          <cell r="E55">
            <v>0</v>
          </cell>
          <cell r="F55">
            <v>13</v>
          </cell>
        </row>
        <row r="56">
          <cell r="A56" t="str">
            <v>CS-SB170-WR917-M</v>
          </cell>
          <cell r="B56" t="str">
            <v>CS-SB170</v>
          </cell>
          <cell r="C56">
            <v>16</v>
          </cell>
          <cell r="D56">
            <v>6</v>
          </cell>
          <cell r="E56">
            <v>19</v>
          </cell>
          <cell r="F56">
            <v>15</v>
          </cell>
        </row>
        <row r="57">
          <cell r="A57" t="str">
            <v>CS-SB009-BL-L</v>
          </cell>
          <cell r="B57" t="str">
            <v>CS-SB009</v>
          </cell>
          <cell r="C57">
            <v>1</v>
          </cell>
          <cell r="D57">
            <v>9</v>
          </cell>
          <cell r="E57">
            <v>1</v>
          </cell>
          <cell r="F57">
            <v>3</v>
          </cell>
        </row>
        <row r="58">
          <cell r="A58" t="str">
            <v>MY-LYRound020-GN-M</v>
          </cell>
          <cell r="B58" t="str">
            <v>MY-LYRound020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</row>
        <row r="59">
          <cell r="A59" t="str">
            <v>CS-LY084-H15-XL</v>
          </cell>
          <cell r="B59" t="str">
            <v>CS-LY084</v>
          </cell>
          <cell r="C59">
            <v>1</v>
          </cell>
          <cell r="D59">
            <v>3</v>
          </cell>
          <cell r="E59">
            <v>6</v>
          </cell>
          <cell r="F59">
            <v>1</v>
          </cell>
        </row>
        <row r="60">
          <cell r="A60" t="str">
            <v>CS-LY084-H1-XL</v>
          </cell>
          <cell r="B60" t="str">
            <v>CS-LY084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CS-LHY009-GN-XL</v>
          </cell>
          <cell r="B61" t="str">
            <v>CS-LHY009</v>
          </cell>
          <cell r="C61">
            <v>3</v>
          </cell>
          <cell r="D61">
            <v>3</v>
          </cell>
          <cell r="E61">
            <v>9</v>
          </cell>
          <cell r="F61">
            <v>3</v>
          </cell>
        </row>
        <row r="62">
          <cell r="A62" t="str">
            <v>CS-LHY009-LB1-M</v>
          </cell>
          <cell r="B62" t="str">
            <v>CS-LHY009</v>
          </cell>
          <cell r="C62">
            <v>1</v>
          </cell>
          <cell r="D62">
            <v>2</v>
          </cell>
          <cell r="E62">
            <v>5</v>
          </cell>
          <cell r="F62">
            <v>3</v>
          </cell>
        </row>
        <row r="63">
          <cell r="A63" t="str">
            <v>CS-LHY170-W902-M</v>
          </cell>
          <cell r="B63" t="str">
            <v>CS-LHY170</v>
          </cell>
          <cell r="C63">
            <v>8</v>
          </cell>
          <cell r="D63">
            <v>26</v>
          </cell>
          <cell r="E63">
            <v>8</v>
          </cell>
          <cell r="F63">
            <v>10</v>
          </cell>
        </row>
        <row r="64">
          <cell r="A64" t="str">
            <v>CS-LHY009-RDNY-XXL</v>
          </cell>
          <cell r="B64" t="str">
            <v>CS-LHY009</v>
          </cell>
          <cell r="C64">
            <v>4</v>
          </cell>
          <cell r="D64">
            <v>1</v>
          </cell>
          <cell r="E64">
            <v>2</v>
          </cell>
          <cell r="F64">
            <v>3</v>
          </cell>
        </row>
        <row r="65">
          <cell r="A65" t="str">
            <v>CS-SB009-GN-M</v>
          </cell>
          <cell r="B65" t="str">
            <v>CS-SB009</v>
          </cell>
          <cell r="C65">
            <v>0</v>
          </cell>
          <cell r="D65">
            <v>1</v>
          </cell>
          <cell r="E65">
            <v>0</v>
          </cell>
          <cell r="F65">
            <v>4</v>
          </cell>
        </row>
        <row r="66">
          <cell r="A66" t="str">
            <v>CS-SB170-LG907-M</v>
          </cell>
          <cell r="B66" t="str">
            <v>CS-SB170</v>
          </cell>
          <cell r="C66">
            <v>3</v>
          </cell>
          <cell r="D66">
            <v>14</v>
          </cell>
          <cell r="E66">
            <v>26</v>
          </cell>
          <cell r="F66">
            <v>17</v>
          </cell>
        </row>
        <row r="67">
          <cell r="A67" t="str">
            <v>MY-SBPoint021-GR-XL</v>
          </cell>
          <cell r="B67" t="str">
            <v>MY-SBPoint021</v>
          </cell>
          <cell r="C67">
            <v>1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CS-LY181-G912-S</v>
          </cell>
          <cell r="B68" t="str">
            <v>CS-LY181</v>
          </cell>
          <cell r="C68">
            <v>1</v>
          </cell>
          <cell r="D68">
            <v>2</v>
          </cell>
          <cell r="E68">
            <v>2</v>
          </cell>
          <cell r="F68">
            <v>1</v>
          </cell>
        </row>
        <row r="69">
          <cell r="A69" t="str">
            <v>CS-LY085-PI908-S</v>
          </cell>
          <cell r="B69" t="str">
            <v>CS-LY085</v>
          </cell>
          <cell r="C69">
            <v>1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CS-SB170-LB916-M</v>
          </cell>
          <cell r="B70" t="str">
            <v>CS-SB170</v>
          </cell>
          <cell r="C70">
            <v>1</v>
          </cell>
          <cell r="D70">
            <v>3</v>
          </cell>
          <cell r="E70">
            <v>2</v>
          </cell>
          <cell r="F70">
            <v>6</v>
          </cell>
        </row>
        <row r="71">
          <cell r="A71" t="str">
            <v>CS-SB171-WR917-XXL</v>
          </cell>
          <cell r="B71" t="str">
            <v>CS-SB171</v>
          </cell>
          <cell r="C71">
            <v>12</v>
          </cell>
          <cell r="D71">
            <v>0</v>
          </cell>
          <cell r="E71">
            <v>2</v>
          </cell>
          <cell r="F71">
            <v>2</v>
          </cell>
        </row>
        <row r="72">
          <cell r="A72" t="str">
            <v>CS-SB171-ZL918-XXL</v>
          </cell>
          <cell r="B72" t="str">
            <v>CS-SB171</v>
          </cell>
          <cell r="C72">
            <v>4</v>
          </cell>
          <cell r="D72">
            <v>2</v>
          </cell>
          <cell r="E72">
            <v>2</v>
          </cell>
          <cell r="F72">
            <v>7</v>
          </cell>
        </row>
        <row r="73">
          <cell r="A73" t="str">
            <v>CS-BS003-LB-M</v>
          </cell>
          <cell r="B73" t="str">
            <v>CS-BS003</v>
          </cell>
          <cell r="C73">
            <v>3</v>
          </cell>
          <cell r="D73">
            <v>4</v>
          </cell>
          <cell r="E73">
            <v>4</v>
          </cell>
          <cell r="F73">
            <v>4</v>
          </cell>
        </row>
        <row r="74">
          <cell r="A74" t="str">
            <v>KZ-LHY001-GRY-M</v>
          </cell>
          <cell r="B74" t="str">
            <v>KZ-LHY001</v>
          </cell>
          <cell r="C74">
            <v>3</v>
          </cell>
          <cell r="D74">
            <v>5</v>
          </cell>
          <cell r="E74">
            <v>6</v>
          </cell>
          <cell r="F74">
            <v>5</v>
          </cell>
        </row>
        <row r="75">
          <cell r="A75" t="str">
            <v>CS-LHY009-RD-L</v>
          </cell>
          <cell r="B75" t="str">
            <v>CS-LHY009</v>
          </cell>
          <cell r="C75">
            <v>3</v>
          </cell>
          <cell r="D75">
            <v>2</v>
          </cell>
          <cell r="E75">
            <v>2</v>
          </cell>
          <cell r="F75">
            <v>4</v>
          </cell>
        </row>
        <row r="76">
          <cell r="A76" t="str">
            <v>CS-BUSB032-GN1-L</v>
          </cell>
          <cell r="B76" t="str">
            <v>CS-BUSB032</v>
          </cell>
          <cell r="C76">
            <v>1</v>
          </cell>
          <cell r="D76">
            <v>0</v>
          </cell>
          <cell r="E76">
            <v>0</v>
          </cell>
          <cell r="F76">
            <v>4</v>
          </cell>
        </row>
        <row r="77">
          <cell r="A77" t="str">
            <v>CS-SB181-WR917-L</v>
          </cell>
          <cell r="B77" t="str">
            <v>CS-SB181</v>
          </cell>
          <cell r="C77">
            <v>1</v>
          </cell>
          <cell r="D77">
            <v>2</v>
          </cell>
          <cell r="E77">
            <v>2</v>
          </cell>
          <cell r="F77">
            <v>3</v>
          </cell>
        </row>
        <row r="78">
          <cell r="A78" t="str">
            <v>CS-BS003-B0-XXL</v>
          </cell>
          <cell r="B78" t="str">
            <v>CS-BS003</v>
          </cell>
          <cell r="C78">
            <v>1</v>
          </cell>
          <cell r="D78">
            <v>1</v>
          </cell>
          <cell r="E78">
            <v>0</v>
          </cell>
          <cell r="F78">
            <v>2</v>
          </cell>
        </row>
        <row r="79">
          <cell r="A79" t="str">
            <v>CS-BS003-LB-XXL</v>
          </cell>
          <cell r="B79" t="str">
            <v>CS-BS003</v>
          </cell>
          <cell r="C79">
            <v>2</v>
          </cell>
          <cell r="D79">
            <v>4</v>
          </cell>
          <cell r="E79">
            <v>4</v>
          </cell>
          <cell r="F79">
            <v>6</v>
          </cell>
        </row>
        <row r="80">
          <cell r="A80" t="str">
            <v>CS-LHY170-LG907-XL</v>
          </cell>
          <cell r="B80" t="str">
            <v>CS-LHY170</v>
          </cell>
          <cell r="C80">
            <v>26</v>
          </cell>
          <cell r="D80">
            <v>24</v>
          </cell>
          <cell r="E80">
            <v>31</v>
          </cell>
          <cell r="F80">
            <v>15</v>
          </cell>
        </row>
        <row r="81">
          <cell r="A81" t="str">
            <v>CS-SB170-LG907-XXL</v>
          </cell>
          <cell r="B81" t="str">
            <v>CS-SB170</v>
          </cell>
          <cell r="C81">
            <v>9</v>
          </cell>
          <cell r="D81">
            <v>9</v>
          </cell>
          <cell r="E81">
            <v>12</v>
          </cell>
          <cell r="F81">
            <v>8</v>
          </cell>
        </row>
        <row r="82">
          <cell r="A82" t="str">
            <v>CS-LY085-W902-L</v>
          </cell>
          <cell r="B82" t="str">
            <v>CS-LY085</v>
          </cell>
          <cell r="C82">
            <v>8</v>
          </cell>
          <cell r="D82">
            <v>2</v>
          </cell>
          <cell r="E82">
            <v>2</v>
          </cell>
          <cell r="F82">
            <v>3</v>
          </cell>
        </row>
        <row r="83">
          <cell r="A83" t="str">
            <v>CS-SB009-RDNY-XL</v>
          </cell>
          <cell r="B83" t="str">
            <v>CS-SB009</v>
          </cell>
          <cell r="C83">
            <v>3</v>
          </cell>
          <cell r="D83">
            <v>6</v>
          </cell>
          <cell r="E83">
            <v>2</v>
          </cell>
          <cell r="F83">
            <v>2</v>
          </cell>
        </row>
        <row r="84">
          <cell r="A84" t="str">
            <v>CS-BBS030-WT-XL</v>
          </cell>
          <cell r="B84" t="str">
            <v>CS-BBS030</v>
          </cell>
          <cell r="C84">
            <v>3</v>
          </cell>
          <cell r="D84">
            <v>2</v>
          </cell>
          <cell r="E84">
            <v>0</v>
          </cell>
          <cell r="F84">
            <v>7</v>
          </cell>
        </row>
        <row r="85">
          <cell r="A85" t="str">
            <v>CS-BBS030-GR-XL</v>
          </cell>
          <cell r="B85" t="str">
            <v>CS-BBS030</v>
          </cell>
          <cell r="C85">
            <v>2</v>
          </cell>
          <cell r="D85">
            <v>8</v>
          </cell>
          <cell r="E85">
            <v>5</v>
          </cell>
          <cell r="F85">
            <v>6</v>
          </cell>
        </row>
        <row r="86">
          <cell r="A86" t="str">
            <v>CS-CA170-LB916-XXL</v>
          </cell>
          <cell r="B86" t="str">
            <v>CS-CA170</v>
          </cell>
          <cell r="C86">
            <v>0</v>
          </cell>
          <cell r="D86">
            <v>0</v>
          </cell>
          <cell r="E86">
            <v>1</v>
          </cell>
          <cell r="F86">
            <v>1</v>
          </cell>
        </row>
        <row r="87">
          <cell r="A87" t="str">
            <v>CS-CA170-LG907-XXL</v>
          </cell>
          <cell r="B87" t="str">
            <v>CS-CA170</v>
          </cell>
          <cell r="C87">
            <v>0</v>
          </cell>
          <cell r="D87">
            <v>0</v>
          </cell>
          <cell r="E87">
            <v>3</v>
          </cell>
          <cell r="F87">
            <v>2</v>
          </cell>
        </row>
        <row r="88">
          <cell r="A88" t="str">
            <v>CS-CA170-WR917-XL</v>
          </cell>
          <cell r="B88" t="str">
            <v>CS-CA170</v>
          </cell>
          <cell r="C88">
            <v>1</v>
          </cell>
          <cell r="D88">
            <v>0</v>
          </cell>
          <cell r="E88">
            <v>2</v>
          </cell>
          <cell r="F88">
            <v>2</v>
          </cell>
        </row>
        <row r="89">
          <cell r="A89" t="str">
            <v>CA084-H16-M</v>
          </cell>
          <cell r="B89" t="str">
            <v>CA084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</row>
        <row r="90">
          <cell r="A90" t="str">
            <v>CS-SB030-GR-XXL</v>
          </cell>
          <cell r="B90" t="str">
            <v>CS-SB030</v>
          </cell>
          <cell r="C90">
            <v>0</v>
          </cell>
          <cell r="D90">
            <v>6</v>
          </cell>
          <cell r="E90">
            <v>6</v>
          </cell>
          <cell r="F90">
            <v>5</v>
          </cell>
        </row>
        <row r="91">
          <cell r="A91" t="str">
            <v>CS-LHY003-LB-XL</v>
          </cell>
          <cell r="B91" t="str">
            <v>CS-LHY003</v>
          </cell>
          <cell r="C91">
            <v>2</v>
          </cell>
          <cell r="D91">
            <v>4</v>
          </cell>
          <cell r="E91">
            <v>9</v>
          </cell>
          <cell r="F91">
            <v>4</v>
          </cell>
        </row>
        <row r="92">
          <cell r="A92" t="str">
            <v>CS-SB170-ZL918-M</v>
          </cell>
          <cell r="B92" t="str">
            <v>CS-SB170</v>
          </cell>
          <cell r="C92">
            <v>1</v>
          </cell>
          <cell r="D92">
            <v>1</v>
          </cell>
          <cell r="E92">
            <v>5</v>
          </cell>
          <cell r="F92">
            <v>12</v>
          </cell>
        </row>
        <row r="93">
          <cell r="A93" t="str">
            <v>CS-LHY009-GN-XXL</v>
          </cell>
          <cell r="B93" t="str">
            <v>CS-LHY009</v>
          </cell>
          <cell r="C93">
            <v>1</v>
          </cell>
          <cell r="D93">
            <v>0</v>
          </cell>
          <cell r="E93">
            <v>2</v>
          </cell>
          <cell r="F93">
            <v>3</v>
          </cell>
        </row>
        <row r="94">
          <cell r="A94" t="str">
            <v>CS-LHY032-BL-XXL</v>
          </cell>
          <cell r="B94" t="str">
            <v>CS-LHY032</v>
          </cell>
          <cell r="C94">
            <v>6</v>
          </cell>
          <cell r="D94">
            <v>2</v>
          </cell>
          <cell r="E94">
            <v>2</v>
          </cell>
          <cell r="F94">
            <v>3</v>
          </cell>
        </row>
        <row r="95">
          <cell r="A95" t="str">
            <v>KZ-LHYX001-BLK-L</v>
          </cell>
          <cell r="B95" t="str">
            <v>KZ-LHYX001</v>
          </cell>
          <cell r="C95">
            <v>10</v>
          </cell>
          <cell r="D95">
            <v>3</v>
          </cell>
          <cell r="E95">
            <v>9</v>
          </cell>
          <cell r="F95">
            <v>9</v>
          </cell>
        </row>
        <row r="96">
          <cell r="A96" t="str">
            <v>CS-BBS030-BL-XL</v>
          </cell>
          <cell r="B96" t="str">
            <v>CS-BBS030</v>
          </cell>
          <cell r="C96">
            <v>11</v>
          </cell>
          <cell r="D96">
            <v>7</v>
          </cell>
          <cell r="E96">
            <v>10</v>
          </cell>
          <cell r="F96">
            <v>8</v>
          </cell>
        </row>
        <row r="97">
          <cell r="A97" t="str">
            <v>CS-SB006-CF-2XL</v>
          </cell>
          <cell r="B97" t="str">
            <v>CS-SB006</v>
          </cell>
          <cell r="C97">
            <v>1</v>
          </cell>
          <cell r="D97">
            <v>0</v>
          </cell>
          <cell r="E97">
            <v>0</v>
          </cell>
          <cell r="F97">
            <v>2</v>
          </cell>
        </row>
        <row r="98">
          <cell r="A98" t="str">
            <v>CS-SB006-RD1-2XL</v>
          </cell>
          <cell r="B98" t="str">
            <v>CS-SB006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</row>
        <row r="99">
          <cell r="A99" t="str">
            <v>CS-SB030-WR-XL</v>
          </cell>
          <cell r="B99" t="str">
            <v>CS-SB030</v>
          </cell>
          <cell r="C99">
            <v>8</v>
          </cell>
          <cell r="D99">
            <v>7</v>
          </cell>
          <cell r="E99">
            <v>15</v>
          </cell>
          <cell r="F99">
            <v>5</v>
          </cell>
        </row>
        <row r="100">
          <cell r="A100" t="str">
            <v>CS-BBS030-BL-M</v>
          </cell>
          <cell r="B100" t="str">
            <v>CS-BBS030</v>
          </cell>
          <cell r="C100">
            <v>5</v>
          </cell>
          <cell r="D100">
            <v>3</v>
          </cell>
          <cell r="E100">
            <v>2</v>
          </cell>
          <cell r="F100">
            <v>4</v>
          </cell>
        </row>
        <row r="101">
          <cell r="A101" t="str">
            <v>CS-LY171-LG907-XXL</v>
          </cell>
          <cell r="B101" t="str">
            <v>CS-LY171</v>
          </cell>
          <cell r="C101">
            <v>4</v>
          </cell>
          <cell r="D101">
            <v>2</v>
          </cell>
          <cell r="E101">
            <v>2</v>
          </cell>
          <cell r="F101">
            <v>4</v>
          </cell>
        </row>
        <row r="102">
          <cell r="A102" t="str">
            <v>CS-SB009-BK-M</v>
          </cell>
          <cell r="B102" t="str">
            <v>CS-SB009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CS-SB170-Sa911-M</v>
          </cell>
          <cell r="B103" t="str">
            <v>CS-SB170</v>
          </cell>
          <cell r="C103">
            <v>0</v>
          </cell>
          <cell r="D103">
            <v>1</v>
          </cell>
          <cell r="E103">
            <v>4</v>
          </cell>
          <cell r="F103">
            <v>2</v>
          </cell>
        </row>
        <row r="104">
          <cell r="A104" t="str">
            <v>CS-SB009-BL-S</v>
          </cell>
          <cell r="B104" t="str">
            <v>CS-SB009</v>
          </cell>
          <cell r="C104">
            <v>1</v>
          </cell>
          <cell r="D104">
            <v>0</v>
          </cell>
          <cell r="E104">
            <v>0</v>
          </cell>
          <cell r="F104">
            <v>4</v>
          </cell>
        </row>
        <row r="105">
          <cell r="A105" t="str">
            <v>CS-SB009-BL-XL</v>
          </cell>
          <cell r="B105" t="str">
            <v>CS-SB009</v>
          </cell>
          <cell r="C105">
            <v>7</v>
          </cell>
          <cell r="D105">
            <v>4</v>
          </cell>
          <cell r="E105">
            <v>1</v>
          </cell>
          <cell r="F105">
            <v>8</v>
          </cell>
        </row>
        <row r="106">
          <cell r="A106" t="str">
            <v>CS-SB009-BL-M</v>
          </cell>
          <cell r="B106" t="str">
            <v>CS-SB009</v>
          </cell>
          <cell r="C106">
            <v>2</v>
          </cell>
          <cell r="D106">
            <v>1</v>
          </cell>
          <cell r="E106">
            <v>6</v>
          </cell>
          <cell r="F106">
            <v>8</v>
          </cell>
        </row>
        <row r="107">
          <cell r="A107" t="str">
            <v>CS-LY171-PI908-M</v>
          </cell>
          <cell r="B107" t="str">
            <v>CS-LY171</v>
          </cell>
          <cell r="C107">
            <v>1</v>
          </cell>
          <cell r="D107">
            <v>0</v>
          </cell>
          <cell r="E107">
            <v>3</v>
          </cell>
          <cell r="F107">
            <v>3</v>
          </cell>
        </row>
        <row r="108">
          <cell r="A108" t="str">
            <v>MY-SB026-BK-M</v>
          </cell>
          <cell r="B108" t="str">
            <v>MY-SB026</v>
          </cell>
          <cell r="C108">
            <v>3</v>
          </cell>
          <cell r="D108">
            <v>2</v>
          </cell>
          <cell r="E108">
            <v>5</v>
          </cell>
          <cell r="F108">
            <v>3</v>
          </cell>
        </row>
        <row r="109">
          <cell r="A109" t="str">
            <v>CS-SB171-WR917-XL</v>
          </cell>
          <cell r="B109" t="str">
            <v>CS-SB171</v>
          </cell>
          <cell r="C109">
            <v>0</v>
          </cell>
          <cell r="D109">
            <v>6</v>
          </cell>
          <cell r="E109">
            <v>4</v>
          </cell>
          <cell r="F109">
            <v>2</v>
          </cell>
        </row>
        <row r="110">
          <cell r="A110" t="str">
            <v>CS-LY181-LB916-XXL</v>
          </cell>
          <cell r="B110" t="str">
            <v>CS-LY181</v>
          </cell>
          <cell r="C110">
            <v>0</v>
          </cell>
          <cell r="D110">
            <v>1</v>
          </cell>
          <cell r="E110">
            <v>1</v>
          </cell>
          <cell r="F110">
            <v>1</v>
          </cell>
        </row>
        <row r="111">
          <cell r="A111" t="str">
            <v>CS-SB181-ZL918-XXL</v>
          </cell>
          <cell r="B111" t="str">
            <v>CS-SB181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MY-SB011-DG-XL</v>
          </cell>
          <cell r="B112" t="str">
            <v>MY-SB011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</row>
        <row r="113">
          <cell r="A113" t="str">
            <v>CS-LHY030-BK-XXL</v>
          </cell>
          <cell r="B113" t="str">
            <v>CS-LHY030</v>
          </cell>
          <cell r="C113">
            <v>13</v>
          </cell>
          <cell r="D113">
            <v>12</v>
          </cell>
          <cell r="E113">
            <v>18</v>
          </cell>
          <cell r="F113">
            <v>8</v>
          </cell>
        </row>
        <row r="114">
          <cell r="A114" t="str">
            <v>CS-SB170-LB916-XL</v>
          </cell>
          <cell r="B114" t="str">
            <v>CS-SB170</v>
          </cell>
          <cell r="C114">
            <v>3</v>
          </cell>
          <cell r="D114">
            <v>0</v>
          </cell>
          <cell r="E114">
            <v>0</v>
          </cell>
          <cell r="F114">
            <v>1</v>
          </cell>
        </row>
        <row r="115">
          <cell r="A115" t="str">
            <v>CS-LY181-G912-M</v>
          </cell>
          <cell r="B115" t="str">
            <v>CS-LY181</v>
          </cell>
          <cell r="C115">
            <v>0</v>
          </cell>
          <cell r="D115">
            <v>0</v>
          </cell>
          <cell r="E115">
            <v>1</v>
          </cell>
          <cell r="F115">
            <v>3</v>
          </cell>
        </row>
        <row r="116">
          <cell r="A116" t="str">
            <v>CS-LY181-ZL918-M</v>
          </cell>
          <cell r="B116" t="str">
            <v>CS-LY181</v>
          </cell>
          <cell r="C116">
            <v>2</v>
          </cell>
          <cell r="D116">
            <v>4</v>
          </cell>
          <cell r="E116">
            <v>1</v>
          </cell>
          <cell r="F116">
            <v>3</v>
          </cell>
        </row>
        <row r="117">
          <cell r="A117" t="str">
            <v>MY-LYPoint021-GN-L</v>
          </cell>
          <cell r="B117" t="str">
            <v>MY-LYPoint021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</row>
        <row r="118">
          <cell r="A118" t="str">
            <v>CS-SB030-WR-XXL</v>
          </cell>
          <cell r="B118" t="str">
            <v>CS-SB030</v>
          </cell>
          <cell r="C118">
            <v>7</v>
          </cell>
          <cell r="D118">
            <v>4</v>
          </cell>
          <cell r="E118">
            <v>6</v>
          </cell>
          <cell r="F118">
            <v>5</v>
          </cell>
        </row>
        <row r="119">
          <cell r="A119" t="str">
            <v>MY-SB026-RD-L</v>
          </cell>
          <cell r="B119" t="str">
            <v>MY-SB026</v>
          </cell>
          <cell r="C119">
            <v>2</v>
          </cell>
          <cell r="D119">
            <v>0</v>
          </cell>
          <cell r="E119">
            <v>4</v>
          </cell>
          <cell r="F119">
            <v>1</v>
          </cell>
        </row>
        <row r="120">
          <cell r="A120" t="str">
            <v>CS-SB166-K33-2-XXL</v>
          </cell>
          <cell r="B120" t="str">
            <v>CS-SB166</v>
          </cell>
          <cell r="C120">
            <v>0</v>
          </cell>
          <cell r="D120">
            <v>0</v>
          </cell>
          <cell r="E120">
            <v>0</v>
          </cell>
          <cell r="F120">
            <v>2</v>
          </cell>
        </row>
        <row r="121">
          <cell r="A121" t="str">
            <v>MY-LYPoint021-NY-S</v>
          </cell>
          <cell r="B121" t="str">
            <v>MY-LYPoint021</v>
          </cell>
          <cell r="C121">
            <v>1</v>
          </cell>
          <cell r="D121">
            <v>4</v>
          </cell>
          <cell r="E121">
            <v>2</v>
          </cell>
          <cell r="F121">
            <v>4</v>
          </cell>
        </row>
        <row r="122">
          <cell r="A122" t="str">
            <v>MY-LYRound020-GR-M</v>
          </cell>
          <cell r="B122" t="str">
            <v>MY-LYRound020</v>
          </cell>
          <cell r="C122">
            <v>0</v>
          </cell>
          <cell r="D122">
            <v>4</v>
          </cell>
          <cell r="E122">
            <v>2</v>
          </cell>
          <cell r="F122">
            <v>2</v>
          </cell>
        </row>
        <row r="123">
          <cell r="A123" t="str">
            <v>CS-SB007-LG-S</v>
          </cell>
          <cell r="B123" t="str">
            <v>CS-SB007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CS-LHY032-RD-XL</v>
          </cell>
          <cell r="B124" t="str">
            <v>CS-LHY032</v>
          </cell>
          <cell r="C124">
            <v>0</v>
          </cell>
          <cell r="D124">
            <v>0</v>
          </cell>
          <cell r="E124">
            <v>0</v>
          </cell>
          <cell r="F124">
            <v>2</v>
          </cell>
        </row>
        <row r="125">
          <cell r="A125" t="str">
            <v>CS-SB166-K33-2-M</v>
          </cell>
          <cell r="B125" t="str">
            <v>CS-SB166</v>
          </cell>
          <cell r="C125">
            <v>0</v>
          </cell>
          <cell r="D125">
            <v>3</v>
          </cell>
          <cell r="E125">
            <v>1</v>
          </cell>
          <cell r="F125">
            <v>3</v>
          </cell>
        </row>
        <row r="126">
          <cell r="A126" t="str">
            <v>CS-SB170-PI908-M</v>
          </cell>
          <cell r="B126" t="str">
            <v>CS-SB170</v>
          </cell>
          <cell r="C126">
            <v>5</v>
          </cell>
          <cell r="D126">
            <v>7</v>
          </cell>
          <cell r="E126">
            <v>2</v>
          </cell>
          <cell r="F126">
            <v>4</v>
          </cell>
        </row>
        <row r="127">
          <cell r="A127" t="str">
            <v>WQS-BN-1503-WO-L</v>
          </cell>
          <cell r="B127" t="str">
            <v>WQS-BN-1503</v>
          </cell>
          <cell r="C127">
            <v>1</v>
          </cell>
          <cell r="D127">
            <v>0</v>
          </cell>
          <cell r="E127">
            <v>0</v>
          </cell>
          <cell r="F127">
            <v>2</v>
          </cell>
        </row>
        <row r="128">
          <cell r="A128" t="str">
            <v>MY-LYRound020-NY-M</v>
          </cell>
          <cell r="B128" t="str">
            <v>MY-LYRound020</v>
          </cell>
          <cell r="C128">
            <v>1</v>
          </cell>
          <cell r="D128">
            <v>2</v>
          </cell>
          <cell r="E128">
            <v>0</v>
          </cell>
          <cell r="F128">
            <v>1</v>
          </cell>
        </row>
        <row r="129">
          <cell r="A129" t="str">
            <v>CS-SB030-NY-XL</v>
          </cell>
          <cell r="B129" t="str">
            <v>CS-SB030</v>
          </cell>
          <cell r="C129">
            <v>11</v>
          </cell>
          <cell r="D129">
            <v>16</v>
          </cell>
          <cell r="E129">
            <v>17</v>
          </cell>
          <cell r="F129">
            <v>8</v>
          </cell>
        </row>
        <row r="130">
          <cell r="A130" t="str">
            <v>CS-SB171-WR917-L</v>
          </cell>
          <cell r="B130" t="str">
            <v>CS-SB171</v>
          </cell>
          <cell r="C130">
            <v>2</v>
          </cell>
          <cell r="D130">
            <v>1</v>
          </cell>
          <cell r="E130">
            <v>2</v>
          </cell>
          <cell r="F130">
            <v>4</v>
          </cell>
        </row>
        <row r="131">
          <cell r="A131" t="str">
            <v>CS-BBS030-WT-M</v>
          </cell>
          <cell r="B131" t="str">
            <v>CS-BBS030</v>
          </cell>
          <cell r="C131">
            <v>3</v>
          </cell>
          <cell r="D131">
            <v>2</v>
          </cell>
          <cell r="E131">
            <v>2</v>
          </cell>
          <cell r="F131">
            <v>1</v>
          </cell>
        </row>
        <row r="132">
          <cell r="A132" t="str">
            <v>MY-LYPoint021-GR-L</v>
          </cell>
          <cell r="B132" t="str">
            <v>MY-LYPoint021</v>
          </cell>
          <cell r="C132">
            <v>2</v>
          </cell>
          <cell r="D132">
            <v>0</v>
          </cell>
          <cell r="E132">
            <v>2</v>
          </cell>
          <cell r="F132">
            <v>2</v>
          </cell>
        </row>
        <row r="133">
          <cell r="A133" t="str">
            <v>CS-SB006-BL2-2XL</v>
          </cell>
          <cell r="B133" t="str">
            <v>CS-SB006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</row>
        <row r="134">
          <cell r="A134" t="str">
            <v>CS-LHY009-BK-XXL</v>
          </cell>
          <cell r="B134" t="str">
            <v>CS-LHY009</v>
          </cell>
          <cell r="C134">
            <v>3</v>
          </cell>
          <cell r="D134">
            <v>2</v>
          </cell>
          <cell r="E134">
            <v>7</v>
          </cell>
          <cell r="F134">
            <v>11</v>
          </cell>
        </row>
        <row r="135">
          <cell r="A135" t="str">
            <v>CS-SB009-RDNY-XXL</v>
          </cell>
          <cell r="B135" t="str">
            <v>CS-SB009</v>
          </cell>
          <cell r="C135">
            <v>3</v>
          </cell>
          <cell r="D135">
            <v>1</v>
          </cell>
          <cell r="E135">
            <v>4</v>
          </cell>
          <cell r="F135">
            <v>1</v>
          </cell>
        </row>
        <row r="136">
          <cell r="A136" t="str">
            <v>CS-BBS030-BL-L</v>
          </cell>
          <cell r="B136" t="str">
            <v>CS-BBS030</v>
          </cell>
          <cell r="C136">
            <v>8</v>
          </cell>
          <cell r="D136">
            <v>3</v>
          </cell>
          <cell r="E136">
            <v>5</v>
          </cell>
          <cell r="F136">
            <v>5</v>
          </cell>
        </row>
        <row r="137">
          <cell r="A137" t="str">
            <v>CS-SB030-WR-L</v>
          </cell>
          <cell r="B137" t="str">
            <v>CS-SB030</v>
          </cell>
          <cell r="C137">
            <v>5</v>
          </cell>
          <cell r="D137">
            <v>0</v>
          </cell>
          <cell r="E137">
            <v>7</v>
          </cell>
          <cell r="F137">
            <v>8</v>
          </cell>
        </row>
        <row r="138">
          <cell r="A138" t="str">
            <v>CS-SB009-BK-L</v>
          </cell>
          <cell r="B138" t="str">
            <v>CS-SB009</v>
          </cell>
          <cell r="C138">
            <v>5</v>
          </cell>
          <cell r="D138">
            <v>5</v>
          </cell>
          <cell r="E138">
            <v>2</v>
          </cell>
          <cell r="F138">
            <v>3</v>
          </cell>
        </row>
        <row r="139">
          <cell r="A139" t="str">
            <v>CS-SB166-K33-2-XL</v>
          </cell>
          <cell r="B139" t="str">
            <v>CS-SB166</v>
          </cell>
          <cell r="C139">
            <v>0</v>
          </cell>
          <cell r="D139">
            <v>1</v>
          </cell>
          <cell r="E139">
            <v>1</v>
          </cell>
          <cell r="F139">
            <v>1</v>
          </cell>
        </row>
        <row r="140">
          <cell r="A140" t="str">
            <v>CS-BUSB032-YL-L</v>
          </cell>
          <cell r="B140" t="str">
            <v>CS-BUSB032</v>
          </cell>
          <cell r="C140">
            <v>0</v>
          </cell>
          <cell r="D140">
            <v>0</v>
          </cell>
          <cell r="E140">
            <v>3</v>
          </cell>
          <cell r="F140">
            <v>1</v>
          </cell>
        </row>
        <row r="141">
          <cell r="A141" t="str">
            <v>POLO-SB014-GR-M</v>
          </cell>
          <cell r="B141" t="str">
            <v>POLO-SB014</v>
          </cell>
          <cell r="C141">
            <v>0</v>
          </cell>
          <cell r="D141">
            <v>2</v>
          </cell>
          <cell r="E141">
            <v>0</v>
          </cell>
          <cell r="F141">
            <v>1</v>
          </cell>
        </row>
        <row r="142">
          <cell r="A142" t="str">
            <v>CS-LY166-B28-4-XXL</v>
          </cell>
          <cell r="B142" t="str">
            <v>CS-LY166</v>
          </cell>
          <cell r="C142">
            <v>1</v>
          </cell>
          <cell r="D142">
            <v>0</v>
          </cell>
          <cell r="E142">
            <v>1</v>
          </cell>
          <cell r="F142">
            <v>1</v>
          </cell>
        </row>
        <row r="143">
          <cell r="A143" t="str">
            <v>CS-SB030-BL-M</v>
          </cell>
          <cell r="B143" t="str">
            <v>CS-SB030</v>
          </cell>
          <cell r="C143">
            <v>0</v>
          </cell>
          <cell r="D143">
            <v>1</v>
          </cell>
          <cell r="E143">
            <v>0</v>
          </cell>
          <cell r="F143">
            <v>2</v>
          </cell>
        </row>
        <row r="144">
          <cell r="A144" t="str">
            <v>CS-SB002-RD-S</v>
          </cell>
          <cell r="B144" t="str">
            <v>CS-SB002</v>
          </cell>
          <cell r="C144">
            <v>1</v>
          </cell>
          <cell r="D144">
            <v>1</v>
          </cell>
          <cell r="E144">
            <v>0</v>
          </cell>
          <cell r="F144">
            <v>1</v>
          </cell>
        </row>
        <row r="145">
          <cell r="A145" t="str">
            <v>CS-SB171-ZL918-L</v>
          </cell>
          <cell r="B145" t="str">
            <v>CS-SB171</v>
          </cell>
          <cell r="C145">
            <v>2</v>
          </cell>
          <cell r="D145">
            <v>3</v>
          </cell>
          <cell r="E145">
            <v>4</v>
          </cell>
          <cell r="F145">
            <v>4</v>
          </cell>
        </row>
        <row r="146">
          <cell r="A146" t="str">
            <v>CS-BUSB031-RD2-L</v>
          </cell>
          <cell r="B146" t="str">
            <v>CS-BUSB031</v>
          </cell>
          <cell r="C146">
            <v>2</v>
          </cell>
          <cell r="D146">
            <v>2</v>
          </cell>
          <cell r="E146">
            <v>1</v>
          </cell>
          <cell r="F146">
            <v>2</v>
          </cell>
        </row>
        <row r="147">
          <cell r="A147" t="str">
            <v>CS-SB009-RD-L</v>
          </cell>
          <cell r="B147" t="str">
            <v>CS-SB009</v>
          </cell>
          <cell r="C147">
            <v>2</v>
          </cell>
          <cell r="D147">
            <v>0</v>
          </cell>
          <cell r="E147">
            <v>0</v>
          </cell>
          <cell r="F147">
            <v>2</v>
          </cell>
        </row>
        <row r="148">
          <cell r="A148" t="str">
            <v>CS-LY181-Sa911-S</v>
          </cell>
          <cell r="B148" t="str">
            <v>CS-LY181</v>
          </cell>
          <cell r="C148">
            <v>1</v>
          </cell>
          <cell r="D148">
            <v>2</v>
          </cell>
          <cell r="E148">
            <v>1</v>
          </cell>
          <cell r="F148">
            <v>1</v>
          </cell>
        </row>
        <row r="149">
          <cell r="A149" t="str">
            <v>CS-SB007-PP-XXL</v>
          </cell>
          <cell r="B149" t="str">
            <v>CS-SB007</v>
          </cell>
          <cell r="C149">
            <v>1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CS-LHY032-YL-XXL</v>
          </cell>
          <cell r="B150" t="str">
            <v>CS-LHY032</v>
          </cell>
          <cell r="C150">
            <v>0</v>
          </cell>
          <cell r="D150">
            <v>0</v>
          </cell>
          <cell r="E150">
            <v>1</v>
          </cell>
          <cell r="F150">
            <v>1</v>
          </cell>
        </row>
        <row r="151">
          <cell r="A151" t="str">
            <v>CS-SB009-YL-XL</v>
          </cell>
          <cell r="B151" t="str">
            <v>CS-SB009</v>
          </cell>
          <cell r="C151">
            <v>5</v>
          </cell>
          <cell r="D151">
            <v>4</v>
          </cell>
          <cell r="E151">
            <v>9</v>
          </cell>
          <cell r="F151">
            <v>11</v>
          </cell>
        </row>
        <row r="152">
          <cell r="A152" t="str">
            <v>CS-LHY170-LG907-XXL</v>
          </cell>
          <cell r="B152" t="str">
            <v>CS-LHY170</v>
          </cell>
          <cell r="C152">
            <v>9</v>
          </cell>
          <cell r="D152">
            <v>5</v>
          </cell>
          <cell r="E152">
            <v>9</v>
          </cell>
          <cell r="F152">
            <v>5</v>
          </cell>
        </row>
        <row r="153">
          <cell r="A153" t="str">
            <v>CS-LY084-H4-XL</v>
          </cell>
          <cell r="B153" t="str">
            <v>CS-LY084</v>
          </cell>
          <cell r="C153">
            <v>0</v>
          </cell>
          <cell r="D153">
            <v>0</v>
          </cell>
          <cell r="E153">
            <v>1</v>
          </cell>
          <cell r="F153">
            <v>6</v>
          </cell>
        </row>
        <row r="154">
          <cell r="A154" t="str">
            <v>CS-LY084-H4-M</v>
          </cell>
          <cell r="B154" t="str">
            <v>CS-LY084</v>
          </cell>
          <cell r="C154">
            <v>0</v>
          </cell>
          <cell r="D154">
            <v>2</v>
          </cell>
          <cell r="E154">
            <v>1</v>
          </cell>
          <cell r="F154">
            <v>10</v>
          </cell>
        </row>
        <row r="155">
          <cell r="A155" t="str">
            <v>CS-LY181-LG-M</v>
          </cell>
          <cell r="B155" t="str">
            <v>CS-LY181</v>
          </cell>
          <cell r="C155">
            <v>7</v>
          </cell>
          <cell r="D155">
            <v>4</v>
          </cell>
          <cell r="E155">
            <v>3</v>
          </cell>
          <cell r="F155">
            <v>3</v>
          </cell>
        </row>
        <row r="156">
          <cell r="A156" t="str">
            <v>CS-BBS030-WT-L</v>
          </cell>
          <cell r="B156" t="str">
            <v>CS-BBS030</v>
          </cell>
          <cell r="C156">
            <v>5</v>
          </cell>
          <cell r="D156">
            <v>4</v>
          </cell>
          <cell r="E156">
            <v>4</v>
          </cell>
          <cell r="F156">
            <v>2</v>
          </cell>
        </row>
        <row r="157">
          <cell r="A157" t="str">
            <v>CS-LHY170-LB916-L</v>
          </cell>
          <cell r="B157" t="str">
            <v>CS-LHY170</v>
          </cell>
          <cell r="C157">
            <v>7</v>
          </cell>
          <cell r="D157">
            <v>10</v>
          </cell>
          <cell r="E157">
            <v>10</v>
          </cell>
          <cell r="F157">
            <v>1</v>
          </cell>
        </row>
        <row r="158">
          <cell r="A158" t="str">
            <v>CS-SB170-W902-XXL</v>
          </cell>
          <cell r="B158" t="str">
            <v>CS-SB170</v>
          </cell>
          <cell r="C158">
            <v>1</v>
          </cell>
          <cell r="D158">
            <v>4</v>
          </cell>
          <cell r="E158">
            <v>10</v>
          </cell>
          <cell r="F158">
            <v>7</v>
          </cell>
        </row>
        <row r="159">
          <cell r="A159" t="str">
            <v>MY-SBRound020-BK-M</v>
          </cell>
          <cell r="B159" t="str">
            <v>MY-SBRound020</v>
          </cell>
          <cell r="C159">
            <v>0</v>
          </cell>
          <cell r="D159">
            <v>1</v>
          </cell>
          <cell r="E159">
            <v>0</v>
          </cell>
          <cell r="F159">
            <v>1</v>
          </cell>
        </row>
        <row r="160">
          <cell r="A160" t="str">
            <v>CS-LY170-WR917-S</v>
          </cell>
          <cell r="B160" t="str">
            <v>CS-LY170</v>
          </cell>
          <cell r="C160">
            <v>0</v>
          </cell>
          <cell r="D160">
            <v>0</v>
          </cell>
          <cell r="E160">
            <v>0</v>
          </cell>
          <cell r="F160">
            <v>1</v>
          </cell>
        </row>
        <row r="161">
          <cell r="A161" t="str">
            <v>CS-SB009-BK-XL</v>
          </cell>
          <cell r="B161" t="str">
            <v>CS-SB009</v>
          </cell>
          <cell r="C161">
            <v>4</v>
          </cell>
          <cell r="D161">
            <v>4</v>
          </cell>
          <cell r="E161">
            <v>4</v>
          </cell>
          <cell r="F161">
            <v>3</v>
          </cell>
        </row>
        <row r="162">
          <cell r="A162" t="str">
            <v>CS-SB181-WR917-XL</v>
          </cell>
          <cell r="B162" t="str">
            <v>CS-SB181</v>
          </cell>
          <cell r="C162">
            <v>3</v>
          </cell>
          <cell r="D162">
            <v>0</v>
          </cell>
          <cell r="E162">
            <v>2</v>
          </cell>
          <cell r="F162">
            <v>2</v>
          </cell>
        </row>
        <row r="163">
          <cell r="A163" t="str">
            <v>CS-SB170-G912-XXL</v>
          </cell>
          <cell r="B163" t="str">
            <v>CS-SB170</v>
          </cell>
          <cell r="C163">
            <v>8</v>
          </cell>
          <cell r="D163">
            <v>7</v>
          </cell>
          <cell r="E163">
            <v>13</v>
          </cell>
          <cell r="F163">
            <v>5</v>
          </cell>
        </row>
        <row r="164">
          <cell r="A164" t="str">
            <v>CS-LY170-Sa911-XXL</v>
          </cell>
          <cell r="B164" t="str">
            <v>CS-LY170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</row>
        <row r="165">
          <cell r="A165" t="str">
            <v>CS-LY170-PI908-S</v>
          </cell>
          <cell r="B165" t="str">
            <v>CS-LY170</v>
          </cell>
          <cell r="C165">
            <v>1</v>
          </cell>
          <cell r="D165">
            <v>1</v>
          </cell>
          <cell r="E165">
            <v>0</v>
          </cell>
          <cell r="F165">
            <v>3</v>
          </cell>
        </row>
        <row r="166">
          <cell r="A166" t="str">
            <v>CS-BBS030-BK-XL</v>
          </cell>
          <cell r="B166" t="str">
            <v>CS-BBS030</v>
          </cell>
          <cell r="C166">
            <v>13</v>
          </cell>
          <cell r="D166">
            <v>9</v>
          </cell>
          <cell r="E166">
            <v>16</v>
          </cell>
          <cell r="F166">
            <v>9</v>
          </cell>
        </row>
        <row r="167">
          <cell r="A167" t="str">
            <v>CS-LY085-Sa911-M</v>
          </cell>
          <cell r="B167" t="str">
            <v>CS-LY085</v>
          </cell>
          <cell r="C167">
            <v>2</v>
          </cell>
          <cell r="D167">
            <v>4</v>
          </cell>
          <cell r="E167">
            <v>0</v>
          </cell>
          <cell r="F167">
            <v>1</v>
          </cell>
        </row>
        <row r="168">
          <cell r="A168" t="str">
            <v>CS-SB002-LB-XL</v>
          </cell>
          <cell r="B168" t="str">
            <v>CS-SB002</v>
          </cell>
          <cell r="C168">
            <v>0</v>
          </cell>
          <cell r="D168">
            <v>1</v>
          </cell>
          <cell r="E168">
            <v>1</v>
          </cell>
          <cell r="F168">
            <v>1</v>
          </cell>
        </row>
        <row r="169">
          <cell r="A169" t="str">
            <v>CS-SB002-RNBL-XL</v>
          </cell>
          <cell r="B169" t="str">
            <v>CS-SB002</v>
          </cell>
          <cell r="C169">
            <v>1</v>
          </cell>
          <cell r="D169">
            <v>0</v>
          </cell>
          <cell r="E169">
            <v>1</v>
          </cell>
          <cell r="F169">
            <v>1</v>
          </cell>
        </row>
        <row r="170">
          <cell r="A170" t="str">
            <v>MY-SB021-BK-S</v>
          </cell>
          <cell r="B170" t="str">
            <v>MY-SB021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</row>
        <row r="171">
          <cell r="A171" t="str">
            <v>CS-SB170-Sa911-S</v>
          </cell>
          <cell r="B171" t="str">
            <v>CS-SB170</v>
          </cell>
          <cell r="C171">
            <v>2</v>
          </cell>
          <cell r="D171">
            <v>2</v>
          </cell>
          <cell r="E171">
            <v>3</v>
          </cell>
          <cell r="F171">
            <v>6</v>
          </cell>
        </row>
        <row r="172">
          <cell r="A172" t="str">
            <v>CS-SB170-WR917-L</v>
          </cell>
          <cell r="B172" t="str">
            <v>CS-SB170</v>
          </cell>
          <cell r="C172">
            <v>1</v>
          </cell>
          <cell r="D172">
            <v>1</v>
          </cell>
          <cell r="E172">
            <v>3</v>
          </cell>
          <cell r="F172">
            <v>3</v>
          </cell>
        </row>
        <row r="173">
          <cell r="A173" t="str">
            <v>CS-BBS003-LB-S</v>
          </cell>
          <cell r="B173" t="str">
            <v>CS-BBS003</v>
          </cell>
          <cell r="C173">
            <v>2</v>
          </cell>
          <cell r="D173">
            <v>0</v>
          </cell>
          <cell r="E173">
            <v>2</v>
          </cell>
          <cell r="F173">
            <v>2</v>
          </cell>
        </row>
        <row r="174">
          <cell r="A174" t="str">
            <v>MY-LYRound020-BL-S</v>
          </cell>
          <cell r="B174" t="str">
            <v>MY-LYRound020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CS-SB171-W902-L</v>
          </cell>
          <cell r="B175" t="str">
            <v>CS-SB171</v>
          </cell>
          <cell r="C175">
            <v>2</v>
          </cell>
          <cell r="D175">
            <v>8</v>
          </cell>
          <cell r="E175">
            <v>1</v>
          </cell>
          <cell r="F175">
            <v>4</v>
          </cell>
        </row>
        <row r="176">
          <cell r="A176" t="str">
            <v>CS-SB009-YL-XXL</v>
          </cell>
          <cell r="B176" t="str">
            <v>CS-SB009</v>
          </cell>
          <cell r="C176">
            <v>4</v>
          </cell>
          <cell r="D176">
            <v>3</v>
          </cell>
          <cell r="E176">
            <v>8</v>
          </cell>
          <cell r="F176">
            <v>4</v>
          </cell>
        </row>
        <row r="177">
          <cell r="A177" t="str">
            <v>CS-BBS030-BL-XXL</v>
          </cell>
          <cell r="B177" t="str">
            <v>CS-BBS030</v>
          </cell>
          <cell r="C177">
            <v>6</v>
          </cell>
          <cell r="D177">
            <v>2</v>
          </cell>
          <cell r="E177">
            <v>11</v>
          </cell>
          <cell r="F177">
            <v>2</v>
          </cell>
        </row>
        <row r="178">
          <cell r="A178" t="str">
            <v>CS-LY084-H15-L</v>
          </cell>
          <cell r="B178" t="str">
            <v>CS-LY084</v>
          </cell>
          <cell r="C178">
            <v>6</v>
          </cell>
          <cell r="D178">
            <v>1</v>
          </cell>
          <cell r="E178">
            <v>4</v>
          </cell>
          <cell r="F178">
            <v>1</v>
          </cell>
        </row>
        <row r="179">
          <cell r="A179" t="str">
            <v>MY-BS027-BL-M</v>
          </cell>
          <cell r="B179" t="str">
            <v>MY-BS027</v>
          </cell>
          <cell r="C179">
            <v>0</v>
          </cell>
          <cell r="D179">
            <v>0</v>
          </cell>
          <cell r="E179">
            <v>0</v>
          </cell>
          <cell r="F179">
            <v>1</v>
          </cell>
        </row>
        <row r="180">
          <cell r="A180" t="str">
            <v>MY-LYPoint021-LB-M</v>
          </cell>
          <cell r="B180" t="str">
            <v>MY-LYPoint021</v>
          </cell>
          <cell r="C180">
            <v>0</v>
          </cell>
          <cell r="D180">
            <v>3</v>
          </cell>
          <cell r="E180">
            <v>1</v>
          </cell>
          <cell r="F180">
            <v>1</v>
          </cell>
        </row>
        <row r="181">
          <cell r="A181" t="str">
            <v>CS-SB009-RDNY-L</v>
          </cell>
          <cell r="B181" t="str">
            <v>CS-SB009</v>
          </cell>
          <cell r="C181">
            <v>4</v>
          </cell>
          <cell r="D181">
            <v>3</v>
          </cell>
          <cell r="E181">
            <v>2</v>
          </cell>
          <cell r="F181">
            <v>4</v>
          </cell>
        </row>
        <row r="182">
          <cell r="A182" t="str">
            <v>CS-SB009-LB-XL</v>
          </cell>
          <cell r="B182" t="str">
            <v>CS-SB009</v>
          </cell>
          <cell r="C182">
            <v>6</v>
          </cell>
          <cell r="D182">
            <v>4</v>
          </cell>
          <cell r="E182">
            <v>3</v>
          </cell>
          <cell r="F182">
            <v>4</v>
          </cell>
        </row>
        <row r="183">
          <cell r="A183" t="str">
            <v>CS-SB170-LG907-XL</v>
          </cell>
          <cell r="B183" t="str">
            <v>CS-SB170</v>
          </cell>
          <cell r="C183">
            <v>0</v>
          </cell>
          <cell r="D183">
            <v>0</v>
          </cell>
          <cell r="E183">
            <v>1</v>
          </cell>
          <cell r="F183">
            <v>2</v>
          </cell>
        </row>
        <row r="184">
          <cell r="A184" t="str">
            <v>CS-CA170-LG907-XL</v>
          </cell>
          <cell r="B184" t="str">
            <v>CS-CA170</v>
          </cell>
          <cell r="C184">
            <v>1</v>
          </cell>
          <cell r="D184">
            <v>0</v>
          </cell>
          <cell r="E184">
            <v>2</v>
          </cell>
          <cell r="F184">
            <v>2</v>
          </cell>
        </row>
        <row r="185">
          <cell r="A185" t="str">
            <v>CS-CA170-ZL918-L</v>
          </cell>
          <cell r="B185" t="str">
            <v>CS-CA170</v>
          </cell>
          <cell r="C185">
            <v>3</v>
          </cell>
          <cell r="D185">
            <v>2</v>
          </cell>
          <cell r="E185">
            <v>5</v>
          </cell>
          <cell r="F185">
            <v>1</v>
          </cell>
        </row>
        <row r="186">
          <cell r="A186" t="str">
            <v>CS-CA170-ZL918-XL</v>
          </cell>
          <cell r="B186" t="str">
            <v>CS-CA170</v>
          </cell>
          <cell r="C186">
            <v>0</v>
          </cell>
          <cell r="D186">
            <v>2</v>
          </cell>
          <cell r="E186">
            <v>9</v>
          </cell>
          <cell r="F186">
            <v>1</v>
          </cell>
        </row>
        <row r="187">
          <cell r="A187" t="str">
            <v>CS-CA170-LG907-M</v>
          </cell>
          <cell r="B187" t="str">
            <v>CS-CA170</v>
          </cell>
          <cell r="C187">
            <v>0</v>
          </cell>
          <cell r="D187">
            <v>1</v>
          </cell>
          <cell r="E187">
            <v>6</v>
          </cell>
          <cell r="F187">
            <v>1</v>
          </cell>
        </row>
        <row r="188">
          <cell r="A188" t="str">
            <v>CS-LY170-LB916-L</v>
          </cell>
          <cell r="B188" t="str">
            <v>CS-LY170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CS-SB030-NY-XXL</v>
          </cell>
          <cell r="B189" t="str">
            <v>CS-SB030</v>
          </cell>
          <cell r="C189">
            <v>16</v>
          </cell>
          <cell r="D189">
            <v>11</v>
          </cell>
          <cell r="E189">
            <v>12</v>
          </cell>
          <cell r="F189">
            <v>4</v>
          </cell>
        </row>
        <row r="190">
          <cell r="A190" t="str">
            <v>CS-SB170-Sa911-L</v>
          </cell>
          <cell r="B190" t="str">
            <v>CS-SB170</v>
          </cell>
          <cell r="C190">
            <v>3</v>
          </cell>
          <cell r="D190">
            <v>0</v>
          </cell>
          <cell r="E190">
            <v>0</v>
          </cell>
          <cell r="F190">
            <v>5</v>
          </cell>
        </row>
        <row r="191">
          <cell r="A191" t="str">
            <v>CS-LHY009-GN-M</v>
          </cell>
          <cell r="B191" t="str">
            <v>CS-LHY009</v>
          </cell>
          <cell r="C191">
            <v>0</v>
          </cell>
          <cell r="D191">
            <v>0</v>
          </cell>
          <cell r="E191">
            <v>2</v>
          </cell>
          <cell r="F191">
            <v>1</v>
          </cell>
        </row>
        <row r="192">
          <cell r="A192" t="str">
            <v>WQS-BN-1503-RO-L</v>
          </cell>
          <cell r="B192" t="str">
            <v>WQS-BN-1503</v>
          </cell>
          <cell r="C192">
            <v>3</v>
          </cell>
          <cell r="D192">
            <v>1</v>
          </cell>
          <cell r="E192">
            <v>3</v>
          </cell>
          <cell r="F192">
            <v>3</v>
          </cell>
        </row>
        <row r="193">
          <cell r="A193" t="str">
            <v>POLO-SB014-YL-L</v>
          </cell>
          <cell r="B193" t="str">
            <v>POLO-SB014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</row>
        <row r="194">
          <cell r="A194" t="str">
            <v>POLO-SB014-YL-XL</v>
          </cell>
          <cell r="B194" t="str">
            <v>POLO-SB014</v>
          </cell>
          <cell r="C194">
            <v>0</v>
          </cell>
          <cell r="D194">
            <v>0</v>
          </cell>
          <cell r="E194">
            <v>1</v>
          </cell>
          <cell r="F194">
            <v>1</v>
          </cell>
        </row>
        <row r="195">
          <cell r="A195" t="str">
            <v>CS-SB030-GR-M</v>
          </cell>
          <cell r="B195" t="str">
            <v>CS-SB030</v>
          </cell>
          <cell r="C195">
            <v>2</v>
          </cell>
          <cell r="D195">
            <v>1</v>
          </cell>
          <cell r="E195">
            <v>0</v>
          </cell>
          <cell r="F195">
            <v>2</v>
          </cell>
        </row>
        <row r="196">
          <cell r="A196" t="str">
            <v>CS-LHY170-Sa911-M</v>
          </cell>
          <cell r="B196" t="str">
            <v>CS-LHY170</v>
          </cell>
          <cell r="C196">
            <v>11</v>
          </cell>
          <cell r="D196">
            <v>15</v>
          </cell>
          <cell r="E196">
            <v>8</v>
          </cell>
          <cell r="F196">
            <v>6</v>
          </cell>
        </row>
        <row r="197">
          <cell r="A197" t="str">
            <v>POLO-1503-NY-2XL</v>
          </cell>
          <cell r="B197" t="str">
            <v>POLO-1503</v>
          </cell>
          <cell r="C197">
            <v>0</v>
          </cell>
          <cell r="D197">
            <v>0</v>
          </cell>
          <cell r="E197">
            <v>1</v>
          </cell>
          <cell r="F197">
            <v>1</v>
          </cell>
        </row>
        <row r="198">
          <cell r="A198" t="str">
            <v>CS-LHY170-W902-L</v>
          </cell>
          <cell r="B198" t="str">
            <v>CS-LHY170</v>
          </cell>
          <cell r="C198">
            <v>11</v>
          </cell>
          <cell r="D198">
            <v>18</v>
          </cell>
          <cell r="E198">
            <v>13</v>
          </cell>
          <cell r="F198">
            <v>6</v>
          </cell>
        </row>
        <row r="199">
          <cell r="A199" t="str">
            <v>CS-SB030-NY-M</v>
          </cell>
          <cell r="B199" t="str">
            <v>CS-SB030</v>
          </cell>
          <cell r="C199">
            <v>4</v>
          </cell>
          <cell r="D199">
            <v>5</v>
          </cell>
          <cell r="E199">
            <v>5</v>
          </cell>
          <cell r="F199">
            <v>5</v>
          </cell>
        </row>
        <row r="200">
          <cell r="A200" t="str">
            <v>CS-LY170-G912-M</v>
          </cell>
          <cell r="B200" t="str">
            <v>CS-LY170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</row>
        <row r="201">
          <cell r="A201" t="str">
            <v>CS-SB030-NY-L</v>
          </cell>
          <cell r="B201" t="str">
            <v>CS-SB030</v>
          </cell>
          <cell r="C201">
            <v>8</v>
          </cell>
          <cell r="D201">
            <v>14</v>
          </cell>
          <cell r="E201">
            <v>21</v>
          </cell>
          <cell r="F201">
            <v>9</v>
          </cell>
        </row>
        <row r="202">
          <cell r="A202" t="str">
            <v>MY-SB027-KK-XL</v>
          </cell>
          <cell r="B202" t="str">
            <v>MY-SB027</v>
          </cell>
          <cell r="C202">
            <v>0</v>
          </cell>
          <cell r="D202">
            <v>0</v>
          </cell>
          <cell r="E202">
            <v>2</v>
          </cell>
          <cell r="F202">
            <v>1</v>
          </cell>
        </row>
        <row r="203">
          <cell r="A203" t="str">
            <v>CS-LY085-LG907-M</v>
          </cell>
          <cell r="B203" t="str">
            <v>CS-LY085</v>
          </cell>
          <cell r="C203">
            <v>1</v>
          </cell>
          <cell r="D203">
            <v>1</v>
          </cell>
          <cell r="E203">
            <v>9</v>
          </cell>
          <cell r="F203">
            <v>2</v>
          </cell>
        </row>
        <row r="204">
          <cell r="A204" t="str">
            <v>CS-SB016-BK-L</v>
          </cell>
          <cell r="B204" t="str">
            <v>CS-SB016</v>
          </cell>
          <cell r="C204">
            <v>0</v>
          </cell>
          <cell r="D204">
            <v>0</v>
          </cell>
          <cell r="E204">
            <v>0</v>
          </cell>
          <cell r="F204">
            <v>1</v>
          </cell>
        </row>
        <row r="205">
          <cell r="A205" t="str">
            <v>CS-SB030-YL-M</v>
          </cell>
          <cell r="B205" t="str">
            <v>CS-SB030</v>
          </cell>
          <cell r="C205">
            <v>0</v>
          </cell>
          <cell r="D205">
            <v>1</v>
          </cell>
          <cell r="E205">
            <v>1</v>
          </cell>
          <cell r="F205">
            <v>1</v>
          </cell>
        </row>
        <row r="206">
          <cell r="A206" t="str">
            <v>CS-SB005-BK-L</v>
          </cell>
          <cell r="B206" t="str">
            <v>CS-SB005</v>
          </cell>
          <cell r="C206">
            <v>1</v>
          </cell>
          <cell r="D206">
            <v>1</v>
          </cell>
          <cell r="E206">
            <v>0</v>
          </cell>
          <cell r="F206">
            <v>1</v>
          </cell>
        </row>
        <row r="207">
          <cell r="A207" t="str">
            <v>CS-SB009-LB-L</v>
          </cell>
          <cell r="B207" t="str">
            <v>CS-SB009</v>
          </cell>
          <cell r="C207">
            <v>4</v>
          </cell>
          <cell r="D207">
            <v>2</v>
          </cell>
          <cell r="E207">
            <v>3</v>
          </cell>
          <cell r="F207">
            <v>3</v>
          </cell>
        </row>
        <row r="208">
          <cell r="A208" t="str">
            <v>CS-BS003-BK-XL</v>
          </cell>
          <cell r="B208" t="str">
            <v>CS-BS003</v>
          </cell>
          <cell r="C208">
            <v>0</v>
          </cell>
          <cell r="D208">
            <v>1</v>
          </cell>
          <cell r="E208">
            <v>0</v>
          </cell>
          <cell r="F208">
            <v>2</v>
          </cell>
        </row>
        <row r="209">
          <cell r="A209" t="str">
            <v>CS-LHY003-BK-XXL</v>
          </cell>
          <cell r="B209" t="str">
            <v>CS-LHY003</v>
          </cell>
          <cell r="C209">
            <v>0</v>
          </cell>
          <cell r="D209">
            <v>0</v>
          </cell>
          <cell r="E209">
            <v>0</v>
          </cell>
          <cell r="F209">
            <v>1</v>
          </cell>
        </row>
        <row r="210">
          <cell r="A210" t="str">
            <v>CS-LY085-W902-XL</v>
          </cell>
          <cell r="B210" t="str">
            <v>CS-LY085</v>
          </cell>
          <cell r="C210">
            <v>0</v>
          </cell>
          <cell r="D210">
            <v>2</v>
          </cell>
          <cell r="E210">
            <v>2</v>
          </cell>
          <cell r="F210">
            <v>1</v>
          </cell>
        </row>
        <row r="211">
          <cell r="A211" t="str">
            <v>CS-LY171-LB916-XL</v>
          </cell>
          <cell r="B211" t="str">
            <v>CS-LY171</v>
          </cell>
          <cell r="C211">
            <v>2</v>
          </cell>
          <cell r="D211">
            <v>0</v>
          </cell>
          <cell r="E211">
            <v>1</v>
          </cell>
          <cell r="F211">
            <v>2</v>
          </cell>
        </row>
        <row r="212">
          <cell r="A212" t="str">
            <v>CS-BUSB032-YL-M</v>
          </cell>
          <cell r="B212" t="str">
            <v>CS-BUSB032</v>
          </cell>
          <cell r="C212">
            <v>1</v>
          </cell>
          <cell r="D212">
            <v>0</v>
          </cell>
          <cell r="E212">
            <v>0</v>
          </cell>
          <cell r="F212">
            <v>1</v>
          </cell>
        </row>
        <row r="213">
          <cell r="A213" t="str">
            <v>MY-SB026-RD-S</v>
          </cell>
          <cell r="B213" t="str">
            <v>MY-SB026</v>
          </cell>
          <cell r="C213">
            <v>1</v>
          </cell>
          <cell r="D213">
            <v>0</v>
          </cell>
          <cell r="E213">
            <v>5</v>
          </cell>
          <cell r="F213">
            <v>2</v>
          </cell>
        </row>
        <row r="214">
          <cell r="A214" t="str">
            <v>MY-SB026-NY-S</v>
          </cell>
          <cell r="B214" t="str">
            <v>MY-SB026</v>
          </cell>
          <cell r="C214">
            <v>1</v>
          </cell>
          <cell r="D214">
            <v>1</v>
          </cell>
          <cell r="E214">
            <v>0</v>
          </cell>
          <cell r="F214">
            <v>1</v>
          </cell>
        </row>
        <row r="215">
          <cell r="A215" t="str">
            <v>MY-SB026-GN-S</v>
          </cell>
          <cell r="B215" t="str">
            <v>MY-SB026</v>
          </cell>
          <cell r="C215">
            <v>0</v>
          </cell>
          <cell r="D215">
            <v>0</v>
          </cell>
          <cell r="E215">
            <v>0</v>
          </cell>
          <cell r="F215">
            <v>1</v>
          </cell>
        </row>
        <row r="216">
          <cell r="A216" t="str">
            <v>CS-SB170-W902-S</v>
          </cell>
          <cell r="B216" t="str">
            <v>CS-SB170</v>
          </cell>
          <cell r="C216">
            <v>9</v>
          </cell>
          <cell r="D216">
            <v>10</v>
          </cell>
          <cell r="E216">
            <v>1</v>
          </cell>
          <cell r="F216">
            <v>7</v>
          </cell>
        </row>
        <row r="217">
          <cell r="A217" t="str">
            <v>CS-LHY170-LB916-S</v>
          </cell>
          <cell r="B217" t="str">
            <v>CS-LHY170</v>
          </cell>
          <cell r="C217">
            <v>8</v>
          </cell>
          <cell r="D217">
            <v>1</v>
          </cell>
          <cell r="E217">
            <v>0</v>
          </cell>
          <cell r="F217">
            <v>2</v>
          </cell>
        </row>
        <row r="218">
          <cell r="A218" t="str">
            <v>CS-LY166-K33-2-L</v>
          </cell>
          <cell r="B218" t="str">
            <v>CS-LY166</v>
          </cell>
          <cell r="C218">
            <v>1</v>
          </cell>
          <cell r="D218">
            <v>0</v>
          </cell>
          <cell r="E218">
            <v>1</v>
          </cell>
          <cell r="F218">
            <v>3</v>
          </cell>
        </row>
        <row r="219">
          <cell r="A219" t="str">
            <v>CS-LY085-R901-XL</v>
          </cell>
          <cell r="B219" t="str">
            <v>CS-LY085</v>
          </cell>
          <cell r="C219">
            <v>1</v>
          </cell>
          <cell r="D219">
            <v>0</v>
          </cell>
          <cell r="E219">
            <v>0</v>
          </cell>
          <cell r="F219">
            <v>1</v>
          </cell>
        </row>
        <row r="220">
          <cell r="A220" t="str">
            <v>CS-SB009-RD-XL</v>
          </cell>
          <cell r="B220" t="str">
            <v>CS-SB009</v>
          </cell>
          <cell r="C220">
            <v>1</v>
          </cell>
          <cell r="D220">
            <v>2</v>
          </cell>
          <cell r="E220">
            <v>3</v>
          </cell>
          <cell r="F220">
            <v>4</v>
          </cell>
        </row>
        <row r="221">
          <cell r="A221" t="str">
            <v>CS-LY084-H2-XXL</v>
          </cell>
          <cell r="B221" t="str">
            <v>CS-LY084</v>
          </cell>
          <cell r="C221">
            <v>0</v>
          </cell>
          <cell r="D221">
            <v>1</v>
          </cell>
          <cell r="E221">
            <v>0</v>
          </cell>
          <cell r="F221">
            <v>2</v>
          </cell>
        </row>
        <row r="222">
          <cell r="A222" t="str">
            <v>CS-SB166-K33-1-L</v>
          </cell>
          <cell r="B222" t="str">
            <v>CS-SB166</v>
          </cell>
          <cell r="C222">
            <v>0</v>
          </cell>
          <cell r="D222">
            <v>0</v>
          </cell>
          <cell r="E222">
            <v>0</v>
          </cell>
          <cell r="F222">
            <v>1</v>
          </cell>
        </row>
        <row r="223">
          <cell r="A223" t="str">
            <v>CS-SB181-LG907-XXL</v>
          </cell>
          <cell r="B223" t="str">
            <v>CS-SB181</v>
          </cell>
          <cell r="C223">
            <v>3</v>
          </cell>
          <cell r="D223">
            <v>0</v>
          </cell>
          <cell r="E223">
            <v>1</v>
          </cell>
          <cell r="F223">
            <v>2</v>
          </cell>
        </row>
        <row r="224">
          <cell r="A224" t="str">
            <v>CS-SB166-K33-1-XL</v>
          </cell>
          <cell r="B224" t="str">
            <v>CS-SB166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</row>
        <row r="225">
          <cell r="A225" t="str">
            <v>CS-SB166-K33-4-XXL</v>
          </cell>
          <cell r="B225" t="str">
            <v>CS-SB166</v>
          </cell>
          <cell r="C225">
            <v>0</v>
          </cell>
          <cell r="D225">
            <v>0</v>
          </cell>
          <cell r="E225">
            <v>1</v>
          </cell>
          <cell r="F225">
            <v>2</v>
          </cell>
        </row>
        <row r="226">
          <cell r="A226" t="str">
            <v>CS-SB086-B0-L</v>
          </cell>
          <cell r="B226" t="str">
            <v>CS-SB086</v>
          </cell>
          <cell r="C226">
            <v>3</v>
          </cell>
          <cell r="D226">
            <v>0</v>
          </cell>
          <cell r="E226">
            <v>0</v>
          </cell>
          <cell r="F226">
            <v>2</v>
          </cell>
        </row>
        <row r="227">
          <cell r="A227" t="str">
            <v>POLO-SB014-BK-L</v>
          </cell>
          <cell r="B227" t="str">
            <v>POLO-SB014</v>
          </cell>
          <cell r="C227">
            <v>1</v>
          </cell>
          <cell r="D227">
            <v>0</v>
          </cell>
          <cell r="E227">
            <v>0</v>
          </cell>
          <cell r="F227">
            <v>1</v>
          </cell>
        </row>
        <row r="228">
          <cell r="A228" t="str">
            <v>CS-SB002-LB-2XL</v>
          </cell>
          <cell r="B228" t="str">
            <v>CS-SB002</v>
          </cell>
          <cell r="C228">
            <v>0</v>
          </cell>
          <cell r="D228">
            <v>1</v>
          </cell>
          <cell r="E228">
            <v>0</v>
          </cell>
          <cell r="F228">
            <v>1</v>
          </cell>
        </row>
        <row r="229">
          <cell r="A229" t="str">
            <v>SB-YL004-FD30</v>
          </cell>
          <cell r="B229" t="str">
            <v>SB-YL004</v>
          </cell>
          <cell r="C229">
            <v>0</v>
          </cell>
          <cell r="D229">
            <v>0</v>
          </cell>
          <cell r="E229">
            <v>0</v>
          </cell>
          <cell r="F229">
            <v>1</v>
          </cell>
        </row>
        <row r="230">
          <cell r="A230" t="str">
            <v>CS-SB170-Sa911-XXL</v>
          </cell>
          <cell r="B230" t="str">
            <v>CS-SB170</v>
          </cell>
          <cell r="C230">
            <v>0</v>
          </cell>
          <cell r="D230">
            <v>1</v>
          </cell>
          <cell r="E230">
            <v>2</v>
          </cell>
          <cell r="F230">
            <v>2</v>
          </cell>
        </row>
        <row r="231">
          <cell r="A231" t="str">
            <v>CS-SB086-LB-M</v>
          </cell>
          <cell r="B231" t="str">
            <v>CS-SB086</v>
          </cell>
          <cell r="C231">
            <v>2</v>
          </cell>
          <cell r="D231">
            <v>1</v>
          </cell>
          <cell r="E231">
            <v>1</v>
          </cell>
          <cell r="F231">
            <v>2</v>
          </cell>
        </row>
        <row r="232">
          <cell r="A232" t="str">
            <v>CS-SB086-LB-XL</v>
          </cell>
          <cell r="B232" t="str">
            <v>CS-SB086</v>
          </cell>
          <cell r="C232">
            <v>1</v>
          </cell>
          <cell r="D232">
            <v>2</v>
          </cell>
          <cell r="E232">
            <v>1</v>
          </cell>
          <cell r="F232">
            <v>2</v>
          </cell>
        </row>
        <row r="233">
          <cell r="A233" t="str">
            <v>CS-LY181-Sa911-L</v>
          </cell>
          <cell r="B233" t="str">
            <v>CS-LY181</v>
          </cell>
          <cell r="C233">
            <v>2</v>
          </cell>
          <cell r="D233">
            <v>1</v>
          </cell>
          <cell r="E233">
            <v>2</v>
          </cell>
          <cell r="F233">
            <v>3</v>
          </cell>
        </row>
        <row r="234">
          <cell r="A234" t="str">
            <v>CS-SB016-NB-XXL</v>
          </cell>
          <cell r="B234" t="str">
            <v>CS-SB016</v>
          </cell>
          <cell r="C234">
            <v>0</v>
          </cell>
          <cell r="D234">
            <v>0</v>
          </cell>
          <cell r="E234">
            <v>0</v>
          </cell>
          <cell r="F234">
            <v>1</v>
          </cell>
        </row>
        <row r="235">
          <cell r="A235" t="str">
            <v>CS-SB181-LG907-L</v>
          </cell>
          <cell r="B235" t="str">
            <v>CS-SB181</v>
          </cell>
          <cell r="C235">
            <v>7</v>
          </cell>
          <cell r="D235">
            <v>2</v>
          </cell>
          <cell r="E235">
            <v>8</v>
          </cell>
          <cell r="F235">
            <v>4</v>
          </cell>
        </row>
        <row r="236">
          <cell r="A236" t="str">
            <v>CS-LHY032-NB-XXL</v>
          </cell>
          <cell r="B236" t="str">
            <v>CS-LHY032</v>
          </cell>
          <cell r="C236">
            <v>0</v>
          </cell>
          <cell r="D236">
            <v>1</v>
          </cell>
          <cell r="E236">
            <v>0</v>
          </cell>
          <cell r="F236">
            <v>1</v>
          </cell>
        </row>
        <row r="237">
          <cell r="A237" t="str">
            <v>CS-SB030-BL-L</v>
          </cell>
          <cell r="B237" t="str">
            <v>CS-SB030</v>
          </cell>
          <cell r="C237">
            <v>0</v>
          </cell>
          <cell r="D237">
            <v>1</v>
          </cell>
          <cell r="E237">
            <v>0</v>
          </cell>
          <cell r="F237">
            <v>1</v>
          </cell>
        </row>
        <row r="238">
          <cell r="A238" t="str">
            <v>CS-SB002-RNBL-M</v>
          </cell>
          <cell r="B238" t="str">
            <v>CS-SB002</v>
          </cell>
          <cell r="C238">
            <v>1</v>
          </cell>
          <cell r="D238">
            <v>0</v>
          </cell>
          <cell r="E238">
            <v>0</v>
          </cell>
          <cell r="F238">
            <v>1</v>
          </cell>
        </row>
        <row r="239">
          <cell r="A239" t="str">
            <v>MY-SB026-NY-M</v>
          </cell>
          <cell r="B239" t="str">
            <v>MY-SB026</v>
          </cell>
          <cell r="C239">
            <v>6</v>
          </cell>
          <cell r="D239">
            <v>0</v>
          </cell>
          <cell r="E239">
            <v>4</v>
          </cell>
          <cell r="F239">
            <v>2</v>
          </cell>
        </row>
        <row r="240">
          <cell r="A240" t="str">
            <v>CS-SB181-LG907-XL</v>
          </cell>
          <cell r="B240" t="str">
            <v>CS-SB181</v>
          </cell>
          <cell r="C240">
            <v>4</v>
          </cell>
          <cell r="D240">
            <v>1</v>
          </cell>
          <cell r="E240">
            <v>2</v>
          </cell>
          <cell r="F240">
            <v>1</v>
          </cell>
        </row>
        <row r="241">
          <cell r="A241" t="str">
            <v>CS-SB030-WR-S</v>
          </cell>
          <cell r="B241" t="str">
            <v>CS-SB030</v>
          </cell>
          <cell r="C241">
            <v>0</v>
          </cell>
          <cell r="D241">
            <v>0</v>
          </cell>
          <cell r="E241">
            <v>1</v>
          </cell>
          <cell r="F241">
            <v>1</v>
          </cell>
        </row>
        <row r="242">
          <cell r="A242" t="str">
            <v>CS-SB009-LB1-L</v>
          </cell>
          <cell r="B242" t="str">
            <v>CS-SB009</v>
          </cell>
          <cell r="C242">
            <v>4</v>
          </cell>
          <cell r="D242">
            <v>2</v>
          </cell>
          <cell r="E242">
            <v>0</v>
          </cell>
          <cell r="F242">
            <v>3</v>
          </cell>
        </row>
        <row r="243">
          <cell r="A243" t="str">
            <v>CS-LHY032-YL-XL</v>
          </cell>
          <cell r="B243" t="str">
            <v>CS-LHY032</v>
          </cell>
          <cell r="C243">
            <v>2</v>
          </cell>
          <cell r="D243">
            <v>0</v>
          </cell>
          <cell r="E243">
            <v>0</v>
          </cell>
          <cell r="F243">
            <v>1</v>
          </cell>
        </row>
        <row r="244">
          <cell r="A244" t="str">
            <v>CS-LY084-H12-M</v>
          </cell>
          <cell r="B244" t="str">
            <v>CS-LY084</v>
          </cell>
          <cell r="C244">
            <v>1</v>
          </cell>
          <cell r="D244">
            <v>1</v>
          </cell>
          <cell r="E244">
            <v>6</v>
          </cell>
          <cell r="F244">
            <v>5</v>
          </cell>
        </row>
        <row r="245">
          <cell r="A245" t="str">
            <v>CS-SB016-BK-S</v>
          </cell>
          <cell r="B245" t="str">
            <v>CS-SB016</v>
          </cell>
          <cell r="C245">
            <v>0</v>
          </cell>
          <cell r="D245">
            <v>0</v>
          </cell>
          <cell r="E245">
            <v>1</v>
          </cell>
          <cell r="F245">
            <v>1</v>
          </cell>
        </row>
        <row r="246">
          <cell r="A246" t="str">
            <v>CS-LHY009-RD-XL</v>
          </cell>
          <cell r="B246" t="str">
            <v>CS-LHY009</v>
          </cell>
          <cell r="C246">
            <v>1</v>
          </cell>
          <cell r="D246">
            <v>3</v>
          </cell>
          <cell r="E246">
            <v>2</v>
          </cell>
          <cell r="F246">
            <v>2</v>
          </cell>
        </row>
        <row r="247">
          <cell r="A247" t="str">
            <v>CS-LHY009-LB-XL</v>
          </cell>
          <cell r="B247" t="str">
            <v>CS-LHY009</v>
          </cell>
          <cell r="C247">
            <v>0</v>
          </cell>
          <cell r="D247">
            <v>7</v>
          </cell>
          <cell r="E247">
            <v>3</v>
          </cell>
          <cell r="F247">
            <v>2</v>
          </cell>
        </row>
        <row r="248">
          <cell r="A248" t="str">
            <v>CS-SB007-GR-XL</v>
          </cell>
          <cell r="B248" t="str">
            <v>CS-SB007</v>
          </cell>
          <cell r="C248">
            <v>2</v>
          </cell>
          <cell r="D248">
            <v>0</v>
          </cell>
          <cell r="E248">
            <v>1</v>
          </cell>
          <cell r="F248">
            <v>3</v>
          </cell>
        </row>
        <row r="249">
          <cell r="A249" t="str">
            <v>CS-SB007-GR-L</v>
          </cell>
          <cell r="B249" t="str">
            <v>CS-SB007</v>
          </cell>
          <cell r="C249">
            <v>1</v>
          </cell>
          <cell r="D249">
            <v>2</v>
          </cell>
          <cell r="E249">
            <v>1</v>
          </cell>
          <cell r="F249">
            <v>3</v>
          </cell>
        </row>
        <row r="250">
          <cell r="A250" t="str">
            <v>CS-SB007-GR-M</v>
          </cell>
          <cell r="B250" t="str">
            <v>CS-SB007</v>
          </cell>
          <cell r="C250">
            <v>0</v>
          </cell>
          <cell r="D250">
            <v>1</v>
          </cell>
          <cell r="E250">
            <v>0</v>
          </cell>
          <cell r="F250">
            <v>3</v>
          </cell>
        </row>
        <row r="251">
          <cell r="A251" t="str">
            <v>CS-BBS030-GR-L</v>
          </cell>
          <cell r="B251" t="str">
            <v>CS-BBS030</v>
          </cell>
          <cell r="C251">
            <v>10</v>
          </cell>
          <cell r="D251">
            <v>4</v>
          </cell>
          <cell r="E251">
            <v>11</v>
          </cell>
          <cell r="F251">
            <v>3</v>
          </cell>
        </row>
        <row r="252">
          <cell r="A252" t="str">
            <v>WQS-BN-1503-KO-L</v>
          </cell>
          <cell r="B252" t="str">
            <v>WQS-BN-1503</v>
          </cell>
          <cell r="C252">
            <v>4</v>
          </cell>
          <cell r="D252">
            <v>0</v>
          </cell>
          <cell r="E252">
            <v>3</v>
          </cell>
          <cell r="F252">
            <v>3</v>
          </cell>
        </row>
        <row r="253">
          <cell r="A253" t="str">
            <v>CS-SB181-WR917-XXL</v>
          </cell>
          <cell r="B253" t="str">
            <v>CS-SB181</v>
          </cell>
          <cell r="C253">
            <v>1</v>
          </cell>
          <cell r="D253">
            <v>1</v>
          </cell>
          <cell r="E253">
            <v>0</v>
          </cell>
          <cell r="F253">
            <v>1</v>
          </cell>
        </row>
        <row r="254">
          <cell r="A254" t="str">
            <v>CS-SB171-PI908-XXL</v>
          </cell>
          <cell r="B254" t="str">
            <v>CS-SB171</v>
          </cell>
          <cell r="C254">
            <v>1</v>
          </cell>
          <cell r="D254">
            <v>0</v>
          </cell>
          <cell r="E254">
            <v>0</v>
          </cell>
          <cell r="F254">
            <v>1</v>
          </cell>
        </row>
        <row r="255">
          <cell r="A255" t="str">
            <v>CS-SB009-CF-S</v>
          </cell>
          <cell r="B255" t="str">
            <v>CS-SB009</v>
          </cell>
          <cell r="C255">
            <v>0</v>
          </cell>
          <cell r="D255">
            <v>0</v>
          </cell>
          <cell r="E255">
            <v>0</v>
          </cell>
          <cell r="F255">
            <v>3</v>
          </cell>
        </row>
        <row r="256">
          <cell r="A256" t="str">
            <v>MY-LYRound020-WR-L</v>
          </cell>
          <cell r="B256" t="str">
            <v>MY-LYRound020</v>
          </cell>
          <cell r="C256">
            <v>0</v>
          </cell>
          <cell r="D256">
            <v>1</v>
          </cell>
          <cell r="E256">
            <v>2</v>
          </cell>
          <cell r="F256">
            <v>1</v>
          </cell>
        </row>
        <row r="257">
          <cell r="A257" t="str">
            <v>CS-SB171-LG907-L</v>
          </cell>
          <cell r="B257" t="str">
            <v>CS-SB171</v>
          </cell>
          <cell r="C257">
            <v>1</v>
          </cell>
          <cell r="D257">
            <v>3</v>
          </cell>
          <cell r="E257">
            <v>7</v>
          </cell>
          <cell r="F257">
            <v>5</v>
          </cell>
        </row>
        <row r="258">
          <cell r="A258" t="str">
            <v>CS-SB170-WR917-S</v>
          </cell>
          <cell r="B258" t="str">
            <v>CS-SB170</v>
          </cell>
          <cell r="C258">
            <v>9</v>
          </cell>
          <cell r="D258">
            <v>4</v>
          </cell>
          <cell r="E258">
            <v>6</v>
          </cell>
          <cell r="F258">
            <v>3</v>
          </cell>
        </row>
        <row r="259">
          <cell r="A259" t="str">
            <v>CS-SB170-W902-L</v>
          </cell>
          <cell r="B259" t="str">
            <v>CS-SB170</v>
          </cell>
          <cell r="C259">
            <v>0</v>
          </cell>
          <cell r="D259">
            <v>0</v>
          </cell>
          <cell r="E259">
            <v>0</v>
          </cell>
          <cell r="F259">
            <v>2</v>
          </cell>
        </row>
        <row r="260">
          <cell r="A260" t="str">
            <v>MY-LYRound020-LB-L</v>
          </cell>
          <cell r="B260" t="str">
            <v>MY-LYRound020</v>
          </cell>
          <cell r="C260">
            <v>1</v>
          </cell>
          <cell r="D260">
            <v>0</v>
          </cell>
          <cell r="E260">
            <v>0</v>
          </cell>
          <cell r="F260">
            <v>1</v>
          </cell>
        </row>
        <row r="261">
          <cell r="A261" t="str">
            <v>CS-SB003-B0-M</v>
          </cell>
          <cell r="B261" t="str">
            <v>CS-SB003</v>
          </cell>
          <cell r="C261">
            <v>1</v>
          </cell>
          <cell r="D261">
            <v>2</v>
          </cell>
          <cell r="E261">
            <v>2</v>
          </cell>
          <cell r="F261">
            <v>1</v>
          </cell>
        </row>
        <row r="262">
          <cell r="A262" t="str">
            <v>CS-SB030-BK-S</v>
          </cell>
          <cell r="B262" t="str">
            <v>CS-SB030</v>
          </cell>
          <cell r="C262">
            <v>1</v>
          </cell>
          <cell r="D262">
            <v>0</v>
          </cell>
          <cell r="E262">
            <v>0</v>
          </cell>
          <cell r="F262">
            <v>2</v>
          </cell>
        </row>
        <row r="263">
          <cell r="A263" t="str">
            <v>MY-SBPoint021-DG-M</v>
          </cell>
          <cell r="B263" t="str">
            <v>MY-SBPoint021</v>
          </cell>
          <cell r="C263">
            <v>1</v>
          </cell>
          <cell r="D263">
            <v>0</v>
          </cell>
          <cell r="E263">
            <v>0</v>
          </cell>
          <cell r="F263">
            <v>1</v>
          </cell>
        </row>
        <row r="264">
          <cell r="A264" t="str">
            <v>CS-LY085-WR917-M</v>
          </cell>
          <cell r="B264" t="str">
            <v>CS-LY085</v>
          </cell>
          <cell r="C264">
            <v>4</v>
          </cell>
          <cell r="D264">
            <v>6</v>
          </cell>
          <cell r="E264">
            <v>4</v>
          </cell>
          <cell r="F264">
            <v>1</v>
          </cell>
        </row>
        <row r="265">
          <cell r="A265" t="str">
            <v>POLO-SB014-GR-S</v>
          </cell>
          <cell r="B265" t="str">
            <v>POLO-SB014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</row>
        <row r="266">
          <cell r="A266" t="str">
            <v>POLO-SB014-RD-S</v>
          </cell>
          <cell r="B266" t="str">
            <v>POLO-SB014</v>
          </cell>
          <cell r="C266">
            <v>2</v>
          </cell>
          <cell r="D266">
            <v>0</v>
          </cell>
          <cell r="E266">
            <v>0</v>
          </cell>
          <cell r="F266">
            <v>2</v>
          </cell>
        </row>
        <row r="267">
          <cell r="A267" t="str">
            <v>POLO-SB014-NY-S</v>
          </cell>
          <cell r="B267" t="str">
            <v>POLO-SB014</v>
          </cell>
          <cell r="C267">
            <v>0</v>
          </cell>
          <cell r="D267">
            <v>0</v>
          </cell>
          <cell r="E267">
            <v>1</v>
          </cell>
          <cell r="F267">
            <v>1</v>
          </cell>
        </row>
        <row r="268">
          <cell r="A268" t="str">
            <v>CS-LHY009-LB-L</v>
          </cell>
          <cell r="B268" t="str">
            <v>CS-LHY009</v>
          </cell>
          <cell r="C268">
            <v>0</v>
          </cell>
          <cell r="D268">
            <v>0</v>
          </cell>
          <cell r="E268">
            <v>4</v>
          </cell>
          <cell r="F268">
            <v>6</v>
          </cell>
        </row>
        <row r="269">
          <cell r="A269" t="str">
            <v>CS-SB171-W902-M</v>
          </cell>
          <cell r="B269" t="str">
            <v>CS-SB171</v>
          </cell>
          <cell r="C269">
            <v>2</v>
          </cell>
          <cell r="D269">
            <v>1</v>
          </cell>
          <cell r="E269">
            <v>0</v>
          </cell>
          <cell r="F269">
            <v>2</v>
          </cell>
        </row>
        <row r="270">
          <cell r="A270" t="str">
            <v>MY-SBRound020-GR-S</v>
          </cell>
          <cell r="B270" t="str">
            <v>MY-SBRound020</v>
          </cell>
          <cell r="C270">
            <v>0</v>
          </cell>
          <cell r="D270">
            <v>0</v>
          </cell>
          <cell r="E270">
            <v>1</v>
          </cell>
          <cell r="F270">
            <v>1</v>
          </cell>
        </row>
        <row r="271">
          <cell r="A271" t="str">
            <v>MY-LYPoint021-WR-S</v>
          </cell>
          <cell r="B271" t="str">
            <v>MY-LYPoint021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</row>
        <row r="272">
          <cell r="A272" t="str">
            <v>CS-SB009-GN-L</v>
          </cell>
          <cell r="B272" t="str">
            <v>CS-SB009</v>
          </cell>
          <cell r="C272">
            <v>1</v>
          </cell>
          <cell r="D272">
            <v>2</v>
          </cell>
          <cell r="E272">
            <v>2</v>
          </cell>
          <cell r="F272">
            <v>4</v>
          </cell>
        </row>
        <row r="273">
          <cell r="A273" t="str">
            <v>KZ-LHY001-WHT-M</v>
          </cell>
          <cell r="B273" t="str">
            <v>KZ-LHY001</v>
          </cell>
          <cell r="C273">
            <v>2</v>
          </cell>
          <cell r="D273">
            <v>5</v>
          </cell>
          <cell r="E273">
            <v>3</v>
          </cell>
          <cell r="F273">
            <v>1</v>
          </cell>
        </row>
        <row r="274">
          <cell r="A274" t="str">
            <v>CS-SB016-B0-XXL</v>
          </cell>
          <cell r="B274" t="str">
            <v>CS-SB016</v>
          </cell>
          <cell r="C274">
            <v>0</v>
          </cell>
          <cell r="D274">
            <v>0</v>
          </cell>
          <cell r="E274">
            <v>0</v>
          </cell>
          <cell r="F274">
            <v>1</v>
          </cell>
        </row>
        <row r="275">
          <cell r="A275" t="str">
            <v>CS-LHY009-LB1-L</v>
          </cell>
          <cell r="B275" t="str">
            <v>CS-LHY009</v>
          </cell>
          <cell r="C275">
            <v>2</v>
          </cell>
          <cell r="D275">
            <v>1</v>
          </cell>
          <cell r="E275">
            <v>4</v>
          </cell>
          <cell r="F275">
            <v>4</v>
          </cell>
        </row>
        <row r="276">
          <cell r="A276" t="str">
            <v>CS-LY181-PI908-M</v>
          </cell>
          <cell r="B276" t="str">
            <v>CS-LY181</v>
          </cell>
          <cell r="C276">
            <v>2</v>
          </cell>
          <cell r="D276">
            <v>0</v>
          </cell>
          <cell r="E276">
            <v>1</v>
          </cell>
          <cell r="F276">
            <v>1</v>
          </cell>
        </row>
        <row r="277">
          <cell r="A277" t="str">
            <v>CS-LY181-W902-XL</v>
          </cell>
          <cell r="B277" t="str">
            <v>CS-LY181</v>
          </cell>
          <cell r="C277">
            <v>0</v>
          </cell>
          <cell r="D277">
            <v>0</v>
          </cell>
          <cell r="E277">
            <v>0</v>
          </cell>
          <cell r="F277">
            <v>1</v>
          </cell>
        </row>
        <row r="278">
          <cell r="A278" t="str">
            <v>MY-SB027-NY-M</v>
          </cell>
          <cell r="B278" t="str">
            <v>MY-SB027</v>
          </cell>
          <cell r="C278">
            <v>1</v>
          </cell>
          <cell r="D278">
            <v>2</v>
          </cell>
          <cell r="E278">
            <v>0</v>
          </cell>
          <cell r="F278">
            <v>1</v>
          </cell>
        </row>
        <row r="279">
          <cell r="A279" t="str">
            <v>CS-SB009-LB-XXL</v>
          </cell>
          <cell r="B279" t="str">
            <v>CS-SB009</v>
          </cell>
          <cell r="C279">
            <v>3</v>
          </cell>
          <cell r="D279">
            <v>2</v>
          </cell>
          <cell r="E279">
            <v>3</v>
          </cell>
          <cell r="F279">
            <v>2</v>
          </cell>
        </row>
        <row r="280">
          <cell r="A280" t="str">
            <v>CS-BUSB032-RD-L</v>
          </cell>
          <cell r="B280" t="str">
            <v>CS-BUSB032</v>
          </cell>
          <cell r="C280">
            <v>0</v>
          </cell>
          <cell r="D280">
            <v>1</v>
          </cell>
          <cell r="E280">
            <v>1</v>
          </cell>
          <cell r="F280">
            <v>1</v>
          </cell>
        </row>
        <row r="281">
          <cell r="A281" t="str">
            <v>CS-SB009-YL-M</v>
          </cell>
          <cell r="B281" t="str">
            <v>CS-SB009</v>
          </cell>
          <cell r="C281">
            <v>1</v>
          </cell>
          <cell r="D281">
            <v>1</v>
          </cell>
          <cell r="E281">
            <v>2</v>
          </cell>
          <cell r="F281">
            <v>8</v>
          </cell>
        </row>
        <row r="282">
          <cell r="A282" t="str">
            <v>CS-SB007-PP-M</v>
          </cell>
          <cell r="B282" t="str">
            <v>CS-SB007</v>
          </cell>
          <cell r="C282">
            <v>0</v>
          </cell>
          <cell r="D282">
            <v>0</v>
          </cell>
          <cell r="E282">
            <v>0</v>
          </cell>
          <cell r="F282">
            <v>1</v>
          </cell>
        </row>
        <row r="283">
          <cell r="A283" t="str">
            <v>CS-SB007-PP-L</v>
          </cell>
          <cell r="B283" t="str">
            <v>CS-SB007</v>
          </cell>
          <cell r="C283">
            <v>2</v>
          </cell>
          <cell r="D283">
            <v>0</v>
          </cell>
          <cell r="E283">
            <v>0</v>
          </cell>
          <cell r="F283">
            <v>2</v>
          </cell>
        </row>
        <row r="284">
          <cell r="A284" t="str">
            <v>CS-LY084-H10-M</v>
          </cell>
          <cell r="B284" t="str">
            <v>CS-LY084</v>
          </cell>
          <cell r="C284">
            <v>1</v>
          </cell>
          <cell r="D284">
            <v>0</v>
          </cell>
          <cell r="E284">
            <v>3</v>
          </cell>
          <cell r="F284">
            <v>1</v>
          </cell>
        </row>
        <row r="285">
          <cell r="A285" t="str">
            <v>CS-LHY009-GN-L</v>
          </cell>
          <cell r="B285" t="str">
            <v>CS-LHY009</v>
          </cell>
          <cell r="C285">
            <v>0</v>
          </cell>
          <cell r="D285">
            <v>1</v>
          </cell>
          <cell r="E285">
            <v>5</v>
          </cell>
          <cell r="F285">
            <v>2</v>
          </cell>
        </row>
        <row r="286">
          <cell r="A286" t="str">
            <v>CS-BUSB031LHY-YL1-M</v>
          </cell>
          <cell r="B286" t="str">
            <v>CS-BUSB031</v>
          </cell>
          <cell r="C286">
            <v>0</v>
          </cell>
          <cell r="D286">
            <v>0</v>
          </cell>
          <cell r="E286">
            <v>0</v>
          </cell>
          <cell r="F286">
            <v>2</v>
          </cell>
        </row>
        <row r="287">
          <cell r="A287" t="str">
            <v>CS-SB009-LB1-XL</v>
          </cell>
          <cell r="B287" t="str">
            <v>CS-SB009</v>
          </cell>
          <cell r="C287">
            <v>5</v>
          </cell>
          <cell r="D287">
            <v>5</v>
          </cell>
          <cell r="E287">
            <v>6</v>
          </cell>
          <cell r="F287">
            <v>3</v>
          </cell>
        </row>
        <row r="288">
          <cell r="A288" t="str">
            <v>CS-SB009-LB-M</v>
          </cell>
          <cell r="B288" t="str">
            <v>CS-SB009</v>
          </cell>
          <cell r="C288">
            <v>0</v>
          </cell>
          <cell r="D288">
            <v>1</v>
          </cell>
          <cell r="E288">
            <v>4</v>
          </cell>
          <cell r="F288">
            <v>1</v>
          </cell>
        </row>
        <row r="289">
          <cell r="A289" t="str">
            <v>CS-SB009-BK-S</v>
          </cell>
          <cell r="B289" t="str">
            <v>CS-SB009</v>
          </cell>
          <cell r="C289">
            <v>1</v>
          </cell>
          <cell r="D289">
            <v>0</v>
          </cell>
          <cell r="E289">
            <v>0</v>
          </cell>
          <cell r="F289">
            <v>1</v>
          </cell>
        </row>
        <row r="290">
          <cell r="A290" t="str">
            <v>CS-BUSB032-BL-XL</v>
          </cell>
          <cell r="B290" t="str">
            <v>CS-BUSB032</v>
          </cell>
          <cell r="C290">
            <v>0</v>
          </cell>
          <cell r="D290">
            <v>0</v>
          </cell>
          <cell r="E290">
            <v>1</v>
          </cell>
          <cell r="F290">
            <v>1</v>
          </cell>
        </row>
        <row r="291">
          <cell r="A291" t="str">
            <v>CS-LHY003-LB-M</v>
          </cell>
          <cell r="B291" t="str">
            <v>CS-LHY003</v>
          </cell>
          <cell r="C291">
            <v>4</v>
          </cell>
          <cell r="D291">
            <v>4</v>
          </cell>
          <cell r="E291">
            <v>4</v>
          </cell>
          <cell r="F291">
            <v>2</v>
          </cell>
        </row>
        <row r="292">
          <cell r="A292" t="str">
            <v>MY-LYPoint021-K0-L</v>
          </cell>
          <cell r="B292" t="str">
            <v>MY-LYPoint021</v>
          </cell>
          <cell r="C292">
            <v>1</v>
          </cell>
          <cell r="D292">
            <v>0</v>
          </cell>
          <cell r="E292">
            <v>0</v>
          </cell>
          <cell r="F292">
            <v>2</v>
          </cell>
        </row>
        <row r="293">
          <cell r="A293" t="str">
            <v>CS-SB030-WT-M</v>
          </cell>
          <cell r="B293" t="str">
            <v>CS-SB030</v>
          </cell>
          <cell r="C293">
            <v>0</v>
          </cell>
          <cell r="D293">
            <v>0</v>
          </cell>
          <cell r="E293">
            <v>0</v>
          </cell>
          <cell r="F293">
            <v>2</v>
          </cell>
        </row>
        <row r="294">
          <cell r="A294" t="str">
            <v>CS-BUSB031-YL2-XL</v>
          </cell>
          <cell r="B294" t="str">
            <v>CS-BUSB031</v>
          </cell>
          <cell r="C294">
            <v>0</v>
          </cell>
          <cell r="D294">
            <v>3</v>
          </cell>
          <cell r="E294">
            <v>0</v>
          </cell>
          <cell r="F294">
            <v>1</v>
          </cell>
        </row>
        <row r="295">
          <cell r="A295" t="str">
            <v>CS-SB009-LB1-XXL</v>
          </cell>
          <cell r="B295" t="str">
            <v>CS-SB009</v>
          </cell>
          <cell r="C295">
            <v>3</v>
          </cell>
          <cell r="D295">
            <v>4</v>
          </cell>
          <cell r="E295">
            <v>2</v>
          </cell>
          <cell r="F295">
            <v>2</v>
          </cell>
        </row>
        <row r="296">
          <cell r="A296" t="str">
            <v>CS-SB030-BL-S</v>
          </cell>
          <cell r="B296" t="str">
            <v>CS-SB030</v>
          </cell>
          <cell r="C296">
            <v>1</v>
          </cell>
          <cell r="D296">
            <v>1</v>
          </cell>
          <cell r="E296">
            <v>0</v>
          </cell>
          <cell r="F296">
            <v>1</v>
          </cell>
        </row>
        <row r="297">
          <cell r="A297" t="str">
            <v>MY-SB026-BK-XL</v>
          </cell>
          <cell r="B297" t="str">
            <v>MY-SB026</v>
          </cell>
          <cell r="C297">
            <v>1</v>
          </cell>
          <cell r="D297">
            <v>2</v>
          </cell>
          <cell r="E297">
            <v>1</v>
          </cell>
          <cell r="F297">
            <v>1</v>
          </cell>
        </row>
        <row r="298">
          <cell r="A298" t="str">
            <v>CS-SB005-YL-M</v>
          </cell>
          <cell r="B298" t="str">
            <v>CS-SB005</v>
          </cell>
          <cell r="C298">
            <v>2</v>
          </cell>
          <cell r="D298">
            <v>0</v>
          </cell>
          <cell r="E298">
            <v>0</v>
          </cell>
          <cell r="F298">
            <v>1</v>
          </cell>
        </row>
        <row r="299">
          <cell r="A299" t="str">
            <v>CS-SB009-RD-M</v>
          </cell>
          <cell r="B299" t="str">
            <v>CS-SB009</v>
          </cell>
          <cell r="C299">
            <v>2</v>
          </cell>
          <cell r="D299">
            <v>0</v>
          </cell>
          <cell r="E299">
            <v>2</v>
          </cell>
          <cell r="F299">
            <v>1</v>
          </cell>
        </row>
        <row r="300">
          <cell r="A300" t="str">
            <v>CS-LY171-G912-L</v>
          </cell>
          <cell r="B300" t="str">
            <v>CS-LY171</v>
          </cell>
          <cell r="C300">
            <v>0</v>
          </cell>
          <cell r="D300">
            <v>0</v>
          </cell>
          <cell r="E300">
            <v>4</v>
          </cell>
          <cell r="F300">
            <v>2</v>
          </cell>
        </row>
        <row r="301">
          <cell r="A301" t="str">
            <v>MY-LYPoint021-W0-L</v>
          </cell>
          <cell r="B301" t="str">
            <v>MY-LYPoint021</v>
          </cell>
          <cell r="C301">
            <v>0</v>
          </cell>
          <cell r="D301">
            <v>2</v>
          </cell>
          <cell r="E301">
            <v>2</v>
          </cell>
          <cell r="F301">
            <v>1</v>
          </cell>
        </row>
        <row r="302">
          <cell r="A302" t="str">
            <v>CS-LY181-W902-S</v>
          </cell>
          <cell r="B302" t="str">
            <v>CS-LY181</v>
          </cell>
          <cell r="C302">
            <v>1</v>
          </cell>
          <cell r="D302">
            <v>1</v>
          </cell>
          <cell r="E302">
            <v>1</v>
          </cell>
          <cell r="F302">
            <v>1</v>
          </cell>
        </row>
        <row r="303">
          <cell r="A303" t="str">
            <v>CS-LHY009-LB-XXL</v>
          </cell>
          <cell r="B303" t="str">
            <v>CS-LHY009</v>
          </cell>
          <cell r="C303">
            <v>1</v>
          </cell>
          <cell r="D303">
            <v>0</v>
          </cell>
          <cell r="E303">
            <v>1</v>
          </cell>
          <cell r="F303">
            <v>1</v>
          </cell>
        </row>
        <row r="304">
          <cell r="A304" t="str">
            <v>CS-SB181-G912-XL</v>
          </cell>
          <cell r="B304" t="str">
            <v>CS-SB181</v>
          </cell>
          <cell r="C304">
            <v>0</v>
          </cell>
          <cell r="D304">
            <v>1</v>
          </cell>
          <cell r="E304">
            <v>0</v>
          </cell>
          <cell r="F304">
            <v>2</v>
          </cell>
        </row>
        <row r="305">
          <cell r="A305" t="str">
            <v>CS-SB007-BL-XXL</v>
          </cell>
          <cell r="B305" t="str">
            <v>CS-SB007</v>
          </cell>
          <cell r="C305">
            <v>0</v>
          </cell>
          <cell r="D305">
            <v>0</v>
          </cell>
          <cell r="E305">
            <v>0</v>
          </cell>
          <cell r="F305">
            <v>1</v>
          </cell>
        </row>
        <row r="306">
          <cell r="A306" t="str">
            <v>CS-SB170-ZL918-S</v>
          </cell>
          <cell r="B306" t="str">
            <v>CS-SB170</v>
          </cell>
          <cell r="C306">
            <v>19</v>
          </cell>
          <cell r="D306">
            <v>4</v>
          </cell>
          <cell r="E306">
            <v>6</v>
          </cell>
          <cell r="F306">
            <v>5</v>
          </cell>
        </row>
        <row r="307">
          <cell r="A307" t="str">
            <v>CS-CA181-ZL918-S</v>
          </cell>
          <cell r="B307" t="str">
            <v>CS-CA181</v>
          </cell>
          <cell r="C307">
            <v>0</v>
          </cell>
          <cell r="D307">
            <v>0</v>
          </cell>
          <cell r="E307">
            <v>0</v>
          </cell>
          <cell r="F307">
            <v>1</v>
          </cell>
        </row>
        <row r="308">
          <cell r="A308" t="str">
            <v>MY-LYPoint021-BL-XL</v>
          </cell>
          <cell r="B308" t="str">
            <v>MY-LYPoint021</v>
          </cell>
          <cell r="C308">
            <v>1</v>
          </cell>
          <cell r="D308">
            <v>0</v>
          </cell>
          <cell r="E308">
            <v>0</v>
          </cell>
          <cell r="F308">
            <v>1</v>
          </cell>
        </row>
        <row r="309">
          <cell r="A309" t="str">
            <v>MY-SB015-LG-M</v>
          </cell>
          <cell r="B309" t="str">
            <v>MY-SB015</v>
          </cell>
          <cell r="C309">
            <v>0</v>
          </cell>
          <cell r="D309">
            <v>0</v>
          </cell>
          <cell r="E309">
            <v>1</v>
          </cell>
          <cell r="F309">
            <v>1</v>
          </cell>
        </row>
        <row r="310">
          <cell r="A310" t="str">
            <v>CS-SB002-RD-M</v>
          </cell>
          <cell r="B310" t="str">
            <v>CS-SB002</v>
          </cell>
          <cell r="C310">
            <v>0</v>
          </cell>
          <cell r="D310">
            <v>0</v>
          </cell>
          <cell r="E310">
            <v>1</v>
          </cell>
          <cell r="F310">
            <v>1</v>
          </cell>
        </row>
        <row r="311">
          <cell r="A311" t="str">
            <v>SB-YL002-KCN100BNR</v>
          </cell>
          <cell r="B311" t="str">
            <v>SB-YL002</v>
          </cell>
          <cell r="C311">
            <v>0</v>
          </cell>
          <cell r="D311">
            <v>0</v>
          </cell>
          <cell r="E311">
            <v>1</v>
          </cell>
          <cell r="F311">
            <v>1</v>
          </cell>
        </row>
        <row r="312">
          <cell r="A312" t="str">
            <v>CS-SB170-G912-L</v>
          </cell>
          <cell r="B312" t="str">
            <v>CS-SB170</v>
          </cell>
          <cell r="C312">
            <v>1</v>
          </cell>
          <cell r="D312">
            <v>0</v>
          </cell>
          <cell r="E312">
            <v>0</v>
          </cell>
          <cell r="F312">
            <v>2</v>
          </cell>
        </row>
        <row r="313">
          <cell r="A313" t="str">
            <v>CS-SB007-PP-XL</v>
          </cell>
          <cell r="B313" t="str">
            <v>CS-SB007</v>
          </cell>
          <cell r="C313">
            <v>1</v>
          </cell>
          <cell r="D313">
            <v>0</v>
          </cell>
          <cell r="E313">
            <v>1</v>
          </cell>
          <cell r="F313">
            <v>1</v>
          </cell>
        </row>
        <row r="314">
          <cell r="A314" t="str">
            <v>CS-SB171-ZL918-M</v>
          </cell>
          <cell r="B314" t="str">
            <v>CS-SB171</v>
          </cell>
          <cell r="C314">
            <v>2</v>
          </cell>
          <cell r="D314">
            <v>5</v>
          </cell>
          <cell r="E314">
            <v>8</v>
          </cell>
          <cell r="F314">
            <v>2</v>
          </cell>
        </row>
        <row r="315">
          <cell r="A315" t="str">
            <v>MY-SB026-BK-S</v>
          </cell>
          <cell r="B315" t="str">
            <v>MY-SB026</v>
          </cell>
          <cell r="C315">
            <v>0</v>
          </cell>
          <cell r="D315">
            <v>0</v>
          </cell>
          <cell r="E315">
            <v>4</v>
          </cell>
          <cell r="F315">
            <v>1</v>
          </cell>
        </row>
        <row r="316">
          <cell r="A316" t="str">
            <v>CS-SB006-CF-L</v>
          </cell>
          <cell r="B316" t="str">
            <v>CS-SB006</v>
          </cell>
          <cell r="C316">
            <v>0</v>
          </cell>
          <cell r="D316">
            <v>1</v>
          </cell>
          <cell r="E316">
            <v>0</v>
          </cell>
          <cell r="F316">
            <v>1</v>
          </cell>
        </row>
        <row r="317">
          <cell r="A317" t="str">
            <v>CS-LY181-W902-M</v>
          </cell>
          <cell r="B317" t="str">
            <v>CS-LY181</v>
          </cell>
          <cell r="C317">
            <v>9</v>
          </cell>
          <cell r="D317">
            <v>0</v>
          </cell>
          <cell r="E317">
            <v>4</v>
          </cell>
          <cell r="F317">
            <v>2</v>
          </cell>
        </row>
        <row r="318">
          <cell r="A318" t="str">
            <v>CS-SB181-G912-L</v>
          </cell>
          <cell r="B318" t="str">
            <v>CS-SB181</v>
          </cell>
          <cell r="C318">
            <v>3</v>
          </cell>
          <cell r="D318">
            <v>2</v>
          </cell>
          <cell r="E318">
            <v>3</v>
          </cell>
          <cell r="F318">
            <v>3</v>
          </cell>
        </row>
        <row r="319">
          <cell r="A319" t="str">
            <v>POLO-SB1503-NY-L</v>
          </cell>
          <cell r="B319" t="str">
            <v>POLO-SB1503</v>
          </cell>
          <cell r="C319">
            <v>0</v>
          </cell>
          <cell r="D319">
            <v>0</v>
          </cell>
          <cell r="E319">
            <v>0</v>
          </cell>
          <cell r="F319">
            <v>5</v>
          </cell>
        </row>
        <row r="320">
          <cell r="A320" t="str">
            <v>MY-SB026-NY-L</v>
          </cell>
          <cell r="B320" t="str">
            <v>MY-SB026</v>
          </cell>
          <cell r="C320">
            <v>6</v>
          </cell>
          <cell r="D320">
            <v>2</v>
          </cell>
          <cell r="E320">
            <v>2</v>
          </cell>
          <cell r="F320">
            <v>1</v>
          </cell>
        </row>
        <row r="321">
          <cell r="A321" t="str">
            <v>CS-LY084-H4-XXL</v>
          </cell>
          <cell r="B321" t="str">
            <v>CS-LY084</v>
          </cell>
          <cell r="C321">
            <v>0</v>
          </cell>
          <cell r="D321">
            <v>0</v>
          </cell>
          <cell r="E321">
            <v>0</v>
          </cell>
          <cell r="F321">
            <v>1</v>
          </cell>
        </row>
        <row r="322">
          <cell r="A322" t="str">
            <v>MY-SB026-LG-S</v>
          </cell>
          <cell r="B322" t="str">
            <v>MY-SB026</v>
          </cell>
          <cell r="C322">
            <v>0</v>
          </cell>
          <cell r="D322">
            <v>0</v>
          </cell>
          <cell r="E322">
            <v>0</v>
          </cell>
          <cell r="F322">
            <v>1</v>
          </cell>
        </row>
        <row r="323">
          <cell r="A323" t="str">
            <v>CS-SB166-K33-2-L</v>
          </cell>
          <cell r="B323" t="str">
            <v>CS-SB166</v>
          </cell>
          <cell r="C323">
            <v>0</v>
          </cell>
          <cell r="D323">
            <v>0</v>
          </cell>
          <cell r="E323">
            <v>1</v>
          </cell>
          <cell r="F323">
            <v>1</v>
          </cell>
        </row>
        <row r="324">
          <cell r="A324" t="str">
            <v>CS-BS003-BK-M</v>
          </cell>
          <cell r="B324" t="str">
            <v>CS-BS003</v>
          </cell>
          <cell r="C324">
            <v>0</v>
          </cell>
          <cell r="D324">
            <v>1</v>
          </cell>
          <cell r="E324">
            <v>1</v>
          </cell>
          <cell r="F324">
            <v>1</v>
          </cell>
        </row>
        <row r="325">
          <cell r="A325" t="str">
            <v>CS-SB009-CF-M</v>
          </cell>
          <cell r="B325" t="str">
            <v>CS-SB009</v>
          </cell>
          <cell r="C325">
            <v>3</v>
          </cell>
          <cell r="D325">
            <v>0</v>
          </cell>
          <cell r="E325">
            <v>1</v>
          </cell>
          <cell r="F325">
            <v>2</v>
          </cell>
        </row>
        <row r="326">
          <cell r="A326" t="str">
            <v>CS-BUSB031-GN2-S</v>
          </cell>
          <cell r="B326" t="str">
            <v>CS-BUSB031</v>
          </cell>
          <cell r="C326">
            <v>0</v>
          </cell>
          <cell r="D326">
            <v>0</v>
          </cell>
          <cell r="E326">
            <v>1</v>
          </cell>
          <cell r="F326">
            <v>1</v>
          </cell>
        </row>
        <row r="327">
          <cell r="A327" t="str">
            <v>CS-LY084-H10-L</v>
          </cell>
          <cell r="B327" t="str">
            <v>CS-LY084</v>
          </cell>
          <cell r="C327">
            <v>1</v>
          </cell>
          <cell r="D327">
            <v>1</v>
          </cell>
          <cell r="E327">
            <v>8</v>
          </cell>
          <cell r="F327">
            <v>1</v>
          </cell>
        </row>
        <row r="328">
          <cell r="A328" t="str">
            <v>CS-LY084-H15-M</v>
          </cell>
          <cell r="B328" t="str">
            <v>CS-LY084</v>
          </cell>
          <cell r="C328">
            <v>1</v>
          </cell>
          <cell r="D328">
            <v>2</v>
          </cell>
          <cell r="E328">
            <v>2</v>
          </cell>
          <cell r="F328">
            <v>3</v>
          </cell>
        </row>
        <row r="329">
          <cell r="A329" t="str">
            <v>CS-LY170-LG907-L</v>
          </cell>
          <cell r="B329" t="str">
            <v>CS-LY170</v>
          </cell>
          <cell r="C329">
            <v>1</v>
          </cell>
          <cell r="D329">
            <v>2</v>
          </cell>
          <cell r="E329">
            <v>5</v>
          </cell>
          <cell r="F329">
            <v>6</v>
          </cell>
        </row>
        <row r="330">
          <cell r="A330" t="str">
            <v>CS-SB171-LG907-XL</v>
          </cell>
          <cell r="B330" t="str">
            <v>CS-SB171</v>
          </cell>
          <cell r="C330">
            <v>1</v>
          </cell>
          <cell r="D330">
            <v>2</v>
          </cell>
          <cell r="E330">
            <v>3</v>
          </cell>
          <cell r="F330">
            <v>3</v>
          </cell>
        </row>
        <row r="331">
          <cell r="A331" t="str">
            <v>CS-LY171-G912-XL</v>
          </cell>
          <cell r="B331" t="str">
            <v>CS-LY171</v>
          </cell>
          <cell r="C331">
            <v>1</v>
          </cell>
          <cell r="D331">
            <v>1</v>
          </cell>
          <cell r="E331">
            <v>0</v>
          </cell>
          <cell r="F331">
            <v>1</v>
          </cell>
        </row>
        <row r="332">
          <cell r="A332" t="str">
            <v>CS-SB171-PI908-XL</v>
          </cell>
          <cell r="B332" t="str">
            <v>CS-SB171</v>
          </cell>
          <cell r="C332">
            <v>0</v>
          </cell>
          <cell r="D332">
            <v>0</v>
          </cell>
          <cell r="E332">
            <v>1</v>
          </cell>
          <cell r="F332">
            <v>1</v>
          </cell>
        </row>
        <row r="333">
          <cell r="A333" t="str">
            <v>CS-SB181-ZL918-XL</v>
          </cell>
          <cell r="B333" t="str">
            <v>CS-SB181</v>
          </cell>
          <cell r="C333">
            <v>1</v>
          </cell>
          <cell r="D333">
            <v>1</v>
          </cell>
          <cell r="E333">
            <v>0</v>
          </cell>
          <cell r="F333">
            <v>2</v>
          </cell>
        </row>
        <row r="334">
          <cell r="A334" t="str">
            <v>CS-SB005-BL2-XL</v>
          </cell>
          <cell r="B334" t="str">
            <v>CS-SB005</v>
          </cell>
          <cell r="C334">
            <v>3</v>
          </cell>
          <cell r="D334">
            <v>1</v>
          </cell>
          <cell r="E334">
            <v>0</v>
          </cell>
          <cell r="F334">
            <v>1</v>
          </cell>
        </row>
        <row r="335">
          <cell r="A335" t="str">
            <v>POLO-1503-NY-L</v>
          </cell>
          <cell r="B335" t="str">
            <v>POLO-1503</v>
          </cell>
          <cell r="C335">
            <v>1</v>
          </cell>
          <cell r="D335">
            <v>1</v>
          </cell>
          <cell r="E335">
            <v>1</v>
          </cell>
          <cell r="F335">
            <v>2</v>
          </cell>
        </row>
        <row r="336">
          <cell r="A336" t="str">
            <v>WQS-BN-1503-GR-L</v>
          </cell>
          <cell r="B336" t="str">
            <v>WQS-BN-1503</v>
          </cell>
          <cell r="C336">
            <v>1</v>
          </cell>
          <cell r="D336">
            <v>0</v>
          </cell>
          <cell r="E336">
            <v>0</v>
          </cell>
          <cell r="F336">
            <v>1</v>
          </cell>
        </row>
        <row r="337">
          <cell r="A337" t="str">
            <v>CS-LY084-H3-L</v>
          </cell>
          <cell r="B337" t="str">
            <v>CS-LY084</v>
          </cell>
          <cell r="C337">
            <v>1</v>
          </cell>
          <cell r="D337">
            <v>2</v>
          </cell>
          <cell r="E337">
            <v>1</v>
          </cell>
          <cell r="F337">
            <v>2</v>
          </cell>
        </row>
        <row r="338">
          <cell r="A338" t="str">
            <v>CS-LHY009-RD-M</v>
          </cell>
          <cell r="B338" t="str">
            <v>CS-LHY009</v>
          </cell>
          <cell r="C338">
            <v>2</v>
          </cell>
          <cell r="D338">
            <v>3</v>
          </cell>
          <cell r="E338">
            <v>4</v>
          </cell>
          <cell r="F338">
            <v>1</v>
          </cell>
        </row>
        <row r="339">
          <cell r="A339" t="str">
            <v>DK-LY-K157-OR-34</v>
          </cell>
          <cell r="B339" t="str">
            <v>DK-LY-K157</v>
          </cell>
          <cell r="C339">
            <v>0</v>
          </cell>
          <cell r="D339">
            <v>0</v>
          </cell>
          <cell r="E339">
            <v>0</v>
          </cell>
          <cell r="F339">
            <v>1</v>
          </cell>
        </row>
        <row r="340">
          <cell r="A340" t="str">
            <v>CS-LY085-LG907-XXL</v>
          </cell>
          <cell r="B340" t="str">
            <v>CS-LY085</v>
          </cell>
          <cell r="C340">
            <v>0</v>
          </cell>
          <cell r="D340">
            <v>3</v>
          </cell>
          <cell r="E340">
            <v>4</v>
          </cell>
          <cell r="F340">
            <v>2</v>
          </cell>
        </row>
        <row r="341">
          <cell r="A341" t="str">
            <v>CS-SB002-RNBL-S</v>
          </cell>
          <cell r="B341" t="str">
            <v>CS-SB002</v>
          </cell>
          <cell r="C341">
            <v>1</v>
          </cell>
          <cell r="D341">
            <v>0</v>
          </cell>
          <cell r="E341">
            <v>2</v>
          </cell>
          <cell r="F341">
            <v>1</v>
          </cell>
        </row>
        <row r="342">
          <cell r="A342" t="str">
            <v>CS-LHY003-BK-L</v>
          </cell>
          <cell r="B342" t="str">
            <v>CS-LHY003</v>
          </cell>
          <cell r="C342">
            <v>0</v>
          </cell>
          <cell r="D342">
            <v>0</v>
          </cell>
          <cell r="E342">
            <v>0</v>
          </cell>
          <cell r="F342">
            <v>1</v>
          </cell>
        </row>
        <row r="343">
          <cell r="A343" t="str">
            <v>CS-LY171-LB916-M</v>
          </cell>
          <cell r="B343" t="str">
            <v>CS-LY171</v>
          </cell>
          <cell r="C343">
            <v>2</v>
          </cell>
          <cell r="D343">
            <v>2</v>
          </cell>
          <cell r="E343">
            <v>0</v>
          </cell>
          <cell r="F343">
            <v>1</v>
          </cell>
        </row>
        <row r="344">
          <cell r="A344" t="str">
            <v>MY-LYPoint021-BL-L</v>
          </cell>
          <cell r="B344" t="str">
            <v>MY-LYPoint021</v>
          </cell>
          <cell r="C344">
            <v>0</v>
          </cell>
          <cell r="D344">
            <v>0</v>
          </cell>
          <cell r="E344">
            <v>2</v>
          </cell>
          <cell r="F344">
            <v>1</v>
          </cell>
        </row>
        <row r="345">
          <cell r="A345" t="str">
            <v>MY-LYPoint021-KQ-L</v>
          </cell>
          <cell r="B345" t="str">
            <v>MY-LYPoint021</v>
          </cell>
          <cell r="C345">
            <v>0</v>
          </cell>
          <cell r="D345">
            <v>1</v>
          </cell>
          <cell r="E345">
            <v>1</v>
          </cell>
          <cell r="F345">
            <v>1</v>
          </cell>
        </row>
        <row r="346">
          <cell r="A346" t="str">
            <v>MY-SB021-LB-L</v>
          </cell>
          <cell r="B346" t="str">
            <v>MY-SB021</v>
          </cell>
          <cell r="C346">
            <v>1</v>
          </cell>
          <cell r="D346">
            <v>2</v>
          </cell>
          <cell r="E346">
            <v>1</v>
          </cell>
          <cell r="F346">
            <v>1</v>
          </cell>
        </row>
        <row r="347">
          <cell r="A347" t="str">
            <v>POLO-SB014-GN-M</v>
          </cell>
          <cell r="B347" t="str">
            <v>POLO-SB014</v>
          </cell>
          <cell r="C347">
            <v>1</v>
          </cell>
          <cell r="D347">
            <v>0</v>
          </cell>
          <cell r="E347">
            <v>2</v>
          </cell>
          <cell r="F347">
            <v>1</v>
          </cell>
        </row>
        <row r="348">
          <cell r="A348" t="str">
            <v>CS-LHY009-BL-L</v>
          </cell>
          <cell r="B348" t="str">
            <v>CS-LHY009</v>
          </cell>
          <cell r="C348">
            <v>0</v>
          </cell>
          <cell r="D348">
            <v>1</v>
          </cell>
          <cell r="E348">
            <v>12</v>
          </cell>
          <cell r="F348">
            <v>3</v>
          </cell>
        </row>
        <row r="349">
          <cell r="A349" t="str">
            <v>CS-LY171-ZL918-S</v>
          </cell>
          <cell r="B349" t="str">
            <v>CS-LY171</v>
          </cell>
          <cell r="C349">
            <v>2</v>
          </cell>
          <cell r="D349">
            <v>3</v>
          </cell>
          <cell r="E349">
            <v>2</v>
          </cell>
          <cell r="F349">
            <v>1</v>
          </cell>
        </row>
        <row r="350">
          <cell r="A350" t="str">
            <v>CS-SB030-BL-XXL</v>
          </cell>
          <cell r="B350" t="str">
            <v>CS-SB030</v>
          </cell>
          <cell r="C350">
            <v>0</v>
          </cell>
          <cell r="D350">
            <v>2</v>
          </cell>
          <cell r="E350">
            <v>0</v>
          </cell>
          <cell r="F350">
            <v>1</v>
          </cell>
        </row>
        <row r="351">
          <cell r="A351" t="str">
            <v>MY-LYPoint021-W0-S</v>
          </cell>
          <cell r="B351" t="str">
            <v>MY-LYPoint021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CS-LY171-LB916-L</v>
          </cell>
          <cell r="B352" t="str">
            <v>CS-LY171</v>
          </cell>
          <cell r="C352">
            <v>3</v>
          </cell>
          <cell r="D352">
            <v>0</v>
          </cell>
          <cell r="E352">
            <v>5</v>
          </cell>
          <cell r="F352">
            <v>1</v>
          </cell>
        </row>
        <row r="353">
          <cell r="A353" t="str">
            <v>MY-SB027-GN-L</v>
          </cell>
          <cell r="B353" t="str">
            <v>MY-SB027</v>
          </cell>
          <cell r="C353">
            <v>0</v>
          </cell>
          <cell r="D353">
            <v>0</v>
          </cell>
          <cell r="E353">
            <v>1</v>
          </cell>
          <cell r="F353">
            <v>2</v>
          </cell>
        </row>
        <row r="354">
          <cell r="A354" t="str">
            <v>CS-SB030-WT-XXL</v>
          </cell>
          <cell r="B354" t="str">
            <v>CS-SB030</v>
          </cell>
          <cell r="C354">
            <v>2</v>
          </cell>
          <cell r="D354">
            <v>0</v>
          </cell>
          <cell r="E354">
            <v>3</v>
          </cell>
          <cell r="F354">
            <v>1</v>
          </cell>
        </row>
        <row r="355">
          <cell r="A355" t="str">
            <v>CA084-H15-XXL</v>
          </cell>
          <cell r="B355" t="str">
            <v>CA084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CA084-H10-XXL</v>
          </cell>
          <cell r="B356" t="str">
            <v>CA084</v>
          </cell>
          <cell r="C356">
            <v>0</v>
          </cell>
          <cell r="D356">
            <v>1</v>
          </cell>
          <cell r="E356">
            <v>0</v>
          </cell>
          <cell r="F356">
            <v>1</v>
          </cell>
        </row>
        <row r="357">
          <cell r="A357" t="str">
            <v>CS-CA170-PI908-XL</v>
          </cell>
          <cell r="B357" t="str">
            <v>CS-CA170</v>
          </cell>
          <cell r="C357">
            <v>3</v>
          </cell>
          <cell r="D357">
            <v>0</v>
          </cell>
          <cell r="E357">
            <v>3</v>
          </cell>
          <cell r="F357">
            <v>1</v>
          </cell>
        </row>
        <row r="358">
          <cell r="A358" t="str">
            <v>CS-CA181-ZL918-XL</v>
          </cell>
          <cell r="B358" t="str">
            <v>CS-CA181</v>
          </cell>
          <cell r="C358">
            <v>0</v>
          </cell>
          <cell r="D358">
            <v>0</v>
          </cell>
          <cell r="E358">
            <v>0</v>
          </cell>
          <cell r="F358">
            <v>1</v>
          </cell>
        </row>
        <row r="359">
          <cell r="A359" t="str">
            <v>CS-BUSB032-NB-XL</v>
          </cell>
          <cell r="B359" t="str">
            <v>CS-BUSB032</v>
          </cell>
          <cell r="C359">
            <v>0</v>
          </cell>
          <cell r="D359">
            <v>0</v>
          </cell>
          <cell r="E359">
            <v>1</v>
          </cell>
          <cell r="F359">
            <v>0</v>
          </cell>
        </row>
        <row r="360">
          <cell r="A360" t="str">
            <v>CS-LHY032-GN2-S</v>
          </cell>
          <cell r="B360" t="str">
            <v>CS-LHY032</v>
          </cell>
          <cell r="C360">
            <v>1</v>
          </cell>
          <cell r="D360">
            <v>2</v>
          </cell>
          <cell r="E360">
            <v>1</v>
          </cell>
          <cell r="F360">
            <v>1</v>
          </cell>
        </row>
        <row r="361">
          <cell r="A361" t="str">
            <v>CS-LHY170-BLK-XL</v>
          </cell>
          <cell r="B361" t="str">
            <v>CS-LHY170</v>
          </cell>
          <cell r="C361">
            <v>8</v>
          </cell>
          <cell r="D361">
            <v>6</v>
          </cell>
          <cell r="E361">
            <v>18</v>
          </cell>
          <cell r="F361">
            <v>2</v>
          </cell>
        </row>
        <row r="362">
          <cell r="A362" t="str">
            <v>CS-SB007-LB-XXL</v>
          </cell>
          <cell r="B362" t="str">
            <v>CS-SB007</v>
          </cell>
          <cell r="C362">
            <v>1</v>
          </cell>
          <cell r="D362">
            <v>0</v>
          </cell>
          <cell r="E362">
            <v>0</v>
          </cell>
          <cell r="F362">
            <v>1</v>
          </cell>
        </row>
        <row r="363">
          <cell r="A363" t="str">
            <v>CS-SB170-LB916-S</v>
          </cell>
          <cell r="B363" t="str">
            <v>CS-SB170</v>
          </cell>
          <cell r="C363">
            <v>2</v>
          </cell>
          <cell r="D363">
            <v>1</v>
          </cell>
          <cell r="E363">
            <v>2</v>
          </cell>
          <cell r="F363">
            <v>1</v>
          </cell>
        </row>
        <row r="364">
          <cell r="A364" t="str">
            <v>CS-SB170-LB916-L</v>
          </cell>
          <cell r="B364" t="str">
            <v>CS-SB170</v>
          </cell>
          <cell r="C364">
            <v>0</v>
          </cell>
          <cell r="D364">
            <v>0</v>
          </cell>
          <cell r="E364">
            <v>0</v>
          </cell>
          <cell r="F364">
            <v>1</v>
          </cell>
        </row>
        <row r="365">
          <cell r="A365" t="str">
            <v>CS-LY084-H6-M</v>
          </cell>
          <cell r="B365" t="str">
            <v>CS-LY084</v>
          </cell>
          <cell r="C365">
            <v>0</v>
          </cell>
          <cell r="D365">
            <v>1</v>
          </cell>
          <cell r="E365">
            <v>1</v>
          </cell>
          <cell r="F365">
            <v>1</v>
          </cell>
        </row>
        <row r="366">
          <cell r="A366" t="str">
            <v>KZ-LHY001-BLK-M</v>
          </cell>
          <cell r="B366" t="str">
            <v>KZ-LHY001</v>
          </cell>
          <cell r="C366">
            <v>10</v>
          </cell>
          <cell r="D366">
            <v>6</v>
          </cell>
          <cell r="E366">
            <v>6</v>
          </cell>
          <cell r="F366">
            <v>3</v>
          </cell>
        </row>
        <row r="367">
          <cell r="A367" t="str">
            <v>CS-LY181-Sa911-M</v>
          </cell>
          <cell r="B367" t="str">
            <v>CS-LY181</v>
          </cell>
          <cell r="C367">
            <v>3</v>
          </cell>
          <cell r="D367">
            <v>0</v>
          </cell>
          <cell r="E367">
            <v>3</v>
          </cell>
          <cell r="F367">
            <v>1</v>
          </cell>
        </row>
        <row r="368">
          <cell r="A368" t="str">
            <v>CS-BUSB032-RD-XL</v>
          </cell>
          <cell r="B368" t="str">
            <v>CS-BUSB032</v>
          </cell>
          <cell r="C368">
            <v>0</v>
          </cell>
          <cell r="D368">
            <v>0</v>
          </cell>
          <cell r="E368">
            <v>1</v>
          </cell>
          <cell r="F368">
            <v>2</v>
          </cell>
        </row>
        <row r="369">
          <cell r="A369" t="str">
            <v>CS-SB007-LP-XXL</v>
          </cell>
          <cell r="B369" t="str">
            <v>CS-SB007</v>
          </cell>
          <cell r="C369">
            <v>0</v>
          </cell>
          <cell r="D369">
            <v>1</v>
          </cell>
          <cell r="E369">
            <v>0</v>
          </cell>
          <cell r="F369">
            <v>2</v>
          </cell>
        </row>
        <row r="370">
          <cell r="A370" t="str">
            <v>MY-SB027-LG-XL</v>
          </cell>
          <cell r="B370" t="str">
            <v>MY-SB027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MY-BS027-NY-XL</v>
          </cell>
          <cell r="B371" t="str">
            <v>MY-BS027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CS-SB030-BK-XL</v>
          </cell>
          <cell r="B372" t="str">
            <v>CS-SB030</v>
          </cell>
          <cell r="C372">
            <v>0</v>
          </cell>
          <cell r="D372">
            <v>0</v>
          </cell>
          <cell r="E372">
            <v>0</v>
          </cell>
          <cell r="F372">
            <v>1</v>
          </cell>
        </row>
        <row r="373">
          <cell r="A373" t="str">
            <v>CS-SB170-ZL918-XL</v>
          </cell>
          <cell r="B373" t="str">
            <v>CS-SB170</v>
          </cell>
          <cell r="C373">
            <v>1</v>
          </cell>
          <cell r="D373">
            <v>0</v>
          </cell>
          <cell r="E373">
            <v>0</v>
          </cell>
          <cell r="F373">
            <v>4</v>
          </cell>
        </row>
        <row r="374">
          <cell r="A374" t="str">
            <v>CS-LHY170-BLK-S</v>
          </cell>
          <cell r="B374" t="str">
            <v>CS-LHY170</v>
          </cell>
          <cell r="C374">
            <v>6</v>
          </cell>
          <cell r="D374">
            <v>0</v>
          </cell>
          <cell r="E374">
            <v>3</v>
          </cell>
          <cell r="F374">
            <v>1</v>
          </cell>
        </row>
        <row r="375">
          <cell r="A375" t="str">
            <v>CS-SB030-WR-M</v>
          </cell>
          <cell r="B375" t="str">
            <v>CS-SB030</v>
          </cell>
          <cell r="C375">
            <v>1</v>
          </cell>
          <cell r="D375">
            <v>1</v>
          </cell>
          <cell r="E375">
            <v>7</v>
          </cell>
          <cell r="F375">
            <v>2</v>
          </cell>
        </row>
        <row r="376">
          <cell r="A376" t="str">
            <v>CS-SB030-GR-L</v>
          </cell>
          <cell r="B376" t="str">
            <v>CS-SB030</v>
          </cell>
          <cell r="C376">
            <v>1</v>
          </cell>
          <cell r="D376">
            <v>1</v>
          </cell>
          <cell r="E376">
            <v>1</v>
          </cell>
          <cell r="F376">
            <v>2</v>
          </cell>
        </row>
        <row r="377">
          <cell r="A377" t="str">
            <v>CS-LY170-ZL918-S</v>
          </cell>
          <cell r="B377" t="str">
            <v>CS-LY170</v>
          </cell>
          <cell r="C377">
            <v>1</v>
          </cell>
          <cell r="D377">
            <v>0</v>
          </cell>
          <cell r="E377">
            <v>0</v>
          </cell>
          <cell r="F377">
            <v>1</v>
          </cell>
        </row>
        <row r="378">
          <cell r="A378" t="str">
            <v>CS-SB016-BK-M</v>
          </cell>
          <cell r="B378" t="str">
            <v>CS-SB016</v>
          </cell>
          <cell r="C378">
            <v>0</v>
          </cell>
          <cell r="D378">
            <v>0</v>
          </cell>
          <cell r="E378">
            <v>1</v>
          </cell>
          <cell r="F378">
            <v>1</v>
          </cell>
        </row>
        <row r="379">
          <cell r="A379" t="str">
            <v>WQS-BN-1503-KO-M</v>
          </cell>
          <cell r="B379" t="str">
            <v>WQS-BN-1503</v>
          </cell>
          <cell r="C379">
            <v>0</v>
          </cell>
          <cell r="D379">
            <v>2</v>
          </cell>
          <cell r="E379">
            <v>0</v>
          </cell>
          <cell r="F379">
            <v>1</v>
          </cell>
        </row>
        <row r="380">
          <cell r="A380" t="str">
            <v>CS-LY084-H2-L</v>
          </cell>
          <cell r="B380" t="str">
            <v>CS-LY084</v>
          </cell>
          <cell r="C380">
            <v>6</v>
          </cell>
          <cell r="D380">
            <v>2</v>
          </cell>
          <cell r="E380">
            <v>0</v>
          </cell>
          <cell r="F380">
            <v>1</v>
          </cell>
        </row>
        <row r="381">
          <cell r="A381" t="str">
            <v>MY-LYPoint021-W0-M</v>
          </cell>
          <cell r="B381" t="str">
            <v>MY-LYPoint021</v>
          </cell>
          <cell r="C381">
            <v>3</v>
          </cell>
          <cell r="D381">
            <v>1</v>
          </cell>
          <cell r="E381">
            <v>0</v>
          </cell>
          <cell r="F381">
            <v>2</v>
          </cell>
        </row>
        <row r="382">
          <cell r="A382" t="str">
            <v>WQS-BN-1503-WO-S</v>
          </cell>
          <cell r="B382" t="str">
            <v>WQS-BN-1503</v>
          </cell>
          <cell r="C382">
            <v>0</v>
          </cell>
          <cell r="D382">
            <v>1</v>
          </cell>
          <cell r="E382">
            <v>2</v>
          </cell>
          <cell r="F382">
            <v>1</v>
          </cell>
        </row>
        <row r="383">
          <cell r="A383" t="str">
            <v>MY-LYHigh303-W0-S</v>
          </cell>
          <cell r="B383" t="str">
            <v>MY-LYHigh303</v>
          </cell>
          <cell r="C383">
            <v>0</v>
          </cell>
          <cell r="D383">
            <v>0</v>
          </cell>
          <cell r="E383">
            <v>0</v>
          </cell>
          <cell r="F383">
            <v>1</v>
          </cell>
        </row>
        <row r="384">
          <cell r="A384" t="str">
            <v>MY-LYPoint021-WR-XL</v>
          </cell>
          <cell r="B384" t="str">
            <v>MY-LYPoint021</v>
          </cell>
          <cell r="C384">
            <v>1</v>
          </cell>
          <cell r="D384">
            <v>0</v>
          </cell>
          <cell r="E384">
            <v>0</v>
          </cell>
          <cell r="F384">
            <v>1</v>
          </cell>
        </row>
        <row r="385">
          <cell r="A385" t="str">
            <v>CS-SB170-ZL918-L</v>
          </cell>
          <cell r="B385" t="str">
            <v>CS-SB170</v>
          </cell>
          <cell r="C385">
            <v>0</v>
          </cell>
          <cell r="D385">
            <v>0</v>
          </cell>
          <cell r="E385">
            <v>2</v>
          </cell>
          <cell r="F385">
            <v>2</v>
          </cell>
        </row>
        <row r="386">
          <cell r="A386" t="str">
            <v>CS-LHY032-GN2-M</v>
          </cell>
          <cell r="B386" t="str">
            <v>CS-LHY032</v>
          </cell>
          <cell r="C386">
            <v>0</v>
          </cell>
          <cell r="D386">
            <v>0</v>
          </cell>
          <cell r="E386">
            <v>0</v>
          </cell>
          <cell r="F386">
            <v>1</v>
          </cell>
        </row>
        <row r="387">
          <cell r="A387" t="str">
            <v>CS-LY085-W902-S</v>
          </cell>
          <cell r="B387" t="str">
            <v>CS-LY085</v>
          </cell>
          <cell r="C387">
            <v>2</v>
          </cell>
          <cell r="D387">
            <v>1</v>
          </cell>
          <cell r="E387">
            <v>1</v>
          </cell>
          <cell r="F387">
            <v>1</v>
          </cell>
        </row>
        <row r="388">
          <cell r="A388" t="str">
            <v>CS-LY084-H16-L</v>
          </cell>
          <cell r="B388" t="str">
            <v>CS-LY084</v>
          </cell>
          <cell r="C388">
            <v>1</v>
          </cell>
          <cell r="D388">
            <v>1</v>
          </cell>
          <cell r="E388">
            <v>3</v>
          </cell>
          <cell r="F388">
            <v>1</v>
          </cell>
        </row>
        <row r="389">
          <cell r="A389" t="str">
            <v>MY-SB026-BK-L</v>
          </cell>
          <cell r="B389" t="str">
            <v>MY-SB026</v>
          </cell>
          <cell r="C389">
            <v>0</v>
          </cell>
          <cell r="D389">
            <v>0</v>
          </cell>
          <cell r="E389">
            <v>5</v>
          </cell>
          <cell r="F389">
            <v>0</v>
          </cell>
        </row>
        <row r="390">
          <cell r="A390" t="str">
            <v>CS-LY084-H3-XXL</v>
          </cell>
          <cell r="B390" t="str">
            <v>CS-LY084</v>
          </cell>
          <cell r="C390">
            <v>1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CS-BUSB031-RD2-S</v>
          </cell>
          <cell r="B391" t="str">
            <v>CS-BUSB031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</row>
        <row r="392">
          <cell r="A392" t="str">
            <v>CS-LY181-LG907-S</v>
          </cell>
          <cell r="B392" t="str">
            <v>CS-LY181</v>
          </cell>
          <cell r="C392">
            <v>1</v>
          </cell>
          <cell r="D392">
            <v>0</v>
          </cell>
          <cell r="E392">
            <v>1</v>
          </cell>
          <cell r="F392">
            <v>2</v>
          </cell>
        </row>
        <row r="393">
          <cell r="A393" t="str">
            <v>CS-BS003-NB-XL</v>
          </cell>
          <cell r="B393" t="str">
            <v>CS-BS003</v>
          </cell>
          <cell r="C393">
            <v>0</v>
          </cell>
          <cell r="D393">
            <v>1</v>
          </cell>
          <cell r="E393">
            <v>2</v>
          </cell>
          <cell r="F393">
            <v>1</v>
          </cell>
        </row>
        <row r="394">
          <cell r="A394" t="str">
            <v>CS-BS003-B0-XL</v>
          </cell>
          <cell r="B394" t="str">
            <v>CS-BS002</v>
          </cell>
          <cell r="C394">
            <v>1</v>
          </cell>
          <cell r="D394">
            <v>2</v>
          </cell>
          <cell r="E394">
            <v>0</v>
          </cell>
          <cell r="F394">
            <v>2</v>
          </cell>
        </row>
        <row r="395">
          <cell r="A395" t="str">
            <v>CS-LY181-PI908-S</v>
          </cell>
          <cell r="B395" t="str">
            <v>CS-LY181</v>
          </cell>
          <cell r="C395">
            <v>1</v>
          </cell>
          <cell r="D395">
            <v>0</v>
          </cell>
          <cell r="E395">
            <v>1</v>
          </cell>
          <cell r="F395">
            <v>1</v>
          </cell>
        </row>
        <row r="396">
          <cell r="A396" t="str">
            <v>CS-LHY032-YL-L</v>
          </cell>
          <cell r="B396" t="str">
            <v>CS-LHY032</v>
          </cell>
          <cell r="C396">
            <v>0</v>
          </cell>
          <cell r="D396">
            <v>1</v>
          </cell>
          <cell r="E396">
            <v>1</v>
          </cell>
          <cell r="F396">
            <v>1</v>
          </cell>
        </row>
        <row r="397">
          <cell r="A397" t="str">
            <v>MY-SB026-DG-L</v>
          </cell>
          <cell r="B397" t="str">
            <v>MY-SB026</v>
          </cell>
          <cell r="C397">
            <v>3</v>
          </cell>
          <cell r="D397">
            <v>1</v>
          </cell>
          <cell r="E397">
            <v>2</v>
          </cell>
          <cell r="F397">
            <v>1</v>
          </cell>
        </row>
        <row r="398">
          <cell r="A398" t="str">
            <v>CS-BBS030-WT-XXL</v>
          </cell>
          <cell r="B398" t="str">
            <v>CS-BBS030</v>
          </cell>
          <cell r="C398">
            <v>3</v>
          </cell>
          <cell r="D398">
            <v>0</v>
          </cell>
          <cell r="E398">
            <v>3</v>
          </cell>
          <cell r="F398">
            <v>1</v>
          </cell>
        </row>
        <row r="399">
          <cell r="A399" t="str">
            <v>CS-LHY170-ZL918-M</v>
          </cell>
          <cell r="B399" t="str">
            <v>CS-LHY170</v>
          </cell>
          <cell r="C399">
            <v>33</v>
          </cell>
          <cell r="D399">
            <v>20</v>
          </cell>
          <cell r="E399">
            <v>11</v>
          </cell>
          <cell r="F399">
            <v>5</v>
          </cell>
        </row>
        <row r="400">
          <cell r="A400" t="str">
            <v>CS-SB007-GR-XXL</v>
          </cell>
          <cell r="B400" t="str">
            <v>CS-SB007</v>
          </cell>
          <cell r="C400">
            <v>0</v>
          </cell>
          <cell r="D400">
            <v>1</v>
          </cell>
          <cell r="E400">
            <v>0</v>
          </cell>
          <cell r="F400">
            <v>1</v>
          </cell>
        </row>
        <row r="401">
          <cell r="A401" t="str">
            <v>CS-LY181-Sa911-XL</v>
          </cell>
          <cell r="B401" t="str">
            <v>CS-LY181</v>
          </cell>
          <cell r="C401">
            <v>1</v>
          </cell>
          <cell r="D401">
            <v>0</v>
          </cell>
          <cell r="E401">
            <v>4</v>
          </cell>
          <cell r="F401">
            <v>1</v>
          </cell>
        </row>
        <row r="402">
          <cell r="A402" t="str">
            <v>MY-SBPoint021-BK-M</v>
          </cell>
          <cell r="B402" t="str">
            <v>MY-SBPoint021</v>
          </cell>
          <cell r="C402">
            <v>1</v>
          </cell>
          <cell r="D402">
            <v>1</v>
          </cell>
          <cell r="E402">
            <v>2</v>
          </cell>
          <cell r="F402">
            <v>1</v>
          </cell>
        </row>
        <row r="403">
          <cell r="A403" t="str">
            <v>CS-SB030-WT-XL</v>
          </cell>
          <cell r="B403" t="str">
            <v>CS-SB030</v>
          </cell>
          <cell r="C403">
            <v>3</v>
          </cell>
          <cell r="D403">
            <v>0</v>
          </cell>
          <cell r="E403">
            <v>1</v>
          </cell>
          <cell r="F403">
            <v>1</v>
          </cell>
        </row>
        <row r="404">
          <cell r="A404" t="str">
            <v>MY-LYPoint021-K0-XL</v>
          </cell>
          <cell r="B404" t="str">
            <v>MY-LYPoint021</v>
          </cell>
          <cell r="C404">
            <v>3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CS-SB002-RD-XL</v>
          </cell>
          <cell r="B405" t="str">
            <v>CS-SB002</v>
          </cell>
          <cell r="C405">
            <v>0</v>
          </cell>
          <cell r="D405">
            <v>1</v>
          </cell>
          <cell r="E405">
            <v>0</v>
          </cell>
          <cell r="F405">
            <v>1</v>
          </cell>
        </row>
        <row r="406">
          <cell r="A406" t="str">
            <v>CS-LY086-N0-XL</v>
          </cell>
          <cell r="B406" t="str">
            <v>CS-LY086</v>
          </cell>
          <cell r="C406">
            <v>6</v>
          </cell>
          <cell r="D406">
            <v>2</v>
          </cell>
          <cell r="E406">
            <v>2</v>
          </cell>
          <cell r="F406">
            <v>1</v>
          </cell>
        </row>
        <row r="407">
          <cell r="A407" t="str">
            <v>CS-LHY170-BLK-XXL</v>
          </cell>
          <cell r="B407" t="str">
            <v>CS-LHY170</v>
          </cell>
          <cell r="C407">
            <v>0</v>
          </cell>
          <cell r="D407">
            <v>7</v>
          </cell>
          <cell r="E407">
            <v>12</v>
          </cell>
          <cell r="F407">
            <v>1</v>
          </cell>
        </row>
        <row r="408">
          <cell r="A408" t="str">
            <v>CS-SB009-YL-S</v>
          </cell>
          <cell r="B408" t="str">
            <v>CS-SB009</v>
          </cell>
          <cell r="C408">
            <v>0</v>
          </cell>
          <cell r="D408">
            <v>1</v>
          </cell>
          <cell r="E408">
            <v>3</v>
          </cell>
          <cell r="F408">
            <v>1</v>
          </cell>
        </row>
        <row r="409">
          <cell r="A409" t="str">
            <v>CS-CA170-ZL918-M</v>
          </cell>
          <cell r="B409" t="str">
            <v>CS-CA170</v>
          </cell>
          <cell r="C409">
            <v>3</v>
          </cell>
          <cell r="D409">
            <v>0</v>
          </cell>
          <cell r="E409">
            <v>4</v>
          </cell>
          <cell r="F409">
            <v>0</v>
          </cell>
        </row>
        <row r="410">
          <cell r="A410" t="str">
            <v>CS-CA170-G912-XXL</v>
          </cell>
          <cell r="B410" t="str">
            <v>CS-CA170</v>
          </cell>
          <cell r="C410">
            <v>1</v>
          </cell>
          <cell r="D410">
            <v>0</v>
          </cell>
          <cell r="E410">
            <v>4</v>
          </cell>
          <cell r="F410">
            <v>0</v>
          </cell>
        </row>
        <row r="411">
          <cell r="A411" t="str">
            <v>CS-CA170-Sa911-L</v>
          </cell>
          <cell r="B411" t="str">
            <v>CS-CA170</v>
          </cell>
          <cell r="C411">
            <v>0</v>
          </cell>
          <cell r="D411">
            <v>1</v>
          </cell>
          <cell r="E411">
            <v>4</v>
          </cell>
          <cell r="F411">
            <v>0</v>
          </cell>
        </row>
        <row r="412">
          <cell r="A412" t="str">
            <v>CS-CA170-G912-XL</v>
          </cell>
          <cell r="B412" t="str">
            <v>CS-CA170</v>
          </cell>
          <cell r="C412">
            <v>1</v>
          </cell>
          <cell r="D412">
            <v>1</v>
          </cell>
          <cell r="E412">
            <v>3</v>
          </cell>
          <cell r="F412">
            <v>0</v>
          </cell>
        </row>
        <row r="413">
          <cell r="A413" t="str">
            <v>CS-CA170-W902-M</v>
          </cell>
          <cell r="B413" t="str">
            <v>CS-CA170</v>
          </cell>
          <cell r="C413">
            <v>0</v>
          </cell>
          <cell r="D413">
            <v>0</v>
          </cell>
          <cell r="E413">
            <v>3</v>
          </cell>
          <cell r="F413">
            <v>0</v>
          </cell>
        </row>
        <row r="414">
          <cell r="A414" t="str">
            <v>CS-CA170-Sa911-M</v>
          </cell>
          <cell r="B414" t="str">
            <v>CS-CA170</v>
          </cell>
          <cell r="C414">
            <v>1</v>
          </cell>
          <cell r="D414">
            <v>0</v>
          </cell>
          <cell r="E414">
            <v>1</v>
          </cell>
          <cell r="F414">
            <v>0</v>
          </cell>
        </row>
        <row r="415">
          <cell r="A415" t="str">
            <v>CS-CA170-PI908-M</v>
          </cell>
          <cell r="B415" t="str">
            <v>CS-CA170</v>
          </cell>
          <cell r="C415">
            <v>0</v>
          </cell>
          <cell r="D415">
            <v>0</v>
          </cell>
          <cell r="E415">
            <v>2</v>
          </cell>
          <cell r="F415">
            <v>0</v>
          </cell>
        </row>
        <row r="416">
          <cell r="A416" t="str">
            <v>CS-CA170-ZL918-S</v>
          </cell>
          <cell r="B416" t="str">
            <v>CS-CA170</v>
          </cell>
          <cell r="C416">
            <v>0</v>
          </cell>
          <cell r="D416">
            <v>0</v>
          </cell>
          <cell r="E416">
            <v>1</v>
          </cell>
          <cell r="F416">
            <v>0</v>
          </cell>
        </row>
        <row r="417">
          <cell r="A417" t="str">
            <v>CS-CA170-WR917-M</v>
          </cell>
          <cell r="B417" t="str">
            <v>CS-CA170</v>
          </cell>
          <cell r="C417">
            <v>0</v>
          </cell>
          <cell r="D417">
            <v>0</v>
          </cell>
          <cell r="E417">
            <v>4</v>
          </cell>
          <cell r="F417">
            <v>0</v>
          </cell>
        </row>
        <row r="418">
          <cell r="A418" t="str">
            <v>CS-CA170-WR917-S</v>
          </cell>
          <cell r="B418" t="str">
            <v>CS-CA170</v>
          </cell>
          <cell r="C418">
            <v>0</v>
          </cell>
          <cell r="D418">
            <v>0</v>
          </cell>
          <cell r="E418">
            <v>1</v>
          </cell>
          <cell r="F418">
            <v>0</v>
          </cell>
        </row>
        <row r="419">
          <cell r="A419" t="str">
            <v>CS-CA170-Sa911-S</v>
          </cell>
          <cell r="B419" t="str">
            <v>CS-CA170</v>
          </cell>
          <cell r="C419">
            <v>0</v>
          </cell>
          <cell r="D419">
            <v>0</v>
          </cell>
          <cell r="E419">
            <v>1</v>
          </cell>
          <cell r="F419">
            <v>0</v>
          </cell>
        </row>
        <row r="420">
          <cell r="A420" t="str">
            <v>CS-CA170-WR917-L</v>
          </cell>
          <cell r="B420" t="str">
            <v>CS-CA170</v>
          </cell>
          <cell r="C420">
            <v>0</v>
          </cell>
          <cell r="D420">
            <v>2</v>
          </cell>
          <cell r="E420">
            <v>2</v>
          </cell>
          <cell r="F420">
            <v>0</v>
          </cell>
        </row>
        <row r="421">
          <cell r="A421" t="str">
            <v>CS-CA170-G912-L</v>
          </cell>
          <cell r="B421" t="str">
            <v>CS-CA170</v>
          </cell>
          <cell r="C421">
            <v>0</v>
          </cell>
          <cell r="D421">
            <v>1</v>
          </cell>
          <cell r="E421">
            <v>1</v>
          </cell>
          <cell r="F421">
            <v>0</v>
          </cell>
        </row>
        <row r="422">
          <cell r="A422" t="str">
            <v>CS-CA181-WR917-XXL</v>
          </cell>
          <cell r="B422" t="str">
            <v>CS-CA181</v>
          </cell>
          <cell r="C422">
            <v>0</v>
          </cell>
          <cell r="D422">
            <v>0</v>
          </cell>
          <cell r="E422">
            <v>1</v>
          </cell>
          <cell r="F422">
            <v>0</v>
          </cell>
        </row>
        <row r="423">
          <cell r="A423" t="str">
            <v>CS-CA181-ZL918-XXL</v>
          </cell>
          <cell r="B423" t="str">
            <v>CS-CA181</v>
          </cell>
          <cell r="C423">
            <v>0</v>
          </cell>
          <cell r="D423">
            <v>0</v>
          </cell>
          <cell r="E423">
            <v>2</v>
          </cell>
          <cell r="F423">
            <v>0</v>
          </cell>
        </row>
        <row r="424">
          <cell r="A424" t="str">
            <v>CS-CA170-Sa911-XL</v>
          </cell>
          <cell r="B424" t="str">
            <v>CS-CA170</v>
          </cell>
          <cell r="C424">
            <v>2</v>
          </cell>
          <cell r="D424">
            <v>0</v>
          </cell>
          <cell r="E424">
            <v>2</v>
          </cell>
          <cell r="F424">
            <v>0</v>
          </cell>
        </row>
        <row r="425">
          <cell r="A425" t="str">
            <v>CS-LHY170-BLK-L</v>
          </cell>
          <cell r="B425" t="str">
            <v>CS-LHY170</v>
          </cell>
          <cell r="C425">
            <v>4</v>
          </cell>
          <cell r="D425">
            <v>7</v>
          </cell>
          <cell r="E425">
            <v>20</v>
          </cell>
          <cell r="F425">
            <v>0</v>
          </cell>
        </row>
        <row r="426">
          <cell r="A426" t="str">
            <v>MY-SB011JR-RD-M</v>
          </cell>
          <cell r="B426" t="str">
            <v>MY-SB011</v>
          </cell>
          <cell r="C426">
            <v>0</v>
          </cell>
          <cell r="D426">
            <v>0</v>
          </cell>
          <cell r="E426">
            <v>1</v>
          </cell>
          <cell r="F426">
            <v>0</v>
          </cell>
        </row>
        <row r="427">
          <cell r="A427" t="str">
            <v>MY-SB011JR-BL-M</v>
          </cell>
          <cell r="B427" t="str">
            <v>MY-SB011</v>
          </cell>
          <cell r="C427">
            <v>0</v>
          </cell>
          <cell r="D427">
            <v>0</v>
          </cell>
          <cell r="E427">
            <v>2</v>
          </cell>
          <cell r="F427">
            <v>0</v>
          </cell>
        </row>
        <row r="428">
          <cell r="A428" t="str">
            <v>MY-SB011JR-BK-M</v>
          </cell>
          <cell r="B428" t="str">
            <v>MY-SB011</v>
          </cell>
          <cell r="C428">
            <v>0</v>
          </cell>
          <cell r="D428">
            <v>0</v>
          </cell>
          <cell r="E428">
            <v>1</v>
          </cell>
          <cell r="F428">
            <v>0</v>
          </cell>
        </row>
        <row r="429">
          <cell r="A429" t="str">
            <v>CS-SB009-RDNY-S</v>
          </cell>
          <cell r="B429" t="str">
            <v>CS-SB009</v>
          </cell>
          <cell r="C429">
            <v>0</v>
          </cell>
          <cell r="D429">
            <v>0</v>
          </cell>
          <cell r="E429">
            <v>1</v>
          </cell>
          <cell r="F429">
            <v>0</v>
          </cell>
        </row>
        <row r="430">
          <cell r="A430" t="str">
            <v>MY-SB027-KK-L</v>
          </cell>
          <cell r="B430" t="str">
            <v>MY-SB027</v>
          </cell>
          <cell r="C430">
            <v>1</v>
          </cell>
          <cell r="D430">
            <v>1</v>
          </cell>
          <cell r="E430">
            <v>3</v>
          </cell>
          <cell r="F430">
            <v>0</v>
          </cell>
        </row>
        <row r="431">
          <cell r="A431" t="str">
            <v>CS-LHY170-Sa911-L</v>
          </cell>
          <cell r="B431" t="str">
            <v>CS-LHY170</v>
          </cell>
          <cell r="C431">
            <v>11</v>
          </cell>
          <cell r="D431">
            <v>12</v>
          </cell>
          <cell r="E431">
            <v>21</v>
          </cell>
          <cell r="F431">
            <v>0</v>
          </cell>
        </row>
        <row r="432">
          <cell r="A432" t="str">
            <v>CS-LY084-H16-XL</v>
          </cell>
          <cell r="B432" t="str">
            <v>CS-LY084</v>
          </cell>
          <cell r="C432">
            <v>0</v>
          </cell>
          <cell r="D432">
            <v>2</v>
          </cell>
          <cell r="E432">
            <v>1</v>
          </cell>
          <cell r="F432">
            <v>0</v>
          </cell>
        </row>
        <row r="433">
          <cell r="A433" t="str">
            <v>CS-LHY170-Sa911-XL</v>
          </cell>
          <cell r="B433" t="str">
            <v>CS-LHY170</v>
          </cell>
          <cell r="C433">
            <v>10</v>
          </cell>
          <cell r="D433">
            <v>12</v>
          </cell>
          <cell r="E433">
            <v>11</v>
          </cell>
          <cell r="F433">
            <v>0</v>
          </cell>
        </row>
        <row r="434">
          <cell r="A434" t="str">
            <v>CS-SB006-BL2-L</v>
          </cell>
          <cell r="B434" t="str">
            <v>CS-SB006</v>
          </cell>
          <cell r="C434">
            <v>0</v>
          </cell>
          <cell r="D434">
            <v>1</v>
          </cell>
          <cell r="E434">
            <v>1</v>
          </cell>
          <cell r="F434">
            <v>0</v>
          </cell>
        </row>
        <row r="435">
          <cell r="A435" t="str">
            <v>CS-LY084-H10-XXL</v>
          </cell>
          <cell r="B435" t="str">
            <v>CS-LY084</v>
          </cell>
          <cell r="C435">
            <v>1</v>
          </cell>
          <cell r="D435">
            <v>1</v>
          </cell>
          <cell r="E435">
            <v>1</v>
          </cell>
          <cell r="F435">
            <v>0</v>
          </cell>
        </row>
        <row r="436">
          <cell r="A436" t="str">
            <v>MY-SBPoint021-NY-L</v>
          </cell>
          <cell r="B436" t="str">
            <v>MY-SBPoint021</v>
          </cell>
          <cell r="C436">
            <v>3</v>
          </cell>
          <cell r="D436">
            <v>1</v>
          </cell>
          <cell r="E436">
            <v>2</v>
          </cell>
          <cell r="F436">
            <v>0</v>
          </cell>
        </row>
        <row r="437">
          <cell r="A437" t="str">
            <v>MY-SB026-DG-XL</v>
          </cell>
          <cell r="B437" t="str">
            <v>MY-SB026</v>
          </cell>
          <cell r="C437">
            <v>1</v>
          </cell>
          <cell r="D437">
            <v>2</v>
          </cell>
          <cell r="E437">
            <v>4</v>
          </cell>
          <cell r="F437">
            <v>0</v>
          </cell>
        </row>
        <row r="438">
          <cell r="A438" t="str">
            <v>POLO-SB1503-GR-S</v>
          </cell>
          <cell r="B438" t="str">
            <v>POLO-SB1503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</row>
        <row r="439">
          <cell r="A439" t="str">
            <v>POLO-SB014-GN-S</v>
          </cell>
          <cell r="B439" t="str">
            <v>POLO-SB014</v>
          </cell>
          <cell r="C439">
            <v>2</v>
          </cell>
          <cell r="D439">
            <v>0</v>
          </cell>
          <cell r="E439">
            <v>1</v>
          </cell>
          <cell r="F439">
            <v>0</v>
          </cell>
        </row>
        <row r="440">
          <cell r="A440" t="str">
            <v>CFY-M1830-LB-XXL</v>
          </cell>
          <cell r="B440" t="str">
            <v>CFY-M1830</v>
          </cell>
          <cell r="C440">
            <v>0</v>
          </cell>
          <cell r="D440">
            <v>0</v>
          </cell>
          <cell r="E440">
            <v>1</v>
          </cell>
          <cell r="F440">
            <v>0</v>
          </cell>
        </row>
        <row r="441">
          <cell r="A441" t="str">
            <v>CS-LHY170-G912-L</v>
          </cell>
          <cell r="B441" t="str">
            <v>CS-LHY170</v>
          </cell>
          <cell r="C441">
            <v>11</v>
          </cell>
          <cell r="D441">
            <v>5</v>
          </cell>
          <cell r="E441">
            <v>8</v>
          </cell>
          <cell r="F441">
            <v>0</v>
          </cell>
        </row>
        <row r="442">
          <cell r="A442" t="str">
            <v>CS-SB030-YL-S</v>
          </cell>
          <cell r="B442" t="str">
            <v>CS-SB030</v>
          </cell>
          <cell r="C442">
            <v>1</v>
          </cell>
          <cell r="D442">
            <v>1</v>
          </cell>
          <cell r="E442">
            <v>1</v>
          </cell>
          <cell r="F442">
            <v>0</v>
          </cell>
        </row>
        <row r="443">
          <cell r="A443" t="str">
            <v>MY-SB-DG-M</v>
          </cell>
          <cell r="B443" t="str">
            <v>MY-SB-DG-M</v>
          </cell>
          <cell r="C443">
            <v>1</v>
          </cell>
          <cell r="D443">
            <v>0</v>
          </cell>
          <cell r="E443">
            <v>2</v>
          </cell>
          <cell r="F443">
            <v>0</v>
          </cell>
        </row>
        <row r="444">
          <cell r="A444" t="str">
            <v>CS-SB030-BK-M</v>
          </cell>
          <cell r="B444" t="str">
            <v>CS-SB030</v>
          </cell>
          <cell r="C444">
            <v>0</v>
          </cell>
          <cell r="D444">
            <v>0</v>
          </cell>
          <cell r="E444">
            <v>2</v>
          </cell>
          <cell r="F444">
            <v>0</v>
          </cell>
        </row>
        <row r="445">
          <cell r="A445" t="str">
            <v>CS-LHY170-BLK-M</v>
          </cell>
          <cell r="B445" t="str">
            <v>CS-LHY170</v>
          </cell>
          <cell r="C445">
            <v>4</v>
          </cell>
          <cell r="D445">
            <v>8</v>
          </cell>
          <cell r="E445">
            <v>9</v>
          </cell>
          <cell r="F445">
            <v>0</v>
          </cell>
        </row>
        <row r="446">
          <cell r="A446" t="str">
            <v>MY-SB027-GN-XL</v>
          </cell>
          <cell r="B446" t="str">
            <v>MY-SB027</v>
          </cell>
          <cell r="C446">
            <v>2</v>
          </cell>
          <cell r="D446">
            <v>0</v>
          </cell>
          <cell r="E446">
            <v>3</v>
          </cell>
          <cell r="F446">
            <v>0</v>
          </cell>
        </row>
        <row r="447">
          <cell r="A447" t="str">
            <v>CS-SB170-W902-M</v>
          </cell>
          <cell r="B447" t="str">
            <v>CS-SB170</v>
          </cell>
          <cell r="C447">
            <v>2</v>
          </cell>
          <cell r="D447">
            <v>1</v>
          </cell>
          <cell r="E447">
            <v>3</v>
          </cell>
          <cell r="F447">
            <v>0</v>
          </cell>
        </row>
        <row r="448">
          <cell r="A448" t="str">
            <v>MY-SB026-RD-XL</v>
          </cell>
          <cell r="B448" t="str">
            <v>MY-SB026</v>
          </cell>
          <cell r="C448">
            <v>0</v>
          </cell>
          <cell r="D448">
            <v>0</v>
          </cell>
          <cell r="E448">
            <v>3</v>
          </cell>
          <cell r="F448">
            <v>0</v>
          </cell>
        </row>
        <row r="449">
          <cell r="A449" t="str">
            <v>CS-SB009-GN-S</v>
          </cell>
          <cell r="B449" t="str">
            <v>CS-SB009</v>
          </cell>
          <cell r="C449">
            <v>2</v>
          </cell>
          <cell r="D449">
            <v>1</v>
          </cell>
          <cell r="E449">
            <v>4</v>
          </cell>
          <cell r="F449">
            <v>0</v>
          </cell>
        </row>
        <row r="450">
          <cell r="A450" t="str">
            <v>POLO-SB1503-NY-M</v>
          </cell>
          <cell r="B450" t="str">
            <v>POLO-SB1503</v>
          </cell>
          <cell r="C450">
            <v>0</v>
          </cell>
          <cell r="D450">
            <v>1</v>
          </cell>
          <cell r="E450">
            <v>1</v>
          </cell>
          <cell r="F450">
            <v>0</v>
          </cell>
        </row>
        <row r="451">
          <cell r="A451" t="str">
            <v>CS-SB166-B28-4-XL</v>
          </cell>
          <cell r="B451" t="str">
            <v>CS-SB166</v>
          </cell>
          <cell r="C451">
            <v>0</v>
          </cell>
          <cell r="D451">
            <v>1</v>
          </cell>
          <cell r="E451">
            <v>2</v>
          </cell>
          <cell r="F451">
            <v>0</v>
          </cell>
        </row>
        <row r="452">
          <cell r="A452" t="str">
            <v>CS-SB005-GN-M</v>
          </cell>
          <cell r="B452" t="str">
            <v>CS-SB005</v>
          </cell>
          <cell r="C452">
            <v>0</v>
          </cell>
          <cell r="D452">
            <v>0</v>
          </cell>
          <cell r="E452">
            <v>1</v>
          </cell>
          <cell r="F452">
            <v>0</v>
          </cell>
        </row>
        <row r="453">
          <cell r="A453" t="str">
            <v>CS-LY084-H2-M</v>
          </cell>
          <cell r="B453" t="str">
            <v>CS-LY084</v>
          </cell>
          <cell r="C453">
            <v>2</v>
          </cell>
          <cell r="D453">
            <v>1</v>
          </cell>
          <cell r="E453">
            <v>2</v>
          </cell>
          <cell r="F453">
            <v>0</v>
          </cell>
        </row>
        <row r="454">
          <cell r="A454" t="str">
            <v>CS-LHY032-RD-XXL</v>
          </cell>
          <cell r="B454" t="str">
            <v>CS-LHY032</v>
          </cell>
          <cell r="C454">
            <v>0</v>
          </cell>
          <cell r="D454">
            <v>1</v>
          </cell>
          <cell r="E454">
            <v>1</v>
          </cell>
          <cell r="F454">
            <v>0</v>
          </cell>
        </row>
        <row r="455">
          <cell r="A455" t="str">
            <v>CS-LY084-H10-S</v>
          </cell>
          <cell r="B455" t="str">
            <v>CS-LY084</v>
          </cell>
          <cell r="C455">
            <v>0</v>
          </cell>
          <cell r="D455">
            <v>0</v>
          </cell>
          <cell r="E455">
            <v>9</v>
          </cell>
          <cell r="F455">
            <v>0</v>
          </cell>
        </row>
        <row r="456">
          <cell r="A456" t="str">
            <v>DK-LY-K518-B0-40</v>
          </cell>
          <cell r="B456" t="str">
            <v>DK-LY-K518</v>
          </cell>
          <cell r="C456">
            <v>3</v>
          </cell>
          <cell r="D456">
            <v>0</v>
          </cell>
          <cell r="E456">
            <v>1</v>
          </cell>
          <cell r="F456">
            <v>0</v>
          </cell>
        </row>
        <row r="457">
          <cell r="A457" t="str">
            <v>CS-LY181-W902-L</v>
          </cell>
          <cell r="B457" t="str">
            <v>CS-LY181</v>
          </cell>
          <cell r="C457">
            <v>2</v>
          </cell>
          <cell r="D457">
            <v>1</v>
          </cell>
          <cell r="E457">
            <v>2</v>
          </cell>
          <cell r="F457">
            <v>0</v>
          </cell>
        </row>
        <row r="458">
          <cell r="A458" t="str">
            <v>SB-YL003-GH80</v>
          </cell>
          <cell r="B458" t="str">
            <v>SB-YL003</v>
          </cell>
          <cell r="C458">
            <v>0</v>
          </cell>
          <cell r="D458">
            <v>0</v>
          </cell>
          <cell r="E458">
            <v>1</v>
          </cell>
          <cell r="F458">
            <v>0</v>
          </cell>
        </row>
        <row r="459">
          <cell r="A459" t="str">
            <v>SB-YL002-KCN100S</v>
          </cell>
          <cell r="B459" t="str">
            <v>SB-YL002</v>
          </cell>
          <cell r="C459">
            <v>0</v>
          </cell>
          <cell r="D459">
            <v>0</v>
          </cell>
          <cell r="E459">
            <v>2</v>
          </cell>
          <cell r="F459">
            <v>0</v>
          </cell>
        </row>
        <row r="460">
          <cell r="A460" t="str">
            <v>POLO-SB1503-WT-M</v>
          </cell>
          <cell r="B460" t="str">
            <v>POLO-SB1503</v>
          </cell>
          <cell r="C460">
            <v>0</v>
          </cell>
          <cell r="D460">
            <v>0</v>
          </cell>
          <cell r="E460">
            <v>1</v>
          </cell>
          <cell r="F460">
            <v>0</v>
          </cell>
        </row>
        <row r="461">
          <cell r="A461" t="str">
            <v>CS-LHY009-CF-XL</v>
          </cell>
          <cell r="B461" t="str">
            <v>CS-LHY009</v>
          </cell>
          <cell r="C461">
            <v>2</v>
          </cell>
          <cell r="D461">
            <v>1</v>
          </cell>
          <cell r="E461">
            <v>2</v>
          </cell>
          <cell r="F461">
            <v>0</v>
          </cell>
        </row>
        <row r="462">
          <cell r="A462" t="str">
            <v>CS-LY084-H2-S</v>
          </cell>
          <cell r="B462" t="str">
            <v>CS-LY084</v>
          </cell>
          <cell r="C462">
            <v>4</v>
          </cell>
          <cell r="D462">
            <v>0</v>
          </cell>
          <cell r="E462">
            <v>1</v>
          </cell>
          <cell r="F462">
            <v>0</v>
          </cell>
        </row>
        <row r="463">
          <cell r="A463" t="str">
            <v>CS-SB002-LB-S</v>
          </cell>
          <cell r="B463" t="str">
            <v>CS-SB002</v>
          </cell>
          <cell r="C463">
            <v>0</v>
          </cell>
          <cell r="D463">
            <v>0</v>
          </cell>
          <cell r="E463">
            <v>1</v>
          </cell>
          <cell r="F463">
            <v>0</v>
          </cell>
        </row>
        <row r="464">
          <cell r="A464" t="str">
            <v>MY-LYPoint021-LB-XL</v>
          </cell>
          <cell r="B464" t="str">
            <v>MY-LYPoint021</v>
          </cell>
          <cell r="C464">
            <v>2</v>
          </cell>
          <cell r="D464">
            <v>1</v>
          </cell>
          <cell r="E464">
            <v>1</v>
          </cell>
          <cell r="F464">
            <v>0</v>
          </cell>
        </row>
        <row r="465">
          <cell r="A465" t="str">
            <v>CS-SB003-BK-S</v>
          </cell>
          <cell r="B465" t="str">
            <v>CS-SB003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</row>
        <row r="466">
          <cell r="A466" t="str">
            <v>CS-BUSB032-BL-S</v>
          </cell>
          <cell r="B466" t="str">
            <v>CS-BUSB032</v>
          </cell>
          <cell r="C466">
            <v>0</v>
          </cell>
          <cell r="D466">
            <v>0</v>
          </cell>
          <cell r="E466">
            <v>1</v>
          </cell>
          <cell r="F466">
            <v>0</v>
          </cell>
        </row>
        <row r="467">
          <cell r="A467" t="str">
            <v>CS-LY084-H3-XL</v>
          </cell>
          <cell r="B467" t="str">
            <v>CS-LY084</v>
          </cell>
          <cell r="C467">
            <v>0</v>
          </cell>
          <cell r="D467">
            <v>0</v>
          </cell>
          <cell r="E467">
            <v>2</v>
          </cell>
          <cell r="F467">
            <v>0</v>
          </cell>
        </row>
        <row r="468">
          <cell r="A468" t="str">
            <v>CS-SB007-LP-L</v>
          </cell>
          <cell r="B468" t="str">
            <v>CS-SB007</v>
          </cell>
          <cell r="C468">
            <v>1</v>
          </cell>
          <cell r="D468">
            <v>2</v>
          </cell>
          <cell r="E468">
            <v>1</v>
          </cell>
          <cell r="F468">
            <v>0</v>
          </cell>
        </row>
        <row r="469">
          <cell r="A469" t="str">
            <v>CS-BUSB031LHY-YL1-L</v>
          </cell>
          <cell r="B469" t="str">
            <v>CS-BUSB031</v>
          </cell>
          <cell r="C469">
            <v>4</v>
          </cell>
          <cell r="D469">
            <v>0</v>
          </cell>
          <cell r="E469">
            <v>1</v>
          </cell>
          <cell r="F469">
            <v>0</v>
          </cell>
        </row>
        <row r="470">
          <cell r="A470" t="str">
            <v>CS-BS003-BK-L</v>
          </cell>
          <cell r="B470" t="str">
            <v>CS-BS003</v>
          </cell>
          <cell r="C470">
            <v>0</v>
          </cell>
          <cell r="D470">
            <v>0</v>
          </cell>
          <cell r="E470">
            <v>1</v>
          </cell>
          <cell r="F470">
            <v>0</v>
          </cell>
        </row>
        <row r="471">
          <cell r="A471" t="str">
            <v>CS-LY171-G912-M</v>
          </cell>
          <cell r="B471" t="str">
            <v>CS-LY171</v>
          </cell>
          <cell r="C471">
            <v>0</v>
          </cell>
          <cell r="D471">
            <v>1</v>
          </cell>
          <cell r="E471">
            <v>3</v>
          </cell>
          <cell r="F471">
            <v>0</v>
          </cell>
        </row>
        <row r="472">
          <cell r="A472" t="str">
            <v>CS-SB016-NB-M</v>
          </cell>
          <cell r="B472" t="str">
            <v>CS-SB016</v>
          </cell>
          <cell r="C472">
            <v>0</v>
          </cell>
          <cell r="D472">
            <v>0</v>
          </cell>
          <cell r="E472">
            <v>1</v>
          </cell>
          <cell r="F472">
            <v>0</v>
          </cell>
        </row>
        <row r="473">
          <cell r="A473" t="str">
            <v>CS-SB016-B0-M</v>
          </cell>
          <cell r="B473" t="str">
            <v>CS-SB016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</row>
        <row r="474">
          <cell r="A474" t="str">
            <v>CS-SB002-BL-M</v>
          </cell>
          <cell r="B474" t="str">
            <v>CS-SB002</v>
          </cell>
          <cell r="C474">
            <v>1</v>
          </cell>
          <cell r="D474">
            <v>0</v>
          </cell>
          <cell r="E474">
            <v>1</v>
          </cell>
          <cell r="F474">
            <v>0</v>
          </cell>
        </row>
        <row r="475">
          <cell r="A475" t="str">
            <v>CS-SB005-YL-S</v>
          </cell>
          <cell r="B475" t="str">
            <v>CS-SB005</v>
          </cell>
          <cell r="C475">
            <v>2</v>
          </cell>
          <cell r="D475">
            <v>0</v>
          </cell>
          <cell r="E475">
            <v>1</v>
          </cell>
          <cell r="F475">
            <v>0</v>
          </cell>
        </row>
        <row r="476">
          <cell r="A476" t="str">
            <v>CS-CA170-PI908-XXL</v>
          </cell>
          <cell r="B476" t="str">
            <v>CS-CA170</v>
          </cell>
          <cell r="C476">
            <v>0</v>
          </cell>
          <cell r="D476">
            <v>1</v>
          </cell>
          <cell r="E476">
            <v>1</v>
          </cell>
          <cell r="F476">
            <v>0</v>
          </cell>
        </row>
        <row r="477">
          <cell r="A477" t="str">
            <v>CS-CA170-LB916-L</v>
          </cell>
          <cell r="B477" t="str">
            <v>CS-CA170</v>
          </cell>
          <cell r="C477">
            <v>1</v>
          </cell>
          <cell r="D477">
            <v>0</v>
          </cell>
          <cell r="E477">
            <v>1</v>
          </cell>
          <cell r="F477">
            <v>0</v>
          </cell>
        </row>
        <row r="478">
          <cell r="A478" t="str">
            <v>CS-CA170-W902-XL</v>
          </cell>
          <cell r="B478" t="str">
            <v>CS-CA170</v>
          </cell>
          <cell r="C478">
            <v>4</v>
          </cell>
          <cell r="D478">
            <v>0</v>
          </cell>
          <cell r="E478">
            <v>1</v>
          </cell>
          <cell r="F478">
            <v>0</v>
          </cell>
        </row>
        <row r="479">
          <cell r="A479" t="str">
            <v>CS-CA181-LG907-L</v>
          </cell>
          <cell r="B479" t="str">
            <v>CS-CA181</v>
          </cell>
          <cell r="C479">
            <v>2</v>
          </cell>
          <cell r="D479">
            <v>0</v>
          </cell>
          <cell r="E479">
            <v>2</v>
          </cell>
          <cell r="F479">
            <v>0</v>
          </cell>
        </row>
        <row r="480">
          <cell r="A480" t="str">
            <v>CS-CA170-LB916-XL</v>
          </cell>
          <cell r="B480" t="str">
            <v>CS-CA170</v>
          </cell>
          <cell r="C480">
            <v>1</v>
          </cell>
          <cell r="D480">
            <v>1</v>
          </cell>
          <cell r="E480">
            <v>1</v>
          </cell>
          <cell r="F480">
            <v>0</v>
          </cell>
        </row>
        <row r="481">
          <cell r="A481" t="str">
            <v>CS-CA170-LG907-L</v>
          </cell>
          <cell r="B481" t="str">
            <v>CS-CA170</v>
          </cell>
          <cell r="C481">
            <v>1</v>
          </cell>
          <cell r="D481">
            <v>1</v>
          </cell>
          <cell r="E481">
            <v>2</v>
          </cell>
          <cell r="F481">
            <v>0</v>
          </cell>
        </row>
        <row r="482">
          <cell r="A482" t="str">
            <v>CS-SB030-BL-XL</v>
          </cell>
          <cell r="B482" t="str">
            <v>CS-SB030</v>
          </cell>
          <cell r="C482">
            <v>0</v>
          </cell>
          <cell r="D482">
            <v>0</v>
          </cell>
          <cell r="E482">
            <v>2</v>
          </cell>
          <cell r="F482">
            <v>0</v>
          </cell>
        </row>
        <row r="483">
          <cell r="A483" t="str">
            <v>CS-LY171-LG907-M</v>
          </cell>
          <cell r="B483" t="str">
            <v>CS-LY171</v>
          </cell>
          <cell r="C483">
            <v>4</v>
          </cell>
          <cell r="D483">
            <v>1</v>
          </cell>
          <cell r="E483">
            <v>19</v>
          </cell>
          <cell r="F483">
            <v>0</v>
          </cell>
        </row>
        <row r="484">
          <cell r="A484" t="str">
            <v>CS-SB009-LB-S</v>
          </cell>
          <cell r="B484" t="str">
            <v>CS-SB009</v>
          </cell>
          <cell r="C484">
            <v>1</v>
          </cell>
          <cell r="D484">
            <v>2</v>
          </cell>
          <cell r="E484">
            <v>2</v>
          </cell>
          <cell r="F484">
            <v>0</v>
          </cell>
        </row>
        <row r="485">
          <cell r="A485" t="str">
            <v>CS-SB030-GR-S</v>
          </cell>
          <cell r="B485" t="str">
            <v>CS-SB030</v>
          </cell>
          <cell r="C485">
            <v>1</v>
          </cell>
          <cell r="D485">
            <v>0</v>
          </cell>
          <cell r="E485">
            <v>3</v>
          </cell>
          <cell r="F485">
            <v>0</v>
          </cell>
        </row>
        <row r="486">
          <cell r="A486" t="str">
            <v>CS-LY181-ZL918-L</v>
          </cell>
          <cell r="B486" t="str">
            <v>CS-LY181</v>
          </cell>
          <cell r="C486">
            <v>0</v>
          </cell>
          <cell r="D486">
            <v>0</v>
          </cell>
          <cell r="E486">
            <v>4</v>
          </cell>
          <cell r="F486">
            <v>0</v>
          </cell>
        </row>
        <row r="487">
          <cell r="A487" t="str">
            <v>MY-SB026-NY-XL</v>
          </cell>
          <cell r="B487" t="str">
            <v>MY-SB026</v>
          </cell>
          <cell r="C487">
            <v>2</v>
          </cell>
          <cell r="D487">
            <v>2</v>
          </cell>
          <cell r="E487">
            <v>1</v>
          </cell>
          <cell r="F487">
            <v>0</v>
          </cell>
        </row>
        <row r="488">
          <cell r="A488" t="str">
            <v>CS-LY171-LG907-L</v>
          </cell>
          <cell r="B488" t="str">
            <v>CS-LY171</v>
          </cell>
          <cell r="C488">
            <v>1</v>
          </cell>
          <cell r="D488">
            <v>0</v>
          </cell>
          <cell r="E488">
            <v>1</v>
          </cell>
          <cell r="F488">
            <v>0</v>
          </cell>
        </row>
        <row r="489">
          <cell r="A489" t="str">
            <v>CS-SB171-W902-XL</v>
          </cell>
          <cell r="B489" t="str">
            <v>CS-SB171</v>
          </cell>
          <cell r="C489">
            <v>2</v>
          </cell>
          <cell r="D489">
            <v>5</v>
          </cell>
          <cell r="E489">
            <v>4</v>
          </cell>
          <cell r="F489">
            <v>0</v>
          </cell>
        </row>
        <row r="490">
          <cell r="A490" t="str">
            <v>CS-SB005-YL-L</v>
          </cell>
          <cell r="B490" t="str">
            <v>CS-SB005</v>
          </cell>
          <cell r="C490">
            <v>3</v>
          </cell>
          <cell r="D490">
            <v>2</v>
          </cell>
          <cell r="E490">
            <v>2</v>
          </cell>
          <cell r="F490">
            <v>0</v>
          </cell>
        </row>
        <row r="491">
          <cell r="A491" t="str">
            <v>CS-LHY170-WR917-XL</v>
          </cell>
          <cell r="B491" t="str">
            <v>CS-LHY170</v>
          </cell>
          <cell r="C491">
            <v>29</v>
          </cell>
          <cell r="D491">
            <v>8</v>
          </cell>
          <cell r="E491">
            <v>35</v>
          </cell>
          <cell r="F491">
            <v>0</v>
          </cell>
        </row>
        <row r="492">
          <cell r="A492" t="str">
            <v>CS-LY181-G912-XXL</v>
          </cell>
          <cell r="B492" t="str">
            <v>CS-LY181</v>
          </cell>
          <cell r="C492">
            <v>1</v>
          </cell>
          <cell r="D492">
            <v>2</v>
          </cell>
          <cell r="E492">
            <v>2</v>
          </cell>
          <cell r="F492">
            <v>0</v>
          </cell>
        </row>
        <row r="493">
          <cell r="A493" t="str">
            <v>CS-BS016-NB-L</v>
          </cell>
          <cell r="B493" t="str">
            <v>CS-BS016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</row>
        <row r="494">
          <cell r="A494" t="str">
            <v>CS-LHY170X-LB916-XXL</v>
          </cell>
          <cell r="B494" t="str">
            <v>CS-LHY170</v>
          </cell>
          <cell r="C494">
            <v>6</v>
          </cell>
          <cell r="D494">
            <v>5</v>
          </cell>
          <cell r="E494">
            <v>2</v>
          </cell>
          <cell r="F494">
            <v>0</v>
          </cell>
        </row>
        <row r="495">
          <cell r="A495" t="str">
            <v>CS-LY085-ZL918-M</v>
          </cell>
          <cell r="B495" t="str">
            <v>CS-LY085</v>
          </cell>
          <cell r="C495">
            <v>1</v>
          </cell>
          <cell r="D495">
            <v>3</v>
          </cell>
          <cell r="E495">
            <v>1</v>
          </cell>
          <cell r="F495">
            <v>0</v>
          </cell>
        </row>
        <row r="496">
          <cell r="A496" t="str">
            <v>CS-SB084-H15-XXL</v>
          </cell>
          <cell r="B496" t="str">
            <v>CS-SB084</v>
          </cell>
          <cell r="C496">
            <v>1</v>
          </cell>
          <cell r="D496">
            <v>1</v>
          </cell>
          <cell r="E496">
            <v>2</v>
          </cell>
          <cell r="F496">
            <v>0</v>
          </cell>
        </row>
        <row r="497">
          <cell r="A497" t="str">
            <v>CS-LY181-Sa911-XXL</v>
          </cell>
          <cell r="B497" t="str">
            <v>CS-LY181</v>
          </cell>
          <cell r="C497">
            <v>0</v>
          </cell>
          <cell r="D497">
            <v>1</v>
          </cell>
          <cell r="E497">
            <v>1</v>
          </cell>
          <cell r="F497">
            <v>0</v>
          </cell>
        </row>
        <row r="498">
          <cell r="A498" t="str">
            <v>CS-BBS006-GN-L</v>
          </cell>
          <cell r="B498" t="str">
            <v>CS-BS006</v>
          </cell>
          <cell r="C498">
            <v>0</v>
          </cell>
          <cell r="D498">
            <v>0</v>
          </cell>
          <cell r="E498">
            <v>2</v>
          </cell>
          <cell r="F498">
            <v>0</v>
          </cell>
        </row>
        <row r="499">
          <cell r="A499" t="str">
            <v>MY-LYPoint021-NY-L</v>
          </cell>
          <cell r="B499" t="str">
            <v>MY-LYPoint021</v>
          </cell>
          <cell r="C499">
            <v>0</v>
          </cell>
          <cell r="D499">
            <v>0</v>
          </cell>
          <cell r="E499">
            <v>2</v>
          </cell>
          <cell r="F499">
            <v>0</v>
          </cell>
        </row>
        <row r="500">
          <cell r="A500" t="str">
            <v>MY-LYPoint021-WR-M</v>
          </cell>
          <cell r="B500" t="str">
            <v>MY-LYPoint021</v>
          </cell>
          <cell r="C500">
            <v>4</v>
          </cell>
          <cell r="D500">
            <v>1</v>
          </cell>
          <cell r="E500">
            <v>1</v>
          </cell>
          <cell r="F500">
            <v>0</v>
          </cell>
        </row>
        <row r="501">
          <cell r="A501" t="str">
            <v>MY-LYPoint021-NY-M</v>
          </cell>
          <cell r="B501" t="str">
            <v>MY-LYPoint021</v>
          </cell>
          <cell r="C501">
            <v>1</v>
          </cell>
          <cell r="D501">
            <v>3</v>
          </cell>
          <cell r="E501">
            <v>3</v>
          </cell>
          <cell r="F501">
            <v>0</v>
          </cell>
        </row>
        <row r="502">
          <cell r="A502" t="str">
            <v>MY-LYPoint021-WR-L</v>
          </cell>
          <cell r="B502" t="str">
            <v>MY-LYPoint021</v>
          </cell>
          <cell r="C502">
            <v>0</v>
          </cell>
          <cell r="D502">
            <v>0</v>
          </cell>
          <cell r="E502">
            <v>1</v>
          </cell>
          <cell r="F502">
            <v>0</v>
          </cell>
        </row>
        <row r="503">
          <cell r="A503" t="str">
            <v>MY-LYRound020-K0-L</v>
          </cell>
          <cell r="B503" t="str">
            <v>MY-LYRound020</v>
          </cell>
          <cell r="C503">
            <v>2</v>
          </cell>
          <cell r="D503">
            <v>2</v>
          </cell>
          <cell r="E503">
            <v>3</v>
          </cell>
          <cell r="F503">
            <v>0</v>
          </cell>
        </row>
        <row r="504">
          <cell r="A504" t="str">
            <v>MY-LYRound020-K0-XL</v>
          </cell>
          <cell r="B504" t="str">
            <v>MY-LYRound020</v>
          </cell>
          <cell r="C504">
            <v>1</v>
          </cell>
          <cell r="D504">
            <v>0</v>
          </cell>
          <cell r="E504">
            <v>2</v>
          </cell>
          <cell r="F504">
            <v>0</v>
          </cell>
        </row>
        <row r="505">
          <cell r="A505" t="str">
            <v>CS-LHY032-BL-M</v>
          </cell>
          <cell r="B505" t="str">
            <v>CS-LHY032</v>
          </cell>
          <cell r="C505">
            <v>2</v>
          </cell>
          <cell r="D505">
            <v>2</v>
          </cell>
          <cell r="E505">
            <v>2</v>
          </cell>
          <cell r="F505">
            <v>0</v>
          </cell>
        </row>
        <row r="506">
          <cell r="A506" t="str">
            <v>CS-LY084-H12-XXL</v>
          </cell>
          <cell r="B506" t="str">
            <v>CS-LY084</v>
          </cell>
          <cell r="C506">
            <v>1</v>
          </cell>
          <cell r="D506">
            <v>2</v>
          </cell>
          <cell r="E506">
            <v>6</v>
          </cell>
          <cell r="F506">
            <v>0</v>
          </cell>
        </row>
        <row r="507">
          <cell r="A507" t="str">
            <v>CS-SB002-CF-M</v>
          </cell>
          <cell r="B507" t="str">
            <v>CS-SB002</v>
          </cell>
          <cell r="C507">
            <v>1</v>
          </cell>
          <cell r="D507">
            <v>0</v>
          </cell>
          <cell r="E507">
            <v>1</v>
          </cell>
          <cell r="F507">
            <v>0</v>
          </cell>
        </row>
        <row r="508">
          <cell r="A508" t="str">
            <v>CS-LY085-W902-M</v>
          </cell>
          <cell r="B508" t="str">
            <v>CS-LY085</v>
          </cell>
          <cell r="C508">
            <v>0</v>
          </cell>
          <cell r="D508">
            <v>1</v>
          </cell>
          <cell r="E508">
            <v>6</v>
          </cell>
          <cell r="F508">
            <v>0</v>
          </cell>
        </row>
        <row r="509">
          <cell r="A509" t="str">
            <v>CS-LY181-LB916-L</v>
          </cell>
          <cell r="B509" t="str">
            <v>CS-LY181</v>
          </cell>
          <cell r="C509">
            <v>2</v>
          </cell>
          <cell r="D509">
            <v>2</v>
          </cell>
          <cell r="E509">
            <v>2</v>
          </cell>
          <cell r="F509">
            <v>0</v>
          </cell>
        </row>
        <row r="510">
          <cell r="A510" t="str">
            <v>CS-LY166-B28-4-S</v>
          </cell>
          <cell r="B510" t="str">
            <v>CS-LY166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</row>
        <row r="511">
          <cell r="A511" t="str">
            <v>CS-LHY170-LB916-XL</v>
          </cell>
          <cell r="B511" t="str">
            <v>CS-LHY170</v>
          </cell>
          <cell r="C511">
            <v>3</v>
          </cell>
          <cell r="D511">
            <v>14</v>
          </cell>
          <cell r="E511">
            <v>4</v>
          </cell>
          <cell r="F511">
            <v>0</v>
          </cell>
        </row>
        <row r="512">
          <cell r="A512" t="str">
            <v>CS-SB005-BK-2XL</v>
          </cell>
          <cell r="B512" t="str">
            <v>CS-SB005</v>
          </cell>
          <cell r="C512">
            <v>1</v>
          </cell>
          <cell r="D512">
            <v>0</v>
          </cell>
          <cell r="E512">
            <v>1</v>
          </cell>
          <cell r="F512">
            <v>0</v>
          </cell>
        </row>
        <row r="513">
          <cell r="A513" t="str">
            <v>CS-LHY032-BL-XL</v>
          </cell>
          <cell r="B513" t="str">
            <v>CS-LHY032</v>
          </cell>
          <cell r="C513">
            <v>0</v>
          </cell>
          <cell r="D513">
            <v>1</v>
          </cell>
          <cell r="E513">
            <v>2</v>
          </cell>
          <cell r="F513">
            <v>0</v>
          </cell>
        </row>
        <row r="514">
          <cell r="A514" t="str">
            <v>CS-LY084-H1-M</v>
          </cell>
          <cell r="B514" t="str">
            <v>CS-LY084</v>
          </cell>
          <cell r="C514">
            <v>1</v>
          </cell>
          <cell r="D514">
            <v>0</v>
          </cell>
          <cell r="E514">
            <v>1</v>
          </cell>
          <cell r="F514">
            <v>0</v>
          </cell>
        </row>
        <row r="515">
          <cell r="A515" t="str">
            <v>CS-LY085-PI908-L</v>
          </cell>
          <cell r="B515" t="str">
            <v>CS-LY085</v>
          </cell>
          <cell r="C515">
            <v>4</v>
          </cell>
          <cell r="D515">
            <v>2</v>
          </cell>
          <cell r="E515">
            <v>2</v>
          </cell>
          <cell r="F515">
            <v>0</v>
          </cell>
        </row>
        <row r="516">
          <cell r="A516" t="str">
            <v>CS-SB005-RD-M</v>
          </cell>
          <cell r="B516" t="str">
            <v>CS-SB005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CS-BS016-BK-M</v>
          </cell>
          <cell r="B517" t="str">
            <v>CS-BS016</v>
          </cell>
          <cell r="C517">
            <v>0</v>
          </cell>
          <cell r="D517">
            <v>0</v>
          </cell>
          <cell r="E517">
            <v>1</v>
          </cell>
          <cell r="F517">
            <v>0</v>
          </cell>
        </row>
        <row r="518">
          <cell r="A518" t="str">
            <v>MY-BS027-DG-XL</v>
          </cell>
          <cell r="B518" t="str">
            <v>MY-BS027</v>
          </cell>
          <cell r="C518">
            <v>1</v>
          </cell>
          <cell r="D518">
            <v>0</v>
          </cell>
          <cell r="E518">
            <v>1</v>
          </cell>
          <cell r="F518">
            <v>0</v>
          </cell>
        </row>
        <row r="519">
          <cell r="A519" t="str">
            <v>CS-SB009-CF-XL</v>
          </cell>
          <cell r="B519" t="str">
            <v>CS-SB009</v>
          </cell>
          <cell r="C519">
            <v>3</v>
          </cell>
          <cell r="D519">
            <v>2</v>
          </cell>
          <cell r="E519">
            <v>1</v>
          </cell>
          <cell r="F519">
            <v>0</v>
          </cell>
        </row>
        <row r="520">
          <cell r="A520" t="str">
            <v>CS-SB166-B28-5-S</v>
          </cell>
          <cell r="B520" t="str">
            <v>CS-SB166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</row>
        <row r="521">
          <cell r="A521" t="str">
            <v>CS-SB007-LG-XXL</v>
          </cell>
          <cell r="B521" t="str">
            <v>CS-SB007</v>
          </cell>
          <cell r="C521">
            <v>0</v>
          </cell>
          <cell r="D521">
            <v>1</v>
          </cell>
          <cell r="E521">
            <v>1</v>
          </cell>
          <cell r="F521">
            <v>0</v>
          </cell>
        </row>
        <row r="522">
          <cell r="A522" t="str">
            <v>CS-BUSB032-GN2-XXL</v>
          </cell>
          <cell r="B522" t="str">
            <v>CS-BUSB032</v>
          </cell>
          <cell r="C522">
            <v>2</v>
          </cell>
          <cell r="D522">
            <v>0</v>
          </cell>
          <cell r="E522">
            <v>1</v>
          </cell>
          <cell r="F522">
            <v>0</v>
          </cell>
        </row>
        <row r="523">
          <cell r="A523" t="str">
            <v>MY-SB018-LG-M</v>
          </cell>
          <cell r="B523" t="str">
            <v>MY-SB018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CS-SB030-NY-S</v>
          </cell>
          <cell r="B524" t="str">
            <v>CS-SB030</v>
          </cell>
          <cell r="C524">
            <v>1</v>
          </cell>
          <cell r="D524">
            <v>0</v>
          </cell>
          <cell r="E524">
            <v>3</v>
          </cell>
          <cell r="F524">
            <v>0</v>
          </cell>
        </row>
        <row r="525">
          <cell r="A525" t="str">
            <v>CS-SB170-LB916-XXL</v>
          </cell>
          <cell r="B525" t="str">
            <v>CS-SB170</v>
          </cell>
          <cell r="C525">
            <v>0</v>
          </cell>
          <cell r="D525">
            <v>0</v>
          </cell>
          <cell r="E525">
            <v>1</v>
          </cell>
          <cell r="F525">
            <v>0</v>
          </cell>
        </row>
        <row r="526">
          <cell r="A526" t="str">
            <v>MY-LYPoint021-KQ-S</v>
          </cell>
          <cell r="B526" t="str">
            <v>MY-LYPoint021</v>
          </cell>
          <cell r="C526">
            <v>1</v>
          </cell>
          <cell r="D526">
            <v>0</v>
          </cell>
          <cell r="E526">
            <v>1</v>
          </cell>
          <cell r="F526">
            <v>0</v>
          </cell>
        </row>
        <row r="527">
          <cell r="A527" t="str">
            <v>MY-SBRound020-NY-S</v>
          </cell>
          <cell r="B527" t="str">
            <v>MY-SBRound020</v>
          </cell>
          <cell r="C527">
            <v>1</v>
          </cell>
          <cell r="D527">
            <v>0</v>
          </cell>
          <cell r="E527">
            <v>1</v>
          </cell>
          <cell r="F527">
            <v>0</v>
          </cell>
        </row>
        <row r="528">
          <cell r="A528" t="str">
            <v>CS-LY181-LB916-M</v>
          </cell>
          <cell r="B528" t="str">
            <v>CS-LY181</v>
          </cell>
          <cell r="C528">
            <v>1</v>
          </cell>
          <cell r="D528">
            <v>1</v>
          </cell>
          <cell r="E528">
            <v>3</v>
          </cell>
          <cell r="F528">
            <v>0</v>
          </cell>
        </row>
        <row r="529">
          <cell r="A529" t="str">
            <v>CS-BUSB032-YL-XL</v>
          </cell>
          <cell r="B529" t="str">
            <v>CS-BUSB032</v>
          </cell>
          <cell r="C529">
            <v>0</v>
          </cell>
          <cell r="D529">
            <v>0</v>
          </cell>
          <cell r="E529">
            <v>2</v>
          </cell>
          <cell r="F529">
            <v>0</v>
          </cell>
        </row>
        <row r="530">
          <cell r="A530" t="str">
            <v>CS-SB010-WT-7</v>
          </cell>
          <cell r="B530" t="str">
            <v>CS-SB010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MY-SB011-BL-M</v>
          </cell>
          <cell r="B531" t="str">
            <v>MY-SB011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CS-CA181-WR917-L</v>
          </cell>
          <cell r="B532" t="str">
            <v>CS-CA181</v>
          </cell>
          <cell r="C532">
            <v>0</v>
          </cell>
          <cell r="D532">
            <v>0</v>
          </cell>
          <cell r="E532">
            <v>1</v>
          </cell>
          <cell r="F532">
            <v>0</v>
          </cell>
        </row>
        <row r="533">
          <cell r="A533" t="str">
            <v>CS-CA181-LG907-M</v>
          </cell>
          <cell r="B533" t="str">
            <v>CS-CA181</v>
          </cell>
          <cell r="C533">
            <v>1</v>
          </cell>
          <cell r="D533">
            <v>0</v>
          </cell>
          <cell r="E533">
            <v>1</v>
          </cell>
          <cell r="F533">
            <v>0</v>
          </cell>
        </row>
        <row r="534">
          <cell r="A534" t="str">
            <v>CS-CA181-LG907-S</v>
          </cell>
          <cell r="B534" t="str">
            <v>CS-CA181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</row>
        <row r="535">
          <cell r="A535" t="str">
            <v>CA084-H16-XXL</v>
          </cell>
          <cell r="B535" t="str">
            <v>CA084</v>
          </cell>
          <cell r="C535">
            <v>1</v>
          </cell>
          <cell r="D535">
            <v>0</v>
          </cell>
          <cell r="E535">
            <v>1</v>
          </cell>
          <cell r="F535">
            <v>0</v>
          </cell>
        </row>
        <row r="536">
          <cell r="A536" t="str">
            <v>CS-CA181-W902-L</v>
          </cell>
          <cell r="B536" t="str">
            <v>CS-CA181</v>
          </cell>
          <cell r="C536">
            <v>0</v>
          </cell>
          <cell r="D536">
            <v>0</v>
          </cell>
          <cell r="E536">
            <v>1</v>
          </cell>
          <cell r="F536">
            <v>0</v>
          </cell>
        </row>
        <row r="537">
          <cell r="A537" t="str">
            <v>CS-SB170-ZL918-XXL</v>
          </cell>
          <cell r="B537" t="str">
            <v>CS-SB170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</row>
        <row r="538">
          <cell r="A538" t="str">
            <v>MY-SB027-GN-S</v>
          </cell>
          <cell r="B538" t="str">
            <v>MY-SB027</v>
          </cell>
          <cell r="C538">
            <v>1</v>
          </cell>
          <cell r="D538">
            <v>0</v>
          </cell>
          <cell r="E538">
            <v>1</v>
          </cell>
          <cell r="F538">
            <v>0</v>
          </cell>
        </row>
        <row r="539">
          <cell r="A539" t="str">
            <v>CS-SB171-W902-S</v>
          </cell>
          <cell r="B539" t="str">
            <v>CS-SB171</v>
          </cell>
          <cell r="C539">
            <v>1</v>
          </cell>
          <cell r="D539">
            <v>2</v>
          </cell>
          <cell r="E539">
            <v>1</v>
          </cell>
          <cell r="F539">
            <v>0</v>
          </cell>
        </row>
        <row r="540">
          <cell r="A540" t="str">
            <v>CS-SB181-G912-M</v>
          </cell>
          <cell r="B540" t="str">
            <v>CS-SB181</v>
          </cell>
          <cell r="C540">
            <v>0</v>
          </cell>
          <cell r="D540">
            <v>1</v>
          </cell>
          <cell r="E540">
            <v>1</v>
          </cell>
          <cell r="F540">
            <v>0</v>
          </cell>
        </row>
        <row r="541">
          <cell r="A541" t="str">
            <v>CS-LY085-PI908-M</v>
          </cell>
          <cell r="B541" t="str">
            <v>CS-LY085</v>
          </cell>
          <cell r="C541">
            <v>0</v>
          </cell>
          <cell r="D541">
            <v>2</v>
          </cell>
          <cell r="E541">
            <v>2</v>
          </cell>
          <cell r="F541">
            <v>0</v>
          </cell>
        </row>
        <row r="542">
          <cell r="A542" t="str">
            <v>CS-LY085-Sa911-L</v>
          </cell>
          <cell r="B542" t="str">
            <v>CS-LY085</v>
          </cell>
          <cell r="C542">
            <v>2</v>
          </cell>
          <cell r="D542">
            <v>2</v>
          </cell>
          <cell r="E542">
            <v>1</v>
          </cell>
          <cell r="F542">
            <v>0</v>
          </cell>
        </row>
        <row r="543">
          <cell r="A543" t="str">
            <v>MY-LYPoint021-NY-XL</v>
          </cell>
          <cell r="B543" t="str">
            <v>MY-LYPoint021</v>
          </cell>
          <cell r="C543">
            <v>3</v>
          </cell>
          <cell r="D543">
            <v>0</v>
          </cell>
          <cell r="E543">
            <v>3</v>
          </cell>
          <cell r="F543">
            <v>0</v>
          </cell>
        </row>
        <row r="544">
          <cell r="A544" t="str">
            <v>MY-SB027-KK-S</v>
          </cell>
          <cell r="B544" t="str">
            <v>MY-SB027</v>
          </cell>
          <cell r="C544">
            <v>0</v>
          </cell>
          <cell r="D544">
            <v>1</v>
          </cell>
          <cell r="E544">
            <v>1</v>
          </cell>
          <cell r="F544">
            <v>0</v>
          </cell>
        </row>
        <row r="545">
          <cell r="A545" t="str">
            <v>CS-LHY170-Sa911-XXL</v>
          </cell>
          <cell r="B545" t="str">
            <v>CS-LHY170</v>
          </cell>
          <cell r="C545">
            <v>13</v>
          </cell>
          <cell r="D545">
            <v>9</v>
          </cell>
          <cell r="E545">
            <v>3</v>
          </cell>
          <cell r="F545">
            <v>0</v>
          </cell>
        </row>
        <row r="546">
          <cell r="A546" t="str">
            <v>MY-SB026-RD-M</v>
          </cell>
          <cell r="B546" t="str">
            <v>MY-SB026</v>
          </cell>
          <cell r="C546">
            <v>1</v>
          </cell>
          <cell r="D546">
            <v>2</v>
          </cell>
          <cell r="E546">
            <v>7</v>
          </cell>
          <cell r="F546">
            <v>0</v>
          </cell>
        </row>
        <row r="547">
          <cell r="A547" t="str">
            <v>MY-LYPoint021-DG-L</v>
          </cell>
          <cell r="B547" t="str">
            <v>MY-LYPoint021</v>
          </cell>
          <cell r="C547">
            <v>1</v>
          </cell>
          <cell r="D547">
            <v>1</v>
          </cell>
          <cell r="E547">
            <v>2</v>
          </cell>
          <cell r="F547">
            <v>0</v>
          </cell>
        </row>
        <row r="548">
          <cell r="A548" t="str">
            <v>CS-SB030-YL-XXL</v>
          </cell>
          <cell r="B548" t="str">
            <v>CS-SB030</v>
          </cell>
          <cell r="C548">
            <v>1</v>
          </cell>
          <cell r="D548">
            <v>2</v>
          </cell>
          <cell r="E548">
            <v>4</v>
          </cell>
          <cell r="F548">
            <v>0</v>
          </cell>
        </row>
        <row r="549">
          <cell r="A549" t="str">
            <v>CS-BUSB031-RD1-XL</v>
          </cell>
          <cell r="B549" t="str">
            <v>CS-BUSB031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CS-BUSB031-RD2-XL</v>
          </cell>
          <cell r="B550" t="str">
            <v>CS-BUSB031</v>
          </cell>
          <cell r="C550">
            <v>0</v>
          </cell>
          <cell r="D550">
            <v>1</v>
          </cell>
          <cell r="E550">
            <v>1</v>
          </cell>
          <cell r="F550">
            <v>0</v>
          </cell>
        </row>
        <row r="551">
          <cell r="A551" t="str">
            <v>CS-SB006-RD2-L</v>
          </cell>
          <cell r="B551" t="str">
            <v>CS-SB006</v>
          </cell>
          <cell r="C551">
            <v>0</v>
          </cell>
          <cell r="D551">
            <v>0</v>
          </cell>
          <cell r="E551">
            <v>3</v>
          </cell>
          <cell r="F551">
            <v>0</v>
          </cell>
        </row>
        <row r="552">
          <cell r="A552" t="str">
            <v>CS-BS016-LB-XXL</v>
          </cell>
          <cell r="B552" t="str">
            <v>CS-BS016</v>
          </cell>
          <cell r="C552">
            <v>0</v>
          </cell>
          <cell r="D552">
            <v>0</v>
          </cell>
          <cell r="E552">
            <v>2</v>
          </cell>
          <cell r="F552">
            <v>0</v>
          </cell>
        </row>
        <row r="553">
          <cell r="A553" t="str">
            <v>MY-LYPoint021-DG-XL</v>
          </cell>
          <cell r="B553" t="str">
            <v>MY-LYPoint021</v>
          </cell>
          <cell r="C553">
            <v>2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DK-LY-K157-KQ-42</v>
          </cell>
          <cell r="B554" t="str">
            <v>DK-LY-K157</v>
          </cell>
          <cell r="C554">
            <v>0</v>
          </cell>
          <cell r="D554">
            <v>0</v>
          </cell>
          <cell r="E554">
            <v>1</v>
          </cell>
          <cell r="F554">
            <v>0</v>
          </cell>
        </row>
        <row r="555">
          <cell r="A555" t="str">
            <v>CS-LY085-LG907-S</v>
          </cell>
          <cell r="B555" t="str">
            <v>CS-LY085</v>
          </cell>
          <cell r="C555">
            <v>3</v>
          </cell>
          <cell r="D555">
            <v>3</v>
          </cell>
          <cell r="E555">
            <v>1</v>
          </cell>
          <cell r="F555">
            <v>0</v>
          </cell>
        </row>
        <row r="556">
          <cell r="A556" t="str">
            <v>CS-LY086-N0-XXL</v>
          </cell>
          <cell r="B556" t="str">
            <v>CS-LY086</v>
          </cell>
          <cell r="C556">
            <v>5</v>
          </cell>
          <cell r="D556">
            <v>0</v>
          </cell>
          <cell r="E556">
            <v>2</v>
          </cell>
          <cell r="F556">
            <v>0</v>
          </cell>
        </row>
        <row r="557">
          <cell r="A557" t="str">
            <v>POLO-1503-BK-XL</v>
          </cell>
          <cell r="B557" t="str">
            <v>POLO-1503</v>
          </cell>
          <cell r="C557">
            <v>1</v>
          </cell>
          <cell r="D557">
            <v>0</v>
          </cell>
          <cell r="E557">
            <v>2</v>
          </cell>
          <cell r="F557">
            <v>0</v>
          </cell>
        </row>
        <row r="558">
          <cell r="A558" t="str">
            <v>MY-LYRound020-LB-M</v>
          </cell>
          <cell r="B558" t="str">
            <v>MY-LYRound020</v>
          </cell>
          <cell r="C558">
            <v>1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CS-LY084-H3-M</v>
          </cell>
          <cell r="B559" t="str">
            <v>CS-LY084</v>
          </cell>
          <cell r="C559">
            <v>0</v>
          </cell>
          <cell r="D559">
            <v>1</v>
          </cell>
          <cell r="E559">
            <v>0</v>
          </cell>
          <cell r="F559">
            <v>0</v>
          </cell>
        </row>
        <row r="560">
          <cell r="A560" t="str">
            <v>CS-LY171-LB916-S</v>
          </cell>
          <cell r="B560" t="str">
            <v>CS-LY171</v>
          </cell>
          <cell r="C560">
            <v>0</v>
          </cell>
          <cell r="D560">
            <v>0</v>
          </cell>
          <cell r="E560">
            <v>13</v>
          </cell>
          <cell r="F560">
            <v>0</v>
          </cell>
        </row>
        <row r="561">
          <cell r="A561" t="str">
            <v>CS-SB007-BL-L</v>
          </cell>
          <cell r="B561" t="str">
            <v>CS-SB007</v>
          </cell>
          <cell r="C561">
            <v>1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CS-BUSB032-YL-S</v>
          </cell>
          <cell r="B562" t="str">
            <v>CS-BUSB032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CS-SB002-CF-L</v>
          </cell>
          <cell r="B563" t="str">
            <v>CS-SB002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</row>
        <row r="564">
          <cell r="A564" t="str">
            <v>CS-SB016-LB-S</v>
          </cell>
          <cell r="B564" t="str">
            <v>CS-SB016</v>
          </cell>
          <cell r="C564">
            <v>0</v>
          </cell>
          <cell r="D564">
            <v>1</v>
          </cell>
          <cell r="E564">
            <v>1</v>
          </cell>
          <cell r="F564">
            <v>0</v>
          </cell>
        </row>
        <row r="565">
          <cell r="A565" t="str">
            <v>CS-LY084-H3-S</v>
          </cell>
          <cell r="B565" t="str">
            <v>CS-LY084</v>
          </cell>
          <cell r="C565">
            <v>1</v>
          </cell>
          <cell r="D565">
            <v>0</v>
          </cell>
          <cell r="E565">
            <v>1</v>
          </cell>
          <cell r="F565">
            <v>0</v>
          </cell>
        </row>
        <row r="566">
          <cell r="A566" t="str">
            <v>CA171-LB916-M</v>
          </cell>
          <cell r="B566" t="str">
            <v>CA171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CS-CA170-LB916-M</v>
          </cell>
          <cell r="B567" t="str">
            <v>CS-CA170</v>
          </cell>
          <cell r="C567">
            <v>0</v>
          </cell>
          <cell r="D567">
            <v>0</v>
          </cell>
          <cell r="E567">
            <v>2</v>
          </cell>
          <cell r="F567">
            <v>0</v>
          </cell>
        </row>
        <row r="568">
          <cell r="A568" t="str">
            <v>CS-CA181-ZL918-M</v>
          </cell>
          <cell r="B568" t="str">
            <v>CS-CA181</v>
          </cell>
          <cell r="C568">
            <v>1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MY-SB011JR-BK-L</v>
          </cell>
          <cell r="B569" t="str">
            <v>MY-SB011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MY-SB011JR-CF-L</v>
          </cell>
          <cell r="B570" t="str">
            <v>MY-SB011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WQS-BN-1503-RO-XL</v>
          </cell>
          <cell r="B571" t="str">
            <v>WQS-BN-1503</v>
          </cell>
          <cell r="C571">
            <v>0</v>
          </cell>
          <cell r="D571">
            <v>0</v>
          </cell>
          <cell r="E571">
            <v>2</v>
          </cell>
          <cell r="F571">
            <v>0</v>
          </cell>
        </row>
        <row r="572">
          <cell r="A572" t="str">
            <v>WQS-BN-1503-KO-S</v>
          </cell>
          <cell r="B572" t="str">
            <v>WQS-BN-1503</v>
          </cell>
          <cell r="C572">
            <v>0</v>
          </cell>
          <cell r="D572">
            <v>1</v>
          </cell>
          <cell r="E572">
            <v>2</v>
          </cell>
          <cell r="F572">
            <v>0</v>
          </cell>
        </row>
        <row r="573">
          <cell r="A573" t="str">
            <v>CS-SB016-NB-L</v>
          </cell>
          <cell r="B573" t="str">
            <v>CS-SB016</v>
          </cell>
          <cell r="C573">
            <v>0</v>
          </cell>
          <cell r="D573">
            <v>1</v>
          </cell>
          <cell r="E573">
            <v>1</v>
          </cell>
          <cell r="F573">
            <v>0</v>
          </cell>
        </row>
        <row r="574">
          <cell r="A574" t="str">
            <v>POLO-SB1503-NY-S</v>
          </cell>
          <cell r="B574" t="str">
            <v>POLO-SB1503</v>
          </cell>
          <cell r="C574">
            <v>1</v>
          </cell>
          <cell r="D574">
            <v>0</v>
          </cell>
          <cell r="E574">
            <v>2</v>
          </cell>
          <cell r="F574">
            <v>0</v>
          </cell>
        </row>
        <row r="575">
          <cell r="A575" t="str">
            <v>MY-LYPoint021-GN-M</v>
          </cell>
          <cell r="B575" t="str">
            <v>MY-LYPoint021</v>
          </cell>
          <cell r="C575">
            <v>1</v>
          </cell>
          <cell r="D575">
            <v>1</v>
          </cell>
          <cell r="E575">
            <v>1</v>
          </cell>
          <cell r="F575">
            <v>0</v>
          </cell>
        </row>
        <row r="576">
          <cell r="A576" t="str">
            <v>DK-LY-K518-KQ-38</v>
          </cell>
          <cell r="B576" t="str">
            <v>DK-LY-K518</v>
          </cell>
          <cell r="C576">
            <v>0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CS-BUSB032-RD-XXL</v>
          </cell>
          <cell r="B577" t="str">
            <v>CS-BUSB032</v>
          </cell>
          <cell r="C577">
            <v>2</v>
          </cell>
          <cell r="D577">
            <v>1</v>
          </cell>
          <cell r="E577">
            <v>1</v>
          </cell>
          <cell r="F577">
            <v>0</v>
          </cell>
        </row>
        <row r="578">
          <cell r="A578" t="str">
            <v>CS-LY171-PI908-S</v>
          </cell>
          <cell r="B578" t="str">
            <v>CS-LY171</v>
          </cell>
          <cell r="C578">
            <v>0</v>
          </cell>
          <cell r="D578">
            <v>2</v>
          </cell>
          <cell r="E578">
            <v>1</v>
          </cell>
          <cell r="F578">
            <v>0</v>
          </cell>
        </row>
        <row r="579">
          <cell r="A579" t="str">
            <v>CS-LY085-PI908-XL</v>
          </cell>
          <cell r="B579" t="str">
            <v>CS-LY085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</row>
        <row r="580">
          <cell r="A580" t="str">
            <v>DK-LY-K518-OR-42</v>
          </cell>
          <cell r="B580" t="str">
            <v>DK-LY-K518</v>
          </cell>
          <cell r="C580">
            <v>0</v>
          </cell>
          <cell r="D580">
            <v>0</v>
          </cell>
          <cell r="E580">
            <v>1</v>
          </cell>
          <cell r="F580">
            <v>0</v>
          </cell>
        </row>
        <row r="581">
          <cell r="A581" t="str">
            <v>CS-LHY170-PI908-L</v>
          </cell>
          <cell r="B581" t="str">
            <v>CS-LHY170</v>
          </cell>
          <cell r="C581">
            <v>0</v>
          </cell>
          <cell r="D581">
            <v>3</v>
          </cell>
          <cell r="E581">
            <v>2</v>
          </cell>
          <cell r="F581">
            <v>0</v>
          </cell>
        </row>
        <row r="582">
          <cell r="A582" t="str">
            <v>CS-SB005-GN-XL</v>
          </cell>
          <cell r="B582" t="str">
            <v>CS-SB005</v>
          </cell>
          <cell r="C582">
            <v>1</v>
          </cell>
          <cell r="D582">
            <v>1</v>
          </cell>
          <cell r="E582">
            <v>2</v>
          </cell>
          <cell r="F582">
            <v>0</v>
          </cell>
        </row>
        <row r="583">
          <cell r="A583" t="str">
            <v>CS-SB016-BK-XL</v>
          </cell>
          <cell r="B583" t="str">
            <v>CS-SB016</v>
          </cell>
          <cell r="C583">
            <v>0</v>
          </cell>
          <cell r="D583">
            <v>0</v>
          </cell>
          <cell r="E583">
            <v>1</v>
          </cell>
          <cell r="F583">
            <v>0</v>
          </cell>
        </row>
        <row r="584">
          <cell r="A584" t="str">
            <v>CS-BS016-LB-S</v>
          </cell>
          <cell r="B584" t="str">
            <v>CS-BS016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</row>
        <row r="585">
          <cell r="A585" t="str">
            <v>MY-SB027-BK-XL</v>
          </cell>
          <cell r="B585" t="str">
            <v>MY-SB027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</row>
        <row r="586">
          <cell r="A586" t="str">
            <v>CS-LHY032-GN1-S</v>
          </cell>
          <cell r="B586" t="str">
            <v>CS-LHY032</v>
          </cell>
          <cell r="C586">
            <v>3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CS-LY171-Sa911-L</v>
          </cell>
          <cell r="B587" t="str">
            <v>CS-LY171</v>
          </cell>
          <cell r="C587">
            <v>2</v>
          </cell>
          <cell r="D587">
            <v>1</v>
          </cell>
          <cell r="E587">
            <v>1</v>
          </cell>
          <cell r="F587">
            <v>0</v>
          </cell>
        </row>
        <row r="588">
          <cell r="A588" t="str">
            <v>CS-BUSB032-RD-M</v>
          </cell>
          <cell r="B588" t="str">
            <v>CS-BUSB032</v>
          </cell>
          <cell r="C588">
            <v>1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CS-BUSB031LHY-YL1-XL</v>
          </cell>
          <cell r="B589" t="str">
            <v>CS-BUSB031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WQS-BN-1503-RO-M</v>
          </cell>
          <cell r="B590" t="str">
            <v>WQS-BN-1503</v>
          </cell>
          <cell r="C590">
            <v>1</v>
          </cell>
          <cell r="D590">
            <v>2</v>
          </cell>
          <cell r="E590">
            <v>2</v>
          </cell>
          <cell r="F590">
            <v>0</v>
          </cell>
        </row>
        <row r="591">
          <cell r="A591" t="str">
            <v>CS-SB006-BL-M</v>
          </cell>
          <cell r="B591" t="str">
            <v>CS-SB006</v>
          </cell>
          <cell r="C591">
            <v>1</v>
          </cell>
          <cell r="D591">
            <v>2</v>
          </cell>
          <cell r="E591">
            <v>1</v>
          </cell>
          <cell r="F591">
            <v>0</v>
          </cell>
        </row>
        <row r="592">
          <cell r="A592" t="str">
            <v>MY-SB011-CF-L</v>
          </cell>
          <cell r="B592" t="str">
            <v>MY-SB011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</row>
        <row r="593">
          <cell r="A593" t="str">
            <v>CS-CA170-W902-XXL</v>
          </cell>
          <cell r="B593" t="str">
            <v>CS-CA170</v>
          </cell>
          <cell r="C593">
            <v>2</v>
          </cell>
          <cell r="D593">
            <v>1</v>
          </cell>
          <cell r="E593">
            <v>1</v>
          </cell>
          <cell r="F593">
            <v>0</v>
          </cell>
        </row>
        <row r="594">
          <cell r="A594" t="str">
            <v>CS-SB166-B28-3-L</v>
          </cell>
          <cell r="B594" t="str">
            <v>CS-SB166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</row>
        <row r="595">
          <cell r="A595" t="str">
            <v>CS-BUSB031-GN1-M</v>
          </cell>
          <cell r="B595" t="str">
            <v>CS-BUSB031</v>
          </cell>
          <cell r="C595">
            <v>0</v>
          </cell>
          <cell r="D595">
            <v>0</v>
          </cell>
          <cell r="E595">
            <v>1</v>
          </cell>
          <cell r="F595">
            <v>0</v>
          </cell>
        </row>
        <row r="596">
          <cell r="A596" t="str">
            <v>CS-BUSB031-GN1-XL</v>
          </cell>
          <cell r="B596" t="str">
            <v>CS-BUSB031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CS-LY084-H16-M</v>
          </cell>
          <cell r="B597" t="str">
            <v>CS-LY084</v>
          </cell>
          <cell r="C597">
            <v>2</v>
          </cell>
          <cell r="D597">
            <v>1</v>
          </cell>
          <cell r="E597">
            <v>2</v>
          </cell>
          <cell r="F597">
            <v>0</v>
          </cell>
        </row>
        <row r="598">
          <cell r="A598" t="str">
            <v>KZ-LHY001-WHT-XL</v>
          </cell>
          <cell r="B598" t="str">
            <v>KZ-LHY001</v>
          </cell>
          <cell r="C598">
            <v>6</v>
          </cell>
          <cell r="D598">
            <v>6</v>
          </cell>
          <cell r="E598">
            <v>1</v>
          </cell>
          <cell r="F598">
            <v>0</v>
          </cell>
        </row>
        <row r="599">
          <cell r="A599" t="str">
            <v>CS-SB007-LP-M</v>
          </cell>
          <cell r="B599" t="str">
            <v>CS-SB007</v>
          </cell>
          <cell r="C599">
            <v>0</v>
          </cell>
          <cell r="D599">
            <v>0</v>
          </cell>
          <cell r="E599">
            <v>4</v>
          </cell>
          <cell r="F599">
            <v>0</v>
          </cell>
        </row>
        <row r="600">
          <cell r="A600" t="str">
            <v>CS-SB007-LP-S</v>
          </cell>
          <cell r="B600" t="str">
            <v>CS-SB007</v>
          </cell>
          <cell r="C600">
            <v>0</v>
          </cell>
          <cell r="D600">
            <v>1</v>
          </cell>
          <cell r="E600">
            <v>6</v>
          </cell>
          <cell r="F600">
            <v>0</v>
          </cell>
        </row>
        <row r="601">
          <cell r="A601" t="str">
            <v>CS-LY084-H6-XXL</v>
          </cell>
          <cell r="B601" t="str">
            <v>CS-LY084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</row>
        <row r="602">
          <cell r="A602" t="str">
            <v>CS-SB171-PI908-M</v>
          </cell>
          <cell r="B602" t="str">
            <v>CS-SB171</v>
          </cell>
          <cell r="C602">
            <v>0</v>
          </cell>
          <cell r="D602">
            <v>0</v>
          </cell>
          <cell r="E602">
            <v>1</v>
          </cell>
          <cell r="F602">
            <v>0</v>
          </cell>
        </row>
        <row r="603">
          <cell r="A603" t="str">
            <v>CS-LY166-B28-1-M</v>
          </cell>
          <cell r="B603" t="str">
            <v>CS-LY166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CS-LY181-PI908-XL</v>
          </cell>
          <cell r="B604" t="str">
            <v>CS-LY181</v>
          </cell>
          <cell r="C604">
            <v>0</v>
          </cell>
          <cell r="D604">
            <v>1</v>
          </cell>
          <cell r="E604">
            <v>3</v>
          </cell>
          <cell r="F604">
            <v>0</v>
          </cell>
        </row>
        <row r="605">
          <cell r="A605" t="str">
            <v>CS-SB181-W902-XL</v>
          </cell>
          <cell r="B605" t="str">
            <v>CS-SB181</v>
          </cell>
          <cell r="C605">
            <v>4</v>
          </cell>
          <cell r="D605">
            <v>1</v>
          </cell>
          <cell r="E605">
            <v>2</v>
          </cell>
          <cell r="F605">
            <v>0</v>
          </cell>
        </row>
        <row r="606">
          <cell r="A606" t="str">
            <v>MY-SB019-RD-M</v>
          </cell>
          <cell r="B606" t="str">
            <v>MY-SB019</v>
          </cell>
          <cell r="C606">
            <v>0</v>
          </cell>
          <cell r="D606">
            <v>0</v>
          </cell>
          <cell r="E606">
            <v>1</v>
          </cell>
          <cell r="F606">
            <v>0</v>
          </cell>
        </row>
        <row r="607">
          <cell r="A607" t="str">
            <v>CS-LY085-LB916-L</v>
          </cell>
          <cell r="B607" t="str">
            <v>CS-LY085</v>
          </cell>
          <cell r="C607">
            <v>0</v>
          </cell>
          <cell r="D607">
            <v>2</v>
          </cell>
          <cell r="E607">
            <v>1</v>
          </cell>
          <cell r="F607">
            <v>0</v>
          </cell>
        </row>
        <row r="608">
          <cell r="A608" t="str">
            <v>CS-SB005-BL2-M</v>
          </cell>
          <cell r="B608" t="str">
            <v>CS-SB005</v>
          </cell>
          <cell r="C608">
            <v>1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CS-SB005-BK-M</v>
          </cell>
          <cell r="B609" t="str">
            <v>CS-SB005</v>
          </cell>
          <cell r="C609">
            <v>2</v>
          </cell>
          <cell r="D609">
            <v>1</v>
          </cell>
          <cell r="E609">
            <v>1</v>
          </cell>
          <cell r="F609">
            <v>0</v>
          </cell>
        </row>
        <row r="610">
          <cell r="A610" t="str">
            <v>CS-SB005-RD1-M</v>
          </cell>
          <cell r="B610" t="str">
            <v>CS-SB005</v>
          </cell>
          <cell r="C610">
            <v>0</v>
          </cell>
          <cell r="D610">
            <v>1</v>
          </cell>
          <cell r="E610">
            <v>1</v>
          </cell>
          <cell r="F610">
            <v>0</v>
          </cell>
        </row>
        <row r="611">
          <cell r="A611" t="str">
            <v>CS-SB005-YL-XL</v>
          </cell>
          <cell r="B611" t="str">
            <v>CS-SB005</v>
          </cell>
          <cell r="C611">
            <v>3</v>
          </cell>
          <cell r="D611">
            <v>2</v>
          </cell>
          <cell r="E611">
            <v>2</v>
          </cell>
          <cell r="F611">
            <v>0</v>
          </cell>
        </row>
        <row r="612">
          <cell r="A612" t="str">
            <v>CS-LY166-K73-1-XL</v>
          </cell>
          <cell r="B612" t="str">
            <v>CS-LY166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MY-SB027-BL-L</v>
          </cell>
          <cell r="B613" t="str">
            <v>MY-SB027</v>
          </cell>
          <cell r="C613">
            <v>0</v>
          </cell>
          <cell r="D613">
            <v>0</v>
          </cell>
          <cell r="E613">
            <v>1</v>
          </cell>
          <cell r="F613">
            <v>0</v>
          </cell>
        </row>
        <row r="614">
          <cell r="A614" t="str">
            <v>CS-CA170-G912-M</v>
          </cell>
          <cell r="B614" t="str">
            <v>CS-CA170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MY-LYRound020-BL-L</v>
          </cell>
          <cell r="B615" t="str">
            <v>MY-LYRound020</v>
          </cell>
          <cell r="C615">
            <v>0</v>
          </cell>
          <cell r="D615">
            <v>0</v>
          </cell>
          <cell r="E615">
            <v>1</v>
          </cell>
          <cell r="F615">
            <v>0</v>
          </cell>
        </row>
        <row r="616">
          <cell r="A616" t="str">
            <v>CS-LY171-Sa911-XL</v>
          </cell>
          <cell r="B616" t="str">
            <v>CS-LY171</v>
          </cell>
          <cell r="C616">
            <v>0</v>
          </cell>
          <cell r="D616">
            <v>0</v>
          </cell>
          <cell r="E616">
            <v>1</v>
          </cell>
          <cell r="F616">
            <v>0</v>
          </cell>
        </row>
        <row r="617">
          <cell r="A617" t="str">
            <v>KZ-LHY001-YLW-XL</v>
          </cell>
          <cell r="B617" t="str">
            <v>KZ-LHY001</v>
          </cell>
          <cell r="C617">
            <v>0</v>
          </cell>
          <cell r="D617">
            <v>1</v>
          </cell>
          <cell r="E617">
            <v>2</v>
          </cell>
          <cell r="F617">
            <v>0</v>
          </cell>
        </row>
        <row r="618">
          <cell r="A618" t="str">
            <v>CS-LHY032-YL-S</v>
          </cell>
          <cell r="B618" t="str">
            <v>CS-LHY032</v>
          </cell>
          <cell r="C618">
            <v>0</v>
          </cell>
          <cell r="D618">
            <v>1</v>
          </cell>
          <cell r="E618">
            <v>1</v>
          </cell>
          <cell r="F618">
            <v>0</v>
          </cell>
        </row>
        <row r="619">
          <cell r="A619" t="str">
            <v>KZ-LHY001-YLW-L</v>
          </cell>
          <cell r="B619" t="str">
            <v>KZ-LHY001</v>
          </cell>
          <cell r="C619">
            <v>2</v>
          </cell>
          <cell r="D619">
            <v>1</v>
          </cell>
          <cell r="E619">
            <v>1</v>
          </cell>
          <cell r="F619">
            <v>0</v>
          </cell>
        </row>
        <row r="620">
          <cell r="A620" t="str">
            <v>CS-LHY003-BK-M</v>
          </cell>
          <cell r="B620" t="str">
            <v>CS-LHY003</v>
          </cell>
          <cell r="C620">
            <v>0</v>
          </cell>
          <cell r="D620">
            <v>1</v>
          </cell>
          <cell r="E620">
            <v>2</v>
          </cell>
          <cell r="F620">
            <v>0</v>
          </cell>
        </row>
        <row r="621">
          <cell r="A621" t="str">
            <v>CS-SB005-BL2-L</v>
          </cell>
          <cell r="B621" t="str">
            <v>CS-SB005</v>
          </cell>
          <cell r="C621">
            <v>1</v>
          </cell>
          <cell r="D621">
            <v>1</v>
          </cell>
          <cell r="E621">
            <v>0</v>
          </cell>
          <cell r="F621">
            <v>0</v>
          </cell>
        </row>
        <row r="622">
          <cell r="A622" t="str">
            <v>CS-SB006-BK-XL</v>
          </cell>
          <cell r="B622" t="str">
            <v>CS-SB006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CS-SB084-H16-XXL</v>
          </cell>
          <cell r="B623" t="str">
            <v>CS-SB084</v>
          </cell>
          <cell r="C623">
            <v>0</v>
          </cell>
          <cell r="D623">
            <v>1</v>
          </cell>
          <cell r="E623">
            <v>1</v>
          </cell>
          <cell r="F623">
            <v>0</v>
          </cell>
        </row>
        <row r="624">
          <cell r="A624" t="str">
            <v>CS-LY166-K73-2-XXL</v>
          </cell>
          <cell r="B624" t="str">
            <v>CS-LY166</v>
          </cell>
          <cell r="C624">
            <v>0</v>
          </cell>
          <cell r="D624">
            <v>0</v>
          </cell>
          <cell r="E624">
            <v>1</v>
          </cell>
          <cell r="F624">
            <v>0</v>
          </cell>
        </row>
        <row r="625">
          <cell r="A625" t="str">
            <v>CS-LY085-Sa911-XXL</v>
          </cell>
          <cell r="B625" t="str">
            <v>CS-LY085</v>
          </cell>
          <cell r="C625">
            <v>0</v>
          </cell>
          <cell r="D625">
            <v>0</v>
          </cell>
          <cell r="E625">
            <v>2</v>
          </cell>
          <cell r="F625">
            <v>0</v>
          </cell>
        </row>
        <row r="626">
          <cell r="A626" t="str">
            <v>CS-LY171-PI908-XXL</v>
          </cell>
          <cell r="B626" t="str">
            <v>CS-LY171</v>
          </cell>
          <cell r="C626">
            <v>1</v>
          </cell>
          <cell r="D626">
            <v>1</v>
          </cell>
          <cell r="E626">
            <v>1</v>
          </cell>
          <cell r="F626">
            <v>0</v>
          </cell>
        </row>
        <row r="627">
          <cell r="A627" t="str">
            <v>MY-SB020-BL-XL</v>
          </cell>
          <cell r="B627" t="str">
            <v>MY-SB020</v>
          </cell>
          <cell r="C627">
            <v>0</v>
          </cell>
          <cell r="D627">
            <v>0</v>
          </cell>
          <cell r="E627">
            <v>1</v>
          </cell>
          <cell r="F627">
            <v>0</v>
          </cell>
        </row>
        <row r="628">
          <cell r="A628" t="str">
            <v>MY-SB011-WT-XL</v>
          </cell>
          <cell r="B628" t="str">
            <v>MY-SB011</v>
          </cell>
          <cell r="C628">
            <v>1</v>
          </cell>
          <cell r="D628">
            <v>0</v>
          </cell>
          <cell r="E628">
            <v>1</v>
          </cell>
          <cell r="F628">
            <v>0</v>
          </cell>
        </row>
        <row r="629">
          <cell r="A629" t="str">
            <v>CS-LHY009-BK-M</v>
          </cell>
          <cell r="B629" t="str">
            <v>CS-LHY009</v>
          </cell>
          <cell r="C629">
            <v>0</v>
          </cell>
          <cell r="D629">
            <v>1</v>
          </cell>
          <cell r="E629">
            <v>2</v>
          </cell>
          <cell r="F629">
            <v>0</v>
          </cell>
        </row>
        <row r="630">
          <cell r="A630" t="str">
            <v>CFY-M1798-RD-L</v>
          </cell>
          <cell r="B630" t="str">
            <v>CFY-M1798</v>
          </cell>
          <cell r="C630">
            <v>0</v>
          </cell>
          <cell r="D630">
            <v>0</v>
          </cell>
          <cell r="E630">
            <v>1</v>
          </cell>
          <cell r="F630">
            <v>0</v>
          </cell>
        </row>
        <row r="631">
          <cell r="A631" t="str">
            <v>KZ-LHY001-RED-L</v>
          </cell>
          <cell r="B631" t="str">
            <v>KZ-LHY001</v>
          </cell>
          <cell r="C631">
            <v>4</v>
          </cell>
          <cell r="D631">
            <v>2</v>
          </cell>
          <cell r="E631">
            <v>1</v>
          </cell>
          <cell r="F631">
            <v>0</v>
          </cell>
        </row>
        <row r="632">
          <cell r="A632" t="str">
            <v>WQS-BN-1503-GR-M</v>
          </cell>
          <cell r="B632" t="str">
            <v>WQS-BN-1503</v>
          </cell>
          <cell r="C632">
            <v>0</v>
          </cell>
          <cell r="D632">
            <v>0</v>
          </cell>
          <cell r="E632">
            <v>1</v>
          </cell>
          <cell r="F632">
            <v>0</v>
          </cell>
        </row>
        <row r="633">
          <cell r="A633" t="str">
            <v>CS-BS016-B0-XL</v>
          </cell>
          <cell r="B633" t="str">
            <v>CS-BS016</v>
          </cell>
          <cell r="C633">
            <v>0</v>
          </cell>
          <cell r="D633">
            <v>0</v>
          </cell>
          <cell r="E633">
            <v>1</v>
          </cell>
          <cell r="F633">
            <v>0</v>
          </cell>
        </row>
        <row r="634">
          <cell r="A634" t="str">
            <v>CS-CA181-LG907-XXL</v>
          </cell>
          <cell r="B634" t="str">
            <v>CS-CA181</v>
          </cell>
          <cell r="C634">
            <v>0</v>
          </cell>
          <cell r="D634">
            <v>1</v>
          </cell>
          <cell r="E634">
            <v>1</v>
          </cell>
          <cell r="F634">
            <v>0</v>
          </cell>
        </row>
        <row r="635">
          <cell r="A635" t="str">
            <v>MY-SB027-BL-XL</v>
          </cell>
          <cell r="B635" t="str">
            <v>MY-SB027</v>
          </cell>
          <cell r="C635">
            <v>0</v>
          </cell>
          <cell r="D635">
            <v>0</v>
          </cell>
          <cell r="E635">
            <v>1</v>
          </cell>
          <cell r="F635">
            <v>0</v>
          </cell>
        </row>
        <row r="636">
          <cell r="A636" t="str">
            <v>WQS-BN-1503-GR-2XL</v>
          </cell>
          <cell r="B636" t="str">
            <v>WQS-BN-1503</v>
          </cell>
          <cell r="C636">
            <v>0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CS-SB009-RD-S</v>
          </cell>
          <cell r="B637" t="str">
            <v>CS-SB009</v>
          </cell>
          <cell r="C637">
            <v>1</v>
          </cell>
          <cell r="D637">
            <v>3</v>
          </cell>
          <cell r="E637">
            <v>2</v>
          </cell>
          <cell r="F637">
            <v>0</v>
          </cell>
        </row>
        <row r="638">
          <cell r="A638" t="str">
            <v>SB-YL003-GH70</v>
          </cell>
          <cell r="B638" t="str">
            <v>SB-YL003</v>
          </cell>
          <cell r="C638">
            <v>0</v>
          </cell>
          <cell r="D638">
            <v>0</v>
          </cell>
          <cell r="E638">
            <v>1</v>
          </cell>
          <cell r="F638">
            <v>0</v>
          </cell>
        </row>
        <row r="639">
          <cell r="A639" t="str">
            <v>CS-SB007-LB-XL</v>
          </cell>
          <cell r="B639" t="str">
            <v>CS-SB007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CS-SB009-LB1-S</v>
          </cell>
          <cell r="B640" t="str">
            <v>CS-SB009</v>
          </cell>
          <cell r="C640">
            <v>1</v>
          </cell>
          <cell r="D640">
            <v>0</v>
          </cell>
          <cell r="E640">
            <v>1</v>
          </cell>
          <cell r="F640">
            <v>0</v>
          </cell>
        </row>
        <row r="641">
          <cell r="A641" t="str">
            <v>KZ-LHY001-RED-XL</v>
          </cell>
          <cell r="B641" t="str">
            <v>KZ-LHY001</v>
          </cell>
          <cell r="C641">
            <v>1</v>
          </cell>
          <cell r="D641">
            <v>4</v>
          </cell>
          <cell r="E641">
            <v>1</v>
          </cell>
          <cell r="F641">
            <v>0</v>
          </cell>
        </row>
        <row r="642">
          <cell r="A642" t="str">
            <v>CS-SB171-WR917-M</v>
          </cell>
          <cell r="B642" t="str">
            <v>CS-SB171</v>
          </cell>
          <cell r="C642">
            <v>1</v>
          </cell>
          <cell r="D642">
            <v>0</v>
          </cell>
          <cell r="E642">
            <v>1</v>
          </cell>
          <cell r="F642">
            <v>0</v>
          </cell>
        </row>
        <row r="643">
          <cell r="A643" t="str">
            <v>CS-LY085-ZL918-S</v>
          </cell>
          <cell r="B643" t="str">
            <v>CS-LY085</v>
          </cell>
          <cell r="C643">
            <v>1</v>
          </cell>
          <cell r="D643">
            <v>1</v>
          </cell>
          <cell r="E643">
            <v>1</v>
          </cell>
          <cell r="F643">
            <v>0</v>
          </cell>
        </row>
        <row r="644">
          <cell r="A644" t="str">
            <v>POLO-1503-NY-XL</v>
          </cell>
          <cell r="B644" t="str">
            <v>POLO-1503</v>
          </cell>
          <cell r="C644">
            <v>0</v>
          </cell>
          <cell r="D644">
            <v>0</v>
          </cell>
          <cell r="E644">
            <v>1</v>
          </cell>
          <cell r="F644">
            <v>0</v>
          </cell>
        </row>
        <row r="645">
          <cell r="A645" t="str">
            <v>CS-BUSB031-YL1-M</v>
          </cell>
          <cell r="B645" t="str">
            <v>CS-BUSB031</v>
          </cell>
          <cell r="C645">
            <v>4</v>
          </cell>
          <cell r="D645">
            <v>1</v>
          </cell>
          <cell r="E645">
            <v>1</v>
          </cell>
          <cell r="F645">
            <v>0</v>
          </cell>
        </row>
        <row r="646">
          <cell r="A646" t="str">
            <v>CS-LY085-WR917-S</v>
          </cell>
          <cell r="B646" t="str">
            <v>CS-LY085</v>
          </cell>
          <cell r="C646">
            <v>5</v>
          </cell>
          <cell r="D646">
            <v>0</v>
          </cell>
          <cell r="E646">
            <v>1</v>
          </cell>
          <cell r="F646">
            <v>0</v>
          </cell>
        </row>
        <row r="647">
          <cell r="A647" t="str">
            <v>MY-BS027-NY-L</v>
          </cell>
          <cell r="B647" t="str">
            <v>MY-BS027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</row>
        <row r="648">
          <cell r="A648" t="str">
            <v>MY-LYPoint021-GN-S</v>
          </cell>
          <cell r="B648" t="str">
            <v>MY-LYPoint021</v>
          </cell>
          <cell r="C648">
            <v>1</v>
          </cell>
          <cell r="D648">
            <v>0</v>
          </cell>
          <cell r="E648">
            <v>1</v>
          </cell>
          <cell r="F648">
            <v>0</v>
          </cell>
        </row>
        <row r="649">
          <cell r="A649" t="str">
            <v>CS-LHY009-LB1-XXL</v>
          </cell>
          <cell r="B649" t="str">
            <v>CS-LHY009</v>
          </cell>
          <cell r="C649">
            <v>2</v>
          </cell>
          <cell r="D649">
            <v>2</v>
          </cell>
          <cell r="E649">
            <v>1</v>
          </cell>
          <cell r="F649">
            <v>0</v>
          </cell>
        </row>
        <row r="650">
          <cell r="A650" t="str">
            <v>CS-LY171-LG907-XL</v>
          </cell>
          <cell r="B650" t="str">
            <v>CS-LY171</v>
          </cell>
          <cell r="C650">
            <v>7</v>
          </cell>
          <cell r="D650">
            <v>2</v>
          </cell>
          <cell r="E650">
            <v>1</v>
          </cell>
          <cell r="F650">
            <v>0</v>
          </cell>
        </row>
        <row r="651">
          <cell r="A651" t="str">
            <v>CS-LY084-H2-XL</v>
          </cell>
          <cell r="B651" t="str">
            <v>CS-LY084</v>
          </cell>
          <cell r="C651">
            <v>0</v>
          </cell>
          <cell r="D651">
            <v>1</v>
          </cell>
          <cell r="E651">
            <v>0</v>
          </cell>
          <cell r="F651">
            <v>0</v>
          </cell>
        </row>
        <row r="652">
          <cell r="A652" t="str">
            <v>CS-SB006-BL2-XL</v>
          </cell>
          <cell r="B652" t="str">
            <v>CS-SB006</v>
          </cell>
          <cell r="C652">
            <v>1</v>
          </cell>
          <cell r="D652">
            <v>0</v>
          </cell>
          <cell r="E652">
            <v>1</v>
          </cell>
          <cell r="F652">
            <v>0</v>
          </cell>
        </row>
        <row r="653">
          <cell r="A653" t="str">
            <v>CS-LY084-H10-XL</v>
          </cell>
          <cell r="B653" t="str">
            <v>CS-LY084</v>
          </cell>
          <cell r="C653">
            <v>1</v>
          </cell>
          <cell r="D653">
            <v>2</v>
          </cell>
          <cell r="E653">
            <v>1</v>
          </cell>
          <cell r="F653">
            <v>0</v>
          </cell>
        </row>
        <row r="654">
          <cell r="A654" t="str">
            <v>CS-CA181-W902-XXL</v>
          </cell>
          <cell r="B654" t="str">
            <v>CS-CA181</v>
          </cell>
          <cell r="C654">
            <v>0</v>
          </cell>
          <cell r="D654">
            <v>3</v>
          </cell>
          <cell r="E654">
            <v>0</v>
          </cell>
          <cell r="F654">
            <v>0</v>
          </cell>
        </row>
        <row r="655">
          <cell r="A655" t="str">
            <v>CS-LY084-H15-S</v>
          </cell>
          <cell r="B655" t="str">
            <v>CS-LY084</v>
          </cell>
          <cell r="C655">
            <v>3</v>
          </cell>
          <cell r="D655">
            <v>2</v>
          </cell>
          <cell r="E655">
            <v>0</v>
          </cell>
          <cell r="F655">
            <v>0</v>
          </cell>
        </row>
        <row r="656">
          <cell r="A656" t="str">
            <v>CS-SB009-LB1-M</v>
          </cell>
          <cell r="B656" t="str">
            <v>CS-SB009</v>
          </cell>
          <cell r="C656">
            <v>0</v>
          </cell>
          <cell r="D656">
            <v>1</v>
          </cell>
          <cell r="E656">
            <v>0</v>
          </cell>
          <cell r="F656">
            <v>0</v>
          </cell>
        </row>
        <row r="657">
          <cell r="A657" t="str">
            <v>CS-LHY009-CF-XXL</v>
          </cell>
          <cell r="B657" t="str">
            <v>CS-LHY009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</row>
        <row r="658">
          <cell r="A658" t="str">
            <v>CS-BUSB032-GN2-L</v>
          </cell>
          <cell r="B658" t="str">
            <v>CS-BUSB032</v>
          </cell>
          <cell r="C658">
            <v>3</v>
          </cell>
          <cell r="D658">
            <v>2</v>
          </cell>
          <cell r="E658">
            <v>0</v>
          </cell>
          <cell r="F658">
            <v>0</v>
          </cell>
        </row>
        <row r="659">
          <cell r="A659" t="str">
            <v>MY-LYPoint021-KQ-XL</v>
          </cell>
          <cell r="B659" t="str">
            <v>MY-LYPoint021</v>
          </cell>
          <cell r="C659">
            <v>0</v>
          </cell>
          <cell r="D659">
            <v>1</v>
          </cell>
          <cell r="E659">
            <v>0</v>
          </cell>
          <cell r="F659">
            <v>0</v>
          </cell>
        </row>
        <row r="660">
          <cell r="A660" t="str">
            <v>MY-LYRound020-LB-XL</v>
          </cell>
          <cell r="B660" t="str">
            <v>MY-LYRound020</v>
          </cell>
          <cell r="C660">
            <v>0</v>
          </cell>
          <cell r="D660">
            <v>3</v>
          </cell>
          <cell r="E660">
            <v>0</v>
          </cell>
          <cell r="F660">
            <v>0</v>
          </cell>
        </row>
        <row r="661">
          <cell r="A661" t="str">
            <v>MY-LYPoint021-W0-XL</v>
          </cell>
          <cell r="B661" t="str">
            <v>MY-LYPoint021</v>
          </cell>
          <cell r="C661">
            <v>1</v>
          </cell>
          <cell r="D661">
            <v>1</v>
          </cell>
          <cell r="E661">
            <v>0</v>
          </cell>
          <cell r="F661">
            <v>0</v>
          </cell>
        </row>
        <row r="662">
          <cell r="A662" t="str">
            <v>CS-LY085-R901-L</v>
          </cell>
          <cell r="B662" t="str">
            <v>CS-LY085</v>
          </cell>
          <cell r="C662">
            <v>0</v>
          </cell>
          <cell r="D662">
            <v>1</v>
          </cell>
          <cell r="E662">
            <v>0</v>
          </cell>
          <cell r="F662">
            <v>0</v>
          </cell>
        </row>
        <row r="663">
          <cell r="A663" t="str">
            <v>MY-LYRound020-W0-M</v>
          </cell>
          <cell r="B663" t="str">
            <v>MY-LYRound020</v>
          </cell>
          <cell r="C663">
            <v>2</v>
          </cell>
          <cell r="D663">
            <v>1</v>
          </cell>
          <cell r="E663">
            <v>0</v>
          </cell>
          <cell r="F663">
            <v>0</v>
          </cell>
        </row>
        <row r="664">
          <cell r="A664" t="str">
            <v>CS-SB010-WT-5</v>
          </cell>
          <cell r="B664" t="str">
            <v>CS-SB010</v>
          </cell>
          <cell r="C664">
            <v>0</v>
          </cell>
          <cell r="D664">
            <v>2</v>
          </cell>
          <cell r="E664">
            <v>0</v>
          </cell>
          <cell r="F664">
            <v>0</v>
          </cell>
        </row>
        <row r="665">
          <cell r="A665" t="str">
            <v>CS-LHY009-CF-L</v>
          </cell>
          <cell r="B665" t="str">
            <v>CS-LHY009</v>
          </cell>
          <cell r="C665">
            <v>2</v>
          </cell>
          <cell r="D665">
            <v>2</v>
          </cell>
          <cell r="E665">
            <v>0</v>
          </cell>
          <cell r="F665">
            <v>0</v>
          </cell>
        </row>
        <row r="666">
          <cell r="A666" t="str">
            <v>KZ-LHYX001-WHT-L</v>
          </cell>
          <cell r="B666" t="str">
            <v>KZ-LHYX001</v>
          </cell>
          <cell r="C666">
            <v>6</v>
          </cell>
          <cell r="D666">
            <v>3</v>
          </cell>
          <cell r="E666">
            <v>0</v>
          </cell>
          <cell r="F666">
            <v>0</v>
          </cell>
        </row>
        <row r="667">
          <cell r="A667" t="str">
            <v>CS-LHY032-NB-M</v>
          </cell>
          <cell r="B667" t="str">
            <v>CS-LHY032</v>
          </cell>
          <cell r="C667">
            <v>0</v>
          </cell>
          <cell r="D667">
            <v>1</v>
          </cell>
          <cell r="E667">
            <v>0</v>
          </cell>
          <cell r="F667">
            <v>0</v>
          </cell>
        </row>
        <row r="668">
          <cell r="A668" t="str">
            <v>CS-SB003-B0-S</v>
          </cell>
          <cell r="B668" t="str">
            <v>CS-SB003</v>
          </cell>
          <cell r="C668">
            <v>2</v>
          </cell>
          <cell r="D668">
            <v>1</v>
          </cell>
          <cell r="E668">
            <v>0</v>
          </cell>
          <cell r="F668">
            <v>0</v>
          </cell>
        </row>
        <row r="669">
          <cell r="A669" t="str">
            <v>MY-LYRound020-WR-M</v>
          </cell>
          <cell r="B669" t="str">
            <v>MY-LYRound020</v>
          </cell>
          <cell r="C669">
            <v>3</v>
          </cell>
          <cell r="D669">
            <v>2</v>
          </cell>
          <cell r="E669">
            <v>0</v>
          </cell>
          <cell r="F669">
            <v>0</v>
          </cell>
        </row>
        <row r="670">
          <cell r="A670" t="str">
            <v>CS-LY171-Sa911-S</v>
          </cell>
          <cell r="B670" t="str">
            <v>CS-LY171</v>
          </cell>
          <cell r="C670">
            <v>3</v>
          </cell>
          <cell r="D670">
            <v>1</v>
          </cell>
          <cell r="E670">
            <v>0</v>
          </cell>
          <cell r="F670">
            <v>0</v>
          </cell>
        </row>
        <row r="671">
          <cell r="A671" t="str">
            <v>MY-LYRound020-DG-M</v>
          </cell>
          <cell r="B671" t="str">
            <v>MY-LYRound020</v>
          </cell>
          <cell r="C671">
            <v>1</v>
          </cell>
          <cell r="D671">
            <v>0</v>
          </cell>
          <cell r="E671">
            <v>0</v>
          </cell>
          <cell r="F671">
            <v>0</v>
          </cell>
        </row>
        <row r="672">
          <cell r="A672" t="str">
            <v>CS-BUSB031LHY-GN2-L</v>
          </cell>
          <cell r="B672" t="str">
            <v>CS-BUSB031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</row>
        <row r="673">
          <cell r="A673" t="str">
            <v>CS-LY086-N0-S</v>
          </cell>
          <cell r="B673" t="str">
            <v>CS-LY086</v>
          </cell>
          <cell r="C673">
            <v>8</v>
          </cell>
          <cell r="D673">
            <v>2</v>
          </cell>
          <cell r="E673">
            <v>0</v>
          </cell>
          <cell r="F673">
            <v>0</v>
          </cell>
        </row>
        <row r="674">
          <cell r="A674" t="str">
            <v>MY-SB015-LG-S</v>
          </cell>
          <cell r="B674" t="str">
            <v>MY-SB015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MY-SB015-BL-S</v>
          </cell>
          <cell r="B675" t="str">
            <v>MY-SB015</v>
          </cell>
          <cell r="C675">
            <v>0</v>
          </cell>
          <cell r="D675">
            <v>2</v>
          </cell>
          <cell r="E675">
            <v>0</v>
          </cell>
          <cell r="F675">
            <v>0</v>
          </cell>
        </row>
        <row r="676">
          <cell r="A676" t="str">
            <v>MY-SBPoint021-LB-M</v>
          </cell>
          <cell r="B676" t="str">
            <v>MY-SBPoint021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MY-LYPoint021-LB-L</v>
          </cell>
          <cell r="B677" t="str">
            <v>MY-LYPoint021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CS-LY085-LB916-XXL</v>
          </cell>
          <cell r="B678" t="str">
            <v>CS-LY085</v>
          </cell>
          <cell r="C678">
            <v>3</v>
          </cell>
          <cell r="D678">
            <v>1</v>
          </cell>
          <cell r="E678">
            <v>0</v>
          </cell>
          <cell r="F678">
            <v>0</v>
          </cell>
        </row>
        <row r="679">
          <cell r="A679" t="str">
            <v>MY-LYRound020-GN-XL</v>
          </cell>
          <cell r="B679" t="str">
            <v>MY-LYRound020</v>
          </cell>
          <cell r="C679">
            <v>0</v>
          </cell>
          <cell r="D679">
            <v>1</v>
          </cell>
          <cell r="E679">
            <v>0</v>
          </cell>
          <cell r="F679">
            <v>0</v>
          </cell>
        </row>
        <row r="680">
          <cell r="A680" t="str">
            <v>MY-SB027-KK-M</v>
          </cell>
          <cell r="B680" t="str">
            <v>MY-SB027</v>
          </cell>
          <cell r="C680">
            <v>0</v>
          </cell>
          <cell r="D680">
            <v>1</v>
          </cell>
          <cell r="E680">
            <v>0</v>
          </cell>
          <cell r="F680">
            <v>0</v>
          </cell>
        </row>
        <row r="681">
          <cell r="A681" t="str">
            <v>MY-SB027-LG-M</v>
          </cell>
          <cell r="B681" t="str">
            <v>MY-SB027</v>
          </cell>
          <cell r="C681">
            <v>1</v>
          </cell>
          <cell r="D681">
            <v>1</v>
          </cell>
          <cell r="E681">
            <v>0</v>
          </cell>
          <cell r="F681">
            <v>0</v>
          </cell>
        </row>
        <row r="682">
          <cell r="A682" t="str">
            <v>MY-LYRound020-LB-S</v>
          </cell>
          <cell r="B682" t="str">
            <v>MY-LYRound020</v>
          </cell>
          <cell r="C682">
            <v>0</v>
          </cell>
          <cell r="D682">
            <v>1</v>
          </cell>
          <cell r="E682">
            <v>0</v>
          </cell>
          <cell r="F682">
            <v>0</v>
          </cell>
        </row>
        <row r="683">
          <cell r="A683" t="str">
            <v>MY-LYRound020-K0-M</v>
          </cell>
          <cell r="B683" t="str">
            <v>MY-LYRound020</v>
          </cell>
          <cell r="C683">
            <v>1</v>
          </cell>
          <cell r="D683">
            <v>2</v>
          </cell>
          <cell r="E683">
            <v>0</v>
          </cell>
          <cell r="F683">
            <v>0</v>
          </cell>
        </row>
        <row r="684">
          <cell r="A684" t="str">
            <v>CS-SB016-B0-XL</v>
          </cell>
          <cell r="B684" t="str">
            <v>CS-SB016</v>
          </cell>
          <cell r="C684">
            <v>0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SB-YL002-KCN80BNR</v>
          </cell>
          <cell r="B685" t="str">
            <v>SB-YL002</v>
          </cell>
          <cell r="C685">
            <v>0</v>
          </cell>
          <cell r="D685">
            <v>2</v>
          </cell>
          <cell r="E685">
            <v>0</v>
          </cell>
          <cell r="F685">
            <v>0</v>
          </cell>
        </row>
        <row r="686">
          <cell r="A686" t="str">
            <v>DK-LY-K518-KQ-42</v>
          </cell>
          <cell r="B686" t="str">
            <v>DK-LY-K518</v>
          </cell>
          <cell r="C686">
            <v>0</v>
          </cell>
          <cell r="D686">
            <v>2</v>
          </cell>
          <cell r="E686">
            <v>0</v>
          </cell>
          <cell r="F686">
            <v>0</v>
          </cell>
        </row>
        <row r="687">
          <cell r="A687" t="str">
            <v>CS-LY181-PI908-XXL</v>
          </cell>
          <cell r="B687" t="str">
            <v>CS-LY181</v>
          </cell>
          <cell r="C687">
            <v>1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POLO-SB014-GR-L</v>
          </cell>
          <cell r="B688" t="str">
            <v>POLO-SB014</v>
          </cell>
          <cell r="C688">
            <v>0</v>
          </cell>
          <cell r="D688">
            <v>1</v>
          </cell>
          <cell r="E688">
            <v>0</v>
          </cell>
          <cell r="F688">
            <v>0</v>
          </cell>
        </row>
        <row r="689">
          <cell r="A689" t="str">
            <v>MY-LYRound020-NY-L</v>
          </cell>
          <cell r="B689" t="str">
            <v>MY-LYRound020</v>
          </cell>
          <cell r="C689">
            <v>0</v>
          </cell>
          <cell r="D689">
            <v>2</v>
          </cell>
          <cell r="E689">
            <v>0</v>
          </cell>
          <cell r="F689">
            <v>0</v>
          </cell>
        </row>
        <row r="690">
          <cell r="A690" t="str">
            <v>POLO-SB014-NY-M</v>
          </cell>
          <cell r="B690" t="str">
            <v>POLO-SB014</v>
          </cell>
          <cell r="C690">
            <v>2</v>
          </cell>
          <cell r="D690">
            <v>1</v>
          </cell>
          <cell r="E690">
            <v>0</v>
          </cell>
          <cell r="F690">
            <v>0</v>
          </cell>
        </row>
        <row r="691">
          <cell r="A691" t="str">
            <v>CS-LY181-LB916-S</v>
          </cell>
          <cell r="B691" t="str">
            <v>CS-LY181</v>
          </cell>
          <cell r="C691">
            <v>1</v>
          </cell>
          <cell r="D691">
            <v>1</v>
          </cell>
          <cell r="E691">
            <v>0</v>
          </cell>
          <cell r="F691">
            <v>0</v>
          </cell>
        </row>
        <row r="692">
          <cell r="A692" t="str">
            <v>CS-SB007-LG-M</v>
          </cell>
          <cell r="B692" t="str">
            <v>CS-SB007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CS-CA170-Sa911-XXL</v>
          </cell>
          <cell r="B693" t="str">
            <v>CS-CA170</v>
          </cell>
          <cell r="C693">
            <v>0</v>
          </cell>
          <cell r="D693">
            <v>3</v>
          </cell>
          <cell r="E693">
            <v>0</v>
          </cell>
          <cell r="F693">
            <v>0</v>
          </cell>
        </row>
        <row r="694">
          <cell r="A694" t="str">
            <v>CS-SB006-RD1-L</v>
          </cell>
          <cell r="B694" t="str">
            <v>CS-SB006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</row>
        <row r="695">
          <cell r="A695" t="str">
            <v>SB-YL002-KCN80S</v>
          </cell>
          <cell r="B695" t="str">
            <v>SB-YL002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</row>
        <row r="696">
          <cell r="A696" t="str">
            <v>MY-SB027-NY-S</v>
          </cell>
          <cell r="B696" t="str">
            <v>MY-SB027</v>
          </cell>
          <cell r="C696">
            <v>2</v>
          </cell>
          <cell r="D696">
            <v>1</v>
          </cell>
          <cell r="E696">
            <v>0</v>
          </cell>
          <cell r="F696">
            <v>0</v>
          </cell>
        </row>
        <row r="697">
          <cell r="A697" t="str">
            <v>CS-SB166-K73-1-L</v>
          </cell>
          <cell r="B697" t="str">
            <v>CS-SB166</v>
          </cell>
          <cell r="C697">
            <v>0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CS-LY166-K73-1-M</v>
          </cell>
          <cell r="B698" t="str">
            <v>CS-LY166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CFY-W1830-RR-L</v>
          </cell>
          <cell r="B699" t="str">
            <v>CFY-W1798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CS-SB006-BK-L</v>
          </cell>
          <cell r="B700" t="str">
            <v>CS-SB006</v>
          </cell>
          <cell r="C700">
            <v>1</v>
          </cell>
          <cell r="D700">
            <v>0</v>
          </cell>
          <cell r="E700">
            <v>0</v>
          </cell>
          <cell r="F700">
            <v>0</v>
          </cell>
        </row>
        <row r="701">
          <cell r="A701" t="str">
            <v>CS-SB006-BL-XL</v>
          </cell>
          <cell r="B701" t="str">
            <v>CS-SB006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</row>
        <row r="702">
          <cell r="A702" t="str">
            <v>CS-LHY032-BL-S</v>
          </cell>
          <cell r="B702" t="str">
            <v>CS-LHY032</v>
          </cell>
          <cell r="C702">
            <v>2</v>
          </cell>
          <cell r="D702">
            <v>2</v>
          </cell>
          <cell r="E702">
            <v>0</v>
          </cell>
          <cell r="F702">
            <v>0</v>
          </cell>
        </row>
        <row r="703">
          <cell r="A703" t="str">
            <v>CS-SB005-RD1-L</v>
          </cell>
          <cell r="B703" t="str">
            <v>CS-SB005</v>
          </cell>
          <cell r="C703">
            <v>0</v>
          </cell>
          <cell r="D703">
            <v>2</v>
          </cell>
          <cell r="E703">
            <v>0</v>
          </cell>
          <cell r="F703">
            <v>0</v>
          </cell>
        </row>
        <row r="704">
          <cell r="A704" t="str">
            <v>CS-BUSB031-GN1-XXL</v>
          </cell>
          <cell r="B704" t="str">
            <v>CS-BUSB031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CS-BUSB031-GN2-M</v>
          </cell>
          <cell r="B705" t="str">
            <v>CS-BUSB031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CS-LHY032-NB-S</v>
          </cell>
          <cell r="B706" t="str">
            <v>CS-LHY032</v>
          </cell>
          <cell r="C706">
            <v>0</v>
          </cell>
          <cell r="D706">
            <v>2</v>
          </cell>
          <cell r="E706">
            <v>0</v>
          </cell>
          <cell r="F706">
            <v>0</v>
          </cell>
        </row>
        <row r="707">
          <cell r="A707" t="str">
            <v>CA084-H12-M</v>
          </cell>
          <cell r="B707" t="str">
            <v>CA084</v>
          </cell>
          <cell r="C707">
            <v>0</v>
          </cell>
          <cell r="D707">
            <v>2</v>
          </cell>
          <cell r="E707">
            <v>0</v>
          </cell>
          <cell r="F707">
            <v>0</v>
          </cell>
        </row>
        <row r="708">
          <cell r="A708" t="str">
            <v>CA084-H15-M</v>
          </cell>
          <cell r="B708" t="str">
            <v>CA084</v>
          </cell>
          <cell r="C708">
            <v>1</v>
          </cell>
          <cell r="D708">
            <v>1</v>
          </cell>
          <cell r="E708">
            <v>0</v>
          </cell>
          <cell r="F708">
            <v>0</v>
          </cell>
        </row>
        <row r="709">
          <cell r="A709" t="str">
            <v>CS-LY170-LB916-M</v>
          </cell>
          <cell r="B709" t="str">
            <v>CS-LY170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</row>
        <row r="710">
          <cell r="A710" t="str">
            <v>MY-SB027-LG-S</v>
          </cell>
          <cell r="B710" t="str">
            <v>MY-SB027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MY-SB027-BL-S</v>
          </cell>
          <cell r="B711" t="str">
            <v>MY-SB027</v>
          </cell>
          <cell r="C711">
            <v>1</v>
          </cell>
          <cell r="D711">
            <v>1</v>
          </cell>
          <cell r="E711">
            <v>0</v>
          </cell>
          <cell r="F711">
            <v>0</v>
          </cell>
        </row>
        <row r="712">
          <cell r="A712" t="str">
            <v>CS-SB181-ZL918-L</v>
          </cell>
          <cell r="B712" t="str">
            <v>CS-SB181</v>
          </cell>
          <cell r="C712">
            <v>2</v>
          </cell>
          <cell r="D712">
            <v>1</v>
          </cell>
          <cell r="E712">
            <v>0</v>
          </cell>
          <cell r="F712">
            <v>0</v>
          </cell>
        </row>
        <row r="713">
          <cell r="A713" t="str">
            <v>CS-LY166-B28-5-L</v>
          </cell>
          <cell r="B713" t="str">
            <v>CS-LY166</v>
          </cell>
          <cell r="C713">
            <v>0</v>
          </cell>
          <cell r="D713">
            <v>1</v>
          </cell>
          <cell r="E713">
            <v>0</v>
          </cell>
          <cell r="F713">
            <v>0</v>
          </cell>
        </row>
        <row r="714">
          <cell r="A714" t="str">
            <v>MY-LYRound020-W0-S</v>
          </cell>
          <cell r="B714" t="str">
            <v>MY-LYRound020</v>
          </cell>
          <cell r="C714">
            <v>1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CS-LY085-Sa911-XL</v>
          </cell>
          <cell r="B715" t="str">
            <v>CS-LY085</v>
          </cell>
          <cell r="C715">
            <v>0</v>
          </cell>
          <cell r="D715">
            <v>2</v>
          </cell>
          <cell r="E715">
            <v>0</v>
          </cell>
          <cell r="F715">
            <v>0</v>
          </cell>
        </row>
        <row r="716">
          <cell r="A716" t="str">
            <v>WQS-BN-1503-KO-2XL</v>
          </cell>
          <cell r="B716" t="str">
            <v>WQS-BN-1503</v>
          </cell>
          <cell r="C716">
            <v>1</v>
          </cell>
          <cell r="D716">
            <v>1</v>
          </cell>
          <cell r="E716">
            <v>0</v>
          </cell>
          <cell r="F716">
            <v>0</v>
          </cell>
        </row>
        <row r="717">
          <cell r="A717" t="str">
            <v>CS-LY171-WR917-S</v>
          </cell>
          <cell r="B717" t="str">
            <v>CS-LY171</v>
          </cell>
          <cell r="C717">
            <v>0</v>
          </cell>
          <cell r="D717">
            <v>1</v>
          </cell>
          <cell r="E717">
            <v>0</v>
          </cell>
          <cell r="F717">
            <v>0</v>
          </cell>
        </row>
        <row r="718">
          <cell r="A718" t="str">
            <v>MY-SB026-GN-L</v>
          </cell>
          <cell r="B718" t="str">
            <v>MY-SB026</v>
          </cell>
          <cell r="C718">
            <v>0</v>
          </cell>
          <cell r="D718">
            <v>1</v>
          </cell>
          <cell r="E718">
            <v>0</v>
          </cell>
          <cell r="F718">
            <v>0</v>
          </cell>
        </row>
        <row r="719">
          <cell r="A719" t="str">
            <v>CS-BUSB032-GN1-XL</v>
          </cell>
          <cell r="B719" t="str">
            <v>CS-BUSB032</v>
          </cell>
          <cell r="C719">
            <v>1</v>
          </cell>
          <cell r="D719">
            <v>1</v>
          </cell>
          <cell r="E719">
            <v>0</v>
          </cell>
          <cell r="F719">
            <v>0</v>
          </cell>
        </row>
        <row r="720">
          <cell r="A720" t="str">
            <v>MY-LYRound020-GR-L</v>
          </cell>
          <cell r="B720" t="str">
            <v>MY-LYRound020</v>
          </cell>
          <cell r="C720">
            <v>1</v>
          </cell>
          <cell r="D720">
            <v>1</v>
          </cell>
          <cell r="E720">
            <v>0</v>
          </cell>
          <cell r="F720">
            <v>0</v>
          </cell>
        </row>
        <row r="721">
          <cell r="A721" t="str">
            <v>CS-SB002-CF-XL</v>
          </cell>
          <cell r="B721" t="str">
            <v>CS-SB002</v>
          </cell>
          <cell r="C721">
            <v>2</v>
          </cell>
          <cell r="D721">
            <v>1</v>
          </cell>
          <cell r="E721">
            <v>0</v>
          </cell>
          <cell r="F721">
            <v>0</v>
          </cell>
        </row>
        <row r="722">
          <cell r="A722" t="str">
            <v>MY-BS027-DG-M</v>
          </cell>
          <cell r="B722" t="str">
            <v>MY-BS027</v>
          </cell>
          <cell r="C722">
            <v>0</v>
          </cell>
          <cell r="D722">
            <v>1</v>
          </cell>
          <cell r="E722">
            <v>0</v>
          </cell>
          <cell r="F722">
            <v>0</v>
          </cell>
        </row>
        <row r="723">
          <cell r="A723" t="str">
            <v>CS-SB006-CF-M</v>
          </cell>
          <cell r="B723" t="str">
            <v>CS-SB006</v>
          </cell>
          <cell r="C723">
            <v>0</v>
          </cell>
          <cell r="D723">
            <v>2</v>
          </cell>
          <cell r="E723">
            <v>0</v>
          </cell>
          <cell r="F723">
            <v>0</v>
          </cell>
        </row>
        <row r="724">
          <cell r="A724" t="str">
            <v>CS-LY181-ZL918-S</v>
          </cell>
          <cell r="B724" t="str">
            <v>CS-LY181</v>
          </cell>
          <cell r="C724">
            <v>1</v>
          </cell>
          <cell r="D724">
            <v>1</v>
          </cell>
          <cell r="E724">
            <v>0</v>
          </cell>
          <cell r="F724">
            <v>0</v>
          </cell>
        </row>
        <row r="725">
          <cell r="A725" t="str">
            <v>CS-BBS030-GR-M</v>
          </cell>
          <cell r="B725" t="str">
            <v>CS-BBS030</v>
          </cell>
          <cell r="C725">
            <v>2</v>
          </cell>
          <cell r="D725">
            <v>2</v>
          </cell>
          <cell r="E725">
            <v>0</v>
          </cell>
          <cell r="F725">
            <v>0</v>
          </cell>
        </row>
        <row r="726">
          <cell r="A726" t="str">
            <v>CS-LY085-PI908-XXL</v>
          </cell>
          <cell r="B726" t="str">
            <v>CS-LY085</v>
          </cell>
          <cell r="C726">
            <v>1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CS-LY171-ZL918-M</v>
          </cell>
          <cell r="B727" t="str">
            <v>CS-LY171</v>
          </cell>
          <cell r="C727">
            <v>0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DK-LY-K518-KQ-44</v>
          </cell>
          <cell r="B728" t="str">
            <v>DK-LY-K518</v>
          </cell>
          <cell r="C728">
            <v>0</v>
          </cell>
          <cell r="D728">
            <v>4</v>
          </cell>
          <cell r="E728">
            <v>0</v>
          </cell>
          <cell r="F728">
            <v>0</v>
          </cell>
        </row>
        <row r="729">
          <cell r="A729" t="str">
            <v>CS-LHY032-GN1-L</v>
          </cell>
          <cell r="B729" t="str">
            <v>CS-LHY032</v>
          </cell>
          <cell r="C729">
            <v>4</v>
          </cell>
          <cell r="D729">
            <v>1</v>
          </cell>
          <cell r="E729">
            <v>0</v>
          </cell>
          <cell r="F729">
            <v>0</v>
          </cell>
        </row>
        <row r="730">
          <cell r="A730" t="str">
            <v>CS-LY170-G912-XXL</v>
          </cell>
          <cell r="B730" t="str">
            <v>CS-LY170</v>
          </cell>
          <cell r="C730">
            <v>0</v>
          </cell>
          <cell r="D730">
            <v>1</v>
          </cell>
          <cell r="E730">
            <v>0</v>
          </cell>
          <cell r="F730">
            <v>0</v>
          </cell>
        </row>
        <row r="731">
          <cell r="A731" t="str">
            <v>CS-LY181-LB916-XL</v>
          </cell>
          <cell r="B731" t="str">
            <v>CS-LY181</v>
          </cell>
          <cell r="C731">
            <v>0</v>
          </cell>
          <cell r="D731">
            <v>1</v>
          </cell>
          <cell r="E731">
            <v>0</v>
          </cell>
          <cell r="F731">
            <v>0</v>
          </cell>
        </row>
        <row r="732">
          <cell r="A732" t="str">
            <v>CS-LY171-PI908-XL</v>
          </cell>
          <cell r="B732" t="str">
            <v>CS-LY171</v>
          </cell>
          <cell r="C732">
            <v>3</v>
          </cell>
          <cell r="D732">
            <v>1</v>
          </cell>
          <cell r="E732">
            <v>0</v>
          </cell>
          <cell r="F732">
            <v>0</v>
          </cell>
        </row>
        <row r="733">
          <cell r="A733" t="str">
            <v>CS-LHY170-LG907-M</v>
          </cell>
          <cell r="B733" t="str">
            <v>CS-LHY170</v>
          </cell>
          <cell r="C733">
            <v>28</v>
          </cell>
          <cell r="D733">
            <v>4</v>
          </cell>
          <cell r="E733">
            <v>0</v>
          </cell>
          <cell r="F733">
            <v>0</v>
          </cell>
        </row>
        <row r="734">
          <cell r="A734" t="str">
            <v>CS-LY171-G912-S</v>
          </cell>
          <cell r="B734" t="str">
            <v>CS-LY171</v>
          </cell>
          <cell r="C734">
            <v>0</v>
          </cell>
          <cell r="D734">
            <v>1</v>
          </cell>
          <cell r="E734">
            <v>0</v>
          </cell>
          <cell r="F734">
            <v>0</v>
          </cell>
        </row>
        <row r="735">
          <cell r="A735" t="str">
            <v>WQS-BN-1503-RO-S</v>
          </cell>
          <cell r="B735" t="str">
            <v>WQS-BN-1503</v>
          </cell>
          <cell r="C735">
            <v>0</v>
          </cell>
          <cell r="D735">
            <v>1</v>
          </cell>
          <cell r="E735">
            <v>0</v>
          </cell>
          <cell r="F735">
            <v>0</v>
          </cell>
        </row>
        <row r="736">
          <cell r="A736" t="str">
            <v>CFY-M1830-RD-L</v>
          </cell>
          <cell r="B736" t="str">
            <v>CFY-M1830</v>
          </cell>
          <cell r="C736">
            <v>0</v>
          </cell>
          <cell r="D736">
            <v>1</v>
          </cell>
          <cell r="E736">
            <v>0</v>
          </cell>
          <cell r="F736">
            <v>0</v>
          </cell>
        </row>
        <row r="737">
          <cell r="A737" t="str">
            <v>CS-LHY170-W902-XXL</v>
          </cell>
          <cell r="B737" t="str">
            <v>CS-LHY170</v>
          </cell>
          <cell r="C737">
            <v>13</v>
          </cell>
          <cell r="D737">
            <v>2</v>
          </cell>
          <cell r="E737">
            <v>0</v>
          </cell>
          <cell r="F737">
            <v>0</v>
          </cell>
        </row>
        <row r="738">
          <cell r="A738" t="str">
            <v>CS-LHY003-BK-XL</v>
          </cell>
          <cell r="B738" t="str">
            <v>CS-LHY003</v>
          </cell>
          <cell r="C738">
            <v>0</v>
          </cell>
          <cell r="D738">
            <v>1</v>
          </cell>
          <cell r="E738">
            <v>0</v>
          </cell>
          <cell r="F738">
            <v>0</v>
          </cell>
        </row>
        <row r="739">
          <cell r="A739" t="str">
            <v>MY-SB027-BL-M</v>
          </cell>
          <cell r="B739" t="str">
            <v>MY-SB027</v>
          </cell>
          <cell r="C739">
            <v>1</v>
          </cell>
          <cell r="D739">
            <v>1</v>
          </cell>
          <cell r="E739">
            <v>0</v>
          </cell>
          <cell r="F739">
            <v>0</v>
          </cell>
        </row>
        <row r="740">
          <cell r="A740" t="str">
            <v>DK-LY-K518-OR-44</v>
          </cell>
          <cell r="B740" t="str">
            <v>DK-LY-K518</v>
          </cell>
          <cell r="C740">
            <v>0</v>
          </cell>
          <cell r="D740">
            <v>1</v>
          </cell>
          <cell r="E740">
            <v>0</v>
          </cell>
          <cell r="F740">
            <v>0</v>
          </cell>
        </row>
        <row r="741">
          <cell r="A741" t="str">
            <v>CS-BS003-NB-M</v>
          </cell>
          <cell r="B741" t="str">
            <v>CS-BS003</v>
          </cell>
          <cell r="C741">
            <v>0</v>
          </cell>
          <cell r="D741">
            <v>1</v>
          </cell>
          <cell r="E741">
            <v>0</v>
          </cell>
          <cell r="F741">
            <v>0</v>
          </cell>
        </row>
        <row r="742">
          <cell r="A742" t="str">
            <v>CS-SB003-NB-S</v>
          </cell>
          <cell r="B742" t="str">
            <v>CS-SB003</v>
          </cell>
          <cell r="C742">
            <v>0</v>
          </cell>
          <cell r="D742">
            <v>1</v>
          </cell>
          <cell r="E742">
            <v>0</v>
          </cell>
          <cell r="F742">
            <v>0</v>
          </cell>
        </row>
        <row r="743">
          <cell r="A743" t="str">
            <v>CS-CA170-W902-L</v>
          </cell>
          <cell r="B743" t="str">
            <v>CS-CA170</v>
          </cell>
          <cell r="C743">
            <v>0</v>
          </cell>
          <cell r="D743">
            <v>2</v>
          </cell>
          <cell r="E743">
            <v>0</v>
          </cell>
          <cell r="F743">
            <v>0</v>
          </cell>
        </row>
        <row r="744">
          <cell r="A744" t="str">
            <v>MY-SBPoint021-NY-M</v>
          </cell>
          <cell r="B744" t="str">
            <v>MY-SBPoint021</v>
          </cell>
          <cell r="C744">
            <v>1</v>
          </cell>
          <cell r="D744">
            <v>1</v>
          </cell>
          <cell r="E744">
            <v>0</v>
          </cell>
          <cell r="F744">
            <v>0</v>
          </cell>
        </row>
        <row r="745">
          <cell r="A745" t="str">
            <v>CS-LHY032-GN1-XL</v>
          </cell>
          <cell r="B745" t="str">
            <v>CS-LHY032</v>
          </cell>
          <cell r="C745">
            <v>1</v>
          </cell>
          <cell r="D745">
            <v>1</v>
          </cell>
          <cell r="E745">
            <v>0</v>
          </cell>
          <cell r="F745">
            <v>0</v>
          </cell>
        </row>
        <row r="746">
          <cell r="A746" t="str">
            <v>CS-BUSB031-GN1-L</v>
          </cell>
          <cell r="B746" t="str">
            <v>CS-BUSB031</v>
          </cell>
          <cell r="C746">
            <v>0</v>
          </cell>
          <cell r="D746">
            <v>1</v>
          </cell>
          <cell r="E746">
            <v>0</v>
          </cell>
          <cell r="F746">
            <v>0</v>
          </cell>
        </row>
        <row r="747">
          <cell r="A747" t="str">
            <v>CS-SB002-BLNGN-L</v>
          </cell>
          <cell r="B747" t="str">
            <v>CS-SB002</v>
          </cell>
          <cell r="C747">
            <v>1</v>
          </cell>
          <cell r="D747">
            <v>1</v>
          </cell>
          <cell r="E747">
            <v>0</v>
          </cell>
          <cell r="F747">
            <v>0</v>
          </cell>
        </row>
        <row r="748">
          <cell r="A748" t="str">
            <v>CS-LHY030-GR-XXL</v>
          </cell>
          <cell r="B748" t="str">
            <v>CS-LHY030</v>
          </cell>
          <cell r="C748">
            <v>4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MY-SB027-NY-XL</v>
          </cell>
          <cell r="B749" t="str">
            <v>MY-SB027</v>
          </cell>
          <cell r="C749">
            <v>0</v>
          </cell>
          <cell r="D749">
            <v>1</v>
          </cell>
          <cell r="E749">
            <v>0</v>
          </cell>
          <cell r="F749">
            <v>0</v>
          </cell>
        </row>
        <row r="750">
          <cell r="A750" t="str">
            <v>CS-SB170-G912-S</v>
          </cell>
          <cell r="B750" t="str">
            <v>CS-SB170</v>
          </cell>
          <cell r="C750">
            <v>2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CS-SB002-RNBL-2XL</v>
          </cell>
          <cell r="B751" t="str">
            <v>CS-SB002</v>
          </cell>
          <cell r="C751">
            <v>0</v>
          </cell>
          <cell r="D751">
            <v>1</v>
          </cell>
          <cell r="E751">
            <v>0</v>
          </cell>
          <cell r="F751">
            <v>0</v>
          </cell>
        </row>
        <row r="752">
          <cell r="A752" t="str">
            <v>CS-SB016-NB-XL</v>
          </cell>
          <cell r="B752" t="str">
            <v>CS-SB016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MY-SB020-BK-L</v>
          </cell>
          <cell r="B753" t="str">
            <v>MY-SB020</v>
          </cell>
          <cell r="C753">
            <v>0</v>
          </cell>
          <cell r="D753">
            <v>1</v>
          </cell>
          <cell r="E753">
            <v>0</v>
          </cell>
          <cell r="F753">
            <v>0</v>
          </cell>
        </row>
        <row r="754">
          <cell r="A754" t="str">
            <v>CS-LY085-LB916-M</v>
          </cell>
          <cell r="B754" t="str">
            <v>CS-LY085</v>
          </cell>
          <cell r="C754">
            <v>0</v>
          </cell>
          <cell r="D754">
            <v>1</v>
          </cell>
          <cell r="E754">
            <v>0</v>
          </cell>
          <cell r="F754">
            <v>0</v>
          </cell>
        </row>
        <row r="755">
          <cell r="A755" t="str">
            <v>CS-BS016-LB-XL</v>
          </cell>
          <cell r="B755" t="str">
            <v>CS-BS016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</row>
        <row r="756">
          <cell r="A756" t="str">
            <v>DK-LY-K518-KQ-34</v>
          </cell>
          <cell r="B756" t="str">
            <v>DK-LY-K518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</row>
        <row r="757">
          <cell r="A757" t="str">
            <v>CS-SB005-BK-S</v>
          </cell>
          <cell r="B757" t="str">
            <v>CS-SB005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MY-SB027-NY-L</v>
          </cell>
          <cell r="B758" t="str">
            <v>MY-SB027</v>
          </cell>
          <cell r="C758">
            <v>2</v>
          </cell>
          <cell r="D758">
            <v>0</v>
          </cell>
          <cell r="E758">
            <v>0</v>
          </cell>
          <cell r="F758">
            <v>0</v>
          </cell>
        </row>
        <row r="759">
          <cell r="A759" t="str">
            <v>CS-SB166-K33-1-M</v>
          </cell>
          <cell r="B759" t="str">
            <v>CS-SB166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</row>
        <row r="760">
          <cell r="A760" t="str">
            <v>CS-LY166-B28-5-XXL</v>
          </cell>
          <cell r="B760" t="str">
            <v>CS-LY166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</row>
        <row r="761">
          <cell r="A761" t="str">
            <v>CS-SB005-BL1-L</v>
          </cell>
          <cell r="B761" t="str">
            <v>CS-SB005</v>
          </cell>
          <cell r="C761">
            <v>3</v>
          </cell>
          <cell r="D761">
            <v>0</v>
          </cell>
          <cell r="E761">
            <v>0</v>
          </cell>
          <cell r="F761">
            <v>0</v>
          </cell>
        </row>
        <row r="762">
          <cell r="A762" t="str">
            <v>POLO-SB014-YL-S</v>
          </cell>
          <cell r="B762" t="str">
            <v>POLO-SB014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MY-SBPoint021-KK-M</v>
          </cell>
          <cell r="B763" t="str">
            <v>MY-SBPoint021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</row>
        <row r="764">
          <cell r="A764" t="str">
            <v>CS-SB002-CF-XXL</v>
          </cell>
          <cell r="B764" t="str">
            <v>CS-SB002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</row>
        <row r="765">
          <cell r="A765" t="str">
            <v>CS-LY171-Sa911-XXL</v>
          </cell>
          <cell r="B765" t="str">
            <v>CS-LY171</v>
          </cell>
          <cell r="C765">
            <v>3</v>
          </cell>
          <cell r="D765">
            <v>0</v>
          </cell>
          <cell r="E765">
            <v>0</v>
          </cell>
          <cell r="F765">
            <v>0</v>
          </cell>
        </row>
        <row r="766">
          <cell r="A766" t="str">
            <v>MY-SB011JR-PP-M</v>
          </cell>
          <cell r="B766" t="str">
            <v>MY-SB011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MY-SB011-PP-L</v>
          </cell>
          <cell r="B767" t="str">
            <v>MY-SB011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</row>
        <row r="768">
          <cell r="A768" t="str">
            <v>MY-SB011JR-PP-S</v>
          </cell>
          <cell r="B768" t="str">
            <v>MY-SB011</v>
          </cell>
          <cell r="C768">
            <v>1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MY-SB011-PP-M</v>
          </cell>
          <cell r="B769" t="str">
            <v>MY-SB011</v>
          </cell>
          <cell r="C769">
            <v>2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CS-LY085-WR917-XXL</v>
          </cell>
          <cell r="B770" t="str">
            <v>CS-LY085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MY-SB011JR-NY-S</v>
          </cell>
          <cell r="B771" t="str">
            <v>MY-SB011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CS-BS016-B0-L</v>
          </cell>
          <cell r="B772" t="str">
            <v>CS-BS016</v>
          </cell>
          <cell r="C772">
            <v>2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CS-BUSB031-GN2-XL</v>
          </cell>
          <cell r="B773" t="str">
            <v>CS-BUSB031</v>
          </cell>
          <cell r="C773">
            <v>2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POLO-SB1503-BK-M</v>
          </cell>
          <cell r="B774" t="str">
            <v>POLO-SB1503</v>
          </cell>
          <cell r="C774">
            <v>2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CS-BUSB032-RD-S</v>
          </cell>
          <cell r="B775" t="str">
            <v>CS-BUSB032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</row>
        <row r="776">
          <cell r="A776" t="str">
            <v>CS-SB002-CF-S</v>
          </cell>
          <cell r="B776" t="str">
            <v>CS-SB002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CS-LY166-B28-4-M</v>
          </cell>
          <cell r="B777" t="str">
            <v>CS-LY166</v>
          </cell>
          <cell r="C777">
            <v>2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MY-LYPoint021-K0-M</v>
          </cell>
          <cell r="B778" t="str">
            <v>MY-LYPoint021</v>
          </cell>
          <cell r="C778">
            <v>3</v>
          </cell>
          <cell r="D778">
            <v>0</v>
          </cell>
          <cell r="E778">
            <v>0</v>
          </cell>
          <cell r="F778">
            <v>0</v>
          </cell>
        </row>
        <row r="779">
          <cell r="A779" t="str">
            <v>CS-SB005-RD-XL</v>
          </cell>
          <cell r="B779" t="str">
            <v>CS-SB005</v>
          </cell>
          <cell r="C779">
            <v>2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DK-LY-K518-KQ-40</v>
          </cell>
          <cell r="B780" t="str">
            <v>DK-LY-K518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</row>
        <row r="781">
          <cell r="A781" t="str">
            <v>DK-LY-K157-B0-40</v>
          </cell>
          <cell r="B781" t="str">
            <v>DK-LY-K157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MY-SB011JR-NY-M</v>
          </cell>
          <cell r="B782" t="str">
            <v>MY-SB011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CS-BUSB032-GN1-M</v>
          </cell>
          <cell r="B783" t="str">
            <v>CS-BUSB032</v>
          </cell>
          <cell r="C783">
            <v>3</v>
          </cell>
          <cell r="D783">
            <v>0</v>
          </cell>
          <cell r="E783">
            <v>0</v>
          </cell>
          <cell r="F783">
            <v>0</v>
          </cell>
        </row>
        <row r="784">
          <cell r="A784" t="str">
            <v>MY-LYRound020-DG-L</v>
          </cell>
          <cell r="B784" t="str">
            <v>MY-LYRound020</v>
          </cell>
          <cell r="C784">
            <v>1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CS-LHY170-G912-XL</v>
          </cell>
          <cell r="B785" t="str">
            <v>CS-LHY170</v>
          </cell>
          <cell r="C785">
            <v>6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MTX-IULHY-M1798-CF-29</v>
          </cell>
          <cell r="B786" t="str">
            <v>MTX-IULHY-M1798</v>
          </cell>
          <cell r="C786">
            <v>2</v>
          </cell>
          <cell r="D786">
            <v>0</v>
          </cell>
          <cell r="E786">
            <v>0</v>
          </cell>
          <cell r="F786">
            <v>0</v>
          </cell>
        </row>
        <row r="787">
          <cell r="A787" t="str">
            <v>CS-LY084-H1-L</v>
          </cell>
          <cell r="B787" t="str">
            <v>CS-LY084</v>
          </cell>
          <cell r="C787">
            <v>2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MY-LYPoint021-DG-S</v>
          </cell>
          <cell r="B788" t="str">
            <v>MY-LYPoint021</v>
          </cell>
          <cell r="C788">
            <v>2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CS-LHY170-Sa911-S</v>
          </cell>
          <cell r="B789" t="str">
            <v>CS-LHY170</v>
          </cell>
          <cell r="C789">
            <v>2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CS-SB171-PI908-L</v>
          </cell>
          <cell r="B790" t="str">
            <v>CS-SB171</v>
          </cell>
          <cell r="C790">
            <v>3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MY-LYRound020-W0-L</v>
          </cell>
          <cell r="B791" t="str">
            <v>MY-LYRound020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MY-SB027-BK-L</v>
          </cell>
          <cell r="B792" t="str">
            <v>MY-SB027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CS-SB166-B28-1-L</v>
          </cell>
          <cell r="B793" t="str">
            <v>CS-SB166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MTX-IULHY-M188-GR-40/42</v>
          </cell>
          <cell r="B794" t="str">
            <v>MTX-IULHY-M188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CS-SB030-YL-L</v>
          </cell>
          <cell r="B795" t="str">
            <v>CS-SB030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</row>
        <row r="796">
          <cell r="A796" t="str">
            <v>WQS-BN-1503-GR-S</v>
          </cell>
          <cell r="B796" t="str">
            <v>WQS-BN-1503</v>
          </cell>
          <cell r="C796">
            <v>4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MTX-IULHY-M1798-BK-28</v>
          </cell>
          <cell r="B797" t="str">
            <v>MTX-IULHY-M1798</v>
          </cell>
          <cell r="C797">
            <v>2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CS-SB005-BL1-XL</v>
          </cell>
          <cell r="B798" t="str">
            <v>CS-SB005</v>
          </cell>
          <cell r="C798">
            <v>1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MTX-IULHY-M1798-BK-29</v>
          </cell>
          <cell r="B799" t="str">
            <v>MTX-IULHY-M1798</v>
          </cell>
          <cell r="C799">
            <v>4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MY-BS011-DG-L</v>
          </cell>
          <cell r="B800" t="str">
            <v>MY-BS011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CS-LY084-H1-S</v>
          </cell>
          <cell r="B801" t="str">
            <v>CS-LY084</v>
          </cell>
          <cell r="C801">
            <v>2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CS-SB166-B28-4-L</v>
          </cell>
          <cell r="B802" t="str">
            <v>CS-SB166</v>
          </cell>
          <cell r="C802">
            <v>1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CS-LY084-H16-S</v>
          </cell>
          <cell r="B803" t="str">
            <v>CS-LY084</v>
          </cell>
          <cell r="C803">
            <v>2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CS-SB005-GN-L</v>
          </cell>
          <cell r="B804" t="str">
            <v>CS-SB005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CS-SB005-GN-S</v>
          </cell>
          <cell r="B805" t="str">
            <v>CS-SB005</v>
          </cell>
          <cell r="C805">
            <v>1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MY-SB011-LG-M</v>
          </cell>
          <cell r="B806" t="str">
            <v>MY-SB011</v>
          </cell>
          <cell r="C806">
            <v>1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MY-SB020-DG-M</v>
          </cell>
          <cell r="B807" t="str">
            <v>MY-SB020</v>
          </cell>
          <cell r="C807">
            <v>1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CS-LHY032-NB-XL</v>
          </cell>
          <cell r="B808" t="str">
            <v>CS-LHY032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CS-LHY032-GN2-L</v>
          </cell>
          <cell r="B809" t="str">
            <v>CS-LHY032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CS-LY086-B0-M</v>
          </cell>
          <cell r="B810" t="str">
            <v>CS-LY086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MY-SB019-DG-M</v>
          </cell>
          <cell r="B811" t="str">
            <v>MY-SB019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MY-SB018-NY-M</v>
          </cell>
          <cell r="B812" t="str">
            <v>MY-SB018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</row>
        <row r="813">
          <cell r="A813" t="str">
            <v>CS-SB006-BK-M</v>
          </cell>
          <cell r="B813" t="str">
            <v>CS-SB006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CA084-H15-L</v>
          </cell>
          <cell r="B814" t="str">
            <v>CA084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</row>
        <row r="815">
          <cell r="A815" t="str">
            <v>CA084-H16-L</v>
          </cell>
          <cell r="B815" t="str">
            <v>CA084</v>
          </cell>
          <cell r="C815">
            <v>1</v>
          </cell>
          <cell r="D815">
            <v>0</v>
          </cell>
          <cell r="E815">
            <v>0</v>
          </cell>
          <cell r="F815">
            <v>0</v>
          </cell>
        </row>
        <row r="816">
          <cell r="A816" t="str">
            <v>MY-SB027-DG-XL</v>
          </cell>
          <cell r="B816" t="str">
            <v>MY-SB027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CS-LHY032-RD-L</v>
          </cell>
          <cell r="B817" t="str">
            <v>CS-LHY032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</row>
        <row r="818">
          <cell r="A818" t="str">
            <v>CS-BUSB032-GN1-XXL</v>
          </cell>
          <cell r="B818" t="str">
            <v>CS-BUSB032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CS-SB170-LG907-S</v>
          </cell>
          <cell r="B819" t="str">
            <v>CS-SB170</v>
          </cell>
          <cell r="C819">
            <v>4</v>
          </cell>
          <cell r="D819">
            <v>0</v>
          </cell>
          <cell r="E819">
            <v>0</v>
          </cell>
          <cell r="F819">
            <v>0</v>
          </cell>
        </row>
        <row r="820">
          <cell r="A820" t="str">
            <v>CS-SB166-K33-4-L</v>
          </cell>
          <cell r="B820" t="str">
            <v>CS-SB166</v>
          </cell>
          <cell r="C820">
            <v>1</v>
          </cell>
          <cell r="D820">
            <v>0</v>
          </cell>
          <cell r="E820">
            <v>0</v>
          </cell>
          <cell r="F820">
            <v>0</v>
          </cell>
        </row>
        <row r="821">
          <cell r="A821" t="str">
            <v>CS-SB166-B28-3-M</v>
          </cell>
          <cell r="B821" t="str">
            <v>CS-SB166</v>
          </cell>
          <cell r="C821">
            <v>2</v>
          </cell>
          <cell r="D821">
            <v>0</v>
          </cell>
          <cell r="E821">
            <v>0</v>
          </cell>
          <cell r="F821">
            <v>0</v>
          </cell>
        </row>
        <row r="822">
          <cell r="A822" t="str">
            <v>CS-SB006-RD2-2XL</v>
          </cell>
          <cell r="B822" t="str">
            <v>CS-SB006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</row>
        <row r="823">
          <cell r="A823" t="str">
            <v>CS-LY166-K33-4-XL</v>
          </cell>
          <cell r="B823" t="str">
            <v>CS-LY166</v>
          </cell>
          <cell r="C823">
            <v>1</v>
          </cell>
          <cell r="D823">
            <v>0</v>
          </cell>
          <cell r="E823">
            <v>0</v>
          </cell>
          <cell r="F823">
            <v>0</v>
          </cell>
        </row>
        <row r="824">
          <cell r="A824" t="str">
            <v>CS-BUSB031-RD1-L</v>
          </cell>
          <cell r="B824" t="str">
            <v>CS-BUSB031</v>
          </cell>
          <cell r="C824">
            <v>1</v>
          </cell>
          <cell r="D824">
            <v>0</v>
          </cell>
          <cell r="E824">
            <v>0</v>
          </cell>
          <cell r="F824">
            <v>0</v>
          </cell>
        </row>
        <row r="825">
          <cell r="A825" t="str">
            <v>MY-LYRound020-OR-XL</v>
          </cell>
          <cell r="B825" t="str">
            <v>MY-LYRound020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</row>
        <row r="826">
          <cell r="A826" t="str">
            <v>CS-BBS030-BK-S</v>
          </cell>
          <cell r="B826" t="str">
            <v>CS-BBS030</v>
          </cell>
          <cell r="C826">
            <v>2</v>
          </cell>
          <cell r="D826">
            <v>0</v>
          </cell>
          <cell r="E826">
            <v>0</v>
          </cell>
          <cell r="F826">
            <v>0</v>
          </cell>
        </row>
        <row r="827">
          <cell r="A827" t="str">
            <v>MY-SB027-DG-M</v>
          </cell>
          <cell r="B827" t="str">
            <v>MY-SB027</v>
          </cell>
          <cell r="C827">
            <v>1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CS-LY085-LG907-XL</v>
          </cell>
          <cell r="B828" t="str">
            <v>CS-LY085</v>
          </cell>
          <cell r="C828">
            <v>1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CS-CA181-G912-XL</v>
          </cell>
          <cell r="B829" t="str">
            <v>CS-CA181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CS-CA181-W902-XL</v>
          </cell>
          <cell r="B830" t="str">
            <v>CS-CA181</v>
          </cell>
          <cell r="C830">
            <v>1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CS-LHY032-GN1-XXL</v>
          </cell>
          <cell r="B831" t="str">
            <v>CS-LHY032</v>
          </cell>
          <cell r="C831">
            <v>2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MY-SB011JR-PP-L</v>
          </cell>
          <cell r="B832" t="str">
            <v>MY-SB011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</row>
        <row r="833">
          <cell r="A833" t="str">
            <v>CS-SB166-K73-1-XXL</v>
          </cell>
          <cell r="B833" t="str">
            <v>CS-SB166</v>
          </cell>
          <cell r="C833">
            <v>1</v>
          </cell>
          <cell r="D833">
            <v>0</v>
          </cell>
          <cell r="E833">
            <v>0</v>
          </cell>
          <cell r="F833">
            <v>0</v>
          </cell>
        </row>
        <row r="834">
          <cell r="A834" t="str">
            <v>CS-BS003-NB-XXL</v>
          </cell>
          <cell r="B834" t="str">
            <v>CS-BS003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</row>
        <row r="835">
          <cell r="A835" t="str">
            <v>CS-SB166-K33-2-S</v>
          </cell>
          <cell r="B835" t="str">
            <v>CS-SB166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</row>
        <row r="836">
          <cell r="A836" t="str">
            <v>CS-LY166-K73-1-S</v>
          </cell>
          <cell r="B836" t="str">
            <v>CS-LY166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</row>
        <row r="837">
          <cell r="A837" t="str">
            <v>CS-LY166-B28-3-S</v>
          </cell>
          <cell r="B837" t="str">
            <v>CS-LY166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</row>
        <row r="838">
          <cell r="A838" t="str">
            <v>MY-SB011-BK-L</v>
          </cell>
          <cell r="B838" t="str">
            <v>MY-SB011</v>
          </cell>
          <cell r="C838">
            <v>1</v>
          </cell>
          <cell r="D838">
            <v>0</v>
          </cell>
          <cell r="E838">
            <v>0</v>
          </cell>
          <cell r="F838">
            <v>0</v>
          </cell>
        </row>
        <row r="839">
          <cell r="A839" t="str">
            <v>MY-SBPoint021-BL-M</v>
          </cell>
          <cell r="B839" t="str">
            <v>MY-SBPoint021</v>
          </cell>
          <cell r="C839">
            <v>1</v>
          </cell>
          <cell r="D839">
            <v>0</v>
          </cell>
          <cell r="E839">
            <v>0</v>
          </cell>
          <cell r="F839">
            <v>0</v>
          </cell>
        </row>
        <row r="840">
          <cell r="A840" t="str">
            <v>MY-LYRound020-GR-S</v>
          </cell>
          <cell r="B840" t="str">
            <v>MY-LYRound020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</row>
        <row r="841">
          <cell r="A841" t="str">
            <v>CS-LHY032-RD-S</v>
          </cell>
          <cell r="B841" t="str">
            <v>CS-LHY032</v>
          </cell>
          <cell r="C841">
            <v>1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MY-SB019-DG-L</v>
          </cell>
          <cell r="B842" t="str">
            <v>MY-SB019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</row>
        <row r="843">
          <cell r="A843" t="str">
            <v>MY-SB021-KK-M</v>
          </cell>
          <cell r="B843" t="str">
            <v>MY-SB021</v>
          </cell>
          <cell r="C843">
            <v>1</v>
          </cell>
          <cell r="D843">
            <v>0</v>
          </cell>
          <cell r="E843">
            <v>0</v>
          </cell>
          <cell r="F843">
            <v>0</v>
          </cell>
        </row>
        <row r="844">
          <cell r="A844" t="str">
            <v>WQS-BN-1503-RO-2XL</v>
          </cell>
          <cell r="B844" t="str">
            <v>WQS-BN-1503</v>
          </cell>
          <cell r="C844">
            <v>1</v>
          </cell>
          <cell r="D844">
            <v>0</v>
          </cell>
          <cell r="E844">
            <v>0</v>
          </cell>
          <cell r="F844">
            <v>0</v>
          </cell>
        </row>
        <row r="845">
          <cell r="A845" t="str">
            <v>CS-BUSB032-NB-M</v>
          </cell>
          <cell r="B845" t="str">
            <v>CS-BUSB032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</row>
        <row r="846">
          <cell r="A846" t="str">
            <v>CS-SB030-WT-S</v>
          </cell>
          <cell r="B846" t="str">
            <v>CS-SB030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MTX-IULHY-M1798-CF-28</v>
          </cell>
          <cell r="B847" t="str">
            <v>MTX-IULHY-M1798</v>
          </cell>
          <cell r="C847">
            <v>2</v>
          </cell>
          <cell r="D847">
            <v>0</v>
          </cell>
          <cell r="E847">
            <v>0</v>
          </cell>
          <cell r="F847">
            <v>0</v>
          </cell>
        </row>
        <row r="848">
          <cell r="A848" t="str">
            <v>MY-SB011JR-PP-XL</v>
          </cell>
          <cell r="B848" t="str">
            <v>MY-SB011</v>
          </cell>
          <cell r="C848">
            <v>1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CS-BUSB031-YL1-XXL</v>
          </cell>
          <cell r="B849" t="str">
            <v>CS-BUSB031</v>
          </cell>
          <cell r="C849">
            <v>1</v>
          </cell>
          <cell r="D849">
            <v>0</v>
          </cell>
          <cell r="E849">
            <v>0</v>
          </cell>
          <cell r="F849">
            <v>0</v>
          </cell>
        </row>
        <row r="850">
          <cell r="A850" t="str">
            <v>MY-LYRound020-KQ-M</v>
          </cell>
          <cell r="B850" t="str">
            <v>MY-LYRound020</v>
          </cell>
          <cell r="C850">
            <v>1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CS-SB005-RD1-XL</v>
          </cell>
          <cell r="B851" t="str">
            <v>CS-SB005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</row>
        <row r="852">
          <cell r="A852" t="str">
            <v>CS-CA170-PI908-L</v>
          </cell>
          <cell r="B852" t="str">
            <v>CS-CA170</v>
          </cell>
          <cell r="C852">
            <v>1</v>
          </cell>
          <cell r="D852">
            <v>0</v>
          </cell>
          <cell r="E852">
            <v>0</v>
          </cell>
          <cell r="F852">
            <v>0</v>
          </cell>
        </row>
        <row r="853">
          <cell r="A853" t="str">
            <v>MY-LYPoint021-GR-XL</v>
          </cell>
          <cell r="B853" t="str">
            <v>MY-LYPoint021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</row>
        <row r="854">
          <cell r="A854" t="str">
            <v>MY-SB027-DG-L</v>
          </cell>
          <cell r="B854" t="str">
            <v>MY-SB027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</row>
        <row r="855">
          <cell r="A855" t="str">
            <v>MY-SB027-DG-S</v>
          </cell>
          <cell r="B855" t="str">
            <v>MY-SB027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</row>
        <row r="856">
          <cell r="A856" t="str">
            <v>CS-SB005-RD-L</v>
          </cell>
          <cell r="B856" t="str">
            <v>CS-SB005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</row>
        <row r="857">
          <cell r="A857" t="str">
            <v>CS-LHY009-BK-XL</v>
          </cell>
          <cell r="B857" t="str">
            <v>CS-LHY009</v>
          </cell>
          <cell r="C857">
            <v>1</v>
          </cell>
          <cell r="D857">
            <v>0</v>
          </cell>
          <cell r="E857">
            <v>0</v>
          </cell>
          <cell r="F857">
            <v>0</v>
          </cell>
        </row>
        <row r="858">
          <cell r="A858" t="str">
            <v>CS-SB030-WT-L</v>
          </cell>
          <cell r="B858" t="str">
            <v>CS-SB030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</row>
        <row r="859">
          <cell r="A859" t="str">
            <v>MTX-IULHY-M188-CF-40/42</v>
          </cell>
          <cell r="B859" t="str">
            <v>MTX-IULHY-M188</v>
          </cell>
          <cell r="C859">
            <v>1</v>
          </cell>
          <cell r="D859">
            <v>0</v>
          </cell>
          <cell r="E859">
            <v>0</v>
          </cell>
          <cell r="F859">
            <v>0</v>
          </cell>
        </row>
        <row r="860">
          <cell r="A860" t="str">
            <v>CS-SB181-W902-L</v>
          </cell>
          <cell r="B860" t="str">
            <v>CS-SB181</v>
          </cell>
          <cell r="C860">
            <v>1</v>
          </cell>
          <cell r="D860">
            <v>0</v>
          </cell>
          <cell r="E860">
            <v>0</v>
          </cell>
          <cell r="F860">
            <v>0</v>
          </cell>
        </row>
        <row r="861">
          <cell r="A861" t="str">
            <v>MTX-IULHY-M1798-BK-27</v>
          </cell>
          <cell r="B861" t="str">
            <v>MTX-IULHY-M1798</v>
          </cell>
          <cell r="C861">
            <v>2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CFY-M1798-RD-M</v>
          </cell>
          <cell r="B862" t="str">
            <v>CFY-M1798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CS-SB010-WT-8</v>
          </cell>
          <cell r="B863" t="str">
            <v>CS-SB010</v>
          </cell>
          <cell r="C863">
            <v>1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CS-LY166-B28-1-S</v>
          </cell>
          <cell r="B864" t="str">
            <v>CS-LY166</v>
          </cell>
          <cell r="C864">
            <v>1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CS-LY166-B28-1-XL</v>
          </cell>
          <cell r="B865" t="str">
            <v>CS-LY166</v>
          </cell>
          <cell r="C865">
            <v>1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CS-LY171-Sa911-M</v>
          </cell>
          <cell r="B866" t="str">
            <v>CS-LY171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CS-SB006-GN-M</v>
          </cell>
          <cell r="B867" t="str">
            <v>CS-SB006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</row>
        <row r="5834">
          <cell r="A5834" t="str">
            <v>CS-LY171-LG907-M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15902</v>
          </cell>
          <cell r="C2">
            <v>77</v>
          </cell>
          <cell r="D2">
            <v>2934</v>
          </cell>
          <cell r="E2">
            <v>68</v>
          </cell>
          <cell r="F2">
            <v>3002</v>
          </cell>
          <cell r="G2">
            <v>442</v>
          </cell>
          <cell r="H2">
            <v>186</v>
          </cell>
          <cell r="I2">
            <v>216</v>
          </cell>
          <cell r="J2">
            <v>2895</v>
          </cell>
          <cell r="K2">
            <v>2972</v>
          </cell>
          <cell r="L2">
            <v>1140</v>
          </cell>
          <cell r="M2">
            <v>5</v>
          </cell>
        </row>
        <row r="3">
          <cell r="A3" t="str">
            <v>CA084-H3-M</v>
          </cell>
          <cell r="B3">
            <v>30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2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CA171-PI908-XXL</v>
          </cell>
          <cell r="B4">
            <v>6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CA171-G912-XL</v>
          </cell>
          <cell r="B5">
            <v>20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CA171-Sa911-M</v>
          </cell>
          <cell r="B6">
            <v>53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2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CA084-H10-XXL</v>
          </cell>
          <cell r="B7">
            <v>10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CA171-Sa911-S</v>
          </cell>
          <cell r="B8">
            <v>2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CA084-H10-XL</v>
          </cell>
          <cell r="B9">
            <v>16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CA084-H10-L</v>
          </cell>
          <cell r="B10">
            <v>17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CA084-H15-S</v>
          </cell>
          <cell r="B11">
            <v>31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CA171-LB916-M</v>
          </cell>
          <cell r="B12">
            <v>41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CA084-H10-S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CA084-H1-M</v>
          </cell>
          <cell r="B14">
            <v>41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CA171-PI908-M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CA084-H15-L</v>
          </cell>
          <cell r="B16">
            <v>18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CA084-H4-M</v>
          </cell>
          <cell r="B17">
            <v>14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CA171-G912-L</v>
          </cell>
          <cell r="B18">
            <v>37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CA084-H1-L</v>
          </cell>
          <cell r="B19">
            <v>8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CA084-H16-XL</v>
          </cell>
          <cell r="B20">
            <v>40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CA084-H4-L</v>
          </cell>
          <cell r="B21">
            <v>33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CA171-ZL918-S</v>
          </cell>
          <cell r="B22">
            <v>23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CA171-Sa911-XXL</v>
          </cell>
          <cell r="B23">
            <v>48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CS-BBS003-LB-S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CS-BBS003-BK-L</v>
          </cell>
          <cell r="B25">
            <v>23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CS-BBS003-LB-L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CS-BBS030-WT-L</v>
          </cell>
          <cell r="B27">
            <v>15</v>
          </cell>
          <cell r="C27">
            <v>0</v>
          </cell>
          <cell r="D27">
            <v>15</v>
          </cell>
          <cell r="E27">
            <v>0</v>
          </cell>
          <cell r="F27">
            <v>15</v>
          </cell>
          <cell r="G27">
            <v>1</v>
          </cell>
          <cell r="H27">
            <v>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CS-BBS030-WT-XXL</v>
          </cell>
          <cell r="B28">
            <v>24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CS-BBS030-BL-XXL</v>
          </cell>
          <cell r="B29">
            <v>14</v>
          </cell>
          <cell r="C29">
            <v>0</v>
          </cell>
          <cell r="D29">
            <v>10</v>
          </cell>
          <cell r="E29">
            <v>0</v>
          </cell>
          <cell r="F29">
            <v>10</v>
          </cell>
          <cell r="G29">
            <v>0</v>
          </cell>
          <cell r="H29">
            <v>1</v>
          </cell>
          <cell r="I29">
            <v>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CS-BBS030-WT-XL</v>
          </cell>
          <cell r="B30">
            <v>13</v>
          </cell>
          <cell r="C30">
            <v>0</v>
          </cell>
          <cell r="D30">
            <v>5</v>
          </cell>
          <cell r="E30">
            <v>0</v>
          </cell>
          <cell r="F30">
            <v>5</v>
          </cell>
          <cell r="G30">
            <v>1</v>
          </cell>
          <cell r="H30">
            <v>2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CS-BBS030-BL-M</v>
          </cell>
          <cell r="B31">
            <v>26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2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CS-BS003-LB-L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CS-BBS030-BK-S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2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CS-BBS030-BL-L</v>
          </cell>
          <cell r="B34">
            <v>16</v>
          </cell>
          <cell r="C34">
            <v>0</v>
          </cell>
          <cell r="D34">
            <v>22</v>
          </cell>
          <cell r="E34">
            <v>0</v>
          </cell>
          <cell r="F34">
            <v>22</v>
          </cell>
          <cell r="G34">
            <v>1</v>
          </cell>
          <cell r="H34">
            <v>1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CS-BBS030-BK-XL</v>
          </cell>
          <cell r="B35">
            <v>0</v>
          </cell>
          <cell r="C35">
            <v>0</v>
          </cell>
          <cell r="D35">
            <v>58</v>
          </cell>
          <cell r="E35">
            <v>0</v>
          </cell>
          <cell r="F35">
            <v>58</v>
          </cell>
          <cell r="G35">
            <v>20</v>
          </cell>
          <cell r="H35">
            <v>0</v>
          </cell>
          <cell r="I35">
            <v>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CS-BBS016-BK-L</v>
          </cell>
          <cell r="B36">
            <v>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CS-BS003-LB-S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CS-BBS030-BK-M</v>
          </cell>
          <cell r="B38">
            <v>12</v>
          </cell>
          <cell r="C38">
            <v>0</v>
          </cell>
          <cell r="D38">
            <v>15</v>
          </cell>
          <cell r="E38">
            <v>0</v>
          </cell>
          <cell r="F38">
            <v>15</v>
          </cell>
          <cell r="G38">
            <v>1</v>
          </cell>
          <cell r="H38">
            <v>0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CS-BBS030-BL-XL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CS-BBS030-GR-L</v>
          </cell>
          <cell r="B40">
            <v>46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CS-BS003-BK-L</v>
          </cell>
          <cell r="B41">
            <v>23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3</v>
          </cell>
          <cell r="J41">
            <v>25</v>
          </cell>
          <cell r="K41">
            <v>1</v>
          </cell>
          <cell r="L41">
            <v>0</v>
          </cell>
          <cell r="M41">
            <v>0</v>
          </cell>
        </row>
        <row r="42">
          <cell r="A42" t="str">
            <v>CS-BBS030-BK-L</v>
          </cell>
          <cell r="B42">
            <v>1</v>
          </cell>
          <cell r="C42">
            <v>0</v>
          </cell>
          <cell r="D42">
            <v>30</v>
          </cell>
          <cell r="E42">
            <v>0</v>
          </cell>
          <cell r="F42">
            <v>30</v>
          </cell>
          <cell r="G42">
            <v>2</v>
          </cell>
          <cell r="H42">
            <v>2</v>
          </cell>
          <cell r="I42">
            <v>3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CS-BUSB031-YL2-L</v>
          </cell>
          <cell r="B43">
            <v>9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2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CS-BS016-BK-L</v>
          </cell>
          <cell r="B44">
            <v>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3</v>
          </cell>
          <cell r="J44">
            <v>2</v>
          </cell>
          <cell r="K44">
            <v>6</v>
          </cell>
          <cell r="L44">
            <v>0</v>
          </cell>
          <cell r="M44">
            <v>0</v>
          </cell>
        </row>
        <row r="45">
          <cell r="A45" t="str">
            <v>CS-BS032-GN2-L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1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CS-BS032-RD-XXL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CS-BUSB031-YL2-M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CS-BS032-RD-XL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1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CS-BUSB032-GN2-L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CS-BUSB032-RD-XXL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1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CS-BUSB031LHY-GN2-XL</v>
          </cell>
          <cell r="B51">
            <v>4</v>
          </cell>
          <cell r="C51">
            <v>0</v>
          </cell>
          <cell r="D51">
            <v>1</v>
          </cell>
          <cell r="E51">
            <v>0</v>
          </cell>
          <cell r="F51">
            <v>1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CS-BUSB032-RD-XL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1</v>
          </cell>
          <cell r="J52">
            <v>3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CS-BUSB031LHY-YL1-M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CS-BUSB032-BL-XL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2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CS-LHY003-LB-M</v>
          </cell>
          <cell r="B55">
            <v>25</v>
          </cell>
          <cell r="C55">
            <v>0</v>
          </cell>
          <cell r="D55">
            <v>7</v>
          </cell>
          <cell r="E55">
            <v>0</v>
          </cell>
          <cell r="F55">
            <v>7</v>
          </cell>
          <cell r="G55">
            <v>1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CS-LHY003-LB-XL</v>
          </cell>
          <cell r="B56">
            <v>9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20</v>
          </cell>
          <cell r="H56">
            <v>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CS-LHY009-GN-XL</v>
          </cell>
          <cell r="B57">
            <v>22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1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CS-LHY009-GN-L</v>
          </cell>
          <cell r="B58">
            <v>29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CS-LHY007-LP-S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CS-LHY032-NB-L</v>
          </cell>
          <cell r="B60">
            <v>27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1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CS-LHY032-BL-XXL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CS-LHY032-BL-XL</v>
          </cell>
          <cell r="B62">
            <v>26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CS-LHY032-BL-L</v>
          </cell>
          <cell r="B63">
            <v>20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CS-LHY032-BL-S</v>
          </cell>
          <cell r="B64">
            <v>13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CS-LHY032-GN1-XL</v>
          </cell>
          <cell r="B65">
            <v>23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CS-LHY032-GN2-L</v>
          </cell>
          <cell r="B66">
            <v>26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1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CS-LHY084-H12-XXL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CS-LHY030-BK-XXL</v>
          </cell>
          <cell r="B68">
            <v>16</v>
          </cell>
          <cell r="C68">
            <v>0</v>
          </cell>
          <cell r="D68">
            <v>42</v>
          </cell>
          <cell r="E68">
            <v>0</v>
          </cell>
          <cell r="F68">
            <v>42</v>
          </cell>
          <cell r="G68">
            <v>4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CS-LHY032-RD-L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2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CS-LHY032-NB-S</v>
          </cell>
          <cell r="B70">
            <v>16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CS-LHY030-GR-XXL</v>
          </cell>
          <cell r="B71">
            <v>3</v>
          </cell>
          <cell r="C71">
            <v>0</v>
          </cell>
          <cell r="D71">
            <v>15</v>
          </cell>
          <cell r="E71">
            <v>0</v>
          </cell>
          <cell r="F71">
            <v>15</v>
          </cell>
          <cell r="G71">
            <v>20</v>
          </cell>
          <cell r="H71">
            <v>1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CS-LHY032-NB-XXL</v>
          </cell>
          <cell r="B72">
            <v>28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CS-LHY032-BL-M</v>
          </cell>
          <cell r="B73">
            <v>12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CS-LHY170-Sa911-XL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3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CS-LHY170-G912-XL</v>
          </cell>
          <cell r="B75">
            <v>26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CS-LHY170-LB916-XL</v>
          </cell>
          <cell r="B76">
            <v>20</v>
          </cell>
          <cell r="C76">
            <v>0</v>
          </cell>
          <cell r="D76">
            <v>35</v>
          </cell>
          <cell r="E76">
            <v>0</v>
          </cell>
          <cell r="F76">
            <v>35</v>
          </cell>
          <cell r="G76">
            <v>1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CS-LHY170-LB916-S</v>
          </cell>
          <cell r="B77">
            <v>23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2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CS-LHY170-LG907-XL</v>
          </cell>
          <cell r="B78">
            <v>51</v>
          </cell>
          <cell r="C78">
            <v>0</v>
          </cell>
          <cell r="D78">
            <v>13</v>
          </cell>
          <cell r="E78">
            <v>0</v>
          </cell>
          <cell r="F78">
            <v>13</v>
          </cell>
          <cell r="G78">
            <v>1</v>
          </cell>
          <cell r="H78">
            <v>4</v>
          </cell>
          <cell r="I78">
            <v>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CS-LHY170-BLK-L</v>
          </cell>
          <cell r="B79">
            <v>0</v>
          </cell>
          <cell r="C79">
            <v>0</v>
          </cell>
          <cell r="D79">
            <v>20</v>
          </cell>
          <cell r="E79">
            <v>0</v>
          </cell>
          <cell r="F79">
            <v>20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CS-LHY170-W902-L</v>
          </cell>
          <cell r="B80">
            <v>133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2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CS-LHY170-LG907-M</v>
          </cell>
          <cell r="B81">
            <v>59</v>
          </cell>
          <cell r="C81">
            <v>0</v>
          </cell>
          <cell r="D81">
            <v>25</v>
          </cell>
          <cell r="E81">
            <v>0</v>
          </cell>
          <cell r="F81">
            <v>25</v>
          </cell>
          <cell r="G81">
            <v>81</v>
          </cell>
          <cell r="H81">
            <v>0</v>
          </cell>
          <cell r="I81">
            <v>3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CS-LHY170-LG907-L</v>
          </cell>
          <cell r="B82">
            <v>97</v>
          </cell>
          <cell r="C82">
            <v>0</v>
          </cell>
          <cell r="D82">
            <v>35</v>
          </cell>
          <cell r="E82">
            <v>30</v>
          </cell>
          <cell r="F82">
            <v>65</v>
          </cell>
          <cell r="G82">
            <v>3</v>
          </cell>
          <cell r="H82">
            <v>2</v>
          </cell>
          <cell r="I82">
            <v>3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CS-LHY170-Sa911-L</v>
          </cell>
          <cell r="B83">
            <v>25</v>
          </cell>
          <cell r="C83">
            <v>0</v>
          </cell>
          <cell r="D83">
            <v>46</v>
          </cell>
          <cell r="E83">
            <v>0</v>
          </cell>
          <cell r="F83">
            <v>46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CS-LHY170-G912-L</v>
          </cell>
          <cell r="B84">
            <v>7</v>
          </cell>
          <cell r="C84">
            <v>0</v>
          </cell>
          <cell r="D84">
            <v>8</v>
          </cell>
          <cell r="E84">
            <v>0</v>
          </cell>
          <cell r="F84">
            <v>8</v>
          </cell>
          <cell r="G84">
            <v>1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CS-LHY170-LB916-L</v>
          </cell>
          <cell r="B85">
            <v>13</v>
          </cell>
          <cell r="C85">
            <v>0</v>
          </cell>
          <cell r="D85">
            <v>20</v>
          </cell>
          <cell r="E85">
            <v>0</v>
          </cell>
          <cell r="F85">
            <v>20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CS-LHY170-BLK-M</v>
          </cell>
          <cell r="B86">
            <v>0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CS-LHY170-ZL918-XXL</v>
          </cell>
          <cell r="B87">
            <v>82</v>
          </cell>
          <cell r="C87">
            <v>1</v>
          </cell>
          <cell r="D87">
            <v>52</v>
          </cell>
          <cell r="E87">
            <v>0</v>
          </cell>
          <cell r="F87">
            <v>52</v>
          </cell>
          <cell r="G87">
            <v>4</v>
          </cell>
          <cell r="H87">
            <v>3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CS-LHY170-ZL918-M</v>
          </cell>
          <cell r="B88">
            <v>107</v>
          </cell>
          <cell r="C88">
            <v>0</v>
          </cell>
          <cell r="D88">
            <v>80</v>
          </cell>
          <cell r="E88">
            <v>0</v>
          </cell>
          <cell r="F88">
            <v>80</v>
          </cell>
          <cell r="G88">
            <v>1</v>
          </cell>
          <cell r="H88">
            <v>2</v>
          </cell>
          <cell r="I88">
            <v>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CS-LHY170-W902-XL</v>
          </cell>
          <cell r="B89">
            <v>38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CS-LHY170-WR917-L</v>
          </cell>
          <cell r="B90">
            <v>20</v>
          </cell>
          <cell r="C90">
            <v>1</v>
          </cell>
          <cell r="D90">
            <v>5</v>
          </cell>
          <cell r="E90">
            <v>0</v>
          </cell>
          <cell r="F90">
            <v>5</v>
          </cell>
          <cell r="G90">
            <v>2</v>
          </cell>
          <cell r="H90">
            <v>3</v>
          </cell>
          <cell r="I90">
            <v>4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CS-LHY170X-LB916-XXL</v>
          </cell>
          <cell r="B91">
            <v>0</v>
          </cell>
          <cell r="C91">
            <v>0</v>
          </cell>
          <cell r="D91">
            <v>5</v>
          </cell>
          <cell r="E91">
            <v>0</v>
          </cell>
          <cell r="F91">
            <v>5</v>
          </cell>
          <cell r="G91">
            <v>2</v>
          </cell>
          <cell r="H91">
            <v>2</v>
          </cell>
          <cell r="I91">
            <v>2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CS-LHY170-ZL918-L</v>
          </cell>
          <cell r="B92">
            <v>127</v>
          </cell>
          <cell r="C92">
            <v>2</v>
          </cell>
          <cell r="D92">
            <v>75</v>
          </cell>
          <cell r="E92">
            <v>20</v>
          </cell>
          <cell r="F92">
            <v>95</v>
          </cell>
          <cell r="G92">
            <v>10</v>
          </cell>
          <cell r="H92">
            <v>7</v>
          </cell>
          <cell r="I92">
            <v>2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CS-LHY170-W902-M</v>
          </cell>
          <cell r="B93">
            <v>65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</v>
          </cell>
          <cell r="H93">
            <v>1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CS-LHY170-ZL918-XL</v>
          </cell>
          <cell r="B94">
            <v>79</v>
          </cell>
          <cell r="C94">
            <v>1</v>
          </cell>
          <cell r="D94">
            <v>0</v>
          </cell>
          <cell r="E94">
            <v>13</v>
          </cell>
          <cell r="F94">
            <v>13</v>
          </cell>
          <cell r="G94">
            <v>2</v>
          </cell>
          <cell r="H94">
            <v>3</v>
          </cell>
          <cell r="I94">
            <v>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CS-LHY170-WR917-XXL</v>
          </cell>
          <cell r="B95">
            <v>20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38</v>
          </cell>
          <cell r="H95">
            <v>1</v>
          </cell>
          <cell r="I95">
            <v>2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CS-LHY170-WR917-XL</v>
          </cell>
          <cell r="B96">
            <v>66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1</v>
          </cell>
          <cell r="H96">
            <v>1</v>
          </cell>
          <cell r="I96">
            <v>3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CS-LHY170-W902-XXL</v>
          </cell>
          <cell r="B97">
            <v>63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3</v>
          </cell>
          <cell r="H97">
            <v>2</v>
          </cell>
          <cell r="I97">
            <v>2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CS-LHY170-WR917-M</v>
          </cell>
          <cell r="B98">
            <v>77</v>
          </cell>
          <cell r="C98">
            <v>0</v>
          </cell>
          <cell r="D98">
            <v>18</v>
          </cell>
          <cell r="E98">
            <v>1</v>
          </cell>
          <cell r="F98">
            <v>19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CS-LY084-H3-M</v>
          </cell>
          <cell r="B99">
            <v>30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2</v>
          </cell>
          <cell r="H99">
            <v>0</v>
          </cell>
          <cell r="I99">
            <v>0</v>
          </cell>
          <cell r="J99">
            <v>4</v>
          </cell>
          <cell r="K99">
            <v>16</v>
          </cell>
          <cell r="L99">
            <v>8</v>
          </cell>
          <cell r="M99">
            <v>0</v>
          </cell>
        </row>
        <row r="100">
          <cell r="A100" t="str">
            <v>CS-LY084-H10-XXL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4</v>
          </cell>
          <cell r="K100">
            <v>7</v>
          </cell>
          <cell r="L100">
            <v>0</v>
          </cell>
          <cell r="M100">
            <v>0</v>
          </cell>
        </row>
        <row r="101">
          <cell r="A101" t="str">
            <v>CS-LY084-H10-XL</v>
          </cell>
          <cell r="B101">
            <v>16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1</v>
          </cell>
          <cell r="J101">
            <v>0</v>
          </cell>
          <cell r="K101">
            <v>15</v>
          </cell>
          <cell r="L101">
            <v>0</v>
          </cell>
          <cell r="M101">
            <v>0</v>
          </cell>
        </row>
        <row r="102">
          <cell r="A102" t="str">
            <v>CS-LY085-Sa911-XXL</v>
          </cell>
          <cell r="B102">
            <v>27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1</v>
          </cell>
          <cell r="H102">
            <v>0</v>
          </cell>
          <cell r="I102">
            <v>0</v>
          </cell>
          <cell r="J102">
            <v>0</v>
          </cell>
          <cell r="K102">
            <v>24</v>
          </cell>
          <cell r="L102">
            <v>3</v>
          </cell>
          <cell r="M102">
            <v>0</v>
          </cell>
        </row>
        <row r="103">
          <cell r="A103" t="str">
            <v>CS-LY084-H10-L</v>
          </cell>
          <cell r="B103">
            <v>17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0</v>
          </cell>
          <cell r="J103">
            <v>3</v>
          </cell>
          <cell r="K103">
            <v>3</v>
          </cell>
          <cell r="L103">
            <v>0</v>
          </cell>
          <cell r="M103">
            <v>0</v>
          </cell>
        </row>
        <row r="104">
          <cell r="A104" t="str">
            <v>CS-LY085-LB916-XL</v>
          </cell>
          <cell r="B104">
            <v>18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1</v>
          </cell>
          <cell r="K104">
            <v>12</v>
          </cell>
          <cell r="L104">
            <v>5</v>
          </cell>
          <cell r="M104">
            <v>0</v>
          </cell>
        </row>
        <row r="105">
          <cell r="A105" t="str">
            <v>CS-LY085-Sa911-L</v>
          </cell>
          <cell r="B105">
            <v>16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16</v>
          </cell>
          <cell r="L105">
            <v>0</v>
          </cell>
          <cell r="M105">
            <v>0</v>
          </cell>
        </row>
        <row r="106">
          <cell r="A106" t="str">
            <v>CS-LY084-H15-S</v>
          </cell>
          <cell r="B106">
            <v>31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0</v>
          </cell>
          <cell r="I106">
            <v>1</v>
          </cell>
          <cell r="J106">
            <v>8</v>
          </cell>
          <cell r="K106">
            <v>22</v>
          </cell>
          <cell r="L106">
            <v>3</v>
          </cell>
          <cell r="M106">
            <v>0</v>
          </cell>
        </row>
        <row r="107">
          <cell r="A107" t="str">
            <v>CS-LY084-H10-S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CS-LY084-H1-M</v>
          </cell>
          <cell r="B108">
            <v>41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1</v>
          </cell>
          <cell r="J108">
            <v>1</v>
          </cell>
          <cell r="K108">
            <v>25</v>
          </cell>
          <cell r="L108">
            <v>17</v>
          </cell>
          <cell r="M108">
            <v>0</v>
          </cell>
        </row>
        <row r="109">
          <cell r="A109" t="str">
            <v>CS-LY084-H15-L</v>
          </cell>
          <cell r="B109">
            <v>18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CS-LY084-H4-M</v>
          </cell>
          <cell r="B110">
            <v>14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</v>
          </cell>
          <cell r="H110">
            <v>0</v>
          </cell>
          <cell r="I110">
            <v>1</v>
          </cell>
          <cell r="J110">
            <v>0</v>
          </cell>
          <cell r="K110">
            <v>16</v>
          </cell>
          <cell r="L110">
            <v>0</v>
          </cell>
          <cell r="M110">
            <v>0</v>
          </cell>
        </row>
        <row r="111">
          <cell r="A111" t="str">
            <v>CS-LY084-H1-L</v>
          </cell>
          <cell r="B111">
            <v>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1</v>
          </cell>
          <cell r="H111">
            <v>1</v>
          </cell>
          <cell r="I111">
            <v>1</v>
          </cell>
          <cell r="J111">
            <v>2</v>
          </cell>
          <cell r="K111">
            <v>9</v>
          </cell>
          <cell r="L111">
            <v>0</v>
          </cell>
          <cell r="M111">
            <v>0</v>
          </cell>
        </row>
        <row r="112">
          <cell r="A112" t="str">
            <v>CS-LY084-H16-XL</v>
          </cell>
          <cell r="B112">
            <v>40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1</v>
          </cell>
          <cell r="H112">
            <v>0</v>
          </cell>
          <cell r="I112">
            <v>0</v>
          </cell>
          <cell r="J112">
            <v>39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CS-LY085-Sa911-M</v>
          </cell>
          <cell r="B113">
            <v>26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1</v>
          </cell>
          <cell r="J113">
            <v>1</v>
          </cell>
          <cell r="K113">
            <v>24</v>
          </cell>
          <cell r="L113">
            <v>1</v>
          </cell>
          <cell r="M113">
            <v>0</v>
          </cell>
        </row>
        <row r="114">
          <cell r="A114" t="str">
            <v>CS-LY085-LG907-S</v>
          </cell>
          <cell r="B114">
            <v>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1</v>
          </cell>
          <cell r="J114">
            <v>0</v>
          </cell>
          <cell r="K114">
            <v>6</v>
          </cell>
          <cell r="L114">
            <v>0</v>
          </cell>
          <cell r="M114">
            <v>0</v>
          </cell>
        </row>
        <row r="115">
          <cell r="A115" t="str">
            <v>CS-LY084-H4-L</v>
          </cell>
          <cell r="B115">
            <v>33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1</v>
          </cell>
          <cell r="K115">
            <v>32</v>
          </cell>
          <cell r="L115">
            <v>0</v>
          </cell>
          <cell r="M115">
            <v>0</v>
          </cell>
        </row>
        <row r="116">
          <cell r="A116" t="str">
            <v>CS-LY086-N0-S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2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CS-LY166-B28-1-XL</v>
          </cell>
          <cell r="B117">
            <v>16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1</v>
          </cell>
          <cell r="H117">
            <v>0</v>
          </cell>
          <cell r="I117">
            <v>1</v>
          </cell>
          <cell r="J117">
            <v>2</v>
          </cell>
          <cell r="K117">
            <v>16</v>
          </cell>
          <cell r="L117">
            <v>0</v>
          </cell>
          <cell r="M117">
            <v>0</v>
          </cell>
        </row>
        <row r="118">
          <cell r="A118" t="str">
            <v>CS-LY166-B28-4-XXL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1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CS-LY171-PI908-XXL</v>
          </cell>
          <cell r="B119">
            <v>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</v>
          </cell>
          <cell r="H119">
            <v>0</v>
          </cell>
          <cell r="I119">
            <v>0</v>
          </cell>
          <cell r="J119">
            <v>1</v>
          </cell>
          <cell r="K119">
            <v>3</v>
          </cell>
          <cell r="L119">
            <v>1</v>
          </cell>
          <cell r="M119">
            <v>0</v>
          </cell>
        </row>
        <row r="120">
          <cell r="A120" t="str">
            <v>CS-LY171-G912-XL</v>
          </cell>
          <cell r="B120">
            <v>20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1</v>
          </cell>
          <cell r="H120">
            <v>1</v>
          </cell>
          <cell r="I120">
            <v>0</v>
          </cell>
          <cell r="J120">
            <v>6</v>
          </cell>
          <cell r="K120">
            <v>4</v>
          </cell>
          <cell r="L120">
            <v>5</v>
          </cell>
          <cell r="M120">
            <v>0</v>
          </cell>
        </row>
        <row r="121">
          <cell r="A121" t="str">
            <v>CS-LY171-Sa911-M</v>
          </cell>
          <cell r="B121">
            <v>53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1</v>
          </cell>
          <cell r="H121">
            <v>0</v>
          </cell>
          <cell r="I121">
            <v>2</v>
          </cell>
          <cell r="J121">
            <v>1</v>
          </cell>
          <cell r="K121">
            <v>4</v>
          </cell>
          <cell r="L121">
            <v>50</v>
          </cell>
          <cell r="M121">
            <v>0</v>
          </cell>
        </row>
        <row r="122">
          <cell r="A122" t="str">
            <v>CS-LY171-Sa911-S</v>
          </cell>
          <cell r="B122">
            <v>2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1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CS-LY171-LB916-M</v>
          </cell>
          <cell r="B123">
            <v>41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  <cell r="J123">
            <v>1</v>
          </cell>
          <cell r="K123">
            <v>2</v>
          </cell>
          <cell r="L123">
            <v>38</v>
          </cell>
          <cell r="M123">
            <v>0</v>
          </cell>
        </row>
        <row r="124">
          <cell r="A124" t="str">
            <v>CS-LY170-ZL918-S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1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CS-LY166-K73-1-M</v>
          </cell>
          <cell r="B125">
            <v>11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1</v>
          </cell>
          <cell r="H125">
            <v>0</v>
          </cell>
          <cell r="I125">
            <v>0</v>
          </cell>
          <cell r="J125">
            <v>1</v>
          </cell>
          <cell r="K125">
            <v>10</v>
          </cell>
          <cell r="L125">
            <v>0</v>
          </cell>
          <cell r="M125">
            <v>0</v>
          </cell>
        </row>
        <row r="126">
          <cell r="A126" t="str">
            <v>CS-LY166-K73-2-M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2</v>
          </cell>
          <cell r="K126">
            <v>1</v>
          </cell>
          <cell r="L126">
            <v>0</v>
          </cell>
          <cell r="M126">
            <v>0</v>
          </cell>
        </row>
        <row r="127">
          <cell r="A127" t="str">
            <v>CS-LY171-PI908-M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1</v>
          </cell>
          <cell r="H127">
            <v>0</v>
          </cell>
          <cell r="I127">
            <v>1</v>
          </cell>
          <cell r="J127">
            <v>2</v>
          </cell>
          <cell r="K127">
            <v>2</v>
          </cell>
          <cell r="L127">
            <v>0</v>
          </cell>
          <cell r="M127">
            <v>0</v>
          </cell>
        </row>
        <row r="128">
          <cell r="A128" t="str">
            <v>CS-LY171-G912-L</v>
          </cell>
          <cell r="B128">
            <v>37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1</v>
          </cell>
          <cell r="H128">
            <v>0</v>
          </cell>
          <cell r="I128">
            <v>0</v>
          </cell>
          <cell r="J128">
            <v>7</v>
          </cell>
          <cell r="K128">
            <v>5</v>
          </cell>
          <cell r="L128">
            <v>13</v>
          </cell>
          <cell r="M128">
            <v>0</v>
          </cell>
        </row>
        <row r="129">
          <cell r="A129" t="str">
            <v>CS-LY170-PI908-S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CS-LY170-W902-L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CS-LY170-Sa911-M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CS-LY171-Sa911-XXL</v>
          </cell>
          <cell r="B132">
            <v>48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0</v>
          </cell>
          <cell r="K132">
            <v>5</v>
          </cell>
          <cell r="L132">
            <v>43</v>
          </cell>
          <cell r="M132">
            <v>0</v>
          </cell>
        </row>
        <row r="133">
          <cell r="A133" t="str">
            <v>CS-LY181-Sa911-XXL</v>
          </cell>
          <cell r="B133">
            <v>14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0</v>
          </cell>
          <cell r="I133">
            <v>1</v>
          </cell>
          <cell r="J133">
            <v>2</v>
          </cell>
          <cell r="K133">
            <v>2</v>
          </cell>
          <cell r="L133">
            <v>12</v>
          </cell>
          <cell r="M133">
            <v>0</v>
          </cell>
        </row>
        <row r="134">
          <cell r="A134" t="str">
            <v>CS-LY181-ZL918-L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CS-LY181-G912-S</v>
          </cell>
          <cell r="B135">
            <v>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1</v>
          </cell>
          <cell r="H135">
            <v>0</v>
          </cell>
          <cell r="I135">
            <v>1</v>
          </cell>
          <cell r="J135">
            <v>6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CS-LY181-Sa911-S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2</v>
          </cell>
          <cell r="H136">
            <v>1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CS-LY181-LG907-S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1</v>
          </cell>
          <cell r="H137">
            <v>1</v>
          </cell>
          <cell r="I137">
            <v>1</v>
          </cell>
          <cell r="J137">
            <v>10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CS-LY171-ZL918-S</v>
          </cell>
          <cell r="B138">
            <v>23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1</v>
          </cell>
          <cell r="K138">
            <v>0</v>
          </cell>
          <cell r="L138">
            <v>21</v>
          </cell>
          <cell r="M138">
            <v>0</v>
          </cell>
        </row>
        <row r="139">
          <cell r="A139" t="str">
            <v>CS-LY181-LG907-M</v>
          </cell>
          <cell r="B139">
            <v>39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CS-SB002-CF-XXL</v>
          </cell>
          <cell r="B140">
            <v>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10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CS-SB002-BK-L</v>
          </cell>
          <cell r="B141">
            <v>11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2</v>
          </cell>
          <cell r="H141">
            <v>0</v>
          </cell>
          <cell r="I141">
            <v>2</v>
          </cell>
          <cell r="J141">
            <v>15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CS-SB003-BK-S</v>
          </cell>
          <cell r="B142">
            <v>15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0</v>
          </cell>
          <cell r="J142">
            <v>0</v>
          </cell>
          <cell r="K142">
            <v>14</v>
          </cell>
          <cell r="L142">
            <v>0</v>
          </cell>
          <cell r="M142">
            <v>0</v>
          </cell>
        </row>
        <row r="143">
          <cell r="A143" t="str">
            <v>CS-SB002-BLNGN-M</v>
          </cell>
          <cell r="B143">
            <v>16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17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CS-SB002-BL-M</v>
          </cell>
          <cell r="B144">
            <v>10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1</v>
          </cell>
          <cell r="H144">
            <v>0</v>
          </cell>
          <cell r="I144">
            <v>3</v>
          </cell>
          <cell r="J144">
            <v>12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CS-SB003-B0-M</v>
          </cell>
          <cell r="B145">
            <v>19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2</v>
          </cell>
          <cell r="H145">
            <v>0</v>
          </cell>
          <cell r="I145">
            <v>2</v>
          </cell>
          <cell r="J145">
            <v>3</v>
          </cell>
          <cell r="K145">
            <v>20</v>
          </cell>
          <cell r="L145">
            <v>0</v>
          </cell>
          <cell r="M145">
            <v>0</v>
          </cell>
        </row>
        <row r="146">
          <cell r="A146" t="str">
            <v>CS-SB002-LB-M</v>
          </cell>
          <cell r="B146">
            <v>16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17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CS-SB005-YL-M</v>
          </cell>
          <cell r="B147">
            <v>37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13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CS-SB003-NB-S</v>
          </cell>
          <cell r="B148">
            <v>13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1</v>
          </cell>
          <cell r="H148">
            <v>0</v>
          </cell>
          <cell r="I148">
            <v>1</v>
          </cell>
          <cell r="J148">
            <v>0</v>
          </cell>
          <cell r="K148">
            <v>1</v>
          </cell>
          <cell r="L148">
            <v>13</v>
          </cell>
          <cell r="M148">
            <v>0</v>
          </cell>
        </row>
        <row r="149">
          <cell r="A149" t="str">
            <v>CS-SB005-YL-XL</v>
          </cell>
          <cell r="B149">
            <v>18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CS-SB007-LP-S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CS-SB006-RD1-L</v>
          </cell>
          <cell r="B151">
            <v>31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21</v>
          </cell>
          <cell r="K151">
            <v>5</v>
          </cell>
          <cell r="L151">
            <v>0</v>
          </cell>
          <cell r="M151">
            <v>0</v>
          </cell>
        </row>
        <row r="152">
          <cell r="A152" t="str">
            <v>CS-SB005-RD1-M</v>
          </cell>
          <cell r="B152">
            <v>24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1</v>
          </cell>
          <cell r="J152">
            <v>1</v>
          </cell>
          <cell r="K152">
            <v>4</v>
          </cell>
          <cell r="L152">
            <v>0</v>
          </cell>
          <cell r="M152">
            <v>0</v>
          </cell>
        </row>
        <row r="153">
          <cell r="A153" t="str">
            <v>CS-SB007-BL-XXL</v>
          </cell>
          <cell r="B153">
            <v>8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2</v>
          </cell>
          <cell r="H153">
            <v>0</v>
          </cell>
          <cell r="I153">
            <v>3</v>
          </cell>
          <cell r="J153">
            <v>13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CS-SB007-GR-S</v>
          </cell>
          <cell r="B154">
            <v>16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1</v>
          </cell>
          <cell r="K154">
            <v>0</v>
          </cell>
          <cell r="L154">
            <v>16</v>
          </cell>
          <cell r="M154">
            <v>0</v>
          </cell>
        </row>
        <row r="155">
          <cell r="A155" t="str">
            <v>CS-SB006-GN-M</v>
          </cell>
          <cell r="B155">
            <v>32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0</v>
          </cell>
          <cell r="J155">
            <v>15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CS-SB005-RD1-L</v>
          </cell>
          <cell r="B156">
            <v>28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1</v>
          </cell>
          <cell r="H156">
            <v>0</v>
          </cell>
          <cell r="I156">
            <v>0</v>
          </cell>
          <cell r="J156">
            <v>0</v>
          </cell>
          <cell r="K156">
            <v>7</v>
          </cell>
          <cell r="L156">
            <v>0</v>
          </cell>
          <cell r="M156">
            <v>0</v>
          </cell>
        </row>
        <row r="157">
          <cell r="A157" t="str">
            <v>CS-SB005-YL-L</v>
          </cell>
          <cell r="B157">
            <v>26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12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CS-SB009-YL-XL</v>
          </cell>
          <cell r="B158">
            <v>11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CS-SB016-LB-M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CS-SB009-CF-S</v>
          </cell>
          <cell r="B160">
            <v>28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1</v>
          </cell>
          <cell r="H160">
            <v>0</v>
          </cell>
          <cell r="I160">
            <v>0</v>
          </cell>
          <cell r="J160">
            <v>1</v>
          </cell>
          <cell r="K160">
            <v>14</v>
          </cell>
          <cell r="L160">
            <v>0</v>
          </cell>
          <cell r="M160">
            <v>0</v>
          </cell>
        </row>
        <row r="161">
          <cell r="A161" t="str">
            <v>CS-SB007-PP-XXL</v>
          </cell>
          <cell r="B161">
            <v>7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1</v>
          </cell>
          <cell r="H161">
            <v>0</v>
          </cell>
          <cell r="I161">
            <v>1</v>
          </cell>
          <cell r="J161">
            <v>10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CS-SB007-LP-XXL</v>
          </cell>
          <cell r="B162">
            <v>20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CS-SB009-LB-XL</v>
          </cell>
          <cell r="B163">
            <v>0</v>
          </cell>
          <cell r="C163">
            <v>0</v>
          </cell>
          <cell r="D163">
            <v>0</v>
          </cell>
          <cell r="E163">
            <v>2</v>
          </cell>
          <cell r="F163">
            <v>2</v>
          </cell>
          <cell r="G163">
            <v>0</v>
          </cell>
          <cell r="H163">
            <v>0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CS-SB009-RDNY-L</v>
          </cell>
          <cell r="B164">
            <v>16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CS-SB009-RD-XXL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3</v>
          </cell>
          <cell r="H165">
            <v>0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CS-SB016-NB-L</v>
          </cell>
          <cell r="B166">
            <v>9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2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CS-SB009-GN-XXL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CS-SB010-WT-8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1</v>
          </cell>
          <cell r="H168">
            <v>0</v>
          </cell>
          <cell r="I168">
            <v>2</v>
          </cell>
          <cell r="J168">
            <v>0</v>
          </cell>
          <cell r="K168">
            <v>1</v>
          </cell>
          <cell r="L168">
            <v>3</v>
          </cell>
          <cell r="M168">
            <v>0</v>
          </cell>
        </row>
        <row r="169">
          <cell r="A169" t="str">
            <v>CS-SB009-GN-S</v>
          </cell>
          <cell r="B169">
            <v>17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1</v>
          </cell>
          <cell r="H169">
            <v>0</v>
          </cell>
          <cell r="I169">
            <v>1</v>
          </cell>
          <cell r="J169">
            <v>0</v>
          </cell>
          <cell r="K169">
            <v>8</v>
          </cell>
          <cell r="L169">
            <v>0</v>
          </cell>
          <cell r="M169">
            <v>0</v>
          </cell>
        </row>
        <row r="170">
          <cell r="A170" t="str">
            <v>CS-SB009-LB1-XL</v>
          </cell>
          <cell r="B170">
            <v>5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2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CS-SB030-WR-L</v>
          </cell>
          <cell r="B171">
            <v>12</v>
          </cell>
          <cell r="C171">
            <v>0</v>
          </cell>
          <cell r="D171">
            <v>15</v>
          </cell>
          <cell r="E171">
            <v>0</v>
          </cell>
          <cell r="F171">
            <v>15</v>
          </cell>
          <cell r="G171">
            <v>4</v>
          </cell>
          <cell r="H171">
            <v>2</v>
          </cell>
          <cell r="I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CS-SB030-GR-XL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2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CS-SB030-YL-XXL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2</v>
          </cell>
          <cell r="I173">
            <v>2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CS-SB030-NY-XL</v>
          </cell>
          <cell r="B174">
            <v>3</v>
          </cell>
          <cell r="C174">
            <v>1</v>
          </cell>
          <cell r="D174">
            <v>33</v>
          </cell>
          <cell r="E174">
            <v>0</v>
          </cell>
          <cell r="F174">
            <v>33</v>
          </cell>
          <cell r="G174">
            <v>21</v>
          </cell>
          <cell r="H174">
            <v>2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CS-SB030-WR-S</v>
          </cell>
          <cell r="B175">
            <v>9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CS-SB030-WT-S</v>
          </cell>
          <cell r="B176">
            <v>14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CS-SB030-WR-M</v>
          </cell>
          <cell r="B177">
            <v>12</v>
          </cell>
          <cell r="C177">
            <v>0</v>
          </cell>
          <cell r="D177">
            <v>10</v>
          </cell>
          <cell r="E177">
            <v>0</v>
          </cell>
          <cell r="F177">
            <v>10</v>
          </cell>
          <cell r="G177">
            <v>0</v>
          </cell>
          <cell r="H177">
            <v>0</v>
          </cell>
          <cell r="I177">
            <v>1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CS-SB030-WR-XL</v>
          </cell>
          <cell r="B178">
            <v>31</v>
          </cell>
          <cell r="C178">
            <v>0</v>
          </cell>
          <cell r="D178">
            <v>1</v>
          </cell>
          <cell r="E178">
            <v>0</v>
          </cell>
          <cell r="F178">
            <v>1</v>
          </cell>
          <cell r="G178">
            <v>10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CS-SB032-GN2-L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1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CS-SB030-WT-L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CS-SB032-RD-XXL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CS-SB030-WT-XXL</v>
          </cell>
          <cell r="B182">
            <v>3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2</v>
          </cell>
          <cell r="H182">
            <v>0</v>
          </cell>
          <cell r="I182">
            <v>2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CS-SB030-BL-XXL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CS-SB166-B28-1-XL</v>
          </cell>
          <cell r="B184">
            <v>16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2</v>
          </cell>
          <cell r="K184">
            <v>16</v>
          </cell>
          <cell r="L184">
            <v>0</v>
          </cell>
          <cell r="M184">
            <v>0</v>
          </cell>
        </row>
        <row r="185">
          <cell r="A185" t="str">
            <v>CS-SB030-NY-XXL</v>
          </cell>
          <cell r="B185">
            <v>8</v>
          </cell>
          <cell r="C185">
            <v>0</v>
          </cell>
          <cell r="D185">
            <v>20</v>
          </cell>
          <cell r="E185">
            <v>0</v>
          </cell>
          <cell r="F185">
            <v>20</v>
          </cell>
          <cell r="G185">
            <v>41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CS-SB032-RD-XL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CS-SB030-WR-XXL</v>
          </cell>
          <cell r="B187">
            <v>4</v>
          </cell>
          <cell r="C187">
            <v>1</v>
          </cell>
          <cell r="D187">
            <v>32</v>
          </cell>
          <cell r="E187">
            <v>0</v>
          </cell>
          <cell r="F187">
            <v>32</v>
          </cell>
          <cell r="G187">
            <v>2</v>
          </cell>
          <cell r="H187">
            <v>3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CS-SB032-BL-XL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2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CS-SB170-WR917-XXL</v>
          </cell>
          <cell r="B189">
            <v>6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1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CS-SB171-WR917-L</v>
          </cell>
          <cell r="B190">
            <v>21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17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CS-SB171-W902-S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2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CS-SB170-PI908-XXL</v>
          </cell>
          <cell r="B192">
            <v>38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CS-SB166-K33-2-S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CS-SB170-Sa911-XL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CS-SB170-LG907-XXL</v>
          </cell>
          <cell r="B195">
            <v>21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2</v>
          </cell>
          <cell r="H195">
            <v>0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CS-SB170-LB916-XL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CS-SB170-WR-XL</v>
          </cell>
          <cell r="B197">
            <v>21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1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CS-SB170-PI908-M</v>
          </cell>
          <cell r="B198">
            <v>21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1</v>
          </cell>
          <cell r="H198">
            <v>1</v>
          </cell>
          <cell r="I198">
            <v>1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CS-SB170-ZL918-L</v>
          </cell>
          <cell r="B199">
            <v>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1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CS-SB170-WR917-S</v>
          </cell>
          <cell r="B200">
            <v>18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2</v>
          </cell>
          <cell r="H200">
            <v>2</v>
          </cell>
          <cell r="I200">
            <v>3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CS-SB171-W902-M</v>
          </cell>
          <cell r="B201">
            <v>8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1</v>
          </cell>
          <cell r="J201">
            <v>7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CS-SB170-LG907-M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3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CS-SB170-G912-XXL</v>
          </cell>
          <cell r="B203">
            <v>0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1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CS-SB171-PI908-XXL</v>
          </cell>
          <cell r="B204">
            <v>48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</v>
          </cell>
          <cell r="I204">
            <v>0</v>
          </cell>
          <cell r="J204">
            <v>0</v>
          </cell>
          <cell r="K204">
            <v>49</v>
          </cell>
          <cell r="L204">
            <v>0</v>
          </cell>
          <cell r="M204">
            <v>0</v>
          </cell>
        </row>
        <row r="205">
          <cell r="A205" t="str">
            <v>CS-SB171-WR917-XL</v>
          </cell>
          <cell r="B205">
            <v>28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1</v>
          </cell>
          <cell r="J205">
            <v>24</v>
          </cell>
          <cell r="K205">
            <v>3</v>
          </cell>
          <cell r="L205">
            <v>0</v>
          </cell>
          <cell r="M205">
            <v>0</v>
          </cell>
        </row>
        <row r="206">
          <cell r="A206" t="str">
            <v>CS-SB170-WR917-M</v>
          </cell>
          <cell r="B206">
            <v>6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2</v>
          </cell>
          <cell r="H206">
            <v>4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CS-SB170-W902-M</v>
          </cell>
          <cell r="B207">
            <v>0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  <cell r="G207">
            <v>1</v>
          </cell>
          <cell r="H207">
            <v>1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CS-SB170-ZL918-S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CS-SB171-W902-L</v>
          </cell>
          <cell r="B209">
            <v>13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1</v>
          </cell>
          <cell r="H209">
            <v>1</v>
          </cell>
          <cell r="I209">
            <v>0</v>
          </cell>
          <cell r="J209">
            <v>3</v>
          </cell>
          <cell r="K209">
            <v>9</v>
          </cell>
          <cell r="L209">
            <v>0</v>
          </cell>
          <cell r="M209">
            <v>0</v>
          </cell>
        </row>
        <row r="210">
          <cell r="A210" t="str">
            <v>CS-SB170-W902-L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CS-SB171-ZL918-M</v>
          </cell>
          <cell r="B211">
            <v>1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1</v>
          </cell>
          <cell r="H211">
            <v>0</v>
          </cell>
          <cell r="I211">
            <v>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CS-SB171-ZL918-L</v>
          </cell>
          <cell r="B212">
            <v>59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1</v>
          </cell>
          <cell r="H212">
            <v>2</v>
          </cell>
          <cell r="I212">
            <v>1</v>
          </cell>
          <cell r="J212">
            <v>19</v>
          </cell>
          <cell r="K212">
            <v>41</v>
          </cell>
          <cell r="L212">
            <v>0</v>
          </cell>
          <cell r="M212">
            <v>0</v>
          </cell>
        </row>
        <row r="213">
          <cell r="A213" t="str">
            <v>CS-SB171-ZL918-XXL</v>
          </cell>
          <cell r="B213">
            <v>9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1</v>
          </cell>
          <cell r="H213">
            <v>0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CS-SB181-LG907-L</v>
          </cell>
          <cell r="B214">
            <v>30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1</v>
          </cell>
          <cell r="H214">
            <v>2</v>
          </cell>
          <cell r="I214">
            <v>0</v>
          </cell>
          <cell r="J214">
            <v>24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CS-SB181-WR917-L</v>
          </cell>
          <cell r="B215">
            <v>18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1</v>
          </cell>
          <cell r="H215">
            <v>2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MTX-IULHY-M1798-BK-28</v>
          </cell>
          <cell r="B216">
            <v>2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KZ-LHY001-WHT-M</v>
          </cell>
          <cell r="B217">
            <v>12</v>
          </cell>
          <cell r="C217">
            <v>0</v>
          </cell>
          <cell r="D217">
            <v>24</v>
          </cell>
          <cell r="E217">
            <v>0</v>
          </cell>
          <cell r="F217">
            <v>24</v>
          </cell>
          <cell r="G217">
            <v>2</v>
          </cell>
          <cell r="H217">
            <v>1</v>
          </cell>
          <cell r="I217">
            <v>1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KZ-LHY001-GRY-M</v>
          </cell>
          <cell r="B218">
            <v>12</v>
          </cell>
          <cell r="C218">
            <v>0</v>
          </cell>
          <cell r="D218">
            <v>12</v>
          </cell>
          <cell r="E218">
            <v>0</v>
          </cell>
          <cell r="F218">
            <v>12</v>
          </cell>
          <cell r="G218">
            <v>2</v>
          </cell>
          <cell r="H218">
            <v>0</v>
          </cell>
          <cell r="I218">
            <v>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KZ-LHY001-RED-L</v>
          </cell>
          <cell r="B219">
            <v>23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KZ-LHYX001-BLK-L</v>
          </cell>
          <cell r="B220">
            <v>21</v>
          </cell>
          <cell r="C220">
            <v>1</v>
          </cell>
          <cell r="D220">
            <v>24</v>
          </cell>
          <cell r="E220">
            <v>0</v>
          </cell>
          <cell r="F220">
            <v>24</v>
          </cell>
          <cell r="G220">
            <v>1</v>
          </cell>
          <cell r="H220">
            <v>1</v>
          </cell>
          <cell r="I220">
            <v>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MTX-IULHY-M1798-BK-27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KZ-LHY001-WHT-XL</v>
          </cell>
          <cell r="B222">
            <v>8</v>
          </cell>
          <cell r="C222">
            <v>0</v>
          </cell>
          <cell r="D222">
            <v>30</v>
          </cell>
          <cell r="E222">
            <v>0</v>
          </cell>
          <cell r="F222">
            <v>30</v>
          </cell>
          <cell r="G222">
            <v>1</v>
          </cell>
          <cell r="H222">
            <v>3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KZ-LHYX001-WHT-L</v>
          </cell>
          <cell r="B223">
            <v>13</v>
          </cell>
          <cell r="C223">
            <v>0</v>
          </cell>
          <cell r="D223">
            <v>35</v>
          </cell>
          <cell r="E223">
            <v>0</v>
          </cell>
          <cell r="F223">
            <v>35</v>
          </cell>
          <cell r="G223">
            <v>1</v>
          </cell>
          <cell r="H223">
            <v>1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KZ-LHY001-BLK-M</v>
          </cell>
          <cell r="B224">
            <v>11</v>
          </cell>
          <cell r="C224">
            <v>1</v>
          </cell>
          <cell r="D224">
            <v>30</v>
          </cell>
          <cell r="E224">
            <v>0</v>
          </cell>
          <cell r="F224">
            <v>30</v>
          </cell>
          <cell r="G224">
            <v>1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KZ-LHYX001-GRY-L</v>
          </cell>
          <cell r="B225">
            <v>21</v>
          </cell>
          <cell r="C225">
            <v>3</v>
          </cell>
          <cell r="D225">
            <v>21</v>
          </cell>
          <cell r="E225">
            <v>0</v>
          </cell>
          <cell r="F225">
            <v>21</v>
          </cell>
          <cell r="G225">
            <v>0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KZ-LHY001-GRY-XL</v>
          </cell>
          <cell r="B226">
            <v>22</v>
          </cell>
          <cell r="C226">
            <v>2</v>
          </cell>
          <cell r="D226">
            <v>20</v>
          </cell>
          <cell r="E226">
            <v>0</v>
          </cell>
          <cell r="F226">
            <v>20</v>
          </cell>
          <cell r="G226">
            <v>0</v>
          </cell>
          <cell r="H226">
            <v>0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KZ-LHY001-RED-M</v>
          </cell>
          <cell r="B227">
            <v>7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1</v>
          </cell>
          <cell r="H227">
            <v>0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KZ-LHY001-BLK-XL</v>
          </cell>
          <cell r="B228">
            <v>24</v>
          </cell>
          <cell r="C228">
            <v>5</v>
          </cell>
          <cell r="D228">
            <v>20</v>
          </cell>
          <cell r="E228">
            <v>0</v>
          </cell>
          <cell r="F228">
            <v>20</v>
          </cell>
          <cell r="G228">
            <v>1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MY-LYPoint021-GR-M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1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MY-LYPoint021-K0-L</v>
          </cell>
          <cell r="B230">
            <v>8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1</v>
          </cell>
          <cell r="H230">
            <v>1</v>
          </cell>
          <cell r="I230">
            <v>2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MY-LYPoint021-KQ-L</v>
          </cell>
          <cell r="B231">
            <v>17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2</v>
          </cell>
          <cell r="H231">
            <v>0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MY-LYPoint021-W0-L</v>
          </cell>
          <cell r="B232">
            <v>6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3</v>
          </cell>
          <cell r="H232">
            <v>0</v>
          </cell>
          <cell r="I232">
            <v>3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MY-LYPoint021-DG-L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0</v>
          </cell>
          <cell r="I233">
            <v>0</v>
          </cell>
          <cell r="J233">
            <v>1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MY-SB011-BK-L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MY-SB011-NY-L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1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MY-LYRound020-W0-S</v>
          </cell>
          <cell r="B236">
            <v>6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MY-LYRound020-KQ-S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MY-LYRound020-NY-S</v>
          </cell>
          <cell r="B238">
            <v>6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MY-SB011-NY-XL</v>
          </cell>
          <cell r="B239">
            <v>11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2</v>
          </cell>
          <cell r="K239">
            <v>9</v>
          </cell>
          <cell r="L239">
            <v>0</v>
          </cell>
          <cell r="M239">
            <v>0</v>
          </cell>
        </row>
        <row r="240">
          <cell r="A240" t="str">
            <v>MY-LYRound020-K0-M</v>
          </cell>
          <cell r="B240">
            <v>3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MY-LYRound020-KQ-M</v>
          </cell>
          <cell r="B241">
            <v>11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1</v>
          </cell>
          <cell r="H241">
            <v>0</v>
          </cell>
          <cell r="I241">
            <v>1</v>
          </cell>
          <cell r="J241">
            <v>12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MY-SB-DG-M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1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MY-LYRound020-GR-XL</v>
          </cell>
          <cell r="B243">
            <v>27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1</v>
          </cell>
          <cell r="J243">
            <v>12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MY-SB015-BL-S</v>
          </cell>
          <cell r="B244">
            <v>2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2</v>
          </cell>
          <cell r="L244">
            <v>0</v>
          </cell>
          <cell r="M244">
            <v>0</v>
          </cell>
        </row>
        <row r="245">
          <cell r="A245" t="str">
            <v>MY-SB026-RD-XL</v>
          </cell>
          <cell r="B245">
            <v>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1</v>
          </cell>
          <cell r="J245">
            <v>11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MY-SB026-RD-L</v>
          </cell>
          <cell r="B246">
            <v>7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7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MY-SB021-LB-L</v>
          </cell>
          <cell r="B247">
            <v>7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2</v>
          </cell>
          <cell r="H247">
            <v>0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MY-SB027-NY-L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2</v>
          </cell>
          <cell r="H248">
            <v>0</v>
          </cell>
          <cell r="I248">
            <v>1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MY-SB027-GN-XL</v>
          </cell>
          <cell r="B249">
            <v>5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MY-SBPoint021-BK-M</v>
          </cell>
          <cell r="B250">
            <v>5</v>
          </cell>
          <cell r="C250">
            <v>0</v>
          </cell>
          <cell r="D250">
            <v>5</v>
          </cell>
          <cell r="E250">
            <v>0</v>
          </cell>
          <cell r="F250">
            <v>5</v>
          </cell>
          <cell r="G250">
            <v>0</v>
          </cell>
          <cell r="H250">
            <v>0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MY-SB027-BL-XL</v>
          </cell>
          <cell r="B251">
            <v>14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MY-SB027-DG-M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MY-SB026-DG-XL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10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MY-SB026-NY-M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1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MY-SB027-BL-L</v>
          </cell>
          <cell r="B255">
            <v>21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</v>
          </cell>
          <cell r="I255">
            <v>0</v>
          </cell>
          <cell r="J255">
            <v>3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MY-SB027-DG-S</v>
          </cell>
          <cell r="B256">
            <v>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1</v>
          </cell>
          <cell r="J256">
            <v>0</v>
          </cell>
          <cell r="K256">
            <v>2</v>
          </cell>
          <cell r="L256">
            <v>0</v>
          </cell>
          <cell r="M256">
            <v>0</v>
          </cell>
        </row>
        <row r="257">
          <cell r="A257" t="str">
            <v>MY-SB027-LG-XL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MY-SB026-BK-XL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1</v>
          </cell>
          <cell r="H258">
            <v>0</v>
          </cell>
          <cell r="I258">
            <v>2</v>
          </cell>
          <cell r="J258">
            <v>7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MY-SB026-BK-M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MY-SB027-KK-XL</v>
          </cell>
          <cell r="B260">
            <v>8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1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MY-SB026-NY-L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1</v>
          </cell>
          <cell r="I261">
            <v>0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POLO-1503-GR-M</v>
          </cell>
          <cell r="B262">
            <v>13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1</v>
          </cell>
          <cell r="H262">
            <v>1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POLO-1503-BK-M</v>
          </cell>
          <cell r="B263">
            <v>7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1</v>
          </cell>
          <cell r="H263">
            <v>0</v>
          </cell>
          <cell r="I263">
            <v>1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MY-SBPoint021-NY-L</v>
          </cell>
          <cell r="B264">
            <v>2</v>
          </cell>
          <cell r="C264">
            <v>0</v>
          </cell>
          <cell r="D264">
            <v>3</v>
          </cell>
          <cell r="E264">
            <v>0</v>
          </cell>
          <cell r="F264">
            <v>3</v>
          </cell>
          <cell r="G264">
            <v>1</v>
          </cell>
          <cell r="H264">
            <v>0</v>
          </cell>
          <cell r="I264">
            <v>1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POLO-1503-NY-L</v>
          </cell>
          <cell r="B265">
            <v>8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0</v>
          </cell>
          <cell r="I265">
            <v>1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POLO-1503-BK-S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1</v>
          </cell>
          <cell r="H266">
            <v>1</v>
          </cell>
          <cell r="I266">
            <v>1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MY-SBRound020-BK-M</v>
          </cell>
          <cell r="B267">
            <v>9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1</v>
          </cell>
          <cell r="H267">
            <v>0</v>
          </cell>
          <cell r="I267">
            <v>1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POLO-1503-WT-M</v>
          </cell>
          <cell r="B268">
            <v>6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1</v>
          </cell>
          <cell r="H268">
            <v>0</v>
          </cell>
          <cell r="I268">
            <v>1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POLO-1503-BK-XL</v>
          </cell>
          <cell r="B269">
            <v>18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1</v>
          </cell>
          <cell r="H269">
            <v>0</v>
          </cell>
          <cell r="I269">
            <v>1</v>
          </cell>
          <cell r="J269">
            <v>8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POLO-SB014-GR-L</v>
          </cell>
          <cell r="B270">
            <v>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0</v>
          </cell>
          <cell r="J270">
            <v>1</v>
          </cell>
          <cell r="K270">
            <v>2</v>
          </cell>
          <cell r="L270">
            <v>0</v>
          </cell>
          <cell r="M270">
            <v>0</v>
          </cell>
        </row>
        <row r="271">
          <cell r="A271" t="str">
            <v>POLO-SB1503-NY-M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1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SB-YL003-GH80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1</v>
          </cell>
          <cell r="J272">
            <v>0</v>
          </cell>
          <cell r="K272">
            <v>1</v>
          </cell>
          <cell r="L272">
            <v>0</v>
          </cell>
          <cell r="M272">
            <v>0</v>
          </cell>
        </row>
        <row r="273">
          <cell r="A273" t="str">
            <v>WQS-BN-1503-GR-M</v>
          </cell>
          <cell r="B273">
            <v>13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1</v>
          </cell>
          <cell r="H273">
            <v>1</v>
          </cell>
          <cell r="I273">
            <v>0</v>
          </cell>
          <cell r="J273">
            <v>6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SHIRT-SB002-BK-L</v>
          </cell>
          <cell r="B274">
            <v>11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2</v>
          </cell>
          <cell r="H274">
            <v>0</v>
          </cell>
          <cell r="I274">
            <v>2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SHIRT-SB002-BLNGN-M</v>
          </cell>
          <cell r="B275">
            <v>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SHIRTS-SB002-BL-M</v>
          </cell>
          <cell r="B276">
            <v>10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1</v>
          </cell>
          <cell r="H276">
            <v>0</v>
          </cell>
          <cell r="I276">
            <v>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SHIRT-SB002-LB-M</v>
          </cell>
          <cell r="B277">
            <v>16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WQS-BN-1503-KO-M</v>
          </cell>
          <cell r="B278">
            <v>7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1</v>
          </cell>
          <cell r="H278">
            <v>0</v>
          </cell>
          <cell r="I278">
            <v>1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WQS-BN-1503-KO-S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1</v>
          </cell>
          <cell r="I279">
            <v>1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WQS-BN-1503-WO-M</v>
          </cell>
          <cell r="B280">
            <v>6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1</v>
          </cell>
          <cell r="H280">
            <v>0</v>
          </cell>
          <cell r="I280">
            <v>1</v>
          </cell>
          <cell r="J280">
            <v>1</v>
          </cell>
          <cell r="K280">
            <v>6</v>
          </cell>
          <cell r="L280">
            <v>0</v>
          </cell>
          <cell r="M280">
            <v>0</v>
          </cell>
        </row>
        <row r="281">
          <cell r="A281" t="str">
            <v>WQS-BN-1503-KO-XL</v>
          </cell>
          <cell r="B281">
            <v>18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1</v>
          </cell>
          <cell r="H281">
            <v>0</v>
          </cell>
          <cell r="I281">
            <v>1</v>
          </cell>
          <cell r="J281">
            <v>8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POLO-SB1503-GR-S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CS-SB006-RD2-S</v>
          </cell>
          <cell r="B283">
            <v>16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16</v>
          </cell>
          <cell r="L283">
            <v>0</v>
          </cell>
          <cell r="M283">
            <v>0</v>
          </cell>
        </row>
        <row r="284">
          <cell r="A284" t="str">
            <v>CS-LY170-W902-XL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1</v>
          </cell>
          <cell r="L284">
            <v>0</v>
          </cell>
          <cell r="M284">
            <v>0</v>
          </cell>
        </row>
        <row r="285">
          <cell r="A285" t="str">
            <v>WQS-BN-1503-WO-S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MY-SB027-KK-L</v>
          </cell>
          <cell r="B286">
            <v>10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CS-SB030-NY-S</v>
          </cell>
          <cell r="B287">
            <v>11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MY-LYPoint021-BL-L</v>
          </cell>
          <cell r="B288">
            <v>19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3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MY-BS027-DG-M</v>
          </cell>
          <cell r="B289">
            <v>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MY-LYRound020-K0-L</v>
          </cell>
          <cell r="B290">
            <v>18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CS-LY181-LB916-XXL</v>
          </cell>
          <cell r="B291">
            <v>28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9</v>
          </cell>
          <cell r="K291">
            <v>1</v>
          </cell>
          <cell r="L291">
            <v>14</v>
          </cell>
          <cell r="M291">
            <v>0</v>
          </cell>
        </row>
        <row r="292">
          <cell r="A292" t="str">
            <v>CS-SB007-LB-S</v>
          </cell>
          <cell r="B292">
            <v>21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19</v>
          </cell>
          <cell r="M292">
            <v>0</v>
          </cell>
        </row>
        <row r="293">
          <cell r="A293" t="str">
            <v>CS-BUSB031LHY-GN2-XXL</v>
          </cell>
          <cell r="B293">
            <v>5</v>
          </cell>
          <cell r="C293">
            <v>0</v>
          </cell>
          <cell r="D293">
            <v>9</v>
          </cell>
          <cell r="E293">
            <v>0</v>
          </cell>
          <cell r="F293">
            <v>9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CS-LHY009-LB-XXL</v>
          </cell>
          <cell r="B294">
            <v>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CS-SB009-CF-XL</v>
          </cell>
          <cell r="B295">
            <v>31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WQS-BN-1503-WO-XL</v>
          </cell>
          <cell r="B296">
            <v>21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10</v>
          </cell>
          <cell r="K296">
            <v>1</v>
          </cell>
          <cell r="L296">
            <v>0</v>
          </cell>
          <cell r="M296">
            <v>0</v>
          </cell>
        </row>
        <row r="297">
          <cell r="A297" t="str">
            <v>CS-SB016-NB-M</v>
          </cell>
          <cell r="B297">
            <v>17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10</v>
          </cell>
          <cell r="K297">
            <v>5</v>
          </cell>
          <cell r="L297">
            <v>0</v>
          </cell>
          <cell r="M297">
            <v>0</v>
          </cell>
        </row>
        <row r="298">
          <cell r="A298" t="str">
            <v>MY-SB019-BK-L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MTX-IULHY-M188-GR-43/44</v>
          </cell>
          <cell r="B299">
            <v>5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CS-BUSB031LHY-YL1-XXL</v>
          </cell>
          <cell r="B300">
            <v>10</v>
          </cell>
          <cell r="C300">
            <v>0</v>
          </cell>
          <cell r="D300">
            <v>6</v>
          </cell>
          <cell r="E300">
            <v>0</v>
          </cell>
          <cell r="F300">
            <v>6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CS-SB007-BL-XL</v>
          </cell>
          <cell r="B301">
            <v>20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19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CS-LY086-N0-XXL</v>
          </cell>
          <cell r="B302">
            <v>16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16</v>
          </cell>
          <cell r="M302">
            <v>0</v>
          </cell>
        </row>
        <row r="303">
          <cell r="A303" t="str">
            <v>CS-LY084-H2-S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3</v>
          </cell>
          <cell r="K303">
            <v>3</v>
          </cell>
          <cell r="L303">
            <v>0</v>
          </cell>
          <cell r="M303">
            <v>0</v>
          </cell>
        </row>
        <row r="304">
          <cell r="A304" t="str">
            <v>CS-LY085-W902-M</v>
          </cell>
          <cell r="B304">
            <v>31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</v>
          </cell>
          <cell r="K304">
            <v>29</v>
          </cell>
          <cell r="L304">
            <v>0</v>
          </cell>
          <cell r="M304">
            <v>0</v>
          </cell>
        </row>
        <row r="305">
          <cell r="A305" t="str">
            <v>CS-LY085-G912-XXL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CS-BUSB032-RD-M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MY-SB019-DG-XL</v>
          </cell>
          <cell r="B307">
            <v>5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5</v>
          </cell>
          <cell r="L307">
            <v>0</v>
          </cell>
          <cell r="M307">
            <v>0</v>
          </cell>
        </row>
        <row r="308">
          <cell r="A308" t="str">
            <v>MY-LYRound020-K0-XL</v>
          </cell>
          <cell r="B308">
            <v>17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CS-SB009-RD-XL</v>
          </cell>
          <cell r="B309">
            <v>25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MY-SBRound020-BL-S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WY-SB017-BK-S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2</v>
          </cell>
          <cell r="L311">
            <v>0</v>
          </cell>
          <cell r="M311">
            <v>0</v>
          </cell>
        </row>
        <row r="312">
          <cell r="A312" t="str">
            <v>MY-SB011JR-CF-XL</v>
          </cell>
          <cell r="B312">
            <v>8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8</v>
          </cell>
          <cell r="L312">
            <v>0</v>
          </cell>
          <cell r="M312">
            <v>0</v>
          </cell>
        </row>
        <row r="313">
          <cell r="A313" t="str">
            <v>MY-SB011-DG-XL</v>
          </cell>
          <cell r="B313">
            <v>6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</v>
          </cell>
          <cell r="K313">
            <v>2</v>
          </cell>
          <cell r="L313">
            <v>0</v>
          </cell>
          <cell r="M313">
            <v>0</v>
          </cell>
        </row>
        <row r="314">
          <cell r="A314" t="str">
            <v>CS-SB006-CF-2XL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4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MY-SB027-NY-S</v>
          </cell>
          <cell r="B315">
            <v>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CS-SB005-BK-S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CS-BS003-NB-XXL</v>
          </cell>
          <cell r="B317">
            <v>22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16</v>
          </cell>
          <cell r="K317">
            <v>6</v>
          </cell>
          <cell r="L317">
            <v>0</v>
          </cell>
          <cell r="M317">
            <v>0</v>
          </cell>
        </row>
        <row r="318">
          <cell r="A318" t="str">
            <v>CS-SB181-LG907-XL</v>
          </cell>
          <cell r="B318">
            <v>5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CS-SB016-NB-S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3</v>
          </cell>
          <cell r="L319">
            <v>0</v>
          </cell>
          <cell r="M319">
            <v>0</v>
          </cell>
        </row>
        <row r="320">
          <cell r="A320" t="str">
            <v>MY-LYRound020-OR-M</v>
          </cell>
          <cell r="B320">
            <v>7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4</v>
          </cell>
          <cell r="K320">
            <v>3</v>
          </cell>
          <cell r="L320">
            <v>0</v>
          </cell>
          <cell r="M320">
            <v>0</v>
          </cell>
        </row>
        <row r="321">
          <cell r="A321" t="str">
            <v>CS-LY084-H2-XL</v>
          </cell>
          <cell r="B321">
            <v>32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32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MY-LYHigh303-GR-XL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CS-SB006-BK-S</v>
          </cell>
          <cell r="B323">
            <v>7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2</v>
          </cell>
          <cell r="K323">
            <v>4</v>
          </cell>
          <cell r="L323">
            <v>0</v>
          </cell>
          <cell r="M323">
            <v>0</v>
          </cell>
        </row>
        <row r="324">
          <cell r="A324" t="str">
            <v>CS-SB010-WT-6</v>
          </cell>
          <cell r="B324">
            <v>11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2</v>
          </cell>
          <cell r="L324">
            <v>9</v>
          </cell>
          <cell r="M324">
            <v>0</v>
          </cell>
        </row>
        <row r="325">
          <cell r="A325" t="str">
            <v>CS-SB006-RD2-2XL</v>
          </cell>
          <cell r="B325">
            <v>21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3</v>
          </cell>
          <cell r="L325">
            <v>0</v>
          </cell>
          <cell r="M325">
            <v>0</v>
          </cell>
        </row>
        <row r="326">
          <cell r="A326" t="str">
            <v>MY-SB011JR-NY-L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3</v>
          </cell>
          <cell r="L326">
            <v>0</v>
          </cell>
          <cell r="M326">
            <v>0</v>
          </cell>
        </row>
        <row r="327">
          <cell r="A327" t="str">
            <v>MY-SB027-GN-S</v>
          </cell>
          <cell r="B327">
            <v>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CS-SB166-YL-M</v>
          </cell>
          <cell r="B328">
            <v>4</v>
          </cell>
          <cell r="C328">
            <v>0</v>
          </cell>
          <cell r="D328">
            <v>13</v>
          </cell>
          <cell r="E328">
            <v>0</v>
          </cell>
          <cell r="F328">
            <v>13</v>
          </cell>
          <cell r="G328">
            <v>0</v>
          </cell>
          <cell r="H328">
            <v>0</v>
          </cell>
          <cell r="I328">
            <v>0</v>
          </cell>
          <cell r="J328">
            <v>4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CS-BS003-LB-XXL</v>
          </cell>
          <cell r="B329">
            <v>20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MTX-IULHY-M1798-CF-27</v>
          </cell>
          <cell r="B330">
            <v>5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CS-BS003-LB-M</v>
          </cell>
          <cell r="B331">
            <v>5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CS-LY181-LB916-L</v>
          </cell>
          <cell r="B332">
            <v>9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9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CS-LY166-K73-1-XL</v>
          </cell>
          <cell r="B333">
            <v>7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3</v>
          </cell>
          <cell r="K333">
            <v>4</v>
          </cell>
          <cell r="L333">
            <v>0</v>
          </cell>
          <cell r="M333">
            <v>0</v>
          </cell>
        </row>
        <row r="334">
          <cell r="A334" t="str">
            <v>MY-SB020-BK-M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A335" t="str">
            <v>MY-SB021-BK-S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DK-LY-K518-OR-42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MY-LYRound020-GN-L</v>
          </cell>
          <cell r="B337">
            <v>15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15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CS-SB166-B28-4-L</v>
          </cell>
          <cell r="B338">
            <v>11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11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MY-SB011-RD-M</v>
          </cell>
          <cell r="B339">
            <v>14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</v>
          </cell>
          <cell r="K339">
            <v>13</v>
          </cell>
          <cell r="L339">
            <v>0</v>
          </cell>
          <cell r="M339">
            <v>0</v>
          </cell>
        </row>
        <row r="340">
          <cell r="A340" t="str">
            <v>CS-SB006-RD1-M</v>
          </cell>
          <cell r="B340">
            <v>31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15</v>
          </cell>
          <cell r="K340">
            <v>16</v>
          </cell>
          <cell r="L340">
            <v>0</v>
          </cell>
          <cell r="M340">
            <v>0</v>
          </cell>
        </row>
        <row r="341">
          <cell r="A341" t="str">
            <v>CS-SB009-LB-L</v>
          </cell>
          <cell r="B341">
            <v>12</v>
          </cell>
          <cell r="C341">
            <v>1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CS-LY084-H15-M</v>
          </cell>
          <cell r="B342">
            <v>25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25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MY-SB011-RD-S</v>
          </cell>
          <cell r="B343">
            <v>10</v>
          </cell>
          <cell r="C343">
            <v>1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9</v>
          </cell>
          <cell r="M343">
            <v>0</v>
          </cell>
        </row>
        <row r="344">
          <cell r="A344" t="str">
            <v>CS-SB010-WT-5</v>
          </cell>
          <cell r="B344">
            <v>7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2</v>
          </cell>
          <cell r="L344">
            <v>3</v>
          </cell>
          <cell r="M344">
            <v>0</v>
          </cell>
        </row>
        <row r="345">
          <cell r="A345" t="str">
            <v>SB-YL003-GH60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1</v>
          </cell>
          <cell r="L345">
            <v>0</v>
          </cell>
          <cell r="M345">
            <v>0</v>
          </cell>
        </row>
        <row r="346">
          <cell r="A346" t="str">
            <v>MTX-IULHY-M1758-DC-28</v>
          </cell>
          <cell r="B346">
            <v>5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CS-LY085-PI908-XXL</v>
          </cell>
          <cell r="B347">
            <v>35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3</v>
          </cell>
          <cell r="K347">
            <v>23</v>
          </cell>
          <cell r="L347">
            <v>11</v>
          </cell>
          <cell r="M347">
            <v>0</v>
          </cell>
        </row>
        <row r="348">
          <cell r="A348" t="str">
            <v>CS-SB009-YL-S</v>
          </cell>
          <cell r="B348">
            <v>19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6</v>
          </cell>
          <cell r="L348">
            <v>0</v>
          </cell>
          <cell r="M348">
            <v>0</v>
          </cell>
        </row>
        <row r="349">
          <cell r="A349" t="str">
            <v>CS-LY181-LB916-M</v>
          </cell>
          <cell r="B349">
            <v>28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7</v>
          </cell>
          <cell r="K349">
            <v>6</v>
          </cell>
          <cell r="L349">
            <v>11</v>
          </cell>
          <cell r="M349">
            <v>0</v>
          </cell>
        </row>
        <row r="350">
          <cell r="A350" t="str">
            <v>CS-LY181-Sa911-L</v>
          </cell>
          <cell r="B350">
            <v>9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6</v>
          </cell>
          <cell r="K350">
            <v>4</v>
          </cell>
          <cell r="L350">
            <v>0</v>
          </cell>
          <cell r="M350">
            <v>0</v>
          </cell>
        </row>
        <row r="351">
          <cell r="A351" t="str">
            <v>CS-SB170-LB916-S</v>
          </cell>
          <cell r="B351">
            <v>8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MY-SB011-LG-XL</v>
          </cell>
          <cell r="B352">
            <v>4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4</v>
          </cell>
          <cell r="L352">
            <v>0</v>
          </cell>
          <cell r="M352">
            <v>0</v>
          </cell>
        </row>
        <row r="353">
          <cell r="A353" t="str">
            <v>MY-LYRound020-K0-S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MY-LYPoint021-GR-XL</v>
          </cell>
          <cell r="B354">
            <v>4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MY-SB019-RD-XL</v>
          </cell>
          <cell r="B355">
            <v>8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8</v>
          </cell>
          <cell r="L355">
            <v>0</v>
          </cell>
          <cell r="M355">
            <v>0</v>
          </cell>
        </row>
        <row r="356">
          <cell r="A356" t="str">
            <v>MY-LYRound020-GN-M</v>
          </cell>
          <cell r="B356">
            <v>11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11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MY-LYRound020-DG-XL</v>
          </cell>
          <cell r="B357">
            <v>18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CS-SB002-CF-S</v>
          </cell>
          <cell r="B358">
            <v>13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13</v>
          </cell>
          <cell r="M358">
            <v>0</v>
          </cell>
        </row>
        <row r="359">
          <cell r="A359" t="str">
            <v>CS-SB166-K73-2-XL</v>
          </cell>
          <cell r="B359">
            <v>34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30</v>
          </cell>
          <cell r="K359">
            <v>4</v>
          </cell>
          <cell r="L359">
            <v>0</v>
          </cell>
          <cell r="M359">
            <v>0</v>
          </cell>
        </row>
        <row r="360">
          <cell r="A360" t="str">
            <v>MY-SB026-DG-S</v>
          </cell>
          <cell r="B360">
            <v>6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POLO-SB1503-WT-M</v>
          </cell>
          <cell r="B361">
            <v>8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CS-BUSB031-RD1-XXL</v>
          </cell>
          <cell r="B362">
            <v>7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5</v>
          </cell>
          <cell r="K362">
            <v>2</v>
          </cell>
          <cell r="L362">
            <v>0</v>
          </cell>
          <cell r="M362">
            <v>0</v>
          </cell>
        </row>
        <row r="363">
          <cell r="A363" t="str">
            <v>CS-SB005-BL2-XL</v>
          </cell>
          <cell r="B363">
            <v>27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7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CS-SB007-PP-XL</v>
          </cell>
          <cell r="B364">
            <v>7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7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CS-LY181-W902-M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CS-SB086-LB-M</v>
          </cell>
          <cell r="B366">
            <v>29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5</v>
          </cell>
          <cell r="K366">
            <v>22</v>
          </cell>
          <cell r="L366">
            <v>0</v>
          </cell>
          <cell r="M366">
            <v>0</v>
          </cell>
        </row>
        <row r="367">
          <cell r="A367" t="str">
            <v>CS-LY181-LB916-XL</v>
          </cell>
          <cell r="B367">
            <v>20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7</v>
          </cell>
          <cell r="K367">
            <v>2</v>
          </cell>
          <cell r="L367">
            <v>9</v>
          </cell>
          <cell r="M367">
            <v>0</v>
          </cell>
        </row>
        <row r="368">
          <cell r="A368" t="str">
            <v>CS-LY084-H6-XXL</v>
          </cell>
          <cell r="B368">
            <v>8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6</v>
          </cell>
          <cell r="L368">
            <v>0</v>
          </cell>
          <cell r="M368">
            <v>0</v>
          </cell>
        </row>
        <row r="369">
          <cell r="A369" t="str">
            <v>MY-SB020-DG-M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MY-SB019-BL-M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1</v>
          </cell>
          <cell r="K370">
            <v>5</v>
          </cell>
          <cell r="L370">
            <v>0</v>
          </cell>
          <cell r="M370">
            <v>0</v>
          </cell>
        </row>
        <row r="371">
          <cell r="A371" t="str">
            <v>MY-LYRound020-W0-L</v>
          </cell>
          <cell r="B371">
            <v>16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CS-SB086-LB-XL</v>
          </cell>
          <cell r="B372">
            <v>4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MY-SB018-BK-XL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CS-BS003-NB-M</v>
          </cell>
          <cell r="B374">
            <v>15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15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CS-SB006-CF-M</v>
          </cell>
          <cell r="B375">
            <v>4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3</v>
          </cell>
          <cell r="K375">
            <v>1</v>
          </cell>
          <cell r="L375">
            <v>0</v>
          </cell>
          <cell r="M375">
            <v>0</v>
          </cell>
        </row>
        <row r="376">
          <cell r="A376" t="str">
            <v>CS-LY084-H16-L</v>
          </cell>
          <cell r="B376">
            <v>37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36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CS-BUSB031-GN3-M</v>
          </cell>
          <cell r="B377">
            <v>10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3</v>
          </cell>
          <cell r="K377">
            <v>2</v>
          </cell>
          <cell r="L377">
            <v>0</v>
          </cell>
          <cell r="M377">
            <v>0</v>
          </cell>
        </row>
        <row r="378">
          <cell r="A378" t="str">
            <v>CS-LY181-PI908-XL</v>
          </cell>
          <cell r="B378">
            <v>25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1</v>
          </cell>
          <cell r="K378">
            <v>1</v>
          </cell>
          <cell r="L378">
            <v>21</v>
          </cell>
          <cell r="M378">
            <v>0</v>
          </cell>
        </row>
        <row r="379">
          <cell r="A379" t="str">
            <v>CS-SB005-BL2-S</v>
          </cell>
          <cell r="B379">
            <v>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CS-LHY032-NB-XL</v>
          </cell>
          <cell r="B380">
            <v>30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MTX-IULHY-M1758-DC-29</v>
          </cell>
          <cell r="B381">
            <v>5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CS-SB166-B28-5-S</v>
          </cell>
          <cell r="B382">
            <v>4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4</v>
          </cell>
          <cell r="L382">
            <v>0</v>
          </cell>
          <cell r="M382">
            <v>0</v>
          </cell>
        </row>
        <row r="383">
          <cell r="A383" t="str">
            <v>KZ-LHY001-RED-XL</v>
          </cell>
          <cell r="B383">
            <v>22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CS-LHY032-GN2-M</v>
          </cell>
          <cell r="B384">
            <v>15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MTX-IULHY-M1758-LC-27</v>
          </cell>
          <cell r="B385">
            <v>5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CS-LHY009-LB1-S</v>
          </cell>
          <cell r="B386">
            <v>15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CS-SB181-G912-M</v>
          </cell>
          <cell r="B387">
            <v>23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7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CS-SB003-NB-XXL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1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CS-LHY003-BK-L</v>
          </cell>
          <cell r="B389">
            <v>22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CFY-M1830-RD-S</v>
          </cell>
          <cell r="B390">
            <v>1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CS-SB003-NB-L</v>
          </cell>
          <cell r="B391">
            <v>30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26</v>
          </cell>
          <cell r="K391">
            <v>3</v>
          </cell>
          <cell r="L391">
            <v>0</v>
          </cell>
          <cell r="M391">
            <v>0</v>
          </cell>
        </row>
        <row r="392">
          <cell r="A392" t="str">
            <v>MY-SB026-KK-S</v>
          </cell>
          <cell r="B392">
            <v>4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4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WY-SB017-DG-XXL</v>
          </cell>
          <cell r="B393">
            <v>7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</v>
          </cell>
          <cell r="L393">
            <v>0</v>
          </cell>
          <cell r="M393">
            <v>0</v>
          </cell>
        </row>
        <row r="394">
          <cell r="A394" t="str">
            <v>DK-LY-K157-B0-42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2</v>
          </cell>
          <cell r="M394">
            <v>0</v>
          </cell>
        </row>
        <row r="395">
          <cell r="A395" t="str">
            <v>CS-SB002-BL-XXL</v>
          </cell>
          <cell r="B395">
            <v>7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6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MY-LYPoint021-NY-XL</v>
          </cell>
          <cell r="B396">
            <v>10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DK-LY-K559-OR-42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1</v>
          </cell>
          <cell r="L397">
            <v>3</v>
          </cell>
          <cell r="M397">
            <v>0</v>
          </cell>
        </row>
        <row r="398">
          <cell r="A398" t="str">
            <v>MY-SB019-LG-XL</v>
          </cell>
          <cell r="B398">
            <v>8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8</v>
          </cell>
          <cell r="L398">
            <v>0</v>
          </cell>
          <cell r="M398">
            <v>0</v>
          </cell>
        </row>
        <row r="399">
          <cell r="A399" t="str">
            <v>WY-SB017-BK-L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6</v>
          </cell>
          <cell r="L399">
            <v>0</v>
          </cell>
          <cell r="M399">
            <v>0</v>
          </cell>
        </row>
        <row r="400">
          <cell r="A400" t="str">
            <v>MY-LYRound020-OR-S</v>
          </cell>
          <cell r="B400">
            <v>18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1</v>
          </cell>
          <cell r="K400">
            <v>17</v>
          </cell>
          <cell r="L400">
            <v>0</v>
          </cell>
          <cell r="M400">
            <v>0</v>
          </cell>
        </row>
        <row r="401">
          <cell r="A401" t="str">
            <v>CS-LY085-PI908-XL</v>
          </cell>
          <cell r="B401">
            <v>42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3</v>
          </cell>
          <cell r="K401">
            <v>23</v>
          </cell>
          <cell r="L401">
            <v>14</v>
          </cell>
          <cell r="M401">
            <v>0</v>
          </cell>
        </row>
        <row r="402">
          <cell r="A402" t="str">
            <v>CS-SB009-LB1-S</v>
          </cell>
          <cell r="B402">
            <v>19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8</v>
          </cell>
          <cell r="L402">
            <v>0</v>
          </cell>
          <cell r="M402">
            <v>0</v>
          </cell>
        </row>
        <row r="403">
          <cell r="A403" t="str">
            <v>MY-LYRound020-GN-XL</v>
          </cell>
          <cell r="B403">
            <v>16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16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CS-SB006-GN-S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CS-SB016-B0-XL</v>
          </cell>
          <cell r="B405">
            <v>11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9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CS-BBS030-GR-XL</v>
          </cell>
          <cell r="B406">
            <v>25</v>
          </cell>
          <cell r="C406">
            <v>0</v>
          </cell>
          <cell r="D406">
            <v>10</v>
          </cell>
          <cell r="E406">
            <v>0</v>
          </cell>
          <cell r="F406">
            <v>10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CS-LY166-B28-5-L</v>
          </cell>
          <cell r="B407">
            <v>27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15</v>
          </cell>
          <cell r="K407">
            <v>11</v>
          </cell>
          <cell r="L407">
            <v>0</v>
          </cell>
          <cell r="M407">
            <v>0</v>
          </cell>
        </row>
        <row r="408">
          <cell r="A408" t="str">
            <v>CS-SB007-PP-S</v>
          </cell>
          <cell r="B408">
            <v>17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16</v>
          </cell>
          <cell r="M408">
            <v>0</v>
          </cell>
        </row>
        <row r="409">
          <cell r="A409" t="str">
            <v>CS-SB007-PP-M</v>
          </cell>
          <cell r="B409">
            <v>27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22</v>
          </cell>
          <cell r="K409">
            <v>1</v>
          </cell>
          <cell r="L409">
            <v>2</v>
          </cell>
          <cell r="M409">
            <v>0</v>
          </cell>
        </row>
        <row r="410">
          <cell r="A410" t="str">
            <v>MY-SB020-DG-XL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1</v>
          </cell>
          <cell r="L410">
            <v>0</v>
          </cell>
          <cell r="M410">
            <v>0</v>
          </cell>
        </row>
        <row r="411">
          <cell r="A411" t="str">
            <v>CS-BBS006-GN-L</v>
          </cell>
          <cell r="B411">
            <v>31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15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WY-SB017-LG-XXL</v>
          </cell>
          <cell r="B412">
            <v>9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1</v>
          </cell>
          <cell r="K412">
            <v>8</v>
          </cell>
          <cell r="L412">
            <v>0</v>
          </cell>
          <cell r="M412">
            <v>0</v>
          </cell>
        </row>
        <row r="413">
          <cell r="A413" t="str">
            <v>CS-SB181-W902-XL</v>
          </cell>
          <cell r="B413">
            <v>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MY-SB011JR-CF-S</v>
          </cell>
          <cell r="B414">
            <v>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4</v>
          </cell>
          <cell r="L414">
            <v>0</v>
          </cell>
          <cell r="M414">
            <v>0</v>
          </cell>
        </row>
        <row r="415">
          <cell r="A415" t="str">
            <v>MY-SB018-RD-XL</v>
          </cell>
          <cell r="B415">
            <v>6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2</v>
          </cell>
          <cell r="K415">
            <v>3</v>
          </cell>
          <cell r="L415">
            <v>0</v>
          </cell>
          <cell r="M415">
            <v>0</v>
          </cell>
        </row>
        <row r="416">
          <cell r="A416" t="str">
            <v>MY-SB027-KK-M</v>
          </cell>
          <cell r="B416">
            <v>12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CFY-M1798-BL-M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  <cell r="M417">
            <v>0</v>
          </cell>
        </row>
        <row r="418">
          <cell r="A418" t="str">
            <v>CS-LY086-LB-M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1</v>
          </cell>
          <cell r="K418">
            <v>1</v>
          </cell>
          <cell r="L418">
            <v>0</v>
          </cell>
          <cell r="M418">
            <v>0</v>
          </cell>
        </row>
        <row r="419">
          <cell r="A419" t="str">
            <v>CS-SB181-WR917-XL</v>
          </cell>
          <cell r="B419">
            <v>11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CS-BUSB031-RD2-L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CS-SB005-RD1-S</v>
          </cell>
          <cell r="B421">
            <v>11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11</v>
          </cell>
          <cell r="L421">
            <v>0</v>
          </cell>
          <cell r="M421">
            <v>0</v>
          </cell>
        </row>
        <row r="422">
          <cell r="A422" t="str">
            <v>MY-SBPoint021-WT-M</v>
          </cell>
          <cell r="B422">
            <v>2</v>
          </cell>
          <cell r="C422">
            <v>0</v>
          </cell>
          <cell r="D422">
            <v>4</v>
          </cell>
          <cell r="E422">
            <v>0</v>
          </cell>
          <cell r="F422">
            <v>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MY-SB019-RD-L</v>
          </cell>
          <cell r="B423">
            <v>7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</v>
          </cell>
          <cell r="K423">
            <v>6</v>
          </cell>
          <cell r="L423">
            <v>0</v>
          </cell>
          <cell r="M423">
            <v>0</v>
          </cell>
        </row>
        <row r="424">
          <cell r="A424" t="str">
            <v>MY-SB018-RD-L</v>
          </cell>
          <cell r="B424">
            <v>6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6</v>
          </cell>
          <cell r="L424">
            <v>0</v>
          </cell>
          <cell r="M424">
            <v>0</v>
          </cell>
        </row>
        <row r="425">
          <cell r="A425" t="str">
            <v>CS-LHY009-GN-M</v>
          </cell>
          <cell r="B425">
            <v>21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CS-SB002-RD-S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MY-LYRound020-LB-S</v>
          </cell>
          <cell r="B427">
            <v>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MY-SB019-BK-M</v>
          </cell>
          <cell r="B428">
            <v>5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5</v>
          </cell>
          <cell r="L428">
            <v>0</v>
          </cell>
          <cell r="M428">
            <v>0</v>
          </cell>
        </row>
        <row r="429">
          <cell r="A429" t="str">
            <v>CS-SB166-B28-4-XXL</v>
          </cell>
          <cell r="B429">
            <v>31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23</v>
          </cell>
          <cell r="K429">
            <v>8</v>
          </cell>
          <cell r="L429">
            <v>0</v>
          </cell>
          <cell r="M429">
            <v>0</v>
          </cell>
        </row>
        <row r="430">
          <cell r="A430" t="str">
            <v>CS-BS016-B0-XL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2</v>
          </cell>
          <cell r="L430">
            <v>0</v>
          </cell>
          <cell r="M430">
            <v>0</v>
          </cell>
        </row>
        <row r="431">
          <cell r="A431" t="str">
            <v>CS-BS016-B0-L</v>
          </cell>
          <cell r="B431">
            <v>4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3</v>
          </cell>
          <cell r="L431">
            <v>0</v>
          </cell>
          <cell r="M431">
            <v>0</v>
          </cell>
        </row>
        <row r="432">
          <cell r="A432" t="str">
            <v>CS-LY085-Sa911-XL</v>
          </cell>
          <cell r="B432">
            <v>20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20</v>
          </cell>
          <cell r="L432">
            <v>0</v>
          </cell>
          <cell r="M432">
            <v>0</v>
          </cell>
        </row>
        <row r="433">
          <cell r="A433" t="str">
            <v>CS-SB007-LG-S</v>
          </cell>
          <cell r="B433">
            <v>20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1</v>
          </cell>
          <cell r="L433">
            <v>18</v>
          </cell>
          <cell r="M433">
            <v>0</v>
          </cell>
        </row>
        <row r="434">
          <cell r="A434" t="str">
            <v>CS-SB181-Sa911-XXL</v>
          </cell>
          <cell r="B434">
            <v>8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8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CS-LY170-WR917-S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SB-YL004-FD60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2</v>
          </cell>
          <cell r="L436">
            <v>0</v>
          </cell>
          <cell r="M436">
            <v>0</v>
          </cell>
        </row>
        <row r="437">
          <cell r="A437" t="str">
            <v>CFY-M1830-BL-L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CS-SB006-BK-2XL</v>
          </cell>
          <cell r="B438">
            <v>11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CS-LY170-G912-M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CS-SB181-LG907-XXL</v>
          </cell>
          <cell r="B440">
            <v>20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CS-SB006-BK-L</v>
          </cell>
          <cell r="B441">
            <v>10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9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POLO-SB014-BK-S</v>
          </cell>
          <cell r="B442">
            <v>4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4</v>
          </cell>
          <cell r="L442">
            <v>0</v>
          </cell>
          <cell r="M442">
            <v>0</v>
          </cell>
        </row>
        <row r="443">
          <cell r="A443" t="str">
            <v>CS-LY166-B28-3-S</v>
          </cell>
          <cell r="B443">
            <v>4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5</v>
          </cell>
          <cell r="L443">
            <v>0</v>
          </cell>
          <cell r="M443">
            <v>0</v>
          </cell>
        </row>
        <row r="444">
          <cell r="A444" t="str">
            <v>CS-LY084-H15-XL</v>
          </cell>
          <cell r="B444">
            <v>76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4</v>
          </cell>
          <cell r="K444">
            <v>51</v>
          </cell>
          <cell r="L444">
            <v>0</v>
          </cell>
          <cell r="M444">
            <v>0</v>
          </cell>
        </row>
        <row r="445">
          <cell r="A445" t="str">
            <v>CS-SB007-LG-M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CS-SB166-K33-4-XXL</v>
          </cell>
          <cell r="B446">
            <v>28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13</v>
          </cell>
          <cell r="K446">
            <v>15</v>
          </cell>
          <cell r="L446">
            <v>0</v>
          </cell>
          <cell r="M446">
            <v>0</v>
          </cell>
        </row>
        <row r="447">
          <cell r="A447" t="str">
            <v>CS-SB181-ZL918-L</v>
          </cell>
          <cell r="B447">
            <v>37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MY-LYPoint021-KQ-XL</v>
          </cell>
          <cell r="B448">
            <v>17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5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WY-SB017-NY-L</v>
          </cell>
          <cell r="B449">
            <v>9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7</v>
          </cell>
          <cell r="L449">
            <v>0</v>
          </cell>
          <cell r="M449">
            <v>0</v>
          </cell>
        </row>
        <row r="450">
          <cell r="A450" t="str">
            <v>MY-SB021-BL-M</v>
          </cell>
          <cell r="B450">
            <v>14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9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MY-SB011JR-RD-XL</v>
          </cell>
          <cell r="B451">
            <v>7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7</v>
          </cell>
          <cell r="L451">
            <v>0</v>
          </cell>
          <cell r="M451">
            <v>0</v>
          </cell>
        </row>
        <row r="452">
          <cell r="A452" t="str">
            <v>CS-SB009-LB1-M</v>
          </cell>
          <cell r="B452">
            <v>31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CS-SB009-RDNY-S</v>
          </cell>
          <cell r="B453">
            <v>20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3</v>
          </cell>
          <cell r="K453">
            <v>5</v>
          </cell>
          <cell r="L453">
            <v>0</v>
          </cell>
          <cell r="M453">
            <v>0</v>
          </cell>
        </row>
        <row r="454">
          <cell r="A454" t="str">
            <v>WY-SB017-RD-M</v>
          </cell>
          <cell r="B454">
            <v>7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7</v>
          </cell>
          <cell r="L454">
            <v>0</v>
          </cell>
          <cell r="M454">
            <v>0</v>
          </cell>
        </row>
        <row r="455">
          <cell r="A455" t="str">
            <v>MY-LYPoint021-WR-M</v>
          </cell>
          <cell r="B455">
            <v>13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1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MY-SB011-CF-S</v>
          </cell>
          <cell r="B456">
            <v>18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3</v>
          </cell>
          <cell r="L456">
            <v>14</v>
          </cell>
          <cell r="M456">
            <v>0</v>
          </cell>
        </row>
        <row r="457">
          <cell r="A457" t="str">
            <v>CS-SB170-LG907-S</v>
          </cell>
          <cell r="B457">
            <v>16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WY-SB017-DG-M</v>
          </cell>
          <cell r="B458">
            <v>6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6</v>
          </cell>
          <cell r="L458">
            <v>0</v>
          </cell>
          <cell r="M458">
            <v>0</v>
          </cell>
        </row>
        <row r="459">
          <cell r="A459" t="str">
            <v>CS-SB166-K33-1-S</v>
          </cell>
          <cell r="B459">
            <v>6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6</v>
          </cell>
          <cell r="L459">
            <v>0</v>
          </cell>
          <cell r="M459">
            <v>0</v>
          </cell>
        </row>
        <row r="460">
          <cell r="A460" t="str">
            <v>CS-LY181-LG-M</v>
          </cell>
          <cell r="B460">
            <v>39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CS-SB166-K73-1-L</v>
          </cell>
          <cell r="B461">
            <v>14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6</v>
          </cell>
          <cell r="K461">
            <v>7</v>
          </cell>
          <cell r="L461">
            <v>0</v>
          </cell>
          <cell r="M461">
            <v>0</v>
          </cell>
        </row>
        <row r="462">
          <cell r="A462" t="str">
            <v>CS-SB006-GN-L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CS-BBS030-WT-M</v>
          </cell>
          <cell r="B463">
            <v>34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CS-SB002-LB-2XL</v>
          </cell>
          <cell r="B464">
            <v>18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18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CFY-M1830-BL-M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1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CS-SB002-RNBL-L</v>
          </cell>
          <cell r="B466">
            <v>24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24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SB-YL004-FD10</v>
          </cell>
          <cell r="B467">
            <v>3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3</v>
          </cell>
          <cell r="L467">
            <v>0</v>
          </cell>
          <cell r="M467">
            <v>0</v>
          </cell>
        </row>
        <row r="468">
          <cell r="A468" t="str">
            <v>CS-LY086-LB-XXL</v>
          </cell>
          <cell r="B468">
            <v>1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CS-LY084-H3-XL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CS-LY085-R901-XL</v>
          </cell>
          <cell r="B470">
            <v>15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13</v>
          </cell>
          <cell r="L470">
            <v>0</v>
          </cell>
          <cell r="M470">
            <v>0</v>
          </cell>
        </row>
        <row r="471">
          <cell r="A471" t="str">
            <v>MY-SB011-BL-M</v>
          </cell>
          <cell r="B471">
            <v>6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4</v>
          </cell>
          <cell r="L471">
            <v>0</v>
          </cell>
          <cell r="M471">
            <v>0</v>
          </cell>
        </row>
        <row r="472">
          <cell r="A472" t="str">
            <v>MY-SB026-GN-S</v>
          </cell>
          <cell r="B472">
            <v>2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</row>
        <row r="473">
          <cell r="A473" t="str">
            <v>CS-SB003-B0-XXL</v>
          </cell>
          <cell r="B473">
            <v>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1</v>
          </cell>
          <cell r="K473">
            <v>1</v>
          </cell>
          <cell r="L473">
            <v>0</v>
          </cell>
          <cell r="M473">
            <v>0</v>
          </cell>
        </row>
        <row r="474">
          <cell r="A474" t="str">
            <v>CS-SB166-K33-2-M</v>
          </cell>
          <cell r="B474">
            <v>14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CS-BUSB031-YL2-S</v>
          </cell>
          <cell r="B475">
            <v>9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2</v>
          </cell>
          <cell r="L475">
            <v>0</v>
          </cell>
          <cell r="M475">
            <v>0</v>
          </cell>
        </row>
        <row r="476">
          <cell r="A476" t="str">
            <v>MY-SB011-PP-M</v>
          </cell>
          <cell r="B476">
            <v>1</v>
          </cell>
          <cell r="C476">
            <v>1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CS-SB009-YL-L</v>
          </cell>
          <cell r="B477">
            <v>22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POLO-SB014-RD-M</v>
          </cell>
          <cell r="B478">
            <v>6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6</v>
          </cell>
          <cell r="L478">
            <v>0</v>
          </cell>
          <cell r="M478">
            <v>0</v>
          </cell>
        </row>
        <row r="479">
          <cell r="A479" t="str">
            <v>CS-LHY009-RD-M</v>
          </cell>
          <cell r="B479">
            <v>31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CS-SB002-RD-XL</v>
          </cell>
          <cell r="B480">
            <v>13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13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MY-SB019-RD-S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3</v>
          </cell>
          <cell r="L481">
            <v>0</v>
          </cell>
          <cell r="M481">
            <v>0</v>
          </cell>
        </row>
        <row r="482">
          <cell r="A482" t="str">
            <v>CS-BS003-BK-M</v>
          </cell>
          <cell r="B482">
            <v>17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17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MY-BS027-LG-L</v>
          </cell>
          <cell r="B483">
            <v>9</v>
          </cell>
          <cell r="C483">
            <v>0</v>
          </cell>
          <cell r="D483">
            <v>5</v>
          </cell>
          <cell r="E483">
            <v>0</v>
          </cell>
          <cell r="F483">
            <v>5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CS-SB003-B0-S</v>
          </cell>
          <cell r="B484">
            <v>12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2</v>
          </cell>
          <cell r="L484">
            <v>7</v>
          </cell>
          <cell r="M484">
            <v>0</v>
          </cell>
        </row>
        <row r="485">
          <cell r="A485" t="str">
            <v>CS-LY085-LB916-L</v>
          </cell>
          <cell r="B485">
            <v>14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12</v>
          </cell>
          <cell r="L485">
            <v>0</v>
          </cell>
          <cell r="M485">
            <v>0</v>
          </cell>
        </row>
        <row r="486">
          <cell r="A486" t="str">
            <v>CS-SB006-BL-XL</v>
          </cell>
          <cell r="B486">
            <v>11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5</v>
          </cell>
          <cell r="K486">
            <v>6</v>
          </cell>
          <cell r="L486">
            <v>0</v>
          </cell>
          <cell r="M486">
            <v>0</v>
          </cell>
        </row>
        <row r="487">
          <cell r="A487" t="str">
            <v>CS-SB170-LB916-L</v>
          </cell>
          <cell r="B487">
            <v>7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CS-SB166-B28-5-M</v>
          </cell>
          <cell r="B488">
            <v>14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12</v>
          </cell>
          <cell r="L488">
            <v>0</v>
          </cell>
          <cell r="M488">
            <v>0</v>
          </cell>
        </row>
        <row r="489">
          <cell r="A489" t="str">
            <v>CS-LY181-W902-S</v>
          </cell>
          <cell r="B489">
            <v>25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13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CS-LHY032-GN2-XXL</v>
          </cell>
          <cell r="B490">
            <v>24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CS-SB006-BK-M</v>
          </cell>
          <cell r="B491">
            <v>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4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CS-LY181-G912-XXL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POLO-1503-NY-2XL</v>
          </cell>
          <cell r="B493">
            <v>13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11</v>
          </cell>
          <cell r="K493">
            <v>1</v>
          </cell>
          <cell r="L493">
            <v>0</v>
          </cell>
          <cell r="M493">
            <v>0</v>
          </cell>
        </row>
        <row r="494">
          <cell r="A494" t="str">
            <v>MY-SB011JR-CF-L</v>
          </cell>
          <cell r="B494">
            <v>7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7</v>
          </cell>
          <cell r="L494">
            <v>0</v>
          </cell>
          <cell r="M494">
            <v>0</v>
          </cell>
        </row>
        <row r="495">
          <cell r="A495" t="str">
            <v>CS-SB006-CF-S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CS-LHY009-CF-L</v>
          </cell>
          <cell r="B496">
            <v>10</v>
          </cell>
          <cell r="C496">
            <v>1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CS-LY166-B28-4-M</v>
          </cell>
          <cell r="B497">
            <v>9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3</v>
          </cell>
          <cell r="K497">
            <v>6</v>
          </cell>
          <cell r="L497">
            <v>0</v>
          </cell>
          <cell r="M497">
            <v>0</v>
          </cell>
        </row>
        <row r="498">
          <cell r="A498" t="str">
            <v>WY-SB017-RD-L</v>
          </cell>
          <cell r="B498">
            <v>8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8</v>
          </cell>
          <cell r="L498">
            <v>0</v>
          </cell>
          <cell r="M498">
            <v>0</v>
          </cell>
        </row>
        <row r="499">
          <cell r="A499" t="str">
            <v>MY-LYRound020-LB-M</v>
          </cell>
          <cell r="B499">
            <v>26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5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CS-SB170-G912-M</v>
          </cell>
          <cell r="B500">
            <v>29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MY-SB011JR-PP-XL</v>
          </cell>
          <cell r="B501">
            <v>3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</v>
          </cell>
          <cell r="L501">
            <v>0</v>
          </cell>
          <cell r="M501">
            <v>0</v>
          </cell>
        </row>
        <row r="502">
          <cell r="A502" t="str">
            <v>CS-SB006-BL-M</v>
          </cell>
          <cell r="B502">
            <v>8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3</v>
          </cell>
          <cell r="K502">
            <v>5</v>
          </cell>
          <cell r="L502">
            <v>0</v>
          </cell>
          <cell r="M502">
            <v>0</v>
          </cell>
        </row>
        <row r="503">
          <cell r="A503" t="str">
            <v>MY-SB026-BK-S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MY-SB011JR-RD-S</v>
          </cell>
          <cell r="B504">
            <v>4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4</v>
          </cell>
          <cell r="L504">
            <v>0</v>
          </cell>
          <cell r="M504">
            <v>0</v>
          </cell>
        </row>
        <row r="505">
          <cell r="A505" t="str">
            <v>CS-SB005-BL1-2XL</v>
          </cell>
          <cell r="B505">
            <v>19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19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CS-BUSB031-GN3-S</v>
          </cell>
          <cell r="B506">
            <v>10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1</v>
          </cell>
          <cell r="K506">
            <v>1</v>
          </cell>
          <cell r="L506">
            <v>0</v>
          </cell>
          <cell r="M506">
            <v>0</v>
          </cell>
        </row>
        <row r="507">
          <cell r="A507" t="str">
            <v>CS-SB002-RD-M</v>
          </cell>
          <cell r="B507">
            <v>13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11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SB-YL004-FD40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CS-BUSB031-GN3-XXL</v>
          </cell>
          <cell r="B509">
            <v>10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3</v>
          </cell>
          <cell r="K509">
            <v>3</v>
          </cell>
          <cell r="L509">
            <v>0</v>
          </cell>
          <cell r="M509">
            <v>0</v>
          </cell>
        </row>
        <row r="510">
          <cell r="A510" t="str">
            <v>WQS-BN-1503-WO-L</v>
          </cell>
          <cell r="B510">
            <v>16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6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MY-LYPoint021-DG-S</v>
          </cell>
          <cell r="B511">
            <v>5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CS-LY166-K73-2-XXL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1</v>
          </cell>
          <cell r="L512">
            <v>0</v>
          </cell>
          <cell r="M512">
            <v>0</v>
          </cell>
        </row>
        <row r="513">
          <cell r="A513" t="str">
            <v>POLO-SB014-GN-XL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2</v>
          </cell>
          <cell r="L513">
            <v>0</v>
          </cell>
          <cell r="M513">
            <v>0</v>
          </cell>
        </row>
        <row r="514">
          <cell r="A514" t="str">
            <v>MY-LYRound020-WR-XL</v>
          </cell>
          <cell r="B514">
            <v>25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15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MY-SBPoint021-KK-M</v>
          </cell>
          <cell r="B515">
            <v>9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CS-LHY009-LB1-L</v>
          </cell>
          <cell r="B516">
            <v>12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CS-SB006-BL2-M</v>
          </cell>
          <cell r="B517">
            <v>13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11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CFY-W1830-RD-M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CS-LHY009-LB1-M</v>
          </cell>
          <cell r="B519">
            <v>3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CS-SB016-BK-S</v>
          </cell>
          <cell r="B520">
            <v>12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11</v>
          </cell>
          <cell r="L520">
            <v>0</v>
          </cell>
          <cell r="M520">
            <v>0</v>
          </cell>
        </row>
        <row r="521">
          <cell r="A521" t="str">
            <v>CS-LY084-H15-XXL</v>
          </cell>
          <cell r="B521">
            <v>31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5</v>
          </cell>
          <cell r="K521">
            <v>26</v>
          </cell>
          <cell r="L521">
            <v>0</v>
          </cell>
          <cell r="M521">
            <v>0</v>
          </cell>
        </row>
        <row r="522">
          <cell r="A522" t="str">
            <v>MY-SB027-LG-S</v>
          </cell>
          <cell r="B522">
            <v>8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7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KZ-LHY001-YLW-M</v>
          </cell>
          <cell r="B523">
            <v>22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CS-LY166-B28-1-M</v>
          </cell>
          <cell r="B524">
            <v>3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1</v>
          </cell>
          <cell r="L524">
            <v>0</v>
          </cell>
          <cell r="M524">
            <v>0</v>
          </cell>
        </row>
        <row r="525">
          <cell r="A525" t="str">
            <v>CS-SB166-K73-2-L</v>
          </cell>
          <cell r="B525">
            <v>34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30</v>
          </cell>
          <cell r="K525">
            <v>4</v>
          </cell>
          <cell r="L525">
            <v>0</v>
          </cell>
          <cell r="M525">
            <v>0</v>
          </cell>
        </row>
        <row r="526">
          <cell r="A526" t="str">
            <v>MY-LYPoint021-GN-M</v>
          </cell>
          <cell r="B526">
            <v>19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CS-LHY032-GN1-S</v>
          </cell>
          <cell r="B527">
            <v>8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CS-LY084-H4-XXL</v>
          </cell>
          <cell r="B528">
            <v>47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3</v>
          </cell>
          <cell r="K528">
            <v>42</v>
          </cell>
          <cell r="L528">
            <v>0</v>
          </cell>
          <cell r="M528">
            <v>0</v>
          </cell>
        </row>
        <row r="529">
          <cell r="A529" t="str">
            <v>CFY-W1830-BL-XL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2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CS-LHY007-LP-XL</v>
          </cell>
          <cell r="B530">
            <v>10</v>
          </cell>
          <cell r="C530">
            <v>0</v>
          </cell>
          <cell r="D530">
            <v>10</v>
          </cell>
          <cell r="E530">
            <v>0</v>
          </cell>
          <cell r="F530">
            <v>10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MY-SB027-KK-S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CS-LY171-PI908-S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A533" t="str">
            <v>CS-SB166-K73-2-XXL</v>
          </cell>
          <cell r="B533">
            <v>33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30</v>
          </cell>
          <cell r="K533">
            <v>3</v>
          </cell>
          <cell r="L533">
            <v>0</v>
          </cell>
          <cell r="M533">
            <v>0</v>
          </cell>
        </row>
        <row r="534">
          <cell r="A534" t="str">
            <v>CS-LY170-LB916-XL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CS-SB009-YL-M</v>
          </cell>
          <cell r="B535">
            <v>11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CS-LY084-H16-M</v>
          </cell>
          <cell r="B536">
            <v>13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14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CS-SB181-W902-L</v>
          </cell>
          <cell r="B537">
            <v>48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MY-SB018-DG-XL</v>
          </cell>
          <cell r="B538">
            <v>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3</v>
          </cell>
          <cell r="K538">
            <v>1</v>
          </cell>
          <cell r="L538">
            <v>0</v>
          </cell>
          <cell r="M538">
            <v>0</v>
          </cell>
        </row>
        <row r="539">
          <cell r="A539" t="str">
            <v>WQS-BN-1503-GR-XL</v>
          </cell>
          <cell r="B539">
            <v>16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CS-SB005-GN-XL</v>
          </cell>
          <cell r="B540">
            <v>26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CS-SB007-LB-XL</v>
          </cell>
          <cell r="B541">
            <v>6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1</v>
          </cell>
          <cell r="K541">
            <v>0</v>
          </cell>
          <cell r="L541">
            <v>3</v>
          </cell>
          <cell r="M541">
            <v>0</v>
          </cell>
        </row>
        <row r="542">
          <cell r="A542" t="str">
            <v>CS-LY181-W902-XL</v>
          </cell>
          <cell r="B542">
            <v>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MTX-IULHY-M188-CF-43/44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MY-SB026-BK-L</v>
          </cell>
          <cell r="B544">
            <v>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CS-BS032-NB-L</v>
          </cell>
          <cell r="B545">
            <v>6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CS-SB030-BK-XXL</v>
          </cell>
          <cell r="B546">
            <v>6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CS-SB007-BL-S</v>
          </cell>
          <cell r="B547">
            <v>20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2</v>
          </cell>
          <cell r="K547">
            <v>3</v>
          </cell>
          <cell r="L547">
            <v>15</v>
          </cell>
          <cell r="M547">
            <v>0</v>
          </cell>
        </row>
        <row r="548">
          <cell r="A548" t="str">
            <v>CS-SB030-GR-XXL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CS-LHY003-BK-M</v>
          </cell>
          <cell r="B549">
            <v>17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CS-LY085-LB916-M</v>
          </cell>
          <cell r="B550">
            <v>31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23</v>
          </cell>
          <cell r="L550">
            <v>8</v>
          </cell>
          <cell r="M550">
            <v>0</v>
          </cell>
        </row>
        <row r="551">
          <cell r="A551" t="str">
            <v>CS-SB002-LB-XL</v>
          </cell>
          <cell r="B551">
            <v>7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6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CS-SB009-GN-XL</v>
          </cell>
          <cell r="B552">
            <v>22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MY-SB027-LG-L</v>
          </cell>
          <cell r="B553">
            <v>7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MY-LYPoint021-GN-L</v>
          </cell>
          <cell r="B554">
            <v>23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3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CS-SB005-BL1-S</v>
          </cell>
          <cell r="B555">
            <v>8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7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CS-SB181-WR917-XXL</v>
          </cell>
          <cell r="B556">
            <v>10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CS-SB009-BK-S</v>
          </cell>
          <cell r="B557">
            <v>23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2</v>
          </cell>
          <cell r="K557">
            <v>8</v>
          </cell>
          <cell r="L557">
            <v>0</v>
          </cell>
          <cell r="M557">
            <v>0</v>
          </cell>
        </row>
        <row r="558">
          <cell r="A558" t="str">
            <v>POLO-SB014-NY-L</v>
          </cell>
          <cell r="B558">
            <v>6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1</v>
          </cell>
          <cell r="K558">
            <v>5</v>
          </cell>
          <cell r="L558">
            <v>0</v>
          </cell>
          <cell r="M558">
            <v>0</v>
          </cell>
        </row>
        <row r="559">
          <cell r="A559" t="str">
            <v>CS-BS016-NB-XL</v>
          </cell>
          <cell r="B559">
            <v>9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1</v>
          </cell>
          <cell r="K559">
            <v>8</v>
          </cell>
          <cell r="L559">
            <v>0</v>
          </cell>
          <cell r="M559">
            <v>0</v>
          </cell>
        </row>
        <row r="560">
          <cell r="A560" t="str">
            <v>MY-SBPoint021-GN-XL</v>
          </cell>
          <cell r="B560">
            <v>6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CS-SB009-LB1-L</v>
          </cell>
          <cell r="B561">
            <v>16</v>
          </cell>
          <cell r="C561">
            <v>0</v>
          </cell>
          <cell r="D561">
            <v>0</v>
          </cell>
          <cell r="E561">
            <v>1</v>
          </cell>
          <cell r="F561">
            <v>1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MY-SB011-NY-S</v>
          </cell>
          <cell r="B562">
            <v>11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1</v>
          </cell>
          <cell r="K562">
            <v>10</v>
          </cell>
          <cell r="L562">
            <v>0</v>
          </cell>
          <cell r="M562">
            <v>0</v>
          </cell>
        </row>
        <row r="563">
          <cell r="A563" t="str">
            <v>CS-SB010-WT-3</v>
          </cell>
          <cell r="B563">
            <v>11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11</v>
          </cell>
          <cell r="M563">
            <v>0</v>
          </cell>
        </row>
        <row r="564">
          <cell r="A564" t="str">
            <v>CS-LY085-G912-S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CS-SB010-WT-2</v>
          </cell>
          <cell r="B565">
            <v>7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1</v>
          </cell>
          <cell r="L565">
            <v>6</v>
          </cell>
          <cell r="M565">
            <v>0</v>
          </cell>
        </row>
        <row r="566">
          <cell r="A566" t="str">
            <v>MY-SB027-LG-M</v>
          </cell>
          <cell r="B566">
            <v>3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CS-LY170-G912-XXL</v>
          </cell>
          <cell r="B567">
            <v>9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CS-BS016-BK-M</v>
          </cell>
          <cell r="B568">
            <v>2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2</v>
          </cell>
          <cell r="L568">
            <v>0</v>
          </cell>
          <cell r="M568">
            <v>0</v>
          </cell>
        </row>
        <row r="569">
          <cell r="A569" t="str">
            <v>CS-SB005-BK-2XL</v>
          </cell>
          <cell r="B569">
            <v>9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9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CS-SB170-LG907-XL</v>
          </cell>
          <cell r="B570">
            <v>1</v>
          </cell>
          <cell r="C570">
            <v>1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CS-BS016-LB-XXL</v>
          </cell>
          <cell r="B571">
            <v>4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3</v>
          </cell>
          <cell r="L571">
            <v>0</v>
          </cell>
          <cell r="M571">
            <v>0</v>
          </cell>
        </row>
        <row r="572">
          <cell r="A572" t="str">
            <v>MY-SB011-LG-M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CS-SB170-W902-XL</v>
          </cell>
          <cell r="B573">
            <v>24</v>
          </cell>
          <cell r="C573">
            <v>2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MY-SB011JR-BL-M</v>
          </cell>
          <cell r="B574">
            <v>4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4</v>
          </cell>
          <cell r="L574">
            <v>0</v>
          </cell>
          <cell r="M574">
            <v>0</v>
          </cell>
        </row>
        <row r="575">
          <cell r="A575" t="str">
            <v>CS-SB005-BL2-L</v>
          </cell>
          <cell r="B575">
            <v>13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CS-SB007-GR-XL</v>
          </cell>
          <cell r="B576">
            <v>22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18</v>
          </cell>
          <cell r="K576">
            <v>2</v>
          </cell>
          <cell r="L576">
            <v>0</v>
          </cell>
          <cell r="M576">
            <v>0</v>
          </cell>
        </row>
        <row r="577">
          <cell r="A577" t="str">
            <v>WQS-BN-1503-RO-XL</v>
          </cell>
          <cell r="B577">
            <v>7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5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CS-SB006-BL-2XL</v>
          </cell>
          <cell r="B578">
            <v>12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</v>
          </cell>
          <cell r="K578">
            <v>10</v>
          </cell>
          <cell r="L578">
            <v>0</v>
          </cell>
          <cell r="M578">
            <v>0</v>
          </cell>
        </row>
        <row r="579">
          <cell r="A579" t="str">
            <v>WY-SB017-RD-S</v>
          </cell>
          <cell r="B579">
            <v>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1</v>
          </cell>
          <cell r="K579">
            <v>1</v>
          </cell>
          <cell r="L579">
            <v>0</v>
          </cell>
          <cell r="M579">
            <v>0</v>
          </cell>
        </row>
        <row r="580">
          <cell r="A580" t="str">
            <v>MY-SB011-BL-XL</v>
          </cell>
          <cell r="B580">
            <v>15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1</v>
          </cell>
          <cell r="K580">
            <v>3</v>
          </cell>
          <cell r="L580">
            <v>11</v>
          </cell>
          <cell r="M580">
            <v>0</v>
          </cell>
        </row>
        <row r="581">
          <cell r="A581" t="str">
            <v>CS-SB002-BK-M</v>
          </cell>
          <cell r="B581">
            <v>26</v>
          </cell>
          <cell r="C581">
            <v>0</v>
          </cell>
          <cell r="D581">
            <v>12</v>
          </cell>
          <cell r="E581">
            <v>0</v>
          </cell>
          <cell r="F581">
            <v>12</v>
          </cell>
          <cell r="G581">
            <v>0</v>
          </cell>
          <cell r="H581">
            <v>0</v>
          </cell>
          <cell r="I581">
            <v>0</v>
          </cell>
          <cell r="J581">
            <v>22</v>
          </cell>
          <cell r="K581">
            <v>1</v>
          </cell>
          <cell r="L581">
            <v>2</v>
          </cell>
          <cell r="M581">
            <v>0</v>
          </cell>
        </row>
        <row r="582">
          <cell r="A582" t="str">
            <v>MY-LYRound020-OR-L</v>
          </cell>
          <cell r="B582">
            <v>22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2</v>
          </cell>
          <cell r="K582">
            <v>20</v>
          </cell>
          <cell r="L582">
            <v>0</v>
          </cell>
          <cell r="M582">
            <v>0</v>
          </cell>
        </row>
        <row r="583">
          <cell r="A583" t="str">
            <v>CS-SB086-B0-XL</v>
          </cell>
          <cell r="B583">
            <v>45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44</v>
          </cell>
          <cell r="L583">
            <v>0</v>
          </cell>
          <cell r="M583">
            <v>0</v>
          </cell>
        </row>
        <row r="584">
          <cell r="A584" t="str">
            <v>MY-SB018-RD-S</v>
          </cell>
          <cell r="B584">
            <v>1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1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CS-BS016-NB-M</v>
          </cell>
          <cell r="B585">
            <v>9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9</v>
          </cell>
          <cell r="L585">
            <v>0</v>
          </cell>
          <cell r="M585">
            <v>0</v>
          </cell>
        </row>
        <row r="586">
          <cell r="A586" t="str">
            <v>MY-SB018-RD-M</v>
          </cell>
          <cell r="B586">
            <v>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WY-SB017-PK-XL</v>
          </cell>
          <cell r="B587">
            <v>6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1</v>
          </cell>
          <cell r="K587">
            <v>5</v>
          </cell>
          <cell r="L587">
            <v>0</v>
          </cell>
          <cell r="M587">
            <v>0</v>
          </cell>
        </row>
        <row r="588">
          <cell r="A588" t="str">
            <v>CS-SB007-LP-M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3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CS-SB003-LB-S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MY-SB027-DG-XL</v>
          </cell>
          <cell r="B590">
            <v>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CS-SB181-PI908-L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CS-SB171-PI908-XL</v>
          </cell>
          <cell r="B592">
            <v>92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92</v>
          </cell>
          <cell r="L592">
            <v>0</v>
          </cell>
          <cell r="M592">
            <v>0</v>
          </cell>
        </row>
        <row r="593">
          <cell r="A593" t="str">
            <v>CS-LY170-Sa911-XXL</v>
          </cell>
          <cell r="B593">
            <v>1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MY-SB027-NY-XL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CS-BUSB031-GN2-XXL</v>
          </cell>
          <cell r="B595">
            <v>8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5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CS-SB009-BK-M</v>
          </cell>
          <cell r="B596">
            <v>31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MY-SB019-DG-L</v>
          </cell>
          <cell r="B597">
            <v>5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1</v>
          </cell>
          <cell r="K597">
            <v>4</v>
          </cell>
          <cell r="L597">
            <v>0</v>
          </cell>
          <cell r="M597">
            <v>0</v>
          </cell>
        </row>
        <row r="598">
          <cell r="A598" t="str">
            <v>CS-LY085-W902-XL</v>
          </cell>
          <cell r="B598">
            <v>26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1</v>
          </cell>
          <cell r="K598">
            <v>23</v>
          </cell>
          <cell r="L598">
            <v>0</v>
          </cell>
          <cell r="M598">
            <v>0</v>
          </cell>
        </row>
        <row r="599">
          <cell r="A599" t="str">
            <v>CS-SB016-BK-L</v>
          </cell>
          <cell r="B599">
            <v>5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5</v>
          </cell>
          <cell r="L599">
            <v>0</v>
          </cell>
          <cell r="M599">
            <v>0</v>
          </cell>
        </row>
        <row r="600">
          <cell r="A600" t="str">
            <v>CS-BUSB032-GN1-M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CS-SB010-WT-1</v>
          </cell>
          <cell r="B601">
            <v>11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11</v>
          </cell>
          <cell r="M601">
            <v>0</v>
          </cell>
        </row>
        <row r="602">
          <cell r="A602" t="str">
            <v>POLO-SB1503-RD-S</v>
          </cell>
          <cell r="B602">
            <v>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MY-SBRound020-WR-S</v>
          </cell>
          <cell r="B603">
            <v>5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CS-SB009-BK-XL</v>
          </cell>
          <cell r="B604">
            <v>6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CS-SB170-PI908-L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CS-LY171-LG907-M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CS-LY181-W902-L</v>
          </cell>
          <cell r="B607">
            <v>34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31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MY-LYRound020-OR-XL</v>
          </cell>
          <cell r="B608">
            <v>11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4</v>
          </cell>
          <cell r="K608">
            <v>7</v>
          </cell>
          <cell r="L608">
            <v>0</v>
          </cell>
          <cell r="M608">
            <v>0</v>
          </cell>
        </row>
        <row r="609">
          <cell r="A609" t="str">
            <v>CS-LY166-K33-4-XL</v>
          </cell>
          <cell r="B609">
            <v>12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11</v>
          </cell>
          <cell r="L609">
            <v>0</v>
          </cell>
          <cell r="M609">
            <v>0</v>
          </cell>
        </row>
        <row r="610">
          <cell r="A610" t="str">
            <v>CS-LY084-H2-XXL</v>
          </cell>
          <cell r="B610">
            <v>17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CS-BUSB031-RD1-XL</v>
          </cell>
          <cell r="B611">
            <v>10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5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CS-SB016-B0-M</v>
          </cell>
          <cell r="B612">
            <v>8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2</v>
          </cell>
          <cell r="K612">
            <v>4</v>
          </cell>
          <cell r="L612">
            <v>0</v>
          </cell>
          <cell r="M612">
            <v>0</v>
          </cell>
        </row>
        <row r="613">
          <cell r="A613" t="str">
            <v>CS-SB016-B0-L</v>
          </cell>
          <cell r="B613">
            <v>8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6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CS-SB086-B0-L</v>
          </cell>
          <cell r="B614">
            <v>23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21</v>
          </cell>
          <cell r="L614">
            <v>0</v>
          </cell>
          <cell r="M614">
            <v>0</v>
          </cell>
        </row>
        <row r="615">
          <cell r="A615" t="str">
            <v>MY-LYRound020-GR-L</v>
          </cell>
          <cell r="B615">
            <v>20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CS-SB005-RD-S</v>
          </cell>
          <cell r="B616">
            <v>9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6</v>
          </cell>
          <cell r="L616">
            <v>0</v>
          </cell>
          <cell r="M616">
            <v>0</v>
          </cell>
        </row>
        <row r="617">
          <cell r="A617" t="str">
            <v>CFY-M1798-BL-XXL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A618" t="str">
            <v>WY-SB017-LG-XL</v>
          </cell>
          <cell r="B618">
            <v>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7</v>
          </cell>
          <cell r="L618">
            <v>0</v>
          </cell>
          <cell r="M618">
            <v>0</v>
          </cell>
        </row>
        <row r="619">
          <cell r="A619" t="str">
            <v>WY-SB017-LG-L</v>
          </cell>
          <cell r="B619">
            <v>9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9</v>
          </cell>
          <cell r="L619">
            <v>0</v>
          </cell>
          <cell r="M619">
            <v>0</v>
          </cell>
        </row>
        <row r="620">
          <cell r="A620" t="str">
            <v>CS-LY085-ZL918-S</v>
          </cell>
          <cell r="B620">
            <v>27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4</v>
          </cell>
          <cell r="K620">
            <v>21</v>
          </cell>
          <cell r="L620">
            <v>0</v>
          </cell>
          <cell r="M620">
            <v>0</v>
          </cell>
        </row>
        <row r="621">
          <cell r="A621" t="str">
            <v>CS-BS003-B0-XL</v>
          </cell>
          <cell r="B621">
            <v>24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23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CS-SB166-K33-2-L</v>
          </cell>
          <cell r="B622">
            <v>4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CS-SB010-WT-4</v>
          </cell>
          <cell r="B623">
            <v>18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1</v>
          </cell>
          <cell r="L623">
            <v>16</v>
          </cell>
          <cell r="M623">
            <v>0</v>
          </cell>
        </row>
        <row r="624">
          <cell r="A624" t="str">
            <v>WQS-BN-1503-WO-2XL</v>
          </cell>
          <cell r="B624">
            <v>13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13</v>
          </cell>
          <cell r="L624">
            <v>0</v>
          </cell>
          <cell r="M624">
            <v>0</v>
          </cell>
        </row>
        <row r="625">
          <cell r="A625" t="str">
            <v>CFY-W1830-PP-S</v>
          </cell>
          <cell r="B625">
            <v>1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1</v>
          </cell>
          <cell r="L625">
            <v>0</v>
          </cell>
          <cell r="M625">
            <v>0</v>
          </cell>
        </row>
        <row r="626">
          <cell r="A626" t="str">
            <v>CS-LY086-N0-XL</v>
          </cell>
          <cell r="B626">
            <v>53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3</v>
          </cell>
          <cell r="L626">
            <v>46</v>
          </cell>
          <cell r="M626">
            <v>0</v>
          </cell>
        </row>
        <row r="627">
          <cell r="A627" t="str">
            <v>MY-SB011JR-LG-L</v>
          </cell>
          <cell r="B627">
            <v>3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3</v>
          </cell>
          <cell r="L627">
            <v>0</v>
          </cell>
          <cell r="M627">
            <v>0</v>
          </cell>
        </row>
        <row r="628">
          <cell r="A628" t="str">
            <v>MY-LYRound020-W0-M</v>
          </cell>
          <cell r="B628">
            <v>25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10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CS-SB171-WR917-XXL</v>
          </cell>
          <cell r="B629">
            <v>13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13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CS-LY084-H12-M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CS-SB005-GN-M</v>
          </cell>
          <cell r="B631">
            <v>35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WQS-BN-1503-GR-S</v>
          </cell>
          <cell r="B632">
            <v>5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MY-SB019-LG-M</v>
          </cell>
          <cell r="B633">
            <v>9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9</v>
          </cell>
          <cell r="L633">
            <v>0</v>
          </cell>
          <cell r="M633">
            <v>0</v>
          </cell>
        </row>
        <row r="634">
          <cell r="A634" t="str">
            <v>CS-SB006-RD2-L</v>
          </cell>
          <cell r="B634">
            <v>25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24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MY-SB027-GN-M</v>
          </cell>
          <cell r="B635">
            <v>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CS-SB009-YL-XXL</v>
          </cell>
          <cell r="B636">
            <v>26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CS-SB166-K33-1-XL</v>
          </cell>
          <cell r="B637">
            <v>4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2</v>
          </cell>
          <cell r="K637">
            <v>1</v>
          </cell>
          <cell r="L637">
            <v>0</v>
          </cell>
          <cell r="M637">
            <v>0</v>
          </cell>
        </row>
        <row r="638">
          <cell r="A638" t="str">
            <v>CS-LHY032-NB-M</v>
          </cell>
          <cell r="B638">
            <v>17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MY-SB026-KK-XL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1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CS-SB005-YL-S</v>
          </cell>
          <cell r="B640">
            <v>10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CS-BUSB031-YL1-XXL</v>
          </cell>
          <cell r="B641">
            <v>1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MY-SBRound020-KK-S</v>
          </cell>
          <cell r="B642">
            <v>3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CS-LY166-K33-1-XL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1</v>
          </cell>
          <cell r="L643">
            <v>0</v>
          </cell>
          <cell r="M643">
            <v>0</v>
          </cell>
        </row>
        <row r="644">
          <cell r="A644" t="str">
            <v>CS-BUSB031-GN2-M</v>
          </cell>
          <cell r="B644">
            <v>5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1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CS-LY166-K33-1-S</v>
          </cell>
          <cell r="B645">
            <v>6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6</v>
          </cell>
          <cell r="L645">
            <v>0</v>
          </cell>
          <cell r="M645">
            <v>0</v>
          </cell>
        </row>
        <row r="646">
          <cell r="A646" t="str">
            <v>CS-SB166-B28-5-XL</v>
          </cell>
          <cell r="B646">
            <v>27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7</v>
          </cell>
          <cell r="K646">
            <v>20</v>
          </cell>
          <cell r="L646">
            <v>0</v>
          </cell>
          <cell r="M646">
            <v>0</v>
          </cell>
        </row>
        <row r="647">
          <cell r="A647" t="str">
            <v>CS-SB166-B28-3-XL</v>
          </cell>
          <cell r="B647">
            <v>17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11</v>
          </cell>
          <cell r="K647">
            <v>6</v>
          </cell>
          <cell r="L647">
            <v>0</v>
          </cell>
          <cell r="M647">
            <v>0</v>
          </cell>
        </row>
        <row r="648">
          <cell r="A648" t="str">
            <v>MY-LYPoint021-GR-L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MTX-IULHY-M188-GR-40/42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CS-BUSB031LHY-GN2-L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MY-SB026-NY-S</v>
          </cell>
          <cell r="B651">
            <v>7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CS-SB007-LB-XXL</v>
          </cell>
          <cell r="B652">
            <v>14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</v>
          </cell>
          <cell r="K652">
            <v>0</v>
          </cell>
          <cell r="L652">
            <v>13</v>
          </cell>
          <cell r="M652">
            <v>0</v>
          </cell>
        </row>
        <row r="653">
          <cell r="A653" t="str">
            <v>CS-LY166-B28-1-S</v>
          </cell>
          <cell r="B653">
            <v>7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8</v>
          </cell>
          <cell r="M653">
            <v>0</v>
          </cell>
        </row>
        <row r="654">
          <cell r="A654" t="str">
            <v>MY-SB011-DG-M</v>
          </cell>
          <cell r="B654">
            <v>2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CS-SB002-BLNGN-L</v>
          </cell>
          <cell r="B655">
            <v>2</v>
          </cell>
          <cell r="C655">
            <v>0</v>
          </cell>
          <cell r="D655">
            <v>14</v>
          </cell>
          <cell r="E655">
            <v>0</v>
          </cell>
          <cell r="F655">
            <v>14</v>
          </cell>
          <cell r="G655">
            <v>0</v>
          </cell>
          <cell r="H655">
            <v>0</v>
          </cell>
          <cell r="I655">
            <v>0</v>
          </cell>
          <cell r="J655">
            <v>2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WY-SB017-DG-L</v>
          </cell>
          <cell r="B656">
            <v>9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7</v>
          </cell>
          <cell r="L656">
            <v>0</v>
          </cell>
          <cell r="M656">
            <v>0</v>
          </cell>
        </row>
        <row r="657">
          <cell r="A657" t="str">
            <v>MY-LYRound020-BL-S</v>
          </cell>
          <cell r="B657">
            <v>1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MY-SB011-RD-XL</v>
          </cell>
          <cell r="B658">
            <v>7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</v>
          </cell>
          <cell r="K658">
            <v>6</v>
          </cell>
          <cell r="L658">
            <v>0</v>
          </cell>
          <cell r="M658">
            <v>0</v>
          </cell>
        </row>
        <row r="659">
          <cell r="A659" t="str">
            <v>CS-LY085-W902-L</v>
          </cell>
          <cell r="B659">
            <v>3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CS-SB170-WR917-L</v>
          </cell>
          <cell r="B660">
            <v>12</v>
          </cell>
          <cell r="C660">
            <v>1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MY-SBRound020-NY-S</v>
          </cell>
          <cell r="B661">
            <v>3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CS-BUSB032-GN1-XL</v>
          </cell>
          <cell r="B662">
            <v>2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CS-SB007-LB-M</v>
          </cell>
          <cell r="B663">
            <v>13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1</v>
          </cell>
          <cell r="K663">
            <v>0</v>
          </cell>
          <cell r="L663">
            <v>9</v>
          </cell>
          <cell r="M663">
            <v>0</v>
          </cell>
        </row>
        <row r="664">
          <cell r="A664" t="str">
            <v>CS-LY171-G912-M</v>
          </cell>
          <cell r="B664">
            <v>32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3</v>
          </cell>
          <cell r="K664">
            <v>2</v>
          </cell>
          <cell r="L664">
            <v>26</v>
          </cell>
          <cell r="M664">
            <v>0</v>
          </cell>
        </row>
        <row r="665">
          <cell r="A665" t="str">
            <v>CS-SB166-K33-4-M</v>
          </cell>
          <cell r="B665">
            <v>20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10</v>
          </cell>
          <cell r="K665">
            <v>10</v>
          </cell>
          <cell r="L665">
            <v>0</v>
          </cell>
          <cell r="M665">
            <v>0</v>
          </cell>
        </row>
        <row r="666">
          <cell r="A666" t="str">
            <v>CS-LY171-LB916-L</v>
          </cell>
          <cell r="B666">
            <v>18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2</v>
          </cell>
          <cell r="L666">
            <v>14</v>
          </cell>
          <cell r="M666">
            <v>0</v>
          </cell>
        </row>
        <row r="667">
          <cell r="A667" t="str">
            <v>WQS-BN-1503-GR-L</v>
          </cell>
          <cell r="B667">
            <v>21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18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CS-SB016-NB-XXL</v>
          </cell>
          <cell r="B668">
            <v>10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5</v>
          </cell>
          <cell r="K668">
            <v>4</v>
          </cell>
          <cell r="L668">
            <v>0</v>
          </cell>
          <cell r="M668">
            <v>0</v>
          </cell>
        </row>
        <row r="669">
          <cell r="A669" t="str">
            <v>SB-YL002-KCN80S</v>
          </cell>
          <cell r="B669">
            <v>2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2</v>
          </cell>
          <cell r="L669">
            <v>0</v>
          </cell>
          <cell r="M669">
            <v>0</v>
          </cell>
        </row>
        <row r="670">
          <cell r="A670" t="str">
            <v>MY-BS027-BL-M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CS-SB166-B28-5-XXL</v>
          </cell>
          <cell r="B671">
            <v>9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9</v>
          </cell>
          <cell r="L671">
            <v>0</v>
          </cell>
          <cell r="M671">
            <v>0</v>
          </cell>
        </row>
        <row r="672">
          <cell r="A672" t="str">
            <v>CS-SB005-BK-M</v>
          </cell>
          <cell r="B672">
            <v>38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20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MY-SBRound020-NY-XL</v>
          </cell>
          <cell r="B673">
            <v>8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CS-BUSB031-RD2-M</v>
          </cell>
          <cell r="B674">
            <v>10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A675" t="str">
            <v>CS-SB005-RD-XL</v>
          </cell>
          <cell r="B675">
            <v>19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17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CS-SB009-RD-S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CS-LHY032-YL-XL</v>
          </cell>
          <cell r="B677">
            <v>6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WY-SB017-DG-XL</v>
          </cell>
          <cell r="B678">
            <v>8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8</v>
          </cell>
          <cell r="L678">
            <v>0</v>
          </cell>
          <cell r="M678">
            <v>0</v>
          </cell>
        </row>
        <row r="679">
          <cell r="A679" t="str">
            <v>CFY-M1798-BK-XL</v>
          </cell>
          <cell r="B679">
            <v>1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1</v>
          </cell>
          <cell r="L679">
            <v>0</v>
          </cell>
          <cell r="M679">
            <v>0</v>
          </cell>
        </row>
        <row r="680">
          <cell r="A680" t="str">
            <v>MY-LYRound020-GN-S</v>
          </cell>
          <cell r="B680">
            <v>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2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CS-SB006-BL2-L</v>
          </cell>
          <cell r="B681">
            <v>15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14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CS-LHY009-BK-L</v>
          </cell>
          <cell r="B682">
            <v>20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POLO-SB014-YL-XL</v>
          </cell>
          <cell r="B683">
            <v>4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3</v>
          </cell>
          <cell r="L683">
            <v>0</v>
          </cell>
          <cell r="M683">
            <v>0</v>
          </cell>
        </row>
        <row r="684">
          <cell r="A684" t="str">
            <v>CS-LY085-WR917-XXL</v>
          </cell>
          <cell r="B684">
            <v>7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6</v>
          </cell>
          <cell r="K684">
            <v>2</v>
          </cell>
          <cell r="L684">
            <v>0</v>
          </cell>
          <cell r="M684">
            <v>0</v>
          </cell>
        </row>
        <row r="685">
          <cell r="A685" t="str">
            <v>CS-SB006-CF-L</v>
          </cell>
          <cell r="B685">
            <v>5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4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CS-SB010-WT-7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1</v>
          </cell>
          <cell r="K686">
            <v>0</v>
          </cell>
          <cell r="L686">
            <v>2</v>
          </cell>
          <cell r="M686">
            <v>0</v>
          </cell>
        </row>
        <row r="687">
          <cell r="A687" t="str">
            <v>MY-SB011JR-BL-S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A688" t="str">
            <v>MY-SB011-BL-S</v>
          </cell>
          <cell r="B688">
            <v>3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1</v>
          </cell>
          <cell r="K688">
            <v>2</v>
          </cell>
          <cell r="L688">
            <v>0</v>
          </cell>
          <cell r="M688">
            <v>0</v>
          </cell>
        </row>
        <row r="689">
          <cell r="A689" t="str">
            <v>CFY-M1798-BL-S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1</v>
          </cell>
          <cell r="L689">
            <v>0</v>
          </cell>
          <cell r="M689">
            <v>0</v>
          </cell>
        </row>
        <row r="690">
          <cell r="A690" t="str">
            <v>CS-SB002-RNBL-2XL</v>
          </cell>
          <cell r="B690">
            <v>9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8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CS-SB005-RD-L</v>
          </cell>
          <cell r="B691">
            <v>14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13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CS-SB002-RNBL-M</v>
          </cell>
          <cell r="B692">
            <v>27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16</v>
          </cell>
          <cell r="K692">
            <v>1</v>
          </cell>
          <cell r="L692">
            <v>9</v>
          </cell>
          <cell r="M692">
            <v>0</v>
          </cell>
        </row>
        <row r="693">
          <cell r="A693" t="str">
            <v>CS-SB005-BK-L</v>
          </cell>
          <cell r="B693">
            <v>24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3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CS-SB030-GR-S</v>
          </cell>
          <cell r="B694">
            <v>11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CS-SB003-B0-L</v>
          </cell>
          <cell r="B695">
            <v>7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1</v>
          </cell>
          <cell r="K695">
            <v>3</v>
          </cell>
          <cell r="L695">
            <v>0</v>
          </cell>
          <cell r="M695">
            <v>0</v>
          </cell>
        </row>
        <row r="696">
          <cell r="A696" t="str">
            <v>CS-BS016-LB-XL</v>
          </cell>
          <cell r="B696">
            <v>9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7</v>
          </cell>
          <cell r="L696">
            <v>0</v>
          </cell>
          <cell r="M696">
            <v>0</v>
          </cell>
        </row>
        <row r="697">
          <cell r="A697" t="str">
            <v>MY-SB019-BL-L</v>
          </cell>
          <cell r="B697">
            <v>6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2</v>
          </cell>
          <cell r="K697">
            <v>3</v>
          </cell>
          <cell r="L697">
            <v>0</v>
          </cell>
          <cell r="M697">
            <v>0</v>
          </cell>
        </row>
        <row r="698">
          <cell r="A698" t="str">
            <v>SB-YL003-GH70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A699" t="str">
            <v>CS-SB181-LB916-XXL</v>
          </cell>
          <cell r="B699">
            <v>8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8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CS-BS016-NB-L</v>
          </cell>
          <cell r="B700">
            <v>7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7</v>
          </cell>
          <cell r="L700">
            <v>0</v>
          </cell>
          <cell r="M700">
            <v>0</v>
          </cell>
        </row>
        <row r="701">
          <cell r="A701" t="str">
            <v>MTX-IULHY-M1798-BK-29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CS-SB006-BK-XL</v>
          </cell>
          <cell r="B702">
            <v>10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9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CS-LY170-LB916-S</v>
          </cell>
          <cell r="B703">
            <v>2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CS-SB030-NY-L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CS-LY181-PI908-XXL</v>
          </cell>
          <cell r="B705">
            <v>23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2</v>
          </cell>
          <cell r="L705">
            <v>21</v>
          </cell>
          <cell r="M705">
            <v>0</v>
          </cell>
        </row>
        <row r="706">
          <cell r="A706" t="str">
            <v>MY-LYPoint021-W0-M</v>
          </cell>
          <cell r="B706">
            <v>1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WY-SB017-BK-XXL</v>
          </cell>
          <cell r="B707">
            <v>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8</v>
          </cell>
          <cell r="L707">
            <v>0</v>
          </cell>
          <cell r="M707">
            <v>0</v>
          </cell>
        </row>
        <row r="708">
          <cell r="A708" t="str">
            <v>MY-SB026-LG-S</v>
          </cell>
          <cell r="B708">
            <v>4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CS-SB005-RD1-XL</v>
          </cell>
          <cell r="B709">
            <v>21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CFY-M1830-AG-M</v>
          </cell>
          <cell r="B710">
            <v>5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1</v>
          </cell>
          <cell r="K710">
            <v>4</v>
          </cell>
          <cell r="L710">
            <v>0</v>
          </cell>
          <cell r="M710">
            <v>0</v>
          </cell>
        </row>
        <row r="711">
          <cell r="A711" t="str">
            <v>CS-SB006-GN-XL</v>
          </cell>
          <cell r="B711">
            <v>29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8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CS-SB171-LG907-L</v>
          </cell>
          <cell r="B712">
            <v>66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14</v>
          </cell>
          <cell r="K712">
            <v>45</v>
          </cell>
          <cell r="L712">
            <v>0</v>
          </cell>
          <cell r="M712">
            <v>0</v>
          </cell>
        </row>
        <row r="713">
          <cell r="A713" t="str">
            <v>MY-SB026-NY-XL</v>
          </cell>
          <cell r="B713">
            <v>8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7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CS-LHY009-BK-XL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CS-SB002-BL-S</v>
          </cell>
          <cell r="B715">
            <v>3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1</v>
          </cell>
          <cell r="K715">
            <v>1</v>
          </cell>
          <cell r="L715">
            <v>0</v>
          </cell>
          <cell r="M715">
            <v>0</v>
          </cell>
        </row>
        <row r="716">
          <cell r="A716" t="str">
            <v>POLO-SB014-GN-M</v>
          </cell>
          <cell r="B716">
            <v>2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3</v>
          </cell>
          <cell r="L716">
            <v>0</v>
          </cell>
          <cell r="M716">
            <v>0</v>
          </cell>
        </row>
        <row r="717">
          <cell r="A717" t="str">
            <v>WY-SB017-DG-S</v>
          </cell>
          <cell r="B717">
            <v>3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3</v>
          </cell>
          <cell r="L717">
            <v>0</v>
          </cell>
          <cell r="M717">
            <v>0</v>
          </cell>
        </row>
        <row r="718">
          <cell r="A718" t="str">
            <v>MY-BS011-DG-L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CS-SB016-B0-S</v>
          </cell>
          <cell r="B719">
            <v>9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9</v>
          </cell>
          <cell r="L719">
            <v>0</v>
          </cell>
          <cell r="M719">
            <v>0</v>
          </cell>
        </row>
        <row r="720">
          <cell r="A720" t="str">
            <v>CS-BBS016-BK-XL</v>
          </cell>
          <cell r="B720">
            <v>18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18</v>
          </cell>
          <cell r="L720">
            <v>0</v>
          </cell>
          <cell r="M720">
            <v>0</v>
          </cell>
        </row>
        <row r="721">
          <cell r="A721" t="str">
            <v>MTX-IULHY-M1758-LC-29</v>
          </cell>
          <cell r="B721">
            <v>5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CS-LY181-Sa911-M</v>
          </cell>
          <cell r="B722">
            <v>45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4</v>
          </cell>
          <cell r="K722">
            <v>6</v>
          </cell>
          <cell r="L722">
            <v>32</v>
          </cell>
          <cell r="M722">
            <v>0</v>
          </cell>
        </row>
        <row r="723">
          <cell r="A723" t="str">
            <v>POLO-SB014-GR-M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2</v>
          </cell>
          <cell r="L723">
            <v>0</v>
          </cell>
          <cell r="M723">
            <v>0</v>
          </cell>
        </row>
        <row r="724">
          <cell r="A724" t="str">
            <v>MY-BS027-LG-M</v>
          </cell>
          <cell r="B724">
            <v>2</v>
          </cell>
          <cell r="C724">
            <v>0</v>
          </cell>
          <cell r="D724">
            <v>7</v>
          </cell>
          <cell r="E724">
            <v>0</v>
          </cell>
          <cell r="F724">
            <v>7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MY-SB019-RD-M</v>
          </cell>
          <cell r="B725">
            <v>7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7</v>
          </cell>
          <cell r="L725">
            <v>0</v>
          </cell>
          <cell r="M725">
            <v>0</v>
          </cell>
        </row>
        <row r="726">
          <cell r="A726" t="str">
            <v>MY-BS027-NY-XL</v>
          </cell>
          <cell r="B726">
            <v>4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MY-SB019-BL-XL</v>
          </cell>
          <cell r="B727">
            <v>5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3</v>
          </cell>
          <cell r="L727">
            <v>0</v>
          </cell>
          <cell r="M727">
            <v>0</v>
          </cell>
        </row>
        <row r="728">
          <cell r="A728" t="str">
            <v>CS-LHY009-LB1-XXL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CS-SB016-BK-XXL</v>
          </cell>
          <cell r="B729">
            <v>7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6</v>
          </cell>
          <cell r="L729">
            <v>0</v>
          </cell>
          <cell r="M729">
            <v>0</v>
          </cell>
        </row>
        <row r="730">
          <cell r="A730" t="str">
            <v>MY-SB011JR-NY-S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1</v>
          </cell>
          <cell r="L730">
            <v>0</v>
          </cell>
          <cell r="M730">
            <v>0</v>
          </cell>
        </row>
        <row r="731">
          <cell r="A731" t="str">
            <v>MY-LYRound020-DG-S</v>
          </cell>
          <cell r="B731">
            <v>9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3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MY-SB018-DG-M</v>
          </cell>
          <cell r="B732">
            <v>5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2</v>
          </cell>
          <cell r="K732">
            <v>3</v>
          </cell>
          <cell r="L732">
            <v>0</v>
          </cell>
          <cell r="M732">
            <v>0</v>
          </cell>
        </row>
        <row r="733">
          <cell r="A733" t="str">
            <v>MTX-IULHY-M1798-CF-29</v>
          </cell>
          <cell r="B733">
            <v>2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CS-LY085-PI908-M</v>
          </cell>
          <cell r="B734">
            <v>26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2</v>
          </cell>
          <cell r="K734">
            <v>22</v>
          </cell>
          <cell r="L734">
            <v>0</v>
          </cell>
          <cell r="M734">
            <v>0</v>
          </cell>
        </row>
        <row r="735">
          <cell r="A735" t="str">
            <v>CS-LHY009-CF-XXL</v>
          </cell>
          <cell r="B735">
            <v>9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CS-LHY016-LB-S</v>
          </cell>
          <cell r="B736">
            <v>11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MY-SB027-BK-M</v>
          </cell>
          <cell r="B737">
            <v>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CS-SB006-RD1-S</v>
          </cell>
          <cell r="B738">
            <v>16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16</v>
          </cell>
          <cell r="L738">
            <v>0</v>
          </cell>
          <cell r="M738">
            <v>0</v>
          </cell>
        </row>
        <row r="739">
          <cell r="A739" t="str">
            <v>MY-SB015-LG-XL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CA171-LG907-L</v>
          </cell>
          <cell r="B740">
            <v>0</v>
          </cell>
          <cell r="C740">
            <v>1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SB-YL004-FD30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1</v>
          </cell>
          <cell r="L741">
            <v>0</v>
          </cell>
          <cell r="M741">
            <v>0</v>
          </cell>
        </row>
        <row r="742">
          <cell r="A742" t="str">
            <v>CS-BUSB031-YL2-XXL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3</v>
          </cell>
          <cell r="L742">
            <v>0</v>
          </cell>
          <cell r="M742">
            <v>0</v>
          </cell>
        </row>
        <row r="743">
          <cell r="A743" t="str">
            <v>CS-LY086-B0-S</v>
          </cell>
          <cell r="B743">
            <v>19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</v>
          </cell>
          <cell r="K743">
            <v>5</v>
          </cell>
          <cell r="L743">
            <v>13</v>
          </cell>
          <cell r="M743">
            <v>0</v>
          </cell>
        </row>
        <row r="744">
          <cell r="A744" t="str">
            <v>CS-SB181-G912-XXL</v>
          </cell>
          <cell r="B744">
            <v>22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12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CS-SB006-BL2-S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MY-SB011JR-NY-M</v>
          </cell>
          <cell r="B746">
            <v>3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1</v>
          </cell>
          <cell r="K746">
            <v>2</v>
          </cell>
          <cell r="L746">
            <v>0</v>
          </cell>
          <cell r="M746">
            <v>0</v>
          </cell>
        </row>
        <row r="747">
          <cell r="A747" t="str">
            <v>CS-LY085-PI908-S</v>
          </cell>
          <cell r="B747">
            <v>28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22</v>
          </cell>
          <cell r="L747">
            <v>7</v>
          </cell>
          <cell r="M747">
            <v>0</v>
          </cell>
        </row>
        <row r="748">
          <cell r="A748" t="str">
            <v>CS-SB003-NB-M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CS-SB009-BL-M</v>
          </cell>
          <cell r="B749">
            <v>6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MY-LYPoint021-BL-S</v>
          </cell>
          <cell r="B750">
            <v>3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CS-SB006-RD2-XL</v>
          </cell>
          <cell r="B751">
            <v>28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27</v>
          </cell>
          <cell r="K751">
            <v>1</v>
          </cell>
          <cell r="L751">
            <v>0</v>
          </cell>
          <cell r="M751">
            <v>0</v>
          </cell>
        </row>
        <row r="752">
          <cell r="A752" t="str">
            <v>MY-SB011JR-LG-M</v>
          </cell>
          <cell r="B752">
            <v>3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1</v>
          </cell>
          <cell r="K752">
            <v>1</v>
          </cell>
          <cell r="L752">
            <v>0</v>
          </cell>
          <cell r="M752">
            <v>0</v>
          </cell>
        </row>
        <row r="753">
          <cell r="A753" t="str">
            <v>MY-SB019-DG-M</v>
          </cell>
          <cell r="B753">
            <v>7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7</v>
          </cell>
          <cell r="L753">
            <v>0</v>
          </cell>
          <cell r="M753">
            <v>0</v>
          </cell>
        </row>
        <row r="754">
          <cell r="A754" t="str">
            <v>MY-SBPoint021-LB-M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CS-BUSB031-GN1-M</v>
          </cell>
          <cell r="B755">
            <v>7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4</v>
          </cell>
          <cell r="L755">
            <v>0</v>
          </cell>
          <cell r="M755">
            <v>0</v>
          </cell>
        </row>
        <row r="756">
          <cell r="A756" t="str">
            <v>WY-SB017-NY-M</v>
          </cell>
          <cell r="B756">
            <v>7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1</v>
          </cell>
          <cell r="K756">
            <v>6</v>
          </cell>
          <cell r="L756">
            <v>0</v>
          </cell>
          <cell r="M756">
            <v>0</v>
          </cell>
        </row>
        <row r="757">
          <cell r="A757" t="str">
            <v>CS-SB009-LB-S</v>
          </cell>
          <cell r="B757">
            <v>17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2</v>
          </cell>
          <cell r="K757">
            <v>3</v>
          </cell>
          <cell r="L757">
            <v>0</v>
          </cell>
          <cell r="M757">
            <v>0</v>
          </cell>
        </row>
        <row r="758">
          <cell r="A758" t="str">
            <v>CS-BBS016-B0-XXL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CS-LY084-H12-XXL</v>
          </cell>
          <cell r="B759">
            <v>5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MY-LYHigh303-OR-S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WY-SB017-LG-M</v>
          </cell>
          <cell r="B761">
            <v>6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6</v>
          </cell>
          <cell r="L761">
            <v>0</v>
          </cell>
          <cell r="M761">
            <v>0</v>
          </cell>
        </row>
        <row r="762">
          <cell r="A762" t="str">
            <v>CS-SB030-GR-M</v>
          </cell>
          <cell r="B762">
            <v>8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CFY-W1798-RD-XL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MY-SB027-DG-L</v>
          </cell>
          <cell r="B764">
            <v>7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POLO-SB014-YL-M</v>
          </cell>
          <cell r="B765">
            <v>9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9</v>
          </cell>
          <cell r="L765">
            <v>0</v>
          </cell>
          <cell r="M765">
            <v>0</v>
          </cell>
        </row>
        <row r="766">
          <cell r="A766" t="str">
            <v>DK-LY-K157-OR-42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MY-SB011JR-NY-XL</v>
          </cell>
          <cell r="B767">
            <v>6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6</v>
          </cell>
          <cell r="L767">
            <v>0</v>
          </cell>
          <cell r="M767">
            <v>0</v>
          </cell>
        </row>
        <row r="768">
          <cell r="A768" t="str">
            <v>MY-SBPoint021-BL-M</v>
          </cell>
          <cell r="B768">
            <v>8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MY-SB011JR-RD-L</v>
          </cell>
          <cell r="B769">
            <v>5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5</v>
          </cell>
          <cell r="L769">
            <v>0</v>
          </cell>
          <cell r="M769">
            <v>0</v>
          </cell>
        </row>
        <row r="770">
          <cell r="A770" t="str">
            <v>CS-SB009-RDNY-XL</v>
          </cell>
          <cell r="B770">
            <v>25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CS-BUSB031-RD1-M</v>
          </cell>
          <cell r="B771">
            <v>10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3</v>
          </cell>
          <cell r="K771">
            <v>1</v>
          </cell>
          <cell r="L771">
            <v>0</v>
          </cell>
          <cell r="M771">
            <v>0</v>
          </cell>
        </row>
        <row r="772">
          <cell r="A772" t="str">
            <v>CS-SB166-K73-1-XXL</v>
          </cell>
          <cell r="B772">
            <v>21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14</v>
          </cell>
          <cell r="K772">
            <v>7</v>
          </cell>
          <cell r="L772">
            <v>0</v>
          </cell>
          <cell r="M772">
            <v>0</v>
          </cell>
        </row>
        <row r="773">
          <cell r="A773" t="str">
            <v>MY-SB026-RD-M</v>
          </cell>
          <cell r="B773">
            <v>5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5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WQS-BN-1503-KO-L</v>
          </cell>
          <cell r="B774">
            <v>10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MY-SB018-LG-M</v>
          </cell>
          <cell r="B775">
            <v>4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2</v>
          </cell>
          <cell r="L775">
            <v>0</v>
          </cell>
          <cell r="M775">
            <v>0</v>
          </cell>
        </row>
        <row r="776">
          <cell r="A776" t="str">
            <v>CS-LHY009-BL-L</v>
          </cell>
          <cell r="B776">
            <v>1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MY-LYRound020-NY-M</v>
          </cell>
          <cell r="B777">
            <v>12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CS-LY170-LG907-M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CS-BUSB031-GN1-S</v>
          </cell>
          <cell r="B779">
            <v>10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2</v>
          </cell>
          <cell r="L779">
            <v>0</v>
          </cell>
          <cell r="M779">
            <v>0</v>
          </cell>
        </row>
        <row r="780">
          <cell r="A780" t="str">
            <v>CS-SB006-BL-L</v>
          </cell>
          <cell r="B780">
            <v>7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2</v>
          </cell>
          <cell r="K780">
            <v>5</v>
          </cell>
          <cell r="L780">
            <v>0</v>
          </cell>
          <cell r="M780">
            <v>0</v>
          </cell>
        </row>
        <row r="781">
          <cell r="A781" t="str">
            <v>CS-LY086-B0-M</v>
          </cell>
          <cell r="B781">
            <v>46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1</v>
          </cell>
          <cell r="K781">
            <v>10</v>
          </cell>
          <cell r="L781">
            <v>35</v>
          </cell>
          <cell r="M781">
            <v>0</v>
          </cell>
        </row>
        <row r="782">
          <cell r="A782" t="str">
            <v>MY-BBS011-DG-L</v>
          </cell>
          <cell r="B782">
            <v>10</v>
          </cell>
          <cell r="C782">
            <v>0</v>
          </cell>
          <cell r="D782">
            <v>20</v>
          </cell>
          <cell r="E782">
            <v>0</v>
          </cell>
          <cell r="F782">
            <v>20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MY-SB019-BK-S</v>
          </cell>
          <cell r="B783">
            <v>2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2</v>
          </cell>
          <cell r="L783">
            <v>0</v>
          </cell>
          <cell r="M783">
            <v>0</v>
          </cell>
        </row>
        <row r="784">
          <cell r="A784" t="str">
            <v>DK-LY-K518-B0-40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2</v>
          </cell>
          <cell r="M784">
            <v>1</v>
          </cell>
        </row>
        <row r="785">
          <cell r="A785" t="str">
            <v>CS-SB166-B28-1-L</v>
          </cell>
          <cell r="B785">
            <v>43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27</v>
          </cell>
          <cell r="K785">
            <v>16</v>
          </cell>
          <cell r="L785">
            <v>0</v>
          </cell>
          <cell r="M785">
            <v>0</v>
          </cell>
        </row>
        <row r="786">
          <cell r="A786" t="str">
            <v>MY-SB026-RD-S</v>
          </cell>
          <cell r="B786">
            <v>5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6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CS-BBS030-GR-M</v>
          </cell>
          <cell r="B787">
            <v>6</v>
          </cell>
          <cell r="C787">
            <v>0</v>
          </cell>
          <cell r="D787">
            <v>10</v>
          </cell>
          <cell r="E787">
            <v>0</v>
          </cell>
          <cell r="F787">
            <v>10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MY-BS027-GN-M</v>
          </cell>
          <cell r="B788">
            <v>9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MY-SB018-LG-L</v>
          </cell>
          <cell r="B789">
            <v>7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7</v>
          </cell>
          <cell r="L789">
            <v>0</v>
          </cell>
          <cell r="M789">
            <v>0</v>
          </cell>
        </row>
        <row r="790">
          <cell r="A790" t="str">
            <v>MY-LYRound020-WR-M</v>
          </cell>
          <cell r="B790">
            <v>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6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CS-SB166-B28-4-XL</v>
          </cell>
          <cell r="B791">
            <v>9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9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CS-SB170-ZL918-XL</v>
          </cell>
          <cell r="B792">
            <v>1</v>
          </cell>
          <cell r="C792">
            <v>4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MY-SB027-BL-M</v>
          </cell>
          <cell r="B793">
            <v>13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POLO-SB014-BK-M</v>
          </cell>
          <cell r="B794">
            <v>6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6</v>
          </cell>
          <cell r="L794">
            <v>0</v>
          </cell>
          <cell r="M794">
            <v>0</v>
          </cell>
        </row>
        <row r="795">
          <cell r="A795" t="str">
            <v>CS-SB009-GN-M</v>
          </cell>
          <cell r="B795">
            <v>26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2</v>
          </cell>
          <cell r="K795">
            <v>2</v>
          </cell>
          <cell r="L795">
            <v>0</v>
          </cell>
          <cell r="M795">
            <v>0</v>
          </cell>
        </row>
        <row r="796">
          <cell r="A796" t="str">
            <v>MY-LYPoint021-KQ-S</v>
          </cell>
          <cell r="B796">
            <v>8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CS-BUSB031-GN3-XL</v>
          </cell>
          <cell r="B797">
            <v>10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3</v>
          </cell>
          <cell r="K797">
            <v>1</v>
          </cell>
          <cell r="L797">
            <v>0</v>
          </cell>
          <cell r="M797">
            <v>0</v>
          </cell>
        </row>
        <row r="798">
          <cell r="A798" t="str">
            <v>CS-SB005-RD-M</v>
          </cell>
          <cell r="B798">
            <v>14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11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CS-SB170-W902-XXL</v>
          </cell>
          <cell r="B799">
            <v>10</v>
          </cell>
          <cell r="C799">
            <v>2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CS-BS016-B0-M</v>
          </cell>
          <cell r="B800">
            <v>3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2</v>
          </cell>
          <cell r="L800">
            <v>0</v>
          </cell>
          <cell r="M800">
            <v>0</v>
          </cell>
        </row>
        <row r="801">
          <cell r="A801" t="str">
            <v>MY-SB026-DG-L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CS-SB006-RD2-M</v>
          </cell>
          <cell r="B802">
            <v>23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16</v>
          </cell>
          <cell r="K802">
            <v>5</v>
          </cell>
          <cell r="L802">
            <v>0</v>
          </cell>
          <cell r="M802">
            <v>0</v>
          </cell>
        </row>
        <row r="803">
          <cell r="A803" t="str">
            <v>CS-SB002-LB-L</v>
          </cell>
          <cell r="B803">
            <v>10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9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CS-BUSB032-RD-L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1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MY-SB011JR-CF-M</v>
          </cell>
          <cell r="B805">
            <v>8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1</v>
          </cell>
          <cell r="K805">
            <v>6</v>
          </cell>
          <cell r="L805">
            <v>0</v>
          </cell>
          <cell r="M805">
            <v>0</v>
          </cell>
        </row>
        <row r="806">
          <cell r="A806" t="str">
            <v>CS-SB171-PI908-L</v>
          </cell>
          <cell r="B806">
            <v>138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138</v>
          </cell>
          <cell r="L806">
            <v>0</v>
          </cell>
          <cell r="M806">
            <v>0</v>
          </cell>
        </row>
        <row r="807">
          <cell r="A807" t="str">
            <v>CS-SB030-BL-S</v>
          </cell>
          <cell r="B807">
            <v>11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MY-SB011JR-RD-M</v>
          </cell>
          <cell r="B808">
            <v>9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8</v>
          </cell>
          <cell r="L808">
            <v>0</v>
          </cell>
          <cell r="M808">
            <v>0</v>
          </cell>
        </row>
        <row r="809">
          <cell r="A809" t="str">
            <v>WY-SB017-NY-S</v>
          </cell>
          <cell r="B809">
            <v>3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3</v>
          </cell>
          <cell r="L809">
            <v>0</v>
          </cell>
          <cell r="M809">
            <v>0</v>
          </cell>
        </row>
        <row r="810">
          <cell r="A810" t="str">
            <v>POLO-SB014-YL-S</v>
          </cell>
          <cell r="B810">
            <v>4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4</v>
          </cell>
          <cell r="L810">
            <v>0</v>
          </cell>
          <cell r="M810">
            <v>0</v>
          </cell>
        </row>
        <row r="811">
          <cell r="A811" t="str">
            <v>MY-LYRound020-KQ-L</v>
          </cell>
          <cell r="B811">
            <v>16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16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CFY-W1798-RR-XL</v>
          </cell>
          <cell r="B812">
            <v>1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MY-SBPoint021-DG-M</v>
          </cell>
          <cell r="B813">
            <v>5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CS-SB084-H15-XXL</v>
          </cell>
          <cell r="B814">
            <v>20</v>
          </cell>
          <cell r="C814">
            <v>0</v>
          </cell>
          <cell r="D814">
            <v>40</v>
          </cell>
          <cell r="E814">
            <v>0</v>
          </cell>
          <cell r="F814">
            <v>40</v>
          </cell>
          <cell r="G814">
            <v>0</v>
          </cell>
          <cell r="H814">
            <v>0</v>
          </cell>
          <cell r="I814">
            <v>0</v>
          </cell>
          <cell r="J814">
            <v>18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CS-LY084-H1-XXL</v>
          </cell>
          <cell r="B815">
            <v>14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12</v>
          </cell>
          <cell r="L815">
            <v>0</v>
          </cell>
          <cell r="M815">
            <v>0</v>
          </cell>
        </row>
        <row r="816">
          <cell r="A816" t="str">
            <v>CS-LY166-K73-1-XXL</v>
          </cell>
          <cell r="B816">
            <v>9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1</v>
          </cell>
          <cell r="K816">
            <v>8</v>
          </cell>
          <cell r="L816">
            <v>0</v>
          </cell>
          <cell r="M816">
            <v>0</v>
          </cell>
        </row>
        <row r="817">
          <cell r="A817" t="str">
            <v>MY-SB019-BK-XL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A818" t="str">
            <v>CS-SB171-WR917-S</v>
          </cell>
          <cell r="B818">
            <v>10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10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CS-BUSB032-NB-XXL</v>
          </cell>
          <cell r="B819">
            <v>6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4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CS-BBS003-BK-XXL</v>
          </cell>
          <cell r="B820">
            <v>23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15</v>
          </cell>
          <cell r="K820">
            <v>8</v>
          </cell>
          <cell r="L820">
            <v>0</v>
          </cell>
          <cell r="M820">
            <v>0</v>
          </cell>
        </row>
        <row r="821">
          <cell r="A821" t="str">
            <v>CS-BUSB031-RD2-S</v>
          </cell>
          <cell r="B821">
            <v>9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CS-SB084-H16-XXL</v>
          </cell>
          <cell r="B822">
            <v>49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39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CS-SB010-WT-9</v>
          </cell>
          <cell r="B823">
            <v>8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</v>
          </cell>
          <cell r="L823">
            <v>6</v>
          </cell>
          <cell r="M823">
            <v>0</v>
          </cell>
        </row>
        <row r="824">
          <cell r="A824" t="str">
            <v>CS-SB005-BL2-2XL</v>
          </cell>
          <cell r="B824">
            <v>37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12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CS-BUSB031-GN2-XL</v>
          </cell>
          <cell r="B825">
            <v>7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CS-LY084-H3-XXL</v>
          </cell>
          <cell r="B826">
            <v>5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3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MY-LYRound020-WR-L</v>
          </cell>
          <cell r="B827">
            <v>21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8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MY-SB011-NY-M</v>
          </cell>
          <cell r="B828">
            <v>1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MY-SB019-DG-S</v>
          </cell>
          <cell r="B829">
            <v>4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4</v>
          </cell>
          <cell r="L829">
            <v>0</v>
          </cell>
          <cell r="M829">
            <v>0</v>
          </cell>
        </row>
        <row r="830">
          <cell r="A830" t="str">
            <v>CS-SB016-BK-XL</v>
          </cell>
          <cell r="B830">
            <v>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MY-LYRound020-BL-M</v>
          </cell>
          <cell r="B831">
            <v>14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MY-SB018-BK-M</v>
          </cell>
          <cell r="B832">
            <v>4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4</v>
          </cell>
          <cell r="L832">
            <v>0</v>
          </cell>
          <cell r="M832">
            <v>0</v>
          </cell>
        </row>
        <row r="833">
          <cell r="A833" t="str">
            <v>CS-LY084-H16-S</v>
          </cell>
          <cell r="B833">
            <v>7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6</v>
          </cell>
          <cell r="L833">
            <v>0</v>
          </cell>
          <cell r="M833">
            <v>0</v>
          </cell>
        </row>
        <row r="834">
          <cell r="A834" t="str">
            <v>WY-SB017-RD-XL</v>
          </cell>
          <cell r="B834">
            <v>9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9</v>
          </cell>
          <cell r="L834">
            <v>0</v>
          </cell>
          <cell r="M834">
            <v>0</v>
          </cell>
        </row>
        <row r="835">
          <cell r="A835" t="str">
            <v>CS-LHY009-BK-M</v>
          </cell>
          <cell r="B835">
            <v>20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MY-LYPoint021-K0-XL</v>
          </cell>
          <cell r="B836">
            <v>18</v>
          </cell>
          <cell r="C836">
            <v>1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CS-SB007-GR-L</v>
          </cell>
          <cell r="B837">
            <v>10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4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WQS-BN-1503-RO-2XL</v>
          </cell>
          <cell r="B838">
            <v>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7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CS-SB009-RDNY-XXL</v>
          </cell>
          <cell r="B839">
            <v>23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MY-LYRound020-NY-L</v>
          </cell>
          <cell r="B840">
            <v>21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2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MY-SB027-NY-M</v>
          </cell>
          <cell r="B841">
            <v>12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CS-LY170-G912-S</v>
          </cell>
          <cell r="B842">
            <v>2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MY-LYRound020-W0-XL</v>
          </cell>
          <cell r="B843">
            <v>26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5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CS-LY171-Sa911-L</v>
          </cell>
          <cell r="B844">
            <v>43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4</v>
          </cell>
          <cell r="L844">
            <v>35</v>
          </cell>
          <cell r="M844">
            <v>0</v>
          </cell>
        </row>
        <row r="845">
          <cell r="A845" t="str">
            <v>CS-LHY003-BK-XL</v>
          </cell>
          <cell r="B845">
            <v>22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CS-LHY016-LB-XXL</v>
          </cell>
          <cell r="B846">
            <v>7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DK-LY-K157-KQ-42</v>
          </cell>
          <cell r="B847">
            <v>1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CS-SB166-B28-3-L</v>
          </cell>
          <cell r="B848">
            <v>17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10</v>
          </cell>
          <cell r="K848">
            <v>6</v>
          </cell>
          <cell r="L848">
            <v>0</v>
          </cell>
          <cell r="M848">
            <v>0</v>
          </cell>
        </row>
        <row r="849">
          <cell r="A849" t="str">
            <v>CS-SB005-BL1-L</v>
          </cell>
          <cell r="B849">
            <v>33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17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CS-LY181-PI908-M</v>
          </cell>
          <cell r="B850">
            <v>17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</v>
          </cell>
          <cell r="K850">
            <v>6</v>
          </cell>
          <cell r="L850">
            <v>8</v>
          </cell>
          <cell r="M850">
            <v>0</v>
          </cell>
        </row>
        <row r="851">
          <cell r="A851" t="str">
            <v>MY-LYPoint021-OR-S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CS-SB006-BL2-XL</v>
          </cell>
          <cell r="B852">
            <v>16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17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CS-SB002-RD-2XL</v>
          </cell>
          <cell r="B853">
            <v>11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11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MY-SB011JR-BL-L</v>
          </cell>
          <cell r="B854">
            <v>4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4</v>
          </cell>
          <cell r="L854">
            <v>0</v>
          </cell>
          <cell r="M854">
            <v>0</v>
          </cell>
        </row>
        <row r="855">
          <cell r="A855" t="str">
            <v>MY-LYPoint021-GN-S</v>
          </cell>
          <cell r="B855">
            <v>6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2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CS-SB005-GN-L</v>
          </cell>
          <cell r="B856">
            <v>27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6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CFY-W1830-RD-XL</v>
          </cell>
          <cell r="B857">
            <v>1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CS-SB170-W902-S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CS-SB005-BK-XL</v>
          </cell>
          <cell r="B859">
            <v>29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10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CS-LY085-LB916-XXL</v>
          </cell>
          <cell r="B860">
            <v>5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1</v>
          </cell>
          <cell r="K860">
            <v>6</v>
          </cell>
          <cell r="L860">
            <v>0</v>
          </cell>
          <cell r="M860">
            <v>0</v>
          </cell>
        </row>
        <row r="861">
          <cell r="A861" t="str">
            <v>CFY-W1798-RR-S</v>
          </cell>
          <cell r="B861">
            <v>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1</v>
          </cell>
          <cell r="M861">
            <v>0</v>
          </cell>
        </row>
        <row r="862">
          <cell r="A862" t="str">
            <v>KZ-LHY001-YLW-L</v>
          </cell>
          <cell r="B862">
            <v>23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CS-LHY032-GN1-XXL</v>
          </cell>
          <cell r="B863">
            <v>20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CS-LY181-LG907-L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CS-SB007-LP-L</v>
          </cell>
          <cell r="B865">
            <v>19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3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CS-LY171-LG907-XL</v>
          </cell>
          <cell r="B866">
            <v>5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3</v>
          </cell>
          <cell r="K866">
            <v>4</v>
          </cell>
          <cell r="L866">
            <v>0</v>
          </cell>
          <cell r="M866">
            <v>0</v>
          </cell>
        </row>
        <row r="867">
          <cell r="A867" t="str">
            <v>WY-SB017-LG-S</v>
          </cell>
          <cell r="B867">
            <v>3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3</v>
          </cell>
          <cell r="L867">
            <v>0</v>
          </cell>
          <cell r="M867">
            <v>0</v>
          </cell>
        </row>
        <row r="868">
          <cell r="A868" t="str">
            <v>MY-SB027-BL-S</v>
          </cell>
          <cell r="B868">
            <v>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MY-LYRound020-LB-L</v>
          </cell>
          <cell r="B869">
            <v>21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9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CA171-G912-XXL</v>
          </cell>
          <cell r="B870">
            <v>15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3</v>
          </cell>
          <cell r="K870">
            <v>3</v>
          </cell>
          <cell r="L870">
            <v>9</v>
          </cell>
          <cell r="M870">
            <v>0</v>
          </cell>
        </row>
        <row r="871">
          <cell r="A871" t="str">
            <v>CS-BUSB032-GN1-L</v>
          </cell>
          <cell r="B871">
            <v>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CS-LY166-B28-5-S</v>
          </cell>
          <cell r="B872">
            <v>2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CS-BS003-B0-XXL</v>
          </cell>
          <cell r="B873">
            <v>7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6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CS-LHY170-Sa911-S</v>
          </cell>
          <cell r="B874">
            <v>17</v>
          </cell>
          <cell r="C874">
            <v>0</v>
          </cell>
          <cell r="D874">
            <v>10</v>
          </cell>
          <cell r="E874">
            <v>0</v>
          </cell>
          <cell r="F874">
            <v>10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MY-SB011-CF-M</v>
          </cell>
          <cell r="B875">
            <v>9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3</v>
          </cell>
          <cell r="L875">
            <v>6</v>
          </cell>
          <cell r="M875">
            <v>0</v>
          </cell>
        </row>
        <row r="876">
          <cell r="A876" t="str">
            <v>CS-LY084-H3-L</v>
          </cell>
          <cell r="B876">
            <v>28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13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CS-BUSB031LHY-YL1-XL</v>
          </cell>
          <cell r="B877">
            <v>27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WY-SB017-NY-XXL</v>
          </cell>
          <cell r="B878">
            <v>9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1</v>
          </cell>
          <cell r="K878">
            <v>8</v>
          </cell>
          <cell r="L878">
            <v>0</v>
          </cell>
          <cell r="M878">
            <v>0</v>
          </cell>
        </row>
        <row r="879">
          <cell r="A879" t="str">
            <v>CS-SB007-LB-L</v>
          </cell>
          <cell r="B879">
            <v>6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1</v>
          </cell>
          <cell r="K879">
            <v>2</v>
          </cell>
          <cell r="L879">
            <v>3</v>
          </cell>
          <cell r="M879">
            <v>0</v>
          </cell>
        </row>
        <row r="880">
          <cell r="A880" t="str">
            <v>CS-SB002-CF-L</v>
          </cell>
          <cell r="B880">
            <v>8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9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CS-SB170-PI908-S</v>
          </cell>
          <cell r="B881">
            <v>6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WQS-BN-1503-RO-M</v>
          </cell>
          <cell r="B882">
            <v>12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CS-SB171-LG907-XL</v>
          </cell>
          <cell r="B883">
            <v>10</v>
          </cell>
          <cell r="C883">
            <v>0</v>
          </cell>
          <cell r="D883">
            <v>5</v>
          </cell>
          <cell r="E883">
            <v>0</v>
          </cell>
          <cell r="F883">
            <v>5</v>
          </cell>
          <cell r="G883">
            <v>0</v>
          </cell>
          <cell r="H883">
            <v>0</v>
          </cell>
          <cell r="I883">
            <v>0</v>
          </cell>
          <cell r="J883">
            <v>5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MY-SB011JR-BK-M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1</v>
          </cell>
          <cell r="L884">
            <v>0</v>
          </cell>
          <cell r="M884">
            <v>0</v>
          </cell>
        </row>
        <row r="885">
          <cell r="A885" t="str">
            <v>CS-LHY166-K73-2-S</v>
          </cell>
          <cell r="B885">
            <v>3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CS-SB002-RD-L</v>
          </cell>
          <cell r="B886">
            <v>5</v>
          </cell>
          <cell r="C886">
            <v>0</v>
          </cell>
          <cell r="D886">
            <v>16</v>
          </cell>
          <cell r="E886">
            <v>0</v>
          </cell>
          <cell r="F886">
            <v>16</v>
          </cell>
          <cell r="G886">
            <v>0</v>
          </cell>
          <cell r="H886">
            <v>0</v>
          </cell>
          <cell r="I886">
            <v>0</v>
          </cell>
          <cell r="J886">
            <v>2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CS-LY084-H6-M</v>
          </cell>
          <cell r="B887">
            <v>3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1</v>
          </cell>
          <cell r="K887">
            <v>1</v>
          </cell>
          <cell r="L887">
            <v>0</v>
          </cell>
          <cell r="M887">
            <v>0</v>
          </cell>
        </row>
        <row r="888">
          <cell r="A888" t="str">
            <v>CS-LY084-H1-XL</v>
          </cell>
          <cell r="B888">
            <v>22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20</v>
          </cell>
          <cell r="L888">
            <v>0</v>
          </cell>
          <cell r="M888">
            <v>0</v>
          </cell>
        </row>
        <row r="889">
          <cell r="A889" t="str">
            <v>MY-BS027-NY-L</v>
          </cell>
          <cell r="B889">
            <v>4</v>
          </cell>
          <cell r="C889">
            <v>0</v>
          </cell>
          <cell r="D889">
            <v>9</v>
          </cell>
          <cell r="E889">
            <v>0</v>
          </cell>
          <cell r="F889">
            <v>9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MY-LYRound020-KQ-XL</v>
          </cell>
          <cell r="B890">
            <v>19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16</v>
          </cell>
          <cell r="K890">
            <v>3</v>
          </cell>
          <cell r="L890">
            <v>0</v>
          </cell>
          <cell r="M890">
            <v>0</v>
          </cell>
        </row>
        <row r="891">
          <cell r="A891" t="str">
            <v>CS-SB005-GN-2XL</v>
          </cell>
          <cell r="B891">
            <v>37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12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CS-SB009-LB-XXL</v>
          </cell>
          <cell r="B892">
            <v>13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CS-SB009-CF-XXL</v>
          </cell>
          <cell r="B893">
            <v>21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DK-LY-K559-KQ-44</v>
          </cell>
          <cell r="B894">
            <v>3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3</v>
          </cell>
          <cell r="M894">
            <v>0</v>
          </cell>
        </row>
        <row r="895">
          <cell r="A895" t="str">
            <v>MY-SB011JR-BK-L</v>
          </cell>
          <cell r="B895">
            <v>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CS-BS016-LB-M</v>
          </cell>
          <cell r="B896">
            <v>12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1</v>
          </cell>
          <cell r="K896">
            <v>8</v>
          </cell>
          <cell r="L896">
            <v>0</v>
          </cell>
          <cell r="M896">
            <v>0</v>
          </cell>
        </row>
        <row r="897">
          <cell r="A897" t="str">
            <v>MY-SB011-CF-L</v>
          </cell>
          <cell r="B897">
            <v>12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3</v>
          </cell>
          <cell r="L897">
            <v>7</v>
          </cell>
          <cell r="M897">
            <v>0</v>
          </cell>
        </row>
        <row r="898">
          <cell r="A898" t="str">
            <v>CFY-M1798-RD-S</v>
          </cell>
          <cell r="B898">
            <v>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1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CS-SB166-B28-1-XXL</v>
          </cell>
          <cell r="B899">
            <v>10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10</v>
          </cell>
          <cell r="L899">
            <v>0</v>
          </cell>
          <cell r="M899">
            <v>0</v>
          </cell>
        </row>
        <row r="900">
          <cell r="A900" t="str">
            <v>CS-SB030-NY-M</v>
          </cell>
          <cell r="B900">
            <v>29</v>
          </cell>
          <cell r="C900">
            <v>1</v>
          </cell>
          <cell r="D900">
            <v>15</v>
          </cell>
          <cell r="E900">
            <v>0</v>
          </cell>
          <cell r="F900">
            <v>15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POLO-SB014-NY-S</v>
          </cell>
          <cell r="B901">
            <v>2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2</v>
          </cell>
          <cell r="L901">
            <v>0</v>
          </cell>
          <cell r="M901">
            <v>0</v>
          </cell>
        </row>
        <row r="902">
          <cell r="A902" t="str">
            <v>MY-SB011-WT-XL</v>
          </cell>
          <cell r="B902">
            <v>4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3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MY-BS027-BK-L</v>
          </cell>
          <cell r="B903">
            <v>10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CS-LHY032-RD-S</v>
          </cell>
          <cell r="B904">
            <v>2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CS-BUSB031-YL1-M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CS-BS030-BK-L</v>
          </cell>
          <cell r="B906">
            <v>5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CS-SB005-BL1-XL</v>
          </cell>
          <cell r="B907">
            <v>34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11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CS-SB002-LB-S</v>
          </cell>
          <cell r="B908">
            <v>13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2</v>
          </cell>
          <cell r="K908">
            <v>0</v>
          </cell>
          <cell r="L908">
            <v>10</v>
          </cell>
          <cell r="M908">
            <v>0</v>
          </cell>
        </row>
        <row r="909">
          <cell r="A909" t="str">
            <v>CS-SB007-BL-L</v>
          </cell>
          <cell r="B909">
            <v>19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16</v>
          </cell>
          <cell r="K909">
            <v>4</v>
          </cell>
          <cell r="L909">
            <v>0</v>
          </cell>
          <cell r="M909">
            <v>0</v>
          </cell>
        </row>
        <row r="910">
          <cell r="A910" t="str">
            <v>CS-SB007-GR-M</v>
          </cell>
          <cell r="B910">
            <v>18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12</v>
          </cell>
          <cell r="K910">
            <v>2</v>
          </cell>
          <cell r="L910">
            <v>0</v>
          </cell>
          <cell r="M910">
            <v>0</v>
          </cell>
        </row>
        <row r="911">
          <cell r="A911" t="str">
            <v>CS-SB171-W902-XL</v>
          </cell>
          <cell r="B911">
            <v>38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1</v>
          </cell>
          <cell r="K911">
            <v>37</v>
          </cell>
          <cell r="L911">
            <v>0</v>
          </cell>
          <cell r="M911">
            <v>0</v>
          </cell>
        </row>
        <row r="912">
          <cell r="A912" t="str">
            <v>CS-SB006-RD1-XL</v>
          </cell>
          <cell r="B912">
            <v>27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26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MY-LYPoint021-WR-L</v>
          </cell>
          <cell r="B913">
            <v>21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8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CS-SB005-RD1-2XL</v>
          </cell>
          <cell r="B914">
            <v>5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3</v>
          </cell>
          <cell r="K914">
            <v>2</v>
          </cell>
          <cell r="L914">
            <v>0</v>
          </cell>
          <cell r="M914">
            <v>0</v>
          </cell>
        </row>
        <row r="915">
          <cell r="A915" t="str">
            <v>CS-SB166-B28-1-S</v>
          </cell>
          <cell r="B915">
            <v>4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4</v>
          </cell>
          <cell r="L915">
            <v>0</v>
          </cell>
          <cell r="M915">
            <v>0</v>
          </cell>
        </row>
        <row r="916">
          <cell r="A916" t="str">
            <v>CS-SB007-LG-XXL</v>
          </cell>
          <cell r="B916">
            <v>1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CS-LY171-LB916-S</v>
          </cell>
          <cell r="B917">
            <v>38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2</v>
          </cell>
          <cell r="K917">
            <v>0</v>
          </cell>
          <cell r="L917">
            <v>35</v>
          </cell>
          <cell r="M917">
            <v>0</v>
          </cell>
        </row>
        <row r="918">
          <cell r="A918" t="str">
            <v>CS-SB002-BLNGN-S</v>
          </cell>
          <cell r="B918">
            <v>5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2</v>
          </cell>
          <cell r="K918">
            <v>0</v>
          </cell>
          <cell r="L918">
            <v>2</v>
          </cell>
          <cell r="M918">
            <v>0</v>
          </cell>
        </row>
        <row r="919">
          <cell r="A919" t="str">
            <v>MTX-IULHY-M1758-LC-28</v>
          </cell>
          <cell r="B919">
            <v>5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CS-LHY032-YL-L</v>
          </cell>
          <cell r="B920">
            <v>5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CFY-W1830-RR-S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1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CS-SB002-RNBL-S</v>
          </cell>
          <cell r="B922">
            <v>7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</row>
        <row r="923">
          <cell r="A923" t="str">
            <v>CS-LHY009-RD-L</v>
          </cell>
          <cell r="B923">
            <v>29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CFY-M1798-BK-XXL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1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CS-LY166-B28-1-XXL</v>
          </cell>
          <cell r="B925">
            <v>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2</v>
          </cell>
          <cell r="K925">
            <v>6</v>
          </cell>
          <cell r="L925">
            <v>0</v>
          </cell>
          <cell r="M925">
            <v>0</v>
          </cell>
        </row>
        <row r="926">
          <cell r="A926" t="str">
            <v>CS-LY166-B28-3-XXL</v>
          </cell>
          <cell r="B926">
            <v>8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3</v>
          </cell>
          <cell r="K926">
            <v>5</v>
          </cell>
          <cell r="L926">
            <v>0</v>
          </cell>
          <cell r="M926">
            <v>0</v>
          </cell>
        </row>
        <row r="927">
          <cell r="A927" t="str">
            <v>CS-LHY003-BK-S</v>
          </cell>
          <cell r="B927">
            <v>10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CS-SB002-RNBL-XL</v>
          </cell>
          <cell r="B928">
            <v>11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CS-SB005-BL2-M</v>
          </cell>
          <cell r="B929">
            <v>39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9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CS-BUSB031-RD2-XL</v>
          </cell>
          <cell r="B930">
            <v>6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CFY-M1830-RD-XL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1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CS-SB009-GN-L</v>
          </cell>
          <cell r="B932">
            <v>9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MY-LYRound020-BL-XL</v>
          </cell>
          <cell r="B933">
            <v>23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4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CS-LY181-ZL918-S</v>
          </cell>
          <cell r="B934">
            <v>13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7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CS-BUSB031-RD1-L</v>
          </cell>
          <cell r="B935">
            <v>3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3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MY-LYRound020-BL-L</v>
          </cell>
          <cell r="B936">
            <v>13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9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CS-LY084-H4-XL</v>
          </cell>
          <cell r="B937">
            <v>35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31</v>
          </cell>
          <cell r="L937">
            <v>0</v>
          </cell>
          <cell r="M937">
            <v>0</v>
          </cell>
        </row>
        <row r="938">
          <cell r="A938" t="str">
            <v>CS-LY084-H3-S</v>
          </cell>
          <cell r="B938">
            <v>9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3</v>
          </cell>
          <cell r="K938">
            <v>6</v>
          </cell>
          <cell r="L938">
            <v>0</v>
          </cell>
          <cell r="M938">
            <v>0</v>
          </cell>
        </row>
        <row r="939">
          <cell r="A939" t="str">
            <v>CS-SB181-G912-L</v>
          </cell>
          <cell r="B939">
            <v>8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CS-LY181-G912-M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CS-BUSB032-GN2-XXL</v>
          </cell>
          <cell r="B941">
            <v>2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1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CS-SB009-RDNY-M</v>
          </cell>
          <cell r="B942">
            <v>17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CS-BUSB031-YL2-XL</v>
          </cell>
          <cell r="B943">
            <v>6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MY-BS027-DG-XL</v>
          </cell>
          <cell r="B944">
            <v>8</v>
          </cell>
          <cell r="C944">
            <v>0</v>
          </cell>
          <cell r="D944">
            <v>12</v>
          </cell>
          <cell r="E944">
            <v>0</v>
          </cell>
          <cell r="F944">
            <v>12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CS-BUSB031LHY-GN1-XXL</v>
          </cell>
          <cell r="B945">
            <v>1</v>
          </cell>
          <cell r="C945">
            <v>0</v>
          </cell>
          <cell r="D945">
            <v>14</v>
          </cell>
          <cell r="E945">
            <v>0</v>
          </cell>
          <cell r="F945">
            <v>14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CS-LHY170-LG907-XXL</v>
          </cell>
          <cell r="B946">
            <v>57</v>
          </cell>
          <cell r="C946">
            <v>0</v>
          </cell>
          <cell r="D946">
            <v>6</v>
          </cell>
          <cell r="E946">
            <v>0</v>
          </cell>
          <cell r="F946">
            <v>6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CS-BUSB031-GN1-XL</v>
          </cell>
          <cell r="B947">
            <v>4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3</v>
          </cell>
          <cell r="K947">
            <v>1</v>
          </cell>
          <cell r="L947">
            <v>0</v>
          </cell>
          <cell r="M947">
            <v>0</v>
          </cell>
        </row>
        <row r="948">
          <cell r="A948" t="str">
            <v>POLO-1503-NY-S</v>
          </cell>
          <cell r="B948">
            <v>14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13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MY-LYPoint021-DG-XL</v>
          </cell>
          <cell r="B949">
            <v>14</v>
          </cell>
          <cell r="C949">
            <v>1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5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CFY-M1798-RD-M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</v>
          </cell>
          <cell r="L950">
            <v>0</v>
          </cell>
          <cell r="M950">
            <v>0</v>
          </cell>
        </row>
        <row r="951">
          <cell r="A951" t="str">
            <v>MY-BS011-WT-M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CS-BS016-LB-S</v>
          </cell>
          <cell r="B952">
            <v>2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</v>
          </cell>
          <cell r="L952">
            <v>0</v>
          </cell>
          <cell r="M952">
            <v>0</v>
          </cell>
        </row>
        <row r="953">
          <cell r="A953" t="str">
            <v>CS-LY166-K33-4-M</v>
          </cell>
          <cell r="B953">
            <v>3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2</v>
          </cell>
          <cell r="L953">
            <v>0</v>
          </cell>
          <cell r="M953">
            <v>0</v>
          </cell>
        </row>
        <row r="954">
          <cell r="A954" t="str">
            <v>CS-LY166-B28-5-XXL</v>
          </cell>
          <cell r="B954">
            <v>8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2</v>
          </cell>
          <cell r="K954">
            <v>6</v>
          </cell>
          <cell r="L954">
            <v>0</v>
          </cell>
          <cell r="M954">
            <v>0</v>
          </cell>
        </row>
        <row r="955">
          <cell r="A955" t="str">
            <v>CS-LY181-LB916-S</v>
          </cell>
          <cell r="B955">
            <v>11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4</v>
          </cell>
          <cell r="K955">
            <v>5</v>
          </cell>
          <cell r="L955">
            <v>1</v>
          </cell>
          <cell r="M955">
            <v>0</v>
          </cell>
        </row>
        <row r="956">
          <cell r="A956" t="str">
            <v>CS-SB166-K73-1-M</v>
          </cell>
          <cell r="B956">
            <v>10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10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CS-SB007-GR-XXL</v>
          </cell>
          <cell r="B957">
            <v>15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11</v>
          </cell>
          <cell r="K957">
            <v>1</v>
          </cell>
          <cell r="L957">
            <v>0</v>
          </cell>
          <cell r="M957">
            <v>0</v>
          </cell>
        </row>
        <row r="958">
          <cell r="A958" t="str">
            <v>CS-LY166-B28-3-L</v>
          </cell>
          <cell r="B958">
            <v>10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1</v>
          </cell>
          <cell r="K958">
            <v>9</v>
          </cell>
          <cell r="L958">
            <v>0</v>
          </cell>
          <cell r="M958">
            <v>0</v>
          </cell>
        </row>
        <row r="959">
          <cell r="A959" t="str">
            <v>CS-SB005-BL1-M</v>
          </cell>
          <cell r="B959">
            <v>37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8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CS-SB016-B0-XXL</v>
          </cell>
          <cell r="B960">
            <v>17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10</v>
          </cell>
          <cell r="K960">
            <v>5</v>
          </cell>
          <cell r="L960">
            <v>0</v>
          </cell>
          <cell r="M960">
            <v>0</v>
          </cell>
        </row>
        <row r="961">
          <cell r="A961" t="str">
            <v>CS-BUSB031-RD2-XXL</v>
          </cell>
          <cell r="B961">
            <v>10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CS-SB009-CF-M</v>
          </cell>
          <cell r="B962">
            <v>41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CS-LY085-PI908-L</v>
          </cell>
          <cell r="B963">
            <v>23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2</v>
          </cell>
          <cell r="K963">
            <v>21</v>
          </cell>
          <cell r="L963">
            <v>0</v>
          </cell>
          <cell r="M963">
            <v>0</v>
          </cell>
        </row>
        <row r="964">
          <cell r="A964" t="str">
            <v>WQS-BN-1503-GR-2XL</v>
          </cell>
          <cell r="B964">
            <v>22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6</v>
          </cell>
          <cell r="L964">
            <v>0</v>
          </cell>
          <cell r="M964">
            <v>0</v>
          </cell>
        </row>
        <row r="965">
          <cell r="A965" t="str">
            <v>MY-SB011-CF-XL</v>
          </cell>
          <cell r="B965">
            <v>18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2</v>
          </cell>
          <cell r="K965">
            <v>4</v>
          </cell>
          <cell r="L965">
            <v>10</v>
          </cell>
          <cell r="M965">
            <v>0</v>
          </cell>
        </row>
        <row r="966">
          <cell r="A966" t="str">
            <v>POLO-SB1503-BK-M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MY-SB019-LG-L</v>
          </cell>
          <cell r="B967">
            <v>6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6</v>
          </cell>
          <cell r="L967">
            <v>0</v>
          </cell>
          <cell r="M967">
            <v>0</v>
          </cell>
        </row>
        <row r="968">
          <cell r="A968" t="str">
            <v>CS-SB181-W902-M</v>
          </cell>
          <cell r="B968">
            <v>30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MY-SBRound020-GR-S</v>
          </cell>
          <cell r="B969">
            <v>4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CS-LY084-H6-S</v>
          </cell>
          <cell r="B970">
            <v>3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</v>
          </cell>
          <cell r="L970">
            <v>0</v>
          </cell>
          <cell r="M970">
            <v>0</v>
          </cell>
        </row>
        <row r="971">
          <cell r="A971" t="str">
            <v>CS-BUSB032-GN1-XXL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CS-LY171-LB916-XXL</v>
          </cell>
          <cell r="B972">
            <v>58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5</v>
          </cell>
          <cell r="L972">
            <v>52</v>
          </cell>
          <cell r="M972">
            <v>0</v>
          </cell>
        </row>
        <row r="973">
          <cell r="A973" t="str">
            <v>CA171-ZL918-L</v>
          </cell>
          <cell r="B973">
            <v>5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2</v>
          </cell>
          <cell r="K973">
            <v>3</v>
          </cell>
          <cell r="L973">
            <v>0</v>
          </cell>
          <cell r="M973">
            <v>0</v>
          </cell>
        </row>
        <row r="974">
          <cell r="A974" t="str">
            <v>CS-SB170-LB916-XXL</v>
          </cell>
          <cell r="B974">
            <v>5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CS-LY181-Sa911-XL</v>
          </cell>
          <cell r="B975">
            <v>5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1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CS-BUSB032-NB-XL</v>
          </cell>
          <cell r="B976">
            <v>10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1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WY-SB017-NY-XL</v>
          </cell>
          <cell r="B977">
            <v>9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8</v>
          </cell>
          <cell r="L977">
            <v>0</v>
          </cell>
          <cell r="M977">
            <v>0</v>
          </cell>
        </row>
        <row r="978">
          <cell r="A978" t="str">
            <v>CS-SB007-PP-L</v>
          </cell>
          <cell r="B978">
            <v>17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18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CS-SB166-K73-2-M</v>
          </cell>
          <cell r="B979">
            <v>16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11</v>
          </cell>
          <cell r="K979">
            <v>5</v>
          </cell>
          <cell r="L979">
            <v>0</v>
          </cell>
          <cell r="M979">
            <v>0</v>
          </cell>
        </row>
        <row r="980">
          <cell r="A980" t="str">
            <v>CS-SB016-NB-XL</v>
          </cell>
          <cell r="B980">
            <v>13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11</v>
          </cell>
          <cell r="K980">
            <v>1</v>
          </cell>
          <cell r="L980">
            <v>0</v>
          </cell>
          <cell r="M980">
            <v>0</v>
          </cell>
        </row>
        <row r="981">
          <cell r="A981" t="str">
            <v>MTX-IULHY-M188-CF-40/42</v>
          </cell>
          <cell r="B981">
            <v>4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CS-BUSB032-GN2-XL</v>
          </cell>
          <cell r="B982">
            <v>2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2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CS-LY171-G912-S</v>
          </cell>
          <cell r="B983">
            <v>38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</v>
          </cell>
          <cell r="K983">
            <v>1</v>
          </cell>
          <cell r="L983">
            <v>33</v>
          </cell>
          <cell r="M983">
            <v>0</v>
          </cell>
        </row>
        <row r="984">
          <cell r="A984" t="str">
            <v>CS-SB006-RD1-2XL</v>
          </cell>
          <cell r="B984">
            <v>22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6</v>
          </cell>
          <cell r="L984">
            <v>0</v>
          </cell>
          <cell r="M984">
            <v>0</v>
          </cell>
        </row>
        <row r="985">
          <cell r="A985" t="str">
            <v>WQS-BN-1503-RO-S</v>
          </cell>
          <cell r="B985">
            <v>4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4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CS-SB171-PI908-M</v>
          </cell>
          <cell r="B986">
            <v>147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146</v>
          </cell>
          <cell r="L986">
            <v>0</v>
          </cell>
          <cell r="M986">
            <v>0</v>
          </cell>
        </row>
        <row r="987">
          <cell r="A987" t="str">
            <v>DK-LY-K518-K0-42</v>
          </cell>
          <cell r="B987">
            <v>4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2</v>
          </cell>
          <cell r="M987">
            <v>1</v>
          </cell>
        </row>
        <row r="988">
          <cell r="A988" t="str">
            <v>MY-LYPoint021-K0-M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MY-SB015-LG-S</v>
          </cell>
          <cell r="B989">
            <v>14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2</v>
          </cell>
          <cell r="K989">
            <v>12</v>
          </cell>
          <cell r="L989">
            <v>0</v>
          </cell>
          <cell r="M989">
            <v>0</v>
          </cell>
        </row>
        <row r="990">
          <cell r="A990" t="str">
            <v>CS-BUSB031-GN2-S</v>
          </cell>
          <cell r="B990">
            <v>4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4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CS-LHY009-BK-XXL</v>
          </cell>
          <cell r="B991">
            <v>24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MY-SB020-NY-XL</v>
          </cell>
          <cell r="B992">
            <v>9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8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CS-SB009-LB1-XXL</v>
          </cell>
          <cell r="B993">
            <v>10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CS-SB002-CF-M</v>
          </cell>
          <cell r="B994">
            <v>30</v>
          </cell>
          <cell r="C994">
            <v>0</v>
          </cell>
          <cell r="D994">
            <v>20</v>
          </cell>
          <cell r="E994">
            <v>0</v>
          </cell>
          <cell r="F994">
            <v>20</v>
          </cell>
          <cell r="G994">
            <v>0</v>
          </cell>
          <cell r="H994">
            <v>0</v>
          </cell>
          <cell r="I994">
            <v>0</v>
          </cell>
          <cell r="J994">
            <v>20</v>
          </cell>
          <cell r="K994">
            <v>1</v>
          </cell>
          <cell r="L994">
            <v>8</v>
          </cell>
          <cell r="M994">
            <v>0</v>
          </cell>
        </row>
        <row r="995">
          <cell r="A995" t="str">
            <v>KZ-LHY001-YLW-XL</v>
          </cell>
          <cell r="B995">
            <v>25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CS-SB002-BK-S</v>
          </cell>
          <cell r="B996">
            <v>9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1</v>
          </cell>
          <cell r="K996">
            <v>0</v>
          </cell>
          <cell r="L996">
            <v>8</v>
          </cell>
          <cell r="M996">
            <v>0</v>
          </cell>
        </row>
        <row r="997">
          <cell r="A997" t="str">
            <v>CS-LHY032-RD-XL</v>
          </cell>
          <cell r="B997">
            <v>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CFY-M1798-BL-L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</v>
          </cell>
          <cell r="L998">
            <v>0</v>
          </cell>
          <cell r="M998">
            <v>0</v>
          </cell>
        </row>
        <row r="999">
          <cell r="A999" t="str">
            <v>CFY-M1830-RD-M</v>
          </cell>
          <cell r="B999">
            <v>1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1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CS-BUSB031-GN3-L</v>
          </cell>
          <cell r="B1000">
            <v>10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3</v>
          </cell>
          <cell r="K1000">
            <v>1</v>
          </cell>
          <cell r="L1000">
            <v>0</v>
          </cell>
          <cell r="M1000">
            <v>0</v>
          </cell>
        </row>
        <row r="1001">
          <cell r="A1001" t="str">
            <v>CS-LHY009-CF-XL</v>
          </cell>
          <cell r="B1001">
            <v>2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CS-LY171-LB916-XL</v>
          </cell>
          <cell r="B1002">
            <v>38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</v>
          </cell>
          <cell r="K1002">
            <v>3</v>
          </cell>
          <cell r="L1002">
            <v>32</v>
          </cell>
          <cell r="M1002">
            <v>0</v>
          </cell>
        </row>
        <row r="1003">
          <cell r="A1003" t="str">
            <v>CS-BUSB032-NB-M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CS-SB166-B28-1-M</v>
          </cell>
          <cell r="B1004">
            <v>22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10</v>
          </cell>
          <cell r="K1004">
            <v>12</v>
          </cell>
          <cell r="L1004">
            <v>0</v>
          </cell>
          <cell r="M1004">
            <v>0</v>
          </cell>
        </row>
        <row r="1005">
          <cell r="A1005" t="str">
            <v>MTX-IULHY-M1798-CF-28</v>
          </cell>
          <cell r="B1005">
            <v>3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CS-BUSB031-YL1-L</v>
          </cell>
          <cell r="B1006">
            <v>3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CS-LY084-H2-L</v>
          </cell>
          <cell r="B1007">
            <v>4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1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POLO-1503-NY-XL</v>
          </cell>
          <cell r="B1008">
            <v>10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10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CS-SB009-RD-L</v>
          </cell>
          <cell r="B1009">
            <v>13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SB-YL004-FD50</v>
          </cell>
          <cell r="B1010">
            <v>3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3</v>
          </cell>
          <cell r="L1010">
            <v>0</v>
          </cell>
          <cell r="M1010">
            <v>0</v>
          </cell>
        </row>
        <row r="1011">
          <cell r="A1011" t="str">
            <v>CS-SB171-WR917-M</v>
          </cell>
          <cell r="B1011">
            <v>32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17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CS-LHY166-K33-2-XL</v>
          </cell>
          <cell r="B1012">
            <v>5</v>
          </cell>
          <cell r="C1012">
            <v>0</v>
          </cell>
          <cell r="D1012">
            <v>5</v>
          </cell>
          <cell r="E1012">
            <v>0</v>
          </cell>
          <cell r="F1012">
            <v>5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MY-SB027-BK-XL</v>
          </cell>
          <cell r="B1013">
            <v>8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CS-LHY009-GN-XXL</v>
          </cell>
          <cell r="B1014">
            <v>17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CS-BS003-NB-L</v>
          </cell>
          <cell r="B1015">
            <v>3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2</v>
          </cell>
          <cell r="K1015">
            <v>1</v>
          </cell>
          <cell r="L1015">
            <v>0</v>
          </cell>
          <cell r="M1015">
            <v>0</v>
          </cell>
        </row>
        <row r="1016">
          <cell r="A1016" t="str">
            <v>MY-SB027-BK-L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MY-SB027-BK-S</v>
          </cell>
          <cell r="B1017">
            <v>2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2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POLO-SB014-YL-L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5</v>
          </cell>
          <cell r="L1018">
            <v>0</v>
          </cell>
          <cell r="M1018">
            <v>0</v>
          </cell>
        </row>
        <row r="1019">
          <cell r="A1019" t="str">
            <v>MY-SB011JR-DG-M</v>
          </cell>
          <cell r="B1019">
            <v>7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7</v>
          </cell>
          <cell r="L1019">
            <v>0</v>
          </cell>
          <cell r="M1019">
            <v>0</v>
          </cell>
        </row>
        <row r="1020">
          <cell r="A1020" t="str">
            <v>CS-LY181-ZL918-M</v>
          </cell>
          <cell r="B1020">
            <v>16</v>
          </cell>
          <cell r="C1020">
            <v>0</v>
          </cell>
          <cell r="D1020">
            <v>13</v>
          </cell>
          <cell r="E1020">
            <v>0</v>
          </cell>
          <cell r="F1020">
            <v>13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MY-SB020-BL-XL</v>
          </cell>
          <cell r="B1021">
            <v>5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</v>
          </cell>
          <cell r="K1021">
            <v>4</v>
          </cell>
          <cell r="L1021">
            <v>0</v>
          </cell>
          <cell r="M1021">
            <v>0</v>
          </cell>
        </row>
        <row r="1022">
          <cell r="A1022" t="str">
            <v>MY-LYPoint021-BL-XL</v>
          </cell>
          <cell r="B1022">
            <v>14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1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MY-LYPoint021-W0-XL</v>
          </cell>
          <cell r="B1023">
            <v>17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SB-YL004-FD20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MY-LYPoint021-WR-XL</v>
          </cell>
          <cell r="B1025">
            <v>10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3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CS-SB006-BL-S</v>
          </cell>
          <cell r="B1026">
            <v>1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CS-LHY003-BK-XXL</v>
          </cell>
          <cell r="B1027">
            <v>22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CS-LHY003-LB-S</v>
          </cell>
          <cell r="B1028">
            <v>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MY-021-GR-XL</v>
          </cell>
          <cell r="B1029">
            <v>26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CS-SB007-BL-M</v>
          </cell>
          <cell r="B1030">
            <v>15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10</v>
          </cell>
          <cell r="K1030">
            <v>0</v>
          </cell>
          <cell r="L1030">
            <v>5</v>
          </cell>
          <cell r="M1030">
            <v>0</v>
          </cell>
        </row>
        <row r="1031">
          <cell r="A1031" t="str">
            <v>POLO-SB1503-NY-S</v>
          </cell>
          <cell r="B1031">
            <v>4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CS-SB181-G912-XL</v>
          </cell>
          <cell r="B1032">
            <v>27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27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CS-SB003-BK-M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MY-LYRound020-DG-M</v>
          </cell>
          <cell r="B1034">
            <v>14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7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CS-SB166-K33-4-L</v>
          </cell>
          <cell r="B1035">
            <v>22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20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CS-LHY032-GN2-S</v>
          </cell>
          <cell r="B1036">
            <v>12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CS-LY084-H2-M</v>
          </cell>
          <cell r="B1037">
            <v>20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20</v>
          </cell>
          <cell r="L1037">
            <v>0</v>
          </cell>
          <cell r="M1037">
            <v>0</v>
          </cell>
        </row>
        <row r="1038">
          <cell r="A1038" t="str">
            <v>WY-SB017-BK-XL</v>
          </cell>
          <cell r="B1038">
            <v>10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10</v>
          </cell>
          <cell r="L1038">
            <v>0</v>
          </cell>
          <cell r="M1038">
            <v>0</v>
          </cell>
        </row>
        <row r="1039">
          <cell r="A1039" t="str">
            <v>CS-LY086-N0-M</v>
          </cell>
          <cell r="B1039">
            <v>12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1</v>
          </cell>
          <cell r="K1039">
            <v>2</v>
          </cell>
          <cell r="L1039">
            <v>8</v>
          </cell>
          <cell r="M1039">
            <v>0</v>
          </cell>
        </row>
        <row r="1040">
          <cell r="A1040" t="str">
            <v>CS-BS003-BK-XL</v>
          </cell>
          <cell r="B1040">
            <v>13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12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MY-SB011-LG-L</v>
          </cell>
          <cell r="B1041">
            <v>4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3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WQS-BN-1503-KO-2XL</v>
          </cell>
          <cell r="B1042">
            <v>30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13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CS-LY171-PI908-XL</v>
          </cell>
          <cell r="B1043">
            <v>3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1</v>
          </cell>
          <cell r="K1043">
            <v>2</v>
          </cell>
          <cell r="L1043">
            <v>0</v>
          </cell>
          <cell r="M1043">
            <v>0</v>
          </cell>
        </row>
        <row r="1044">
          <cell r="A1044" t="str">
            <v>MY-SB011JR-DG-XL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2</v>
          </cell>
          <cell r="L1044">
            <v>0</v>
          </cell>
          <cell r="M1044">
            <v>0</v>
          </cell>
        </row>
        <row r="1045">
          <cell r="A1045" t="str">
            <v>CS-SB166-K33-1-M</v>
          </cell>
          <cell r="B1045">
            <v>21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MY-SB019-LG-S</v>
          </cell>
          <cell r="B1046">
            <v>5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</v>
          </cell>
          <cell r="L1046">
            <v>0</v>
          </cell>
          <cell r="M1046">
            <v>0</v>
          </cell>
        </row>
        <row r="1047">
          <cell r="A1047" t="str">
            <v>MTX-IULHY-M1758-DC-27</v>
          </cell>
          <cell r="B1047">
            <v>5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MY-SB011JR-BK-XL</v>
          </cell>
          <cell r="B1048">
            <v>4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4</v>
          </cell>
          <cell r="L1048">
            <v>0</v>
          </cell>
          <cell r="M1048">
            <v>0</v>
          </cell>
        </row>
        <row r="1049">
          <cell r="A1049" t="str">
            <v>CS-LHY032-GN1-M</v>
          </cell>
          <cell r="B1049">
            <v>18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MY-SB011-RD-L</v>
          </cell>
          <cell r="B1050">
            <v>4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4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CS-SB030-WT-M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CS-BUSB032-YL-L</v>
          </cell>
          <cell r="B1052">
            <v>1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CS-LY084-H1-S</v>
          </cell>
          <cell r="B1053">
            <v>6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1</v>
          </cell>
          <cell r="K1053">
            <v>5</v>
          </cell>
          <cell r="L1053">
            <v>0</v>
          </cell>
          <cell r="M1053">
            <v>0</v>
          </cell>
        </row>
        <row r="1054">
          <cell r="A1054" t="str">
            <v>CS-LY166-K33-2-L</v>
          </cell>
          <cell r="B1054">
            <v>4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CS-SB170-ZL918-XXL</v>
          </cell>
          <cell r="B1055">
            <v>1</v>
          </cell>
          <cell r="C1055">
            <v>2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MY-SB018-LG-XL</v>
          </cell>
          <cell r="B1056">
            <v>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2</v>
          </cell>
          <cell r="K1056">
            <v>2</v>
          </cell>
          <cell r="L1056">
            <v>0</v>
          </cell>
          <cell r="M1056">
            <v>0</v>
          </cell>
        </row>
        <row r="1057">
          <cell r="A1057" t="str">
            <v>DK-LY-K518-KQ-44</v>
          </cell>
          <cell r="B1057">
            <v>1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1</v>
          </cell>
          <cell r="M1057">
            <v>0</v>
          </cell>
        </row>
        <row r="1058">
          <cell r="A1058" t="str">
            <v>MY-LYPoint021-LB-XL</v>
          </cell>
          <cell r="B1058">
            <v>22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CS-LY166-K33-4-S</v>
          </cell>
          <cell r="B1059">
            <v>15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13</v>
          </cell>
          <cell r="L1059">
            <v>2</v>
          </cell>
          <cell r="M1059">
            <v>0</v>
          </cell>
        </row>
        <row r="1060">
          <cell r="A1060" t="str">
            <v>MY-SB027-GN-L</v>
          </cell>
          <cell r="B1060">
            <v>3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CS-SB006-BL2-2XL</v>
          </cell>
          <cell r="B1061">
            <v>22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20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CS-SB166-B28-5-L</v>
          </cell>
          <cell r="B1062">
            <v>27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15</v>
          </cell>
          <cell r="K1062">
            <v>11</v>
          </cell>
          <cell r="L1062">
            <v>0</v>
          </cell>
          <cell r="M1062">
            <v>0</v>
          </cell>
        </row>
        <row r="1063">
          <cell r="A1063" t="str">
            <v>WY-SB017-BK-M</v>
          </cell>
          <cell r="B1063">
            <v>9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9</v>
          </cell>
          <cell r="L1063">
            <v>0</v>
          </cell>
          <cell r="M1063">
            <v>0</v>
          </cell>
        </row>
        <row r="1064">
          <cell r="A1064" t="str">
            <v>CS-SB016-BK-M</v>
          </cell>
          <cell r="B1064">
            <v>12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1</v>
          </cell>
          <cell r="K1064">
            <v>7</v>
          </cell>
          <cell r="L1064">
            <v>0</v>
          </cell>
          <cell r="M1064">
            <v>0</v>
          </cell>
        </row>
        <row r="1065">
          <cell r="A1065" t="str">
            <v>MY-LYRound020-WR-S</v>
          </cell>
          <cell r="B1065">
            <v>5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2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CS-LHY009-RD-XL</v>
          </cell>
          <cell r="B1066">
            <v>3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WQS-BN-1503-RO-L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MY-SB021-KK-M</v>
          </cell>
          <cell r="B1068">
            <v>16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MY-SB011JR-PP-M</v>
          </cell>
          <cell r="B1069">
            <v>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4</v>
          </cell>
          <cell r="L1069">
            <v>0</v>
          </cell>
          <cell r="M1069">
            <v>0</v>
          </cell>
        </row>
        <row r="1070">
          <cell r="A1070" t="str">
            <v>CS-SB030-YL-S</v>
          </cell>
          <cell r="B1070">
            <v>12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CS-LY166-K73-1-S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CS-LY171-ZL918-M</v>
          </cell>
          <cell r="B1072">
            <v>30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2</v>
          </cell>
          <cell r="K1072">
            <v>4</v>
          </cell>
          <cell r="L1072">
            <v>24</v>
          </cell>
          <cell r="M1072">
            <v>0</v>
          </cell>
        </row>
        <row r="1073">
          <cell r="A1073" t="str">
            <v>DK-LY-K518-KQ-42</v>
          </cell>
          <cell r="B1073">
            <v>3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1</v>
          </cell>
          <cell r="M1073">
            <v>0</v>
          </cell>
        </row>
        <row r="1074">
          <cell r="A1074" t="str">
            <v>MY-LYPoint021-LB-M</v>
          </cell>
          <cell r="B1074">
            <v>13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CS-LHY166-K33-2-XXL</v>
          </cell>
          <cell r="B1075">
            <v>5</v>
          </cell>
          <cell r="C1075">
            <v>0</v>
          </cell>
          <cell r="D1075">
            <v>5</v>
          </cell>
          <cell r="E1075">
            <v>0</v>
          </cell>
          <cell r="F1075">
            <v>5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MY-LYRound020-DG-L</v>
          </cell>
          <cell r="B1076">
            <v>17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10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CS-BS003-NB-XL</v>
          </cell>
          <cell r="B1077">
            <v>34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22</v>
          </cell>
          <cell r="K1077">
            <v>7</v>
          </cell>
          <cell r="L1077">
            <v>0</v>
          </cell>
          <cell r="M1077">
            <v>0</v>
          </cell>
        </row>
        <row r="1078">
          <cell r="A1078" t="str">
            <v>WY-SB017-RD-XXL</v>
          </cell>
          <cell r="B1078">
            <v>9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9</v>
          </cell>
          <cell r="L1078">
            <v>0</v>
          </cell>
          <cell r="M1078">
            <v>0</v>
          </cell>
        </row>
        <row r="1079">
          <cell r="A1079" t="str">
            <v>CS-SB170-G912-S</v>
          </cell>
          <cell r="B1079">
            <v>12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CS-SB009-LB-M</v>
          </cell>
          <cell r="B1080">
            <v>16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CS-LY171-Sa911-XL</v>
          </cell>
          <cell r="B1081">
            <v>44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1</v>
          </cell>
          <cell r="K1081">
            <v>5</v>
          </cell>
          <cell r="L1081">
            <v>37</v>
          </cell>
          <cell r="M1081">
            <v>0</v>
          </cell>
        </row>
        <row r="1082">
          <cell r="A1082" t="str">
            <v>CS-LHY009-RDNY-XXL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MY-LYRound020-LB-XL</v>
          </cell>
          <cell r="B1083">
            <v>14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CS-BUSB031-RD1-S</v>
          </cell>
          <cell r="B1084">
            <v>10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3</v>
          </cell>
          <cell r="K1084">
            <v>1</v>
          </cell>
          <cell r="L1084">
            <v>0</v>
          </cell>
          <cell r="M1084">
            <v>0</v>
          </cell>
        </row>
        <row r="1085">
          <cell r="A1085" t="str">
            <v>MY-SB011-BK-M</v>
          </cell>
          <cell r="B1085">
            <v>1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MY-SB011JR-LG-XL</v>
          </cell>
          <cell r="B1086">
            <v>5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5</v>
          </cell>
          <cell r="L1086">
            <v>0</v>
          </cell>
          <cell r="M1086">
            <v>0</v>
          </cell>
        </row>
        <row r="1087">
          <cell r="A1087" t="str">
            <v>CS-SB171-PI908-S</v>
          </cell>
          <cell r="B1087">
            <v>24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23</v>
          </cell>
          <cell r="L1087">
            <v>0</v>
          </cell>
          <cell r="M1087">
            <v>0</v>
          </cell>
        </row>
        <row r="1088">
          <cell r="A1088" t="str">
            <v>CS-SB009-BL-L</v>
          </cell>
          <cell r="B1088">
            <v>2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CS-SB009-CF-L</v>
          </cell>
          <cell r="B1089">
            <v>36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4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CS-LHY032-GN1-L</v>
          </cell>
          <cell r="B1090">
            <v>33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MY-SB011JR-BL-XL</v>
          </cell>
          <cell r="B1091">
            <v>6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6</v>
          </cell>
          <cell r="L1091">
            <v>0</v>
          </cell>
          <cell r="M1091">
            <v>0</v>
          </cell>
        </row>
        <row r="1092">
          <cell r="A1092" t="str">
            <v>CS-LY085-R901-XXL</v>
          </cell>
          <cell r="B1092">
            <v>20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3</v>
          </cell>
          <cell r="K1092">
            <v>16</v>
          </cell>
          <cell r="L1092">
            <v>0</v>
          </cell>
          <cell r="M1092">
            <v>0</v>
          </cell>
        </row>
        <row r="1093">
          <cell r="A1093" t="str">
            <v>CS-SB166-B28-3-M</v>
          </cell>
          <cell r="B1093">
            <v>18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18</v>
          </cell>
          <cell r="L1093">
            <v>0</v>
          </cell>
          <cell r="M1093">
            <v>0</v>
          </cell>
        </row>
        <row r="1094">
          <cell r="A1094" t="str">
            <v>CS-BUSB031-GN1-L</v>
          </cell>
          <cell r="B1094">
            <v>9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A1095" t="str">
            <v>DK-LY-K518-B0-42</v>
          </cell>
          <cell r="B1095">
            <v>5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2</v>
          </cell>
          <cell r="M1095">
            <v>3</v>
          </cell>
        </row>
        <row r="1096">
          <cell r="A1096" t="str">
            <v>CS-LY085-ZL918-M</v>
          </cell>
          <cell r="B1096">
            <v>21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6</v>
          </cell>
          <cell r="K1096">
            <v>10</v>
          </cell>
          <cell r="L1096">
            <v>0</v>
          </cell>
          <cell r="M1096">
            <v>0</v>
          </cell>
        </row>
        <row r="1097">
          <cell r="A1097" t="str">
            <v>CS-LY171-WR917-S</v>
          </cell>
          <cell r="B1097">
            <v>7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1</v>
          </cell>
          <cell r="K1097">
            <v>4</v>
          </cell>
          <cell r="L1097">
            <v>1</v>
          </cell>
          <cell r="M1097">
            <v>0</v>
          </cell>
        </row>
        <row r="1098">
          <cell r="A1098" t="str">
            <v>MY-SB011JR-PP-L</v>
          </cell>
          <cell r="B1098">
            <v>5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5</v>
          </cell>
          <cell r="L1098">
            <v>0</v>
          </cell>
          <cell r="M1098">
            <v>0</v>
          </cell>
        </row>
        <row r="1099">
          <cell r="A1099" t="str">
            <v>CS-LHY032-GN2-XL</v>
          </cell>
          <cell r="B1099">
            <v>33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CS-LY085-WR917-S</v>
          </cell>
          <cell r="B1100">
            <v>16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5</v>
          </cell>
          <cell r="K1100">
            <v>10</v>
          </cell>
          <cell r="L1100">
            <v>0</v>
          </cell>
          <cell r="M1100">
            <v>0</v>
          </cell>
        </row>
        <row r="1101">
          <cell r="A1101" t="str">
            <v>B07515LVGV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CA084-H1-S</v>
          </cell>
          <cell r="B1102">
            <v>6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CA084-H1-XL</v>
          </cell>
          <cell r="B1103">
            <v>22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CA084-H1-XXL</v>
          </cell>
          <cell r="B1104">
            <v>14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CA084-H10-M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CA084-H12-L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CA084-H12-M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CA084-H12-S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CA084-H12-XL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CA084-H12-XXL</v>
          </cell>
          <cell r="B1110">
            <v>5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CA084-H15-M</v>
          </cell>
          <cell r="B1111">
            <v>25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CA084-H15-XL</v>
          </cell>
          <cell r="B1112">
            <v>76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CA084-H15-XXL</v>
          </cell>
          <cell r="B1113">
            <v>31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CA084-H16-L</v>
          </cell>
          <cell r="B1114">
            <v>37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CA084-H16-M</v>
          </cell>
          <cell r="B1115">
            <v>13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CA084-H16-S</v>
          </cell>
          <cell r="B1116">
            <v>7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CA084-H16-XXL</v>
          </cell>
          <cell r="B1117">
            <v>49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CA084-H2-L</v>
          </cell>
          <cell r="B1118">
            <v>4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CA084-H2-M</v>
          </cell>
          <cell r="B1119">
            <v>20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CA084-H2-S</v>
          </cell>
          <cell r="B1120">
            <v>6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CA084-H2-XL</v>
          </cell>
          <cell r="B1121">
            <v>32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CA084-H2-XXL</v>
          </cell>
          <cell r="B1122">
            <v>17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CA084-H3-L</v>
          </cell>
          <cell r="B1123">
            <v>28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CA084-H3-S</v>
          </cell>
          <cell r="B1124">
            <v>9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CA084-H3-XL</v>
          </cell>
          <cell r="B1125">
            <v>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CA084-H3-XXL</v>
          </cell>
          <cell r="B1126">
            <v>5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CA084-H4-S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CA084-H4-XL</v>
          </cell>
          <cell r="B1128">
            <v>35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CA084-H4-XXL</v>
          </cell>
          <cell r="B1129">
            <v>47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CA084-H6-L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CA084-H6-M</v>
          </cell>
          <cell r="B1131">
            <v>3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CA084-H6-S</v>
          </cell>
          <cell r="B1132">
            <v>3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CA084-H6-XXL</v>
          </cell>
          <cell r="B1133">
            <v>8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CA171-G912-M</v>
          </cell>
          <cell r="B1134">
            <v>32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CA171-G912-S</v>
          </cell>
          <cell r="B1135">
            <v>38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CA171-LB916-L</v>
          </cell>
          <cell r="B1136">
            <v>18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CA171-LB916-S</v>
          </cell>
          <cell r="B1137">
            <v>38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CA171-LB916-XL</v>
          </cell>
          <cell r="B1138">
            <v>38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CA171-LB916-XXL</v>
          </cell>
          <cell r="B1139">
            <v>58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CA171-LG907-M</v>
          </cell>
          <cell r="B1140">
            <v>2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CA171-LG907-S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CA171-LG907-XL</v>
          </cell>
          <cell r="B1142">
            <v>5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CA171-LG907-XXL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CA171-PI908-L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CA171-PI908-S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CA171-PI908-XL</v>
          </cell>
          <cell r="B1146">
            <v>3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CA171-Sa911-L</v>
          </cell>
          <cell r="B1147">
            <v>43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CA171-Sa911-XL</v>
          </cell>
          <cell r="B1148">
            <v>44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CA171-W902-L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CA171-W902-M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CA171-W902-XL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CA171-W902-XXL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CA171-WR917-M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CA171-WR917-S</v>
          </cell>
          <cell r="B1154">
            <v>7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CA171-ZL918-M</v>
          </cell>
          <cell r="B1155">
            <v>30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CFY-M1798-RD-L</v>
          </cell>
          <cell r="B1156">
            <v>0</v>
          </cell>
          <cell r="C1156">
            <v>1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CFY-M1830-LB-M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CFY-M1830-LB-XXL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CFY-M1830-RD-L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CFY-W1798-BL-XL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CFY-W1798-RD-L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CFY-W1830-BK-XL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CFY-W1830-PP-L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CFY-W1830-PP-XL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CFY-W1830-RD-L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CFY-W1830-RR-L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CS-2LHY171-ZL918-XL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CS-BBS003-B0-XL</v>
          </cell>
          <cell r="B1168">
            <v>24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CS-BBS003-B0-XXL</v>
          </cell>
          <cell r="B1169">
            <v>7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CS-BBS003-BK-M</v>
          </cell>
          <cell r="B1170">
            <v>17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CS-BBS003-BK-XL</v>
          </cell>
          <cell r="B1171">
            <v>13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CS-BBS003-LB-M</v>
          </cell>
          <cell r="B1172">
            <v>5</v>
          </cell>
          <cell r="C1172">
            <v>1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CS-BBS003-LB-XL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CS-BBS003-LB-XXL</v>
          </cell>
          <cell r="B1174">
            <v>20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CS-BBS003-NB-L</v>
          </cell>
          <cell r="B1175">
            <v>3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CS-BBS003-NB-M</v>
          </cell>
          <cell r="B1176">
            <v>15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CS-BBS003-NB-XL</v>
          </cell>
          <cell r="B1177">
            <v>34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CS-BBS003-NB-XXL</v>
          </cell>
          <cell r="B1178">
            <v>22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CS-BBS016-B0-L</v>
          </cell>
          <cell r="B1179">
            <v>4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CS-BBS016-B0-M</v>
          </cell>
          <cell r="B1180">
            <v>3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CS-BBS016-B0-XL</v>
          </cell>
          <cell r="B1181">
            <v>2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CS-BBS016-BK-M</v>
          </cell>
          <cell r="B1182">
            <v>2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CS-BBS016-LB-L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CS-BBS016-LB-M</v>
          </cell>
          <cell r="B1184">
            <v>12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CS-BBS016-LB-S</v>
          </cell>
          <cell r="B1185">
            <v>2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CS-BBS016-LB-XL</v>
          </cell>
          <cell r="B1186">
            <v>9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CS-BBS016-LB-XXL</v>
          </cell>
          <cell r="B1187">
            <v>4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CS-BBS016-NB-L</v>
          </cell>
          <cell r="B1188">
            <v>7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CS-BBS016-NB-M</v>
          </cell>
          <cell r="B1189">
            <v>9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CS-BBS016-NB-XL</v>
          </cell>
          <cell r="B1190">
            <v>9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CS-BBS016-NB-XXL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CS-BBS030-BK-XXL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CS-BBS030-BL-S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CS-BBS030-GR-S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CS-BBS030-GR-XXL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CS-BBS030-WT-S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CS-BBS030-YL-L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CS-BBS030-YL-M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CS-BBS030-YL-S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CS-BBS030-YL-XL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CS-BBS030-YL-XXL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CS-BS003-BK-XXL</v>
          </cell>
          <cell r="B1202">
            <v>23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CS-BS003-LB-XL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CS-BS016-B0-XXL</v>
          </cell>
          <cell r="B1204">
            <v>1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CS-BS016-BK-XL</v>
          </cell>
          <cell r="B1205">
            <v>18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CS-BS016-LB-L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CS-BS016-NB-XXL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CS-BS032-BL-L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CS-BS032-BL-M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CS-BS032-BL-S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CS-BS032-BL-XL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CS-BS032-BL-XXL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CS-BS032-GN1-L</v>
          </cell>
          <cell r="B1213">
            <v>1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CS-BS032-GN1-M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CS-BS032-GN1-S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CS-BS032-GN1-XL</v>
          </cell>
          <cell r="B1216">
            <v>2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CS-BS032-GN1-XXL</v>
          </cell>
          <cell r="B1217">
            <v>1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CS-BS032-GN2-M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CS-BS032-GN2-S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CS-BS032-GN2-XL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CS-BS032-GN2-XXL</v>
          </cell>
          <cell r="B1221">
            <v>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CS-BS032-NB-M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CS-BS032-NB-S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CS-BS032-NB-XL</v>
          </cell>
          <cell r="B1224">
            <v>10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CS-BS032-NB-XXL</v>
          </cell>
          <cell r="B1225">
            <v>6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CS-BS032-RD-L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CS-BS032-RD-M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CS-BS032-RD-S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CS-BS032-YL-L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CS-BS032-YL-M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CS-BS032-YL-S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CS-BS032-YL-XL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CS-BS032-YL-XXL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CS-BULHY032-NB-XXL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CS-BUSB031-GN1-XXL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CS-BUSB031-GN2-L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CS-BUSB031-YL1-S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CS-BUSB031-YL1-XL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CS-BUSB031LHY-GN1-L</v>
          </cell>
          <cell r="B1239">
            <v>0</v>
          </cell>
          <cell r="C1239">
            <v>0</v>
          </cell>
          <cell r="D1239">
            <v>20</v>
          </cell>
          <cell r="E1239">
            <v>0</v>
          </cell>
          <cell r="F1239">
            <v>20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CS-BUSB031LHY-GN1-M</v>
          </cell>
          <cell r="B1240">
            <v>0</v>
          </cell>
          <cell r="C1240">
            <v>0</v>
          </cell>
          <cell r="D1240">
            <v>10</v>
          </cell>
          <cell r="E1240">
            <v>0</v>
          </cell>
          <cell r="F1240">
            <v>10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CS-BUSB031LHY-GN1-S</v>
          </cell>
          <cell r="B1241">
            <v>0</v>
          </cell>
          <cell r="C1241">
            <v>0</v>
          </cell>
          <cell r="D1241">
            <v>5</v>
          </cell>
          <cell r="E1241">
            <v>0</v>
          </cell>
          <cell r="F1241">
            <v>5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CS-BUSB031LHY-GN1-XL</v>
          </cell>
          <cell r="B1242">
            <v>0</v>
          </cell>
          <cell r="C1242">
            <v>0</v>
          </cell>
          <cell r="D1242">
            <v>25</v>
          </cell>
          <cell r="E1242">
            <v>0</v>
          </cell>
          <cell r="F1242">
            <v>25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CS-BUSB031LHY-GN2-M</v>
          </cell>
          <cell r="B1243">
            <v>0</v>
          </cell>
          <cell r="C1243">
            <v>0</v>
          </cell>
          <cell r="D1243">
            <v>8</v>
          </cell>
          <cell r="E1243">
            <v>0</v>
          </cell>
          <cell r="F1243">
            <v>8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CS-BUSB031LHY-GN2-S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CS-BUSB031LHY-GN3-L</v>
          </cell>
          <cell r="B1245">
            <v>0</v>
          </cell>
          <cell r="C1245">
            <v>0</v>
          </cell>
          <cell r="D1245">
            <v>10</v>
          </cell>
          <cell r="E1245">
            <v>0</v>
          </cell>
          <cell r="F1245">
            <v>10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CS-BUSB031LHY-GN3-M</v>
          </cell>
          <cell r="B1246">
            <v>0</v>
          </cell>
          <cell r="C1246">
            <v>0</v>
          </cell>
          <cell r="D1246">
            <v>10</v>
          </cell>
          <cell r="E1246">
            <v>0</v>
          </cell>
          <cell r="F1246">
            <v>10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CS-BUSB031LHY-GN3-S</v>
          </cell>
          <cell r="B1247">
            <v>0</v>
          </cell>
          <cell r="C1247">
            <v>0</v>
          </cell>
          <cell r="D1247">
            <v>5</v>
          </cell>
          <cell r="E1247">
            <v>0</v>
          </cell>
          <cell r="F1247">
            <v>5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CS-BUSB031LHY-GN3-XL</v>
          </cell>
          <cell r="B1248">
            <v>0</v>
          </cell>
          <cell r="C1248">
            <v>0</v>
          </cell>
          <cell r="D1248">
            <v>10</v>
          </cell>
          <cell r="E1248">
            <v>0</v>
          </cell>
          <cell r="F1248">
            <v>10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CS-BUSB031LHY-GN3-XXL</v>
          </cell>
          <cell r="B1249">
            <v>0</v>
          </cell>
          <cell r="C1249">
            <v>0</v>
          </cell>
          <cell r="D1249">
            <v>10</v>
          </cell>
          <cell r="E1249">
            <v>0</v>
          </cell>
          <cell r="F1249">
            <v>10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CS-BUSB031LHY-RD1-L</v>
          </cell>
          <cell r="B1250">
            <v>0</v>
          </cell>
          <cell r="C1250">
            <v>0</v>
          </cell>
          <cell r="D1250">
            <v>20</v>
          </cell>
          <cell r="E1250">
            <v>0</v>
          </cell>
          <cell r="F1250">
            <v>20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CS-BUSB031LHY-RD1-M</v>
          </cell>
          <cell r="B1251">
            <v>0</v>
          </cell>
          <cell r="C1251">
            <v>0</v>
          </cell>
          <cell r="D1251">
            <v>10</v>
          </cell>
          <cell r="E1251">
            <v>0</v>
          </cell>
          <cell r="F1251">
            <v>10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CS-BUSB031LHY-RD1-S</v>
          </cell>
          <cell r="B1252">
            <v>0</v>
          </cell>
          <cell r="C1252">
            <v>0</v>
          </cell>
          <cell r="D1252">
            <v>2</v>
          </cell>
          <cell r="E1252">
            <v>0</v>
          </cell>
          <cell r="F1252">
            <v>2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CS-BUSB031LHY-RD1-XL</v>
          </cell>
          <cell r="B1253">
            <v>0</v>
          </cell>
          <cell r="C1253">
            <v>0</v>
          </cell>
          <cell r="D1253">
            <v>20</v>
          </cell>
          <cell r="E1253">
            <v>0</v>
          </cell>
          <cell r="F1253">
            <v>20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CS-BUSB031LHY-RD1-XXL</v>
          </cell>
          <cell r="B1254">
            <v>0</v>
          </cell>
          <cell r="C1254">
            <v>0</v>
          </cell>
          <cell r="D1254">
            <v>15</v>
          </cell>
          <cell r="E1254">
            <v>0</v>
          </cell>
          <cell r="F1254">
            <v>15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CS-BUSB031LHY-RD2-L</v>
          </cell>
          <cell r="B1255">
            <v>0</v>
          </cell>
          <cell r="C1255">
            <v>0</v>
          </cell>
          <cell r="D1255">
            <v>15</v>
          </cell>
          <cell r="E1255">
            <v>0</v>
          </cell>
          <cell r="F1255">
            <v>15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CS-BUSB031LHY-RD2-M</v>
          </cell>
          <cell r="B1256">
            <v>0</v>
          </cell>
          <cell r="C1256">
            <v>0</v>
          </cell>
          <cell r="D1256">
            <v>10</v>
          </cell>
          <cell r="E1256">
            <v>0</v>
          </cell>
          <cell r="F1256">
            <v>10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CS-BUSB031LHY-RD2-S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CS-BUSB031LHY-RD2-XL</v>
          </cell>
          <cell r="B1258">
            <v>0</v>
          </cell>
          <cell r="C1258">
            <v>0</v>
          </cell>
          <cell r="D1258">
            <v>10</v>
          </cell>
          <cell r="E1258">
            <v>0</v>
          </cell>
          <cell r="F1258">
            <v>10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CS-BUSB031LHY-RD2-XXL</v>
          </cell>
          <cell r="B1259">
            <v>0</v>
          </cell>
          <cell r="C1259">
            <v>0</v>
          </cell>
          <cell r="D1259">
            <v>10</v>
          </cell>
          <cell r="E1259">
            <v>0</v>
          </cell>
          <cell r="F1259">
            <v>10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CS-BUSB031LHY-YL1-L</v>
          </cell>
          <cell r="B1260">
            <v>0</v>
          </cell>
          <cell r="C1260">
            <v>0</v>
          </cell>
          <cell r="D1260">
            <v>12</v>
          </cell>
          <cell r="E1260">
            <v>0</v>
          </cell>
          <cell r="F1260">
            <v>12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CS-BUSB031LHY-YL1-S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CS-BUSB031LHY-YL2-L</v>
          </cell>
          <cell r="B1262">
            <v>0</v>
          </cell>
          <cell r="C1262">
            <v>0</v>
          </cell>
          <cell r="D1262">
            <v>10</v>
          </cell>
          <cell r="E1262">
            <v>0</v>
          </cell>
          <cell r="F1262">
            <v>10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CS-BUSB031LHY-YL2-M</v>
          </cell>
          <cell r="B1263">
            <v>0</v>
          </cell>
          <cell r="C1263">
            <v>0</v>
          </cell>
          <cell r="D1263">
            <v>10</v>
          </cell>
          <cell r="E1263">
            <v>0</v>
          </cell>
          <cell r="F1263">
            <v>10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CS-BUSB031LHY-YL2-S</v>
          </cell>
          <cell r="B1264">
            <v>0</v>
          </cell>
          <cell r="C1264">
            <v>0</v>
          </cell>
          <cell r="D1264">
            <v>5</v>
          </cell>
          <cell r="E1264">
            <v>0</v>
          </cell>
          <cell r="F1264">
            <v>5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CS-BUSB031LHY-YL2-XL</v>
          </cell>
          <cell r="B1265">
            <v>0</v>
          </cell>
          <cell r="C1265">
            <v>0</v>
          </cell>
          <cell r="D1265">
            <v>10</v>
          </cell>
          <cell r="E1265">
            <v>0</v>
          </cell>
          <cell r="F1265">
            <v>10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CS-BUSB031LHY-YL2-XXL</v>
          </cell>
          <cell r="B1266">
            <v>0</v>
          </cell>
          <cell r="C1266">
            <v>0</v>
          </cell>
          <cell r="D1266">
            <v>10</v>
          </cell>
          <cell r="E1266">
            <v>0</v>
          </cell>
          <cell r="F1266">
            <v>10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CS-BUSB032-BL-L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CS-BUSB032-BL-M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CS-BUSB032-BL-S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CS-BUSB032-BL-XXL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CS-BUSB032-GN1-S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CS-BUSB032-GN2-M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CS-BUSB032-GN2-S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CS-BUSB032-NB-L</v>
          </cell>
          <cell r="B1274">
            <v>6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CS-BUSB032-NB-S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CS-BUSB032-RD-S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CS-BUSB032-YL-M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CS-BUSB032-YL-S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CS-BUSB032-YL-XL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CS-BUSB032-YL-XXL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CS-CA031-GN1-L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CS-CA031-GN1-M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CS-CA031-GN1-S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CS-CA031-GN1-XL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CS-CA031-GN1-XXL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CS-CA031-GN2-L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CS-CA031-GN2-M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CS-CA031-GN2-S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CS-CA031-GN2-XL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CS-CA031-GN2-XXL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CS-CA031-GN3-L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CS-CA031-GN3-M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CS-CA031-GN3-S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CS-CA031-GN3-XL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CS-CA031-GN3-XXL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CS-CA031-RD1-L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CS-CA031-RD1-M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CS-CA031-RD1-S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CS-CA031-RD1-XL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CS-CA031-RD1-XXL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CS-CA031-RD2-L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CS-CA031-RD2-M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CS-CA031-RD2-S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CS-CA031-RD2-XL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CS-CA031-RD2-XXL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CS-CA031-YL1-L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CS-CA031-YL1-M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CS-CA031-YL1-S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CS-CA031-YL1-XL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CS-CA031-YL1-XXL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CS-CA031-YL2-L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CS-CA031-YL2-M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CS-CA031-YL2-S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CS-CA031-YL2-XL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CS-CA031-YL2-XXL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CS-CA170-G912-L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CS-CA170-G912-M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CS-CA170-G912-S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CS-CA170-G912-XL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CS-CA170-G912-XXL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CS-CA170-LB916-L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CS-CA170-LB916-M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CS-CA170-LB916-S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CS-CA170-LB916-XL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CS-CA170-LB916-XXL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CS-CA170-LG907-L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CS-CA170-LG907-M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CS-CA170-LG907-S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CS-CA170-LG907-XL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CS-CA170-LG907-XXL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CS-CA170-PI908-L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CS-CA170-PI908-M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CS-CA170-PI908-S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CS-CA170-PI908-XL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CS-CA170-PI908-XXL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CS-CA170-Sa911-L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CS-CA170-Sa911-M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CS-CA170-Sa911-S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CS-CA170-Sa911-XL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CS-CA170-Sa911-XXL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CS-CA170-W902-L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CS-CA170-W902-M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CS-CA170-W902-S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CS-CA170-W902-XL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CS-CA170-W902-XXL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CS-CA170-WR917-L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CS-CA170-WR917-M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CS-CA170-WR917-S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CS-CA170-WR917-XL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CS-CA170-WR917-XXL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CS-CA170-ZL918-L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CS-CA170-ZL918-M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CS-CA170-ZL918-S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CS-CA170-ZL918-XL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CS-CA170-ZL918-XXL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CS-CA181-G912-L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CS-CA181-G912-M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CS-CA181-G912-XL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CS-CA181-G912-XXL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CS-CA181-LG907-L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CS-CA181-LG907-M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CS-CA181-LG907-S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CS-CA181-LG907-XL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CS-CA181-LG907-XXL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CS-CA181-W902-L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CS-CA181-W902-M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CS-CA181-W902-S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CS-CA181-W902-XL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CS-CA181-W902-XXL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CS-CA181-WR917-L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CS-CA181-WR917-XL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CS-CA181-WR917-XXL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CS-CA181-ZL918-L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CS-CA181-ZL918-M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CS-CA181-ZL918-S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CS-CA181-ZL918-XL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CS-CA181-ZL918-XXL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CS-LHY002-BK-2XL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CS-LHY002-BK-L</v>
          </cell>
          <cell r="B1379">
            <v>0</v>
          </cell>
          <cell r="C1379">
            <v>0</v>
          </cell>
          <cell r="D1379">
            <v>4</v>
          </cell>
          <cell r="E1379">
            <v>0</v>
          </cell>
          <cell r="F1379">
            <v>4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CS-LHY002-BK-M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CS-LHY002-BK-S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CS-LHY002-BK-XL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CS-LHY002-BL-L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CS-LHY002-BL-M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CS-LHY002-BL-S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CS-LHY002-BL-XL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CS-LHY002-BL-XXL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CS-LHY002-BLNGN-2XL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CS-LHY002-BLNGN-L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CS-LHY002-BLNGN-M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CS-LHY002-BLNGN-S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CS-LHY002-BLNGN-XL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CS-LHY002-CF-L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CS-LHY002-CF-M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CS-LHY002-CF-S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CS-LHY002-CF-XL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CS-LHY002-CF-XXL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CS-LHY002-LB-2XL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CS-LHY002-LB-L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CS-LHY002-LB-M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CS-LHY002-LB-S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CS-LHY002-LB-XL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CS-LHY002-RD-2XL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CS-LHY002-RD-L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CS-LHY002-RD-M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CS-LHY002-RD-S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CS-LHY002-RD-XL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CS-LHY002-RNBL-2XL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CS-LHY002-RNBL-L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CS-LHY002-RNBL-M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CS-LHY002-RNBL-S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CS-LHY002-RNBL-XL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CS-LHY003-B0-L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CS-LHY003-B0-M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CS-LHY003-B0-S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CS-LHY003-B0-XL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CS-LHY003-B0-XXL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CS-LHY003-BL-XXL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CS-LHY003-LB-L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CS-LHY003-LB-XXL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CS-LHY003-NB-L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CS-LHY003-NB-M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CS-LHY003-NB-S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CS-LHY003-NB-XL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CS-LHY003-NB-XXL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CS-LHY005-BK-2XL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CS-LHY005-BK-L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CS-LHY005-BK-M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CS-LHY005-BK-S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CS-LHY005-BK-XL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CS-LHY005-BL1-2XL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CS-LHY005-BL1-L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CS-LHY005-BL1-M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CS-LHY005-BL1-S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CS-LHY005-BL1-XL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CS-LHY005-BL2-2XL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CS-LHY005-BL2-L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CS-LHY005-BL2-M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CS-LHY005-BL2-S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CS-LHY005-BL2-XL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CS-LHY005-GN-2XL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CS-LHY005-GN-L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CS-LHY005-GN-M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CS-LHY005-GN-S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CS-LHY005-GN-XL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CS-LHY005-RD-2XL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CS-LHY005-RD-L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CS-LHY005-RD-M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CS-LHY005-RD-S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CS-LHY005-RD-XL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CS-LHY005-RD1-2XL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CS-LHY005-RD1-L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CS-LHY005-RD1-M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CS-LHY005-RD1-S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CS-LHY005-RD1-XL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CS-LHY005-YL-2XL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CS-LHY005-YL-L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CS-LHY005-YL-M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CS-LHY005-YL-S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CS-LHY005-YL-XL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CS-LHY006-BK-2XL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CS-LHY006-BK-L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CS-LHY006-BK-M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CS-LHY006-BK-S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CS-LHY006-BK-XL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CS-LHY006-BL-2XL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CS-LHY006-BL-L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CS-LHY006-BL-M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CS-LHY006-BL-S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CS-LHY006-BL-XL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CS-LHY006-BL2-2XL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CS-LHY006-BL2-L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CS-LHY006-BL2-M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CS-LHY006-BL2-S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CS-LHY006-BL2-XL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CS-LHY006-CF-2XL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CS-LHY006-CF-L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CS-LHY006-CF-M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CS-LHY006-CF-S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CS-LHY006-CF-XL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CS-LHY006-GN-2XL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CS-LHY006-GN-L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CS-LHY006-GN-M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CS-LHY006-GN-S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CS-LHY006-GN-XL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CS-LHY006-RD1-2XL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CS-LHY006-RD1-L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CS-LHY006-RD1-M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CS-LHY006-RD1-S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CS-LHY006-RD1-XL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CS-LHY006-RD2-2XL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CS-LHY006-RD2-L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CS-LHY006-RD2-M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CS-LHY006-RD2-S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CS-LHY006-RD2-XL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CS-LHY007-BL-L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CS-LHY007-BL-M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CS-LHY007-BL-S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CS-LHY007-BL-XL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CS-LHY007-BL-XXL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CS-LHY007-GR-L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CS-LHY007-GR-M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CS-LHY007-GR-S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CS-LHY007-GR-XL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CS-LHY007-GR-XXL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CS-LHY007-LB-L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CS-LHY007-LB-M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CS-LHY007-LB-S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CS-LHY007-LB-XL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CS-LHY007-LB-XXL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CS-LHY007-LG-L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CS-LHY007-LG-M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CS-LHY007-LG-S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CS-LHY007-LG-XL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CS-LHY007-LG-XXL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CS-LHY007-LP-L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CS-LHY007-LP-M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CS-LHY007-LP-XXL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CS-LHY007-PP-L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CS-LHY007-PP-M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CS-LHY007-PP-S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CS-LHY007-PP-XL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CS-LHY007-PP-XXL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CS-LHY009-BK-S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CS-LHY009-BL-M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CS-LHY009-BL-S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CS-LHY009-BL-XL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CS-LHY009-BL-XXL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CS-LHY009-CF-M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CS-LHY009-CF-S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CS-LHY009-GN-S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CS-LHY009-LB-L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CS-LHY009-LB-M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CS-LHY009-LB-S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CS-LHY009-LB-XL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CS-LHY009-LB1-XL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CS-LHY009-RD-S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CS-LHY009-RD-XXL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CS-LHY009-RDNY-L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CS-LHY009-RDNY-M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CS-LHY009-RDNY-S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CS-LHY009-RDNY-XL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CS-LHY009-YL-L</v>
          </cell>
          <cell r="B1543">
            <v>0</v>
          </cell>
          <cell r="C1543">
            <v>0</v>
          </cell>
          <cell r="D1543">
            <v>2</v>
          </cell>
          <cell r="E1543">
            <v>0</v>
          </cell>
          <cell r="F1543">
            <v>2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CS-LHY009-YL-M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CS-LHY009-YL-S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CS-LHY009-YL-XL</v>
          </cell>
          <cell r="B1546">
            <v>0</v>
          </cell>
          <cell r="C1546">
            <v>0</v>
          </cell>
          <cell r="D1546">
            <v>5</v>
          </cell>
          <cell r="E1546">
            <v>0</v>
          </cell>
          <cell r="F1546">
            <v>5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CS-LHY009-YL-XXL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CS-LHY016-B0-L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CS-LHY016-B0-M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CS-LHY016-B0-S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CS-LHY016-B0-XL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CS-LHY016-B0-XXL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CS-LHY016-BK-L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CS-LHY016-BK-M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CS-LHY016-BK-S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CS-LHY016-BK-XL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CS-LHY016-BK-XXL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CS-LHY016-LB-L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CS-LHY016-LB-M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CS-LHY016-LB-XL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CS-LHY016-NB-L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CS-LHY016-NB-M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CS-LHY016-NB-S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CS-LHY016-NB-XL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CS-LHY016-NB-XXL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CS-LHY030-YL-XXL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CS-LHY032-RD-M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CS-LHY032-RD-XXL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CS-LHY032-YL-M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CS-LHY032-YL-S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CS-LHY032-YL-XXL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CS-LHY084-H1-L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CS-LHY084-H1-M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CS-LHY084-H1-S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CS-LHY084-H1-XL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CS-LHY084-H1-XXL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CS-LHY084-H10-L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CS-LHY084-H10-M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CS-LHY084-H10-S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CS-LHY084-H10-XL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CS-LHY084-H10-XXL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CS-LHY084-H12-L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CS-LHY084-H12-M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CS-LHY084-H12-S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CS-LHY084-H12-XL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CS-LHY084-H15-L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CS-LHY084-H15-M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CS-LHY084-H15-S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CS-LHY084-H15-XL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CS-LHY084-H15-XXL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CS-LHY084-H16-L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CS-LHY084-H16-M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CS-LHY084-H16-S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CS-LHY084-H16-XL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CS-LHY084-H16-XXL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CS-LHY084-H2-L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CS-LHY084-H2-M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CS-LHY084-H2-S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CS-LHY084-H2-XL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CS-LHY084-H2-XXL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CS-LHY084-H3-L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CS-LHY084-H3-M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CS-LHY084-H3-S</v>
          </cell>
          <cell r="B1603">
            <v>0</v>
          </cell>
          <cell r="C1603">
            <v>0</v>
          </cell>
          <cell r="D1603">
            <v>1</v>
          </cell>
          <cell r="E1603">
            <v>0</v>
          </cell>
          <cell r="F1603">
            <v>1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CS-LHY084-H3-XL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CS-LHY084-H3-XXL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CS-LHY084-H4-L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CS-LHY084-H4-M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CS-LHY084-H4-S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CS-LHY084-H4-XL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CS-LHY084-H4-XXL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CS-LHY084-H6-L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CS-LHY084-H6-M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CS-LHY084-H6-S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CS-LHY084-H6-XL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CS-LHY084-H6-XXL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CS-LHY086-B0-L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CS-LHY086-B0-M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CS-LHY086-B0-S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CS-LHY086-B0-XL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CS-LHY086-B0-XXL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CS-LHY166-B28-1-L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CS-LHY166-B28-1-M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CS-LHY166-B28-1-S</v>
          </cell>
          <cell r="B1623">
            <v>0</v>
          </cell>
          <cell r="C1623">
            <v>0</v>
          </cell>
          <cell r="D1623">
            <v>10</v>
          </cell>
          <cell r="E1623">
            <v>0</v>
          </cell>
          <cell r="F1623">
            <v>10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CS-LHY166-B28-1-XL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CS-LHY166-B28-1-XXL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CS-LHY166-B28-3-L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CS-LHY166-B28-3-M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CS-LHY166-B28-3-S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CS-LHY166-B28-3-XL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CS-LHY166-B28-3-XXL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CS-LHY166-B28-4-L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CS-LHY166-B28-4-M</v>
          </cell>
          <cell r="B1632">
            <v>0</v>
          </cell>
          <cell r="C1632">
            <v>0</v>
          </cell>
          <cell r="D1632">
            <v>7</v>
          </cell>
          <cell r="E1632">
            <v>0</v>
          </cell>
          <cell r="F1632">
            <v>7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CS-LHY166-B28-4-S</v>
          </cell>
          <cell r="B1633">
            <v>0</v>
          </cell>
          <cell r="C1633">
            <v>0</v>
          </cell>
          <cell r="D1633">
            <v>9</v>
          </cell>
          <cell r="E1633">
            <v>0</v>
          </cell>
          <cell r="F1633">
            <v>9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CS-LHY166-B28-4-XL</v>
          </cell>
          <cell r="B1634">
            <v>0</v>
          </cell>
          <cell r="C1634">
            <v>0</v>
          </cell>
          <cell r="D1634">
            <v>12</v>
          </cell>
          <cell r="E1634">
            <v>0</v>
          </cell>
          <cell r="F1634">
            <v>12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CS-LHY166-B28-4-XXL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CS-LHY166-B28-5-L</v>
          </cell>
          <cell r="B1636">
            <v>0</v>
          </cell>
          <cell r="C1636">
            <v>0</v>
          </cell>
          <cell r="D1636">
            <v>1</v>
          </cell>
          <cell r="E1636">
            <v>0</v>
          </cell>
          <cell r="F1636">
            <v>1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CS-LHY166-B28-5-M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CS-LHY166-B28-5-S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CS-LHY166-B28-5-XL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CS-LHY166-B28-5-XXL</v>
          </cell>
          <cell r="B1640">
            <v>0</v>
          </cell>
          <cell r="C1640">
            <v>0</v>
          </cell>
          <cell r="D1640">
            <v>7</v>
          </cell>
          <cell r="E1640">
            <v>0</v>
          </cell>
          <cell r="F1640">
            <v>7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CS-LHY166-K33-1-L</v>
          </cell>
          <cell r="B1641">
            <v>0</v>
          </cell>
          <cell r="C1641">
            <v>0</v>
          </cell>
          <cell r="D1641">
            <v>2</v>
          </cell>
          <cell r="E1641">
            <v>0</v>
          </cell>
          <cell r="F1641">
            <v>2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CS-LHY166-K33-1-M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CS-LHY166-K33-1-S</v>
          </cell>
          <cell r="B1643">
            <v>0</v>
          </cell>
          <cell r="C1643">
            <v>0</v>
          </cell>
          <cell r="D1643">
            <v>10</v>
          </cell>
          <cell r="E1643">
            <v>0</v>
          </cell>
          <cell r="F1643">
            <v>10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CS-LHY166-K33-1-XL</v>
          </cell>
          <cell r="B1644">
            <v>0</v>
          </cell>
          <cell r="C1644">
            <v>0</v>
          </cell>
          <cell r="D1644">
            <v>24</v>
          </cell>
          <cell r="E1644">
            <v>0</v>
          </cell>
          <cell r="F1644">
            <v>24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CS-LHY166-K33-1-XXL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CS-LHY166-K33-2-L</v>
          </cell>
          <cell r="B1646">
            <v>0</v>
          </cell>
          <cell r="C1646">
            <v>0</v>
          </cell>
          <cell r="D1646">
            <v>7</v>
          </cell>
          <cell r="E1646">
            <v>0</v>
          </cell>
          <cell r="F1646">
            <v>7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CS-LHY166-K33-2-M</v>
          </cell>
          <cell r="B1647">
            <v>0</v>
          </cell>
          <cell r="C1647">
            <v>0</v>
          </cell>
          <cell r="D1647">
            <v>14</v>
          </cell>
          <cell r="E1647">
            <v>0</v>
          </cell>
          <cell r="F1647">
            <v>14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CS-LHY166-K33-2-S</v>
          </cell>
          <cell r="B1648">
            <v>0</v>
          </cell>
          <cell r="C1648">
            <v>0</v>
          </cell>
          <cell r="D1648">
            <v>14</v>
          </cell>
          <cell r="E1648">
            <v>0</v>
          </cell>
          <cell r="F1648">
            <v>14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CS-LHY166-K33-4-L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CS-LHY166-K33-4-M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CS-LHY166-K33-4-S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CS-LHY166-K33-4-XL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CS-LHY166-K33-4-XXL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CS-LHY166-K73-1-L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CS-LHY166-K73-1-M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CS-LHY166-K73-1-S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CS-LHY166-K73-1-XL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CS-LHY166-K73-1-XXL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CS-LHY166-K73-2-L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CS-LHY166-K73-2-M</v>
          </cell>
          <cell r="B1660">
            <v>0</v>
          </cell>
          <cell r="C1660">
            <v>0</v>
          </cell>
          <cell r="D1660">
            <v>13</v>
          </cell>
          <cell r="E1660">
            <v>0</v>
          </cell>
          <cell r="F1660">
            <v>13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CS-LHY166-K73-2-XL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CS-LHY166-K73-2-XXL</v>
          </cell>
          <cell r="B1662">
            <v>0</v>
          </cell>
          <cell r="C1662">
            <v>0</v>
          </cell>
          <cell r="D1662">
            <v>4</v>
          </cell>
          <cell r="E1662">
            <v>0</v>
          </cell>
          <cell r="F1662">
            <v>4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CS-LHY170-BLK-S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CS-LHY170-BLK-XL</v>
          </cell>
          <cell r="B1664">
            <v>0</v>
          </cell>
          <cell r="C1664">
            <v>1</v>
          </cell>
          <cell r="D1664">
            <v>10</v>
          </cell>
          <cell r="E1664">
            <v>0</v>
          </cell>
          <cell r="F1664">
            <v>10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CS-LHY170-BLK-XXL</v>
          </cell>
          <cell r="B1665">
            <v>0</v>
          </cell>
          <cell r="C1665">
            <v>0</v>
          </cell>
          <cell r="D1665">
            <v>10</v>
          </cell>
          <cell r="E1665">
            <v>0</v>
          </cell>
          <cell r="F1665">
            <v>10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CS-LHY170-G912-M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CS-LHY170-G912-S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CS-LHY170-G912-XXL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CS-LHY170-LB916-M</v>
          </cell>
          <cell r="B1669">
            <v>0</v>
          </cell>
          <cell r="C1669">
            <v>0</v>
          </cell>
          <cell r="D1669">
            <v>20</v>
          </cell>
          <cell r="E1669">
            <v>0</v>
          </cell>
          <cell r="F1669">
            <v>20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CS-LHY170-LB916-XXL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CS-LHY170-LG907-S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CS-LHY170-PI908-L</v>
          </cell>
          <cell r="B1672">
            <v>0</v>
          </cell>
          <cell r="C1672">
            <v>0</v>
          </cell>
          <cell r="D1672">
            <v>15</v>
          </cell>
          <cell r="E1672">
            <v>0</v>
          </cell>
          <cell r="F1672">
            <v>15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CS-LHY170-PI908-M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CS-LHY170-PI908-S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CS-LHY170-PI908-XL</v>
          </cell>
          <cell r="B1675">
            <v>0</v>
          </cell>
          <cell r="C1675">
            <v>0</v>
          </cell>
          <cell r="D1675">
            <v>20</v>
          </cell>
          <cell r="E1675">
            <v>0</v>
          </cell>
          <cell r="F1675">
            <v>20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CS-LHY170-PI908-XXL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CS-LHY170-Sa911-M</v>
          </cell>
          <cell r="B1677">
            <v>0</v>
          </cell>
          <cell r="C1677">
            <v>0</v>
          </cell>
          <cell r="D1677">
            <v>60</v>
          </cell>
          <cell r="E1677">
            <v>0</v>
          </cell>
          <cell r="F1677">
            <v>60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CS-LHY170-Sa911-XXL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CS-LHY170-W902-S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CS-LHY170-WR917-S</v>
          </cell>
          <cell r="B1680">
            <v>0</v>
          </cell>
          <cell r="C1680">
            <v>0</v>
          </cell>
          <cell r="D1680">
            <v>10</v>
          </cell>
          <cell r="E1680">
            <v>0</v>
          </cell>
          <cell r="F1680">
            <v>10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CS-LHY170-ZL918-S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CS-LHY171-G912-L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CS-LHY171-G912-M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CS-LHY171-G912-S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CS-LHY171-G912-XL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CS-LHY171-G912-XXL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CS-LHY171-LB916-L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CS-LHY171-LB916-M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CS-LHY171-LB916-S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CS-LHY171-LB916-XL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CS-LHY171-LB916-XXL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CS-LHY171-LG907-L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CS-LHY171-LG907-M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CS-LHY171-LG907-S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CS-LHY171-LG907-XL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CS-LHY171-LG907-XXL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CS-LHY171-PI908-L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CS-LHY171-PI908-M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CS-LHY171-PI908-S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CS-LHY171-PI908-XL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CS-LHY171-PI908-XXL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CS-LHY171-W902-L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CS-LHY171-W902-M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CS-LHY171-W902-S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CS-LHY171-W902-XL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CS-LHY171-W902-XXL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CS-LHY171-WR917-L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CS-LHY171-WR917-M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CS-LHY171-WR917-S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CS-LHY171-WR917-XL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CS-LHY171-WR917-XXL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CS-LHY171-ZL918-L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CS-LHY171-ZL918-M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CS-LHY171-ZL918-S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CS-LHY171-ZL918-XL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CS-LHY171-ZL918-XXL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CS-LHY181-G912-L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CS-LHY181-G912-M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CS-LHY181-G912-S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CS-LHY181-G912-XL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CS-LHY181-G912-XXL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CS-LHY181-LB916-L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CS-LHY181-LB916-M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CS-LHY181-LB916-S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CS-LHY181-LB916-XL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CS-LHY181-LB916-XXL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CS-LHY181-LG907-L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CS-LHY181-LG907-M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CS-LHY181-LG907-S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CS-LHY181-LG907-XL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CS-LHY181-LG907-XXL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CS-LHY181-PI908-L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CS-LHY181-PI908-M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CS-LHY181-PI908-S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CS-LHY181-PI908-XL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CS-LHY181-PI908-XXL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CS-LHY181-Sa911-L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CS-LHY181-Sa911-M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CS-LHY181-Sa911-S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CS-LHY181-Sa911-XL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CS-LHY181-Sa911-XXL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CS-LHY181-W902-L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CS-LHY181-W902-M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CS-LHY181-W902-S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CS-LHY181-W902-XL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CS-LHY181-W902-XXL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CS-LHY181-WR917-L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CS-LHY181-WR917-M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CS-LHY181-WR917-S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CS-LHY181-WR917-XL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CS-LHY181-WR917-XXL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CS-LHY181-ZL918-L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CS-LHY181-ZL918-M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CS-LHY181-ZL918-S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CS-LHY181-ZL918-XL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CS-LHY181-ZL918-XXL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CS-LY082-G0-M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CS-LY082-G0-XXL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CS-LY084-H10-M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CS-LY084-H12-L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CS-LY084-H12-S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CS-LY084-H12-XL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CS-LY084-H4-S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CS-LY084-H6-L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CS-LY085-G912-M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CS-LY085-G912-XL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CS-LY085-LG907-L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CS-LY085-LG907-M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CS-LY085-LG907-XL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CS-LY085-LG907-XXL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CS-LY085-R901-L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CS-LY085-R901-S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CS-LY085-Sa911-S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CS-LY085-W902-S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CS-LY085-W902-XXL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CS-LY085-WR917-L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CS-LY085-WR917-M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CS-LY085-WR917-XL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CS-LY085-ZL918-L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CS-LY085-ZL918-XXL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CS-LY086-B0-L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CS-LY086-B0-XL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CS-LY086-LB-L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CS-LY086-LB-S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CS-LY086-LB-XL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CS-LY086-N0-L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CS-LY122-N0-L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CS-LY122-N0-S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CS-LY122-WR-L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CS-LY122-WR-M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CS-LY122-WR-XS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CS-LY166-B28-3-M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CS-LY166-B28-4-S</v>
          </cell>
          <cell r="B1793">
            <v>0</v>
          </cell>
          <cell r="C1793">
            <v>1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CS-LY166-B28-4-XL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CS-LY166-K33-1-M</v>
          </cell>
          <cell r="B1795">
            <v>21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CS-LY166-K33-1-XXL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CS-LY166-K33-2-M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CS-LY166-K33-2-S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CS-LY166-K33-4-XXL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CS-LY166-K73-2-S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CS-LY166-K73-2-XL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CS-LY167-N0-S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CS-LY167-R0-XL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CS-LY167-R0-XXL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CS-LY167-W0-M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CS-LY170-G912-L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CS-LY170-G912-XL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CS-LY170-LB916-L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CS-LY170-LB916-M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CS-LY170-LB916-XXL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CS-LY170-LG907-L</v>
          </cell>
          <cell r="B1811">
            <v>0</v>
          </cell>
          <cell r="C1811">
            <v>1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CS-LY170-LG907-S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CS-LY170-LG907-XXL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CS-LY170-PI908-L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CS-LY170-PI908-XXL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CS-LY170-Sa911-S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CS-LY170-W902-M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CS-LY170-WR917-L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CS-LY170-WR917-XL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CS-LY170-ZL918-L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CS-LY170-ZL918-M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CS-LY170-ZL918-XL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CS-LY171-G912-XXL</v>
          </cell>
          <cell r="B1823">
            <v>15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CS-LY171-LG907-L</v>
          </cell>
          <cell r="B1824">
            <v>0</v>
          </cell>
          <cell r="C1824">
            <v>1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CS-LY171-LG907-S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CS-LY171-LG907-XXL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CS-LY171-PI908-L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CS-LY171-W902-L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CS-LY171-W902-M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CS-LY171-W902-XL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CS-LY171-W902-XXL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CS-LY171-WR917-M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CS-LY171-ZL918-L</v>
          </cell>
          <cell r="B1833">
            <v>5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CS-LY181-G912-L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CS-LY181-LG907-XL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CS-LY181-LG907-XXL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CS-LY181-PI908-L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CS-LY181-PI908-S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CS-LY181-W902-XXL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CS-LY181-WR917-L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CS-LY181-WR917-M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CS-LY181-WR917-S</v>
          </cell>
          <cell r="B1842">
            <v>0</v>
          </cell>
          <cell r="C1842">
            <v>1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CS-LY181-WR917-XXL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CS-LY181-ZL918-XXL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CS-NEW171-G912-L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CS-NEW171-G912-M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CS-NEW171-G912-S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CS-NEW171-G912-XL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CS-NEW171-G912-XXL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CS-NEW171-LB916-L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CS-NEW171-LB916-M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CS-NEW171-LB916-S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CS-NEW171-LB916-XL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CS-NEW171-LB916-XXL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CS-NEW171-LG907-L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CS-NEW171-LG907-M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CS-NEW171-LG907-S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CS-NEW171-LG907-XL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CS-NEW171-LG907-XXL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CS-NEW171-PI908-L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CS-NEW171-PI908-M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CS-NEW171-PI908-S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CS-NEW171-PI908-XL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CS-NEW171-PI908-XXL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CS-NEW171-Sa911-L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CS-NEW171-Sa911-M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CS-NEW171-Sa911-S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CS-NEW171-Sa911-XL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CS-NEW171-Sa911-XXL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CS-NEW171-W902-L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CS-NEW171-W902-M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CS-NEW171-W902-S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CS-NEW171-W902-XL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CS-NEW171-W902-XXL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CS-NEW171-WR917-L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CS-NEW171-WR917-M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CS-NEW171-WR917-S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CS-NEW171-WR917-XL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CS-NEW171-WR917-XXL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CS-NEW171-ZL918-L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CS-NEW171-ZL918-M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CS-NEW171-ZL918-S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CS-NEW171-ZL918-XL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CS-NEW171-ZL918-XXL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CS-NEW181-G912-L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CS-NEW181-G912-M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CS-NEW181-G912-S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CS-NEW181-G912-XL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CS-NEW181-G912-XXL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CS-NEW181-LB916-L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CS-NEW181-LB916-M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CS-NEW181-LB916-S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CS-NEW181-LB916-XL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CS-NEW181-LB916-XXL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CS-NEW181-LG907-L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CS-NEW181-LG907-M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CS-NEW181-LG907-S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CS-NEW181-LG907-XL</v>
          </cell>
          <cell r="B1898">
            <v>0</v>
          </cell>
          <cell r="C1898">
            <v>0</v>
          </cell>
          <cell r="D1898">
            <v>6</v>
          </cell>
          <cell r="E1898">
            <v>0</v>
          </cell>
          <cell r="F1898">
            <v>6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CS-NEW181-LG907-XXL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CS-NEW181-PI908-L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CS-NEW181-PI908-M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CS-NEW181-PI908-S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CS-NEW181-PI908-XL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CS-NEW181-PI908-XXL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CS-NEW181-Sa911-L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CS-NEW181-Sa911-M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CS-NEW181-Sa911-S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CS-NEW181-Sa911-XL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CS-NEW181-Sa911-XXL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CS-NEW181-W902-L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CS-NEW181-W902-M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CS-NEW181-W902-S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CS-NEW181-W902-XL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CS-NEW181-W902-XXL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CS-NEW181-WR917-L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CS-NEW181-WR917-M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CS-NEW181-WR917-S</v>
          </cell>
          <cell r="B1917">
            <v>0</v>
          </cell>
          <cell r="C1917">
            <v>0</v>
          </cell>
          <cell r="D1917">
            <v>2</v>
          </cell>
          <cell r="E1917">
            <v>0</v>
          </cell>
          <cell r="F1917">
            <v>2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CS-NEW181-WR917-XL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CS-NEW181-WR917-XXL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CS-NEW181-ZL918-L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CS-NEW181-ZL918-M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CS-NEW181-ZL918-S</v>
          </cell>
          <cell r="B1922">
            <v>0</v>
          </cell>
          <cell r="C1922">
            <v>0</v>
          </cell>
          <cell r="D1922">
            <v>5</v>
          </cell>
          <cell r="E1922">
            <v>0</v>
          </cell>
          <cell r="F1922">
            <v>5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CS-NEW181-ZL918-XL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CS-NEW181-ZL918-XXL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CS-SB002-BK-XL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CS-SB002-BL-XL</v>
          </cell>
          <cell r="B1926">
            <v>0</v>
          </cell>
          <cell r="C1926">
            <v>0</v>
          </cell>
          <cell r="D1926">
            <v>11</v>
          </cell>
          <cell r="E1926">
            <v>0</v>
          </cell>
          <cell r="F1926">
            <v>11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CS-SB002-BLNGN-2XL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CS-SB002-BLNGN-XL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CS-SB002-CF-XL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CS-SB003-B0-XL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CS-SB003-BK-XXL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CS-SB003-LB-M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CS-SB003-LB-XL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CS-SB003-NB-XL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CS-SB005-GN-S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CS-SB006-CF-XL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CS-SB007-LP-XL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CS-SB008-WR-L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CS-SB008-WR-M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CS-SB008-ZL-L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CS-SB009-BK-L</v>
          </cell>
          <cell r="B1941">
            <v>1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CS-SB009-BK-XXL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CS-SB009-BL-S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CS-SB009-BL-XL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CS-SB009-BL-XXL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CS-SB009-BL1-S</v>
          </cell>
          <cell r="B1946">
            <v>19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CS-SB009-BL2-M</v>
          </cell>
          <cell r="B1947">
            <v>31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CS-SB009-BL3-L</v>
          </cell>
          <cell r="B1948">
            <v>16</v>
          </cell>
          <cell r="C1948">
            <v>0</v>
          </cell>
          <cell r="D1948">
            <v>0</v>
          </cell>
          <cell r="E1948">
            <v>1</v>
          </cell>
          <cell r="F1948">
            <v>1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CS-SB009-BL4-XL</v>
          </cell>
          <cell r="B1949">
            <v>5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CS-SB009-BL5-XXL</v>
          </cell>
          <cell r="B1950">
            <v>10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CS-SB009-RD-M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CS-SB016-LB-L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CS-SB016-LB-S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CS-SB016-LB-XL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CS-SB016-LB-XXL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CS-SB030-BK-M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CS-SB030-BK-S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CS-SB030-BK-XL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CS-SB030-BL-L</v>
          </cell>
          <cell r="B1959">
            <v>0</v>
          </cell>
          <cell r="C1959">
            <v>1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CS-SB030-BL-M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CS-SB030-BL-XL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CS-SB030-GR-L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CS-SB030-WT-XL</v>
          </cell>
          <cell r="B1963">
            <v>0</v>
          </cell>
          <cell r="C1963">
            <v>1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CS-SB030-YL-L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CS-SB030-YL-M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CS-SB030-YL-XL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CS-SB032-BL-L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CS-SB032-BL-M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CS-SB032-BL-S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CS-SB032-BL-XXL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CS-SB032-GN1-L</v>
          </cell>
          <cell r="B1971">
            <v>1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CS-SB032-GN1-M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CS-SB032-GN1-S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CS-SB032-GN1-XL</v>
          </cell>
          <cell r="B1974">
            <v>2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CS-SB032-GN1-XXL</v>
          </cell>
          <cell r="B1975">
            <v>1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CS-SB032-GN2-M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CS-SB032-GN2-S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CS-SB032-GN2-XL</v>
          </cell>
          <cell r="B1978">
            <v>2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CS-SB032-GN2-XXL</v>
          </cell>
          <cell r="B1979">
            <v>2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CS-SB032-NB-L</v>
          </cell>
          <cell r="B1980">
            <v>6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CS-SB032-NB-M</v>
          </cell>
          <cell r="B1981">
            <v>1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CS-SB032-NB-S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CS-SB032-NB-XL</v>
          </cell>
          <cell r="B1983">
            <v>10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CS-SB032-NB-XXL</v>
          </cell>
          <cell r="B1984">
            <v>6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CS-SB032-RD-L</v>
          </cell>
          <cell r="B1985">
            <v>1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CS-SB032-RD-M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CS-SB032-RD-S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CS-SB032-YL-L</v>
          </cell>
          <cell r="B1988">
            <v>1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CS-SB032-YL-M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CS-SB032-YL-S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CS-SB032-YL-XL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CS-SB032-YL-XXL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CS-SB084-H10-M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CS-SB084-H6-XL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CS-SB086-LB-L</v>
          </cell>
          <cell r="B1995">
            <v>0</v>
          </cell>
          <cell r="C1995">
            <v>1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CS-SB086-LB-XXL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CS-SB166-B28-4-M</v>
          </cell>
          <cell r="B1997">
            <v>9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CS-SB166-K33-1-L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CS-SB166-K33-1-XXL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CS-SB166-K33-2-XL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CS-SB166-K33-2-XXL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CS-SB170-G912-L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CS-SB170-G912-XL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CS-SB170-LB916-M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CS-SB170-LG907-L</v>
          </cell>
          <cell r="B2005">
            <v>0</v>
          </cell>
          <cell r="C2005">
            <v>1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CS-SB170-PI908-XL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CS-SB170-Sa911-L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CS-SB170-Sa911-M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CS-SB170-Sa911-S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CS-SB170-Sa911-XXL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CS-SB170-WR917-XL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CS-SB170-ZL918-M</v>
          </cell>
          <cell r="B2012">
            <v>0</v>
          </cell>
          <cell r="C2012">
            <v>1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CS-SB171-ZL918-XL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CS-SB181-WR917-M</v>
          </cell>
          <cell r="B2014">
            <v>0</v>
          </cell>
          <cell r="C2014">
            <v>0</v>
          </cell>
          <cell r="D2014">
            <v>6</v>
          </cell>
          <cell r="E2014">
            <v>0</v>
          </cell>
          <cell r="F2014">
            <v>6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CS-SB181-WR917-S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CS-SB181-ZL918-S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CS-SB181-ZL918-XL</v>
          </cell>
          <cell r="B2017">
            <v>0</v>
          </cell>
          <cell r="C2017">
            <v>1</v>
          </cell>
          <cell r="D2017">
            <v>31</v>
          </cell>
          <cell r="E2017">
            <v>0</v>
          </cell>
          <cell r="F2017">
            <v>31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CS-SB181-ZL918-XXL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CS-XIN085-LB916-L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CS-XIN085-LB916-M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CS-XIN085-LB916-XL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CS-XIN085-LB916-XXL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CS-XIN085-LG907-S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CS-XIN085-PI908-L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CS-XIN085-PI908-M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CS-XIN085-PI908-S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CS-XIN085-PI908-XL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CS-XIN085-PI908-XXL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CS-XIN085-R901-XL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CS-XIN085-R901-XXL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CS-XIN085-Sa911-L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CS-XIN085-Sa911-M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CS-XIN085-Sa911-XL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CS-XIN085-Sa911-XXL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CS-XIN085-W902-M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CS-XIN085-W902-XL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CS-XIN085-WR917-S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CS-XIN085-WR917-XXL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CS-XIN085-ZL918-M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CS-XIN085-ZL918-S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CS-XIN171-G912-L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CS-XIN171-G912-M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CS-XIN171-G912-S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CS-XIN171-G912-XL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CS-XIN171-LB916-L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CS-XIN171-LB916-M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CS-XIN171-LB916-S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CS-XIN171-LB916-XL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CS-XIN171-LB916-XXL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CS-XIN171-LG907-L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CS-XIN171-LG907-XL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CS-XIN171-PI908-L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CS-XIN171-PI908-M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CS-XIN171-PI908-S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CS-XIN171-PI908-XL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CS-XIN171-PI908-XXL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CS-XIN171-Sa911-L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CS-XIN171-Sa911-M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CS-XIN171-Sa911-XL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CS-XIN171-Sa911-XXL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CS-XIN171-W902-L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CS-XIN171-W902-XL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CS-XIN171-WR917-S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CS-XIN171-WR917-XL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CS-XIN171-ZL918-L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CS-XIN171-ZL918-M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CS-XIN171-ZL918-S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DK-LY-K157-AG-40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DK-LY-K157-B0-32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DK-LY-K157-B0-40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DK-LY-K157-B0-44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DK-LY-K157-KQ-32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DK-LY-K157-KQ-36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DK-LY-K157-KQ-44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DK-LY-K157-OR-34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DK-LY-K518-B0-44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DK-LY-K518-G0-42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DK-LY-K518-K0-38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DK-LY-K518-K0-40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DK-LY-K518-KQ-32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DK-LY-K518-KQ-34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DK-LY-K518-KQ-38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DK-LY-K518-KQ-40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DK-LY-K518-OR-44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JK-SB015-DG-L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JK-SB016-BK-L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KZ-LHY001-BLK-L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KZ-LHY001-GRY-L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KZ-LHY001-WHT-L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KZ-LHY002-BLKTREE-L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KZ-LHY002-BLKTREE-M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KZ-LHY002-BLKTREE-S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KZ-LHY002-BUTTERFLY-L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KZ-LHY002-BUTTERFLY-M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KZ-LHY002-BUTTERFLY-S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KZ-LHY002-CAT-2XL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KZ-LHY002-CAT-3XL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KZ-LHY002-CAT-L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KZ-LHY002-CAT-M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KZ-LHY002-CAT-S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KZ-LHY002-CAT-XL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KZ-LHY002-FISH-L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MTX-IULHY-DBM8022-CF-28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MTX-IULHY-DBM8022-CF-29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MTX-IULHY-DBM8022-DG-28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MTX-IULHY-DBM8022-DG-29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MTX-IULHY-GBM8022-CF-28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MTX-IULHY-GBM8022-CF-29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MTX-IULHY-GBM8022-DG-28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MTX-IULHY-GBM8022-DG-29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MTX-IULHY-MA86-BK-41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MTX-IULHY-MA86-BK-43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MTX-IULHY-MA86-CF-41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MTX-IULHY-MA86-CF-43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MTX-IULHY-MA86-KK-41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MTX-IULHY-MA86-KK-43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MTX-IULHY-MA89-CF-41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MTX-IULHY-MA89-CF-43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MTX-IULHY-MA89-DG-41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MTX-IULHY-MA89-DG-43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MTX-IULHY-MA89-KK-41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MTX-IULHY-MA89-KK-43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MTX-IULHY-MT836-DG-27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MTX-IULHY-MT836-DG-28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MTX-IULHY-MT836-DG-29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MTX-IULHY-MT836-KK-27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MTX-IULHY-MT836-KK-28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MTX-IULHY-MT836-KK-29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MY-BBS011-BK-L</v>
          </cell>
          <cell r="B2129">
            <v>0</v>
          </cell>
          <cell r="C2129">
            <v>0</v>
          </cell>
          <cell r="D2129">
            <v>30</v>
          </cell>
          <cell r="E2129">
            <v>0</v>
          </cell>
          <cell r="F2129">
            <v>30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MY-BBS011-BK-M</v>
          </cell>
          <cell r="B2130">
            <v>0</v>
          </cell>
          <cell r="C2130">
            <v>0</v>
          </cell>
          <cell r="D2130">
            <v>20</v>
          </cell>
          <cell r="E2130">
            <v>0</v>
          </cell>
          <cell r="F2130">
            <v>20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MY-BBS011-BK-S</v>
          </cell>
          <cell r="B2131">
            <v>0</v>
          </cell>
          <cell r="C2131">
            <v>0</v>
          </cell>
          <cell r="D2131">
            <v>15</v>
          </cell>
          <cell r="E2131">
            <v>0</v>
          </cell>
          <cell r="F2131">
            <v>15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MY-BBS011-BK-XL</v>
          </cell>
          <cell r="B2132">
            <v>0</v>
          </cell>
          <cell r="C2132">
            <v>0</v>
          </cell>
          <cell r="D2132">
            <v>25</v>
          </cell>
          <cell r="E2132">
            <v>0</v>
          </cell>
          <cell r="F2132">
            <v>25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MY-BBS011-BL-L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MY-BBS011-BL-M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MY-BBS011-BL-S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MY-BBS011-BL-XL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MY-BBS011-CF-L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MY-BBS011-CF-M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MY-BBS011-CF-S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MY-BBS011-CF-XL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MY-BBS011-DG-M</v>
          </cell>
          <cell r="B2141">
            <v>0</v>
          </cell>
          <cell r="C2141">
            <v>0</v>
          </cell>
          <cell r="D2141">
            <v>20</v>
          </cell>
          <cell r="E2141">
            <v>0</v>
          </cell>
          <cell r="F2141">
            <v>20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MY-BBS011-DG-S</v>
          </cell>
          <cell r="B2142">
            <v>0</v>
          </cell>
          <cell r="C2142">
            <v>0</v>
          </cell>
          <cell r="D2142">
            <v>15</v>
          </cell>
          <cell r="E2142">
            <v>0</v>
          </cell>
          <cell r="F2142">
            <v>15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MY-BBS011-DG-XL</v>
          </cell>
          <cell r="B2143">
            <v>0</v>
          </cell>
          <cell r="C2143">
            <v>0</v>
          </cell>
          <cell r="D2143">
            <v>20</v>
          </cell>
          <cell r="E2143">
            <v>0</v>
          </cell>
          <cell r="F2143">
            <v>20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MY-BBS011-LG-L</v>
          </cell>
          <cell r="B2144">
            <v>0</v>
          </cell>
          <cell r="C2144">
            <v>0</v>
          </cell>
          <cell r="D2144">
            <v>25</v>
          </cell>
          <cell r="E2144">
            <v>0</v>
          </cell>
          <cell r="F2144">
            <v>25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MY-BBS011-LG-M</v>
          </cell>
          <cell r="B2145">
            <v>0</v>
          </cell>
          <cell r="C2145">
            <v>0</v>
          </cell>
          <cell r="D2145">
            <v>15</v>
          </cell>
          <cell r="E2145">
            <v>0</v>
          </cell>
          <cell r="F2145">
            <v>15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MY-BBS011-LG-S</v>
          </cell>
          <cell r="B2146">
            <v>0</v>
          </cell>
          <cell r="C2146">
            <v>0</v>
          </cell>
          <cell r="D2146">
            <v>10</v>
          </cell>
          <cell r="E2146">
            <v>0</v>
          </cell>
          <cell r="F2146">
            <v>10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MY-BBS011-LG-XL</v>
          </cell>
          <cell r="B2147">
            <v>0</v>
          </cell>
          <cell r="C2147">
            <v>0</v>
          </cell>
          <cell r="D2147">
            <v>20</v>
          </cell>
          <cell r="E2147">
            <v>0</v>
          </cell>
          <cell r="F2147">
            <v>20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MY-BBS011-NY-L</v>
          </cell>
          <cell r="B2148">
            <v>0</v>
          </cell>
          <cell r="C2148">
            <v>0</v>
          </cell>
          <cell r="D2148">
            <v>10</v>
          </cell>
          <cell r="E2148">
            <v>0</v>
          </cell>
          <cell r="F2148">
            <v>10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MY-BBS011-NY-M</v>
          </cell>
          <cell r="B2149">
            <v>0</v>
          </cell>
          <cell r="C2149">
            <v>0</v>
          </cell>
          <cell r="D2149">
            <v>10</v>
          </cell>
          <cell r="E2149">
            <v>0</v>
          </cell>
          <cell r="F2149">
            <v>10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MY-BBS011-NY-S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MY-BBS011-NY-XL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MY-BBS011-PP-L</v>
          </cell>
          <cell r="B2152">
            <v>0</v>
          </cell>
          <cell r="C2152">
            <v>0</v>
          </cell>
          <cell r="D2152">
            <v>30</v>
          </cell>
          <cell r="E2152">
            <v>0</v>
          </cell>
          <cell r="F2152">
            <v>30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MY-BBS011-PP-M</v>
          </cell>
          <cell r="B2153">
            <v>0</v>
          </cell>
          <cell r="C2153">
            <v>0</v>
          </cell>
          <cell r="D2153">
            <v>20</v>
          </cell>
          <cell r="E2153">
            <v>0</v>
          </cell>
          <cell r="F2153">
            <v>20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MY-BBS011-PP-S</v>
          </cell>
          <cell r="B2154">
            <v>0</v>
          </cell>
          <cell r="C2154">
            <v>0</v>
          </cell>
          <cell r="D2154">
            <v>20</v>
          </cell>
          <cell r="E2154">
            <v>0</v>
          </cell>
          <cell r="F2154">
            <v>20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MY-BBS011-PP-XL</v>
          </cell>
          <cell r="B2155">
            <v>0</v>
          </cell>
          <cell r="C2155">
            <v>0</v>
          </cell>
          <cell r="D2155">
            <v>30</v>
          </cell>
          <cell r="E2155">
            <v>0</v>
          </cell>
          <cell r="F2155">
            <v>30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MY-BBS011-RD-L</v>
          </cell>
          <cell r="B2156">
            <v>0</v>
          </cell>
          <cell r="C2156">
            <v>0</v>
          </cell>
          <cell r="D2156">
            <v>15</v>
          </cell>
          <cell r="E2156">
            <v>0</v>
          </cell>
          <cell r="F2156">
            <v>15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MY-BBS011-RD-M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MY-BBS011-RD-S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MY-BBS011-RD-XL</v>
          </cell>
          <cell r="B2159">
            <v>0</v>
          </cell>
          <cell r="C2159">
            <v>0</v>
          </cell>
          <cell r="D2159">
            <v>15</v>
          </cell>
          <cell r="E2159">
            <v>0</v>
          </cell>
          <cell r="F2159">
            <v>15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MY-BBS011-WT-L</v>
          </cell>
          <cell r="B2160">
            <v>0</v>
          </cell>
          <cell r="C2160">
            <v>0</v>
          </cell>
          <cell r="D2160">
            <v>30</v>
          </cell>
          <cell r="E2160">
            <v>0</v>
          </cell>
          <cell r="F2160">
            <v>30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MY-BBS011-WT-M</v>
          </cell>
          <cell r="B2161">
            <v>0</v>
          </cell>
          <cell r="C2161">
            <v>0</v>
          </cell>
          <cell r="D2161">
            <v>20</v>
          </cell>
          <cell r="E2161">
            <v>0</v>
          </cell>
          <cell r="F2161">
            <v>20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MY-BBS011-WT-S</v>
          </cell>
          <cell r="B2162">
            <v>0</v>
          </cell>
          <cell r="C2162">
            <v>0</v>
          </cell>
          <cell r="D2162">
            <v>15</v>
          </cell>
          <cell r="E2162">
            <v>0</v>
          </cell>
          <cell r="F2162">
            <v>15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MY-BBS011-WT-XL</v>
          </cell>
          <cell r="B2163">
            <v>0</v>
          </cell>
          <cell r="C2163">
            <v>0</v>
          </cell>
          <cell r="D2163">
            <v>15</v>
          </cell>
          <cell r="E2163">
            <v>0</v>
          </cell>
          <cell r="F2163">
            <v>15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MY-BBS011JR-BK-L</v>
          </cell>
          <cell r="B2164">
            <v>0</v>
          </cell>
          <cell r="C2164">
            <v>0</v>
          </cell>
          <cell r="D2164">
            <v>20</v>
          </cell>
          <cell r="E2164">
            <v>0</v>
          </cell>
          <cell r="F2164">
            <v>20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MY-BBS011JR-BK-M</v>
          </cell>
          <cell r="B2165">
            <v>0</v>
          </cell>
          <cell r="C2165">
            <v>0</v>
          </cell>
          <cell r="D2165">
            <v>15</v>
          </cell>
          <cell r="E2165">
            <v>0</v>
          </cell>
          <cell r="F2165">
            <v>15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MY-BBS011JR-BK-S</v>
          </cell>
          <cell r="B2166">
            <v>0</v>
          </cell>
          <cell r="C2166">
            <v>0</v>
          </cell>
          <cell r="D2166">
            <v>10</v>
          </cell>
          <cell r="E2166">
            <v>0</v>
          </cell>
          <cell r="F2166">
            <v>10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MY-BBS011JR-BK-XL</v>
          </cell>
          <cell r="B2167">
            <v>0</v>
          </cell>
          <cell r="C2167">
            <v>0</v>
          </cell>
          <cell r="D2167">
            <v>15</v>
          </cell>
          <cell r="E2167">
            <v>0</v>
          </cell>
          <cell r="F2167">
            <v>15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MY-BBS011JR-BL-L</v>
          </cell>
          <cell r="B2168">
            <v>0</v>
          </cell>
          <cell r="C2168">
            <v>0</v>
          </cell>
          <cell r="D2168">
            <v>15</v>
          </cell>
          <cell r="E2168">
            <v>0</v>
          </cell>
          <cell r="F2168">
            <v>15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MY-BBS011JR-BL-M</v>
          </cell>
          <cell r="B2169">
            <v>0</v>
          </cell>
          <cell r="C2169">
            <v>0</v>
          </cell>
          <cell r="D2169">
            <v>5</v>
          </cell>
          <cell r="E2169">
            <v>0</v>
          </cell>
          <cell r="F2169">
            <v>5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MY-BBS011JR-BL-S</v>
          </cell>
          <cell r="B2170">
            <v>0</v>
          </cell>
          <cell r="C2170">
            <v>0</v>
          </cell>
          <cell r="D2170">
            <v>5</v>
          </cell>
          <cell r="E2170">
            <v>0</v>
          </cell>
          <cell r="F2170">
            <v>5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MY-BBS011JR-BL-XL</v>
          </cell>
          <cell r="B2171">
            <v>0</v>
          </cell>
          <cell r="C2171">
            <v>0</v>
          </cell>
          <cell r="D2171">
            <v>15</v>
          </cell>
          <cell r="E2171">
            <v>0</v>
          </cell>
          <cell r="F2171">
            <v>15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MY-BBS011JR-CF-L</v>
          </cell>
          <cell r="B2172">
            <v>0</v>
          </cell>
          <cell r="C2172">
            <v>0</v>
          </cell>
          <cell r="D2172">
            <v>10</v>
          </cell>
          <cell r="E2172">
            <v>0</v>
          </cell>
          <cell r="F2172">
            <v>10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MY-BBS011JR-CF-M</v>
          </cell>
          <cell r="B2173">
            <v>0</v>
          </cell>
          <cell r="C2173">
            <v>0</v>
          </cell>
          <cell r="D2173">
            <v>10</v>
          </cell>
          <cell r="E2173">
            <v>0</v>
          </cell>
          <cell r="F2173">
            <v>10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MY-BBS011JR-CF-S</v>
          </cell>
          <cell r="B2174">
            <v>0</v>
          </cell>
          <cell r="C2174">
            <v>0</v>
          </cell>
          <cell r="D2174">
            <v>5</v>
          </cell>
          <cell r="E2174">
            <v>0</v>
          </cell>
          <cell r="F2174">
            <v>5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MY-BBS011JR-CF-XL</v>
          </cell>
          <cell r="B2175">
            <v>0</v>
          </cell>
          <cell r="C2175">
            <v>0</v>
          </cell>
          <cell r="D2175">
            <v>10</v>
          </cell>
          <cell r="E2175">
            <v>0</v>
          </cell>
          <cell r="F2175">
            <v>10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MY-BBS011JR-DG-L</v>
          </cell>
          <cell r="B2176">
            <v>0</v>
          </cell>
          <cell r="C2176">
            <v>0</v>
          </cell>
          <cell r="D2176">
            <v>25</v>
          </cell>
          <cell r="E2176">
            <v>0</v>
          </cell>
          <cell r="F2176">
            <v>25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MY-BBS011JR-DG-M</v>
          </cell>
          <cell r="B2177">
            <v>0</v>
          </cell>
          <cell r="C2177">
            <v>0</v>
          </cell>
          <cell r="D2177">
            <v>10</v>
          </cell>
          <cell r="E2177">
            <v>0</v>
          </cell>
          <cell r="F2177">
            <v>10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MY-BBS011JR-DG-S</v>
          </cell>
          <cell r="B2178">
            <v>0</v>
          </cell>
          <cell r="C2178">
            <v>0</v>
          </cell>
          <cell r="D2178">
            <v>10</v>
          </cell>
          <cell r="E2178">
            <v>0</v>
          </cell>
          <cell r="F2178">
            <v>10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MY-BBS011JR-DG-XL</v>
          </cell>
          <cell r="B2179">
            <v>0</v>
          </cell>
          <cell r="C2179">
            <v>0</v>
          </cell>
          <cell r="D2179">
            <v>20</v>
          </cell>
          <cell r="E2179">
            <v>0</v>
          </cell>
          <cell r="F2179">
            <v>20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MY-BBS011JR-LG-L</v>
          </cell>
          <cell r="B2180">
            <v>0</v>
          </cell>
          <cell r="C2180">
            <v>0</v>
          </cell>
          <cell r="D2180">
            <v>15</v>
          </cell>
          <cell r="E2180">
            <v>0</v>
          </cell>
          <cell r="F2180">
            <v>15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MY-BBS011JR-LG-M</v>
          </cell>
          <cell r="B2181">
            <v>0</v>
          </cell>
          <cell r="C2181">
            <v>0</v>
          </cell>
          <cell r="D2181">
            <v>10</v>
          </cell>
          <cell r="E2181">
            <v>0</v>
          </cell>
          <cell r="F2181">
            <v>10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MY-BBS011JR-LG-S</v>
          </cell>
          <cell r="B2182">
            <v>0</v>
          </cell>
          <cell r="C2182">
            <v>0</v>
          </cell>
          <cell r="D2182">
            <v>10</v>
          </cell>
          <cell r="E2182">
            <v>0</v>
          </cell>
          <cell r="F2182">
            <v>10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MY-BBS011JR-LG-XL</v>
          </cell>
          <cell r="B2183">
            <v>0</v>
          </cell>
          <cell r="C2183">
            <v>0</v>
          </cell>
          <cell r="D2183">
            <v>15</v>
          </cell>
          <cell r="E2183">
            <v>0</v>
          </cell>
          <cell r="F2183">
            <v>15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MY-BBS011JR-NY-L</v>
          </cell>
          <cell r="B2184">
            <v>0</v>
          </cell>
          <cell r="C2184">
            <v>0</v>
          </cell>
          <cell r="D2184">
            <v>15</v>
          </cell>
          <cell r="E2184">
            <v>0</v>
          </cell>
          <cell r="F2184">
            <v>15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MY-BBS011JR-NY-M</v>
          </cell>
          <cell r="B2185">
            <v>0</v>
          </cell>
          <cell r="C2185">
            <v>0</v>
          </cell>
          <cell r="D2185">
            <v>10</v>
          </cell>
          <cell r="E2185">
            <v>0</v>
          </cell>
          <cell r="F2185">
            <v>10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MY-BBS011JR-NY-S</v>
          </cell>
          <cell r="B2186">
            <v>0</v>
          </cell>
          <cell r="C2186">
            <v>0</v>
          </cell>
          <cell r="D2186">
            <v>5</v>
          </cell>
          <cell r="E2186">
            <v>0</v>
          </cell>
          <cell r="F2186">
            <v>5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MY-BBS011JR-NY-XL</v>
          </cell>
          <cell r="B2187">
            <v>0</v>
          </cell>
          <cell r="C2187">
            <v>0</v>
          </cell>
          <cell r="D2187">
            <v>15</v>
          </cell>
          <cell r="E2187">
            <v>0</v>
          </cell>
          <cell r="F2187">
            <v>15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MY-BBS011JR-PP-L</v>
          </cell>
          <cell r="B2188">
            <v>0</v>
          </cell>
          <cell r="C2188">
            <v>0</v>
          </cell>
          <cell r="D2188">
            <v>15</v>
          </cell>
          <cell r="E2188">
            <v>0</v>
          </cell>
          <cell r="F2188">
            <v>15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MY-BBS011JR-PP-M</v>
          </cell>
          <cell r="B2189">
            <v>0</v>
          </cell>
          <cell r="C2189">
            <v>0</v>
          </cell>
          <cell r="D2189">
            <v>10</v>
          </cell>
          <cell r="E2189">
            <v>0</v>
          </cell>
          <cell r="F2189">
            <v>10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MY-BBS011JR-PP-S</v>
          </cell>
          <cell r="B2190">
            <v>0</v>
          </cell>
          <cell r="C2190">
            <v>0</v>
          </cell>
          <cell r="D2190">
            <v>10</v>
          </cell>
          <cell r="E2190">
            <v>0</v>
          </cell>
          <cell r="F2190">
            <v>10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MY-BBS011JR-PP-XL</v>
          </cell>
          <cell r="B2191">
            <v>0</v>
          </cell>
          <cell r="C2191">
            <v>0</v>
          </cell>
          <cell r="D2191">
            <v>15</v>
          </cell>
          <cell r="E2191">
            <v>0</v>
          </cell>
          <cell r="F2191">
            <v>15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MY-BBS011JR-RD-L</v>
          </cell>
          <cell r="B2192">
            <v>0</v>
          </cell>
          <cell r="C2192">
            <v>0</v>
          </cell>
          <cell r="D2192">
            <v>15</v>
          </cell>
          <cell r="E2192">
            <v>0</v>
          </cell>
          <cell r="F2192">
            <v>15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MY-BBS011JR-RD-M</v>
          </cell>
          <cell r="B2193">
            <v>0</v>
          </cell>
          <cell r="C2193">
            <v>0</v>
          </cell>
          <cell r="D2193">
            <v>5</v>
          </cell>
          <cell r="E2193">
            <v>0</v>
          </cell>
          <cell r="F2193">
            <v>5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MY-BBS011JR-RD-S</v>
          </cell>
          <cell r="B2194">
            <v>0</v>
          </cell>
          <cell r="C2194">
            <v>0</v>
          </cell>
          <cell r="D2194">
            <v>5</v>
          </cell>
          <cell r="E2194">
            <v>0</v>
          </cell>
          <cell r="F2194">
            <v>5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MY-BBS011JR-RD-XL</v>
          </cell>
          <cell r="B2195">
            <v>0</v>
          </cell>
          <cell r="C2195">
            <v>0</v>
          </cell>
          <cell r="D2195">
            <v>15</v>
          </cell>
          <cell r="E2195">
            <v>0</v>
          </cell>
          <cell r="F2195">
            <v>15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MY-BBS011JR-WT-L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MY-BBS011JR-WT-M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MY-BBS011JR-WT-S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MY-BBS011JR-WT-XL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MY-BS018-BK-L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MY-BS018-BK-M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MY-BS018-BK-S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MY-BS018-BK-XL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MY-BS018-CF-L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MY-BS018-CF-M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MY-BS018-CF-S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MY-BS018-CF-XL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MY-BS018-DG-L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MY-BS018-DG-M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MY-BS018-DG-S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MY-BS018-DG-XL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MY-BS018-LG-L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MY-BS018-LG-M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MY-BS018-LG-S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MY-BS018-LG-XL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MY-BS018-NY-L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MY-BS018-NY-M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MY-BS018-NY-S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MY-BS018-NY-XL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MY-BS018-RD-L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MY-BS018-RD-M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MY-BS018-RD-S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MY-BS018-RD-XL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MY-BS019-BK-L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MY-BS019-BK-M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MY-BS019-BK-S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MY-BS019-BK-XL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MY-BS019-BL-L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MY-BS019-BL-M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MY-BS019-BL-S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MY-BS019-BL-XL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MY-BS019-DG-L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MY-BS019-DG-M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MY-BS019-DG-S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MY-BS019-DG-XL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MY-BS019-LG-L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MY-BS019-LG-M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MY-BS019-LG-S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MY-BS019-LG-XL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MY-BS019-RD-L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MY-BS019-RD-M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MY-BS019-RD-S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MY-BS019-RD-XL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MY-BS020-BK-L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MY-BS020-BK-M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MY-BS020-BK-S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MY-BS020-BK-XL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MY-BS020-BL-L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MY-BS020-BL-M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MY-BS020-BL-S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MY-BS020-BL-XL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MY-BS020-DG-L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MY-BS020-DG-M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MY-BS020-DG-S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MY-BS020-DG-XL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MY-BS020-LG-L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MY-BS020-LG-M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MY-BS020-LG-S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MY-BS020-LG-XL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MY-BS020-RD-L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MY-BS020-RD-M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MY-BS020-RD-S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MY-BS020-RD-XL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MY-BS026-BK-L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MY-BS026-BK-M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MY-BS026-BK-S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MY-BS026-BK-XL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MY-BS026-DG-L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MY-BS026-DG-M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MY-BS026-DG-S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MY-BS026-DG-XL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MY-BS026-GN-L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MY-BS026-GN-M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MY-BS026-GN-S</v>
          </cell>
          <cell r="B2274">
            <v>0</v>
          </cell>
          <cell r="C2274">
            <v>0</v>
          </cell>
          <cell r="D2274">
            <v>5</v>
          </cell>
          <cell r="E2274">
            <v>0</v>
          </cell>
          <cell r="F2274">
            <v>5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MY-BS026-GN-XL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MY-BS026-KK-L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MY-BS026-KK-M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MY-BS026-KK-S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MY-BS026-KK-XL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MY-BS026-LG-L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MY-BS026-LG-M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MY-BS026-LG-S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MY-BS026-LG-XL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MY-BS026-NY-L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MY-BS026-NY-M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MY-BS026-NY-S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MY-BS026-NY-XL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MY-BS026-RD-L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MY-BS026-RD-M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MY-BS026-RD-S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MY-BS026-RD-XL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MY-BS027-BK-M</v>
          </cell>
          <cell r="B2292">
            <v>0</v>
          </cell>
          <cell r="C2292">
            <v>0</v>
          </cell>
          <cell r="D2292">
            <v>7</v>
          </cell>
          <cell r="E2292">
            <v>0</v>
          </cell>
          <cell r="F2292">
            <v>7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MY-BS027-BK-S</v>
          </cell>
          <cell r="B2293">
            <v>0</v>
          </cell>
          <cell r="C2293">
            <v>0</v>
          </cell>
          <cell r="D2293">
            <v>5</v>
          </cell>
          <cell r="E2293">
            <v>0</v>
          </cell>
          <cell r="F2293">
            <v>5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MY-BS027-BK-XL</v>
          </cell>
          <cell r="B2294">
            <v>0</v>
          </cell>
          <cell r="C2294">
            <v>0</v>
          </cell>
          <cell r="D2294">
            <v>2</v>
          </cell>
          <cell r="E2294">
            <v>0</v>
          </cell>
          <cell r="F2294">
            <v>2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MY-BS027-BL-L</v>
          </cell>
          <cell r="B2295">
            <v>0</v>
          </cell>
          <cell r="C2295">
            <v>0</v>
          </cell>
          <cell r="D2295">
            <v>5</v>
          </cell>
          <cell r="E2295">
            <v>0</v>
          </cell>
          <cell r="F2295">
            <v>5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MY-BS027-BL-S</v>
          </cell>
          <cell r="B2296">
            <v>0</v>
          </cell>
          <cell r="C2296">
            <v>0</v>
          </cell>
          <cell r="D2296">
            <v>3</v>
          </cell>
          <cell r="E2296">
            <v>0</v>
          </cell>
          <cell r="F2296">
            <v>3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MY-BS027-BL-XL</v>
          </cell>
          <cell r="B2297">
            <v>0</v>
          </cell>
          <cell r="C2297">
            <v>0</v>
          </cell>
          <cell r="D2297">
            <v>9</v>
          </cell>
          <cell r="E2297">
            <v>0</v>
          </cell>
          <cell r="F2297">
            <v>9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MY-BS027-DG-L</v>
          </cell>
          <cell r="B2298">
            <v>0</v>
          </cell>
          <cell r="C2298">
            <v>0</v>
          </cell>
          <cell r="D2298">
            <v>9</v>
          </cell>
          <cell r="E2298">
            <v>0</v>
          </cell>
          <cell r="F2298">
            <v>9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MY-BS027-DG-S</v>
          </cell>
          <cell r="B2299">
            <v>0</v>
          </cell>
          <cell r="C2299">
            <v>0</v>
          </cell>
          <cell r="D2299">
            <v>4</v>
          </cell>
          <cell r="E2299">
            <v>0</v>
          </cell>
          <cell r="F2299">
            <v>4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MY-BS027-GN-L</v>
          </cell>
          <cell r="B2300">
            <v>0</v>
          </cell>
          <cell r="C2300">
            <v>0</v>
          </cell>
          <cell r="D2300">
            <v>9</v>
          </cell>
          <cell r="E2300">
            <v>0</v>
          </cell>
          <cell r="F2300">
            <v>9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MY-BS027-GN-S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MY-BS027-GN-XL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MY-BS027-KK-L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MY-BS027-KK-M</v>
          </cell>
          <cell r="B2304">
            <v>0</v>
          </cell>
          <cell r="C2304">
            <v>0</v>
          </cell>
          <cell r="D2304">
            <v>10</v>
          </cell>
          <cell r="E2304">
            <v>0</v>
          </cell>
          <cell r="F2304">
            <v>10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MY-BS027-KK-S</v>
          </cell>
          <cell r="B2305">
            <v>0</v>
          </cell>
          <cell r="C2305">
            <v>0</v>
          </cell>
          <cell r="D2305">
            <v>4</v>
          </cell>
          <cell r="E2305">
            <v>0</v>
          </cell>
          <cell r="F2305">
            <v>4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MY-BS027-KK-XL</v>
          </cell>
          <cell r="B2306">
            <v>0</v>
          </cell>
          <cell r="C2306">
            <v>0</v>
          </cell>
          <cell r="D2306">
            <v>11</v>
          </cell>
          <cell r="E2306">
            <v>0</v>
          </cell>
          <cell r="F2306">
            <v>11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MY-BS027-LG-S</v>
          </cell>
          <cell r="B2307">
            <v>0</v>
          </cell>
          <cell r="C2307">
            <v>0</v>
          </cell>
          <cell r="D2307">
            <v>7</v>
          </cell>
          <cell r="E2307">
            <v>0</v>
          </cell>
          <cell r="F2307">
            <v>7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MY-BS027-LG-XL</v>
          </cell>
          <cell r="B2308">
            <v>0</v>
          </cell>
          <cell r="C2308">
            <v>0</v>
          </cell>
          <cell r="D2308">
            <v>9</v>
          </cell>
          <cell r="E2308">
            <v>0</v>
          </cell>
          <cell r="F2308">
            <v>9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MY-BS027-NY-M</v>
          </cell>
          <cell r="B2309">
            <v>0</v>
          </cell>
          <cell r="C2309">
            <v>0</v>
          </cell>
          <cell r="D2309">
            <v>10</v>
          </cell>
          <cell r="E2309">
            <v>0</v>
          </cell>
          <cell r="F2309">
            <v>10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MY-BS027-NY-S</v>
          </cell>
          <cell r="B2310">
            <v>0</v>
          </cell>
          <cell r="C2310">
            <v>0</v>
          </cell>
          <cell r="D2310">
            <v>6</v>
          </cell>
          <cell r="E2310">
            <v>0</v>
          </cell>
          <cell r="F2310">
            <v>6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MY-CA-Point021-DG-L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MY-CA-Point021-DG-M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MY-CA-Point021-DG-S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MY-CA-Point021-DG-XL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MY-CA-Point021-GR-L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MY-CA-Point021-GR-M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MY-CA-Point021-GR-S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MY-CA-Point021-GR-XL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MY-CA-Point021-K0-L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MY-CA-Point021-K0-M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MY-CA-Point021-K0-S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MY-CA-Point021-K0-XL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MY-CA-Point021-KQ-L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MY-CA-Point021-KQ-M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MY-CA-Point021-KQ-S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MY-CA-Point021-KQ-XL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MY-CA-Point021-LB-L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MY-CA-Point021-LB-M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MY-CA-Point021-LB-S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MY-CA-Point021-LB-XL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MY-CA-Point021-NY-L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MY-CA-Point021-NY-M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MY-CA-Point021-NY-S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MY-CA-Point021-NY-XL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MY-CA-Point021-W0-L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MY-CA-Point021-W0-M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MY-CA-Point021-W0-S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MY-CA-Point021-W0-XL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MY-CA-Point021-WR-L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MY-CA-Point021-WR-M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MY-CA-Point021-WR-S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MY-CA-Point021-WR-XL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MY-CA-Round020-DG-L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MY-CA-Round020-DG-M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MY-CA-Round020-DG-S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MY-CA-Round020-DG-XL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MY-CA-Round020-GR-L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MY-CA-Round020-GR-M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MY-CA-Round020-GR-S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MY-CA-Round020-GR-XL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MY-CA-Round020-K0-L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MY-CA-Round020-K0-M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MY-CA-Round020-K0-S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MY-CA-Round020-K0-XL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MY-CA-Round020-KQ-L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MY-CA-Round020-KQ-M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MY-CA-Round020-KQ-S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MY-CA-Round020-KQ-XL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MY-CA-Round020-LB-L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MY-CA-Round020-LB-M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MY-CA-Round020-LB-S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MY-CA-Round020-LB-XL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MY-CA-Round020-NY-L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MY-CA-Round020-NY-M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MY-CA-Round020-NY-S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MY-CA-Round020-NY-XL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MY-CA-Round020-W0-L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MY-CA-Round020-W0-M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MY-CA-Round020-W0-S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MY-CA-Round020-W0-XL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MY-CA-Round020-WR-L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MY-CA-Round020-WR-M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MY-CA-Round020-WR-S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MY-CA-Round020-WR-XL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MY-CA026-BK-L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MY-CA026-BK-M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MY-CA026-BK-S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MY-CA026-BK-XL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MY-CA026-DG-L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MY-CA026-DG-M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MY-CA026-DG-S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MY-CA026-DG-XL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MY-CA026-GN-L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MY-CA026-GN-M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MY-CA026-GN-S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MY-CA026-GN-XL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MY-CA026-KK-L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MY-CA026-KK-M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MY-CA026-KK-S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MY-CA026-KK-XL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MY-CA026-LG-L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MY-CA026-LG-M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MY-CA026-LG-S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MY-CA026-LG-XL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MY-CA026-NY-L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MY-CA026-NY-M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MY-CA026-NY-S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MY-CA026-NY-XL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MY-CA026-RD-L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MY-CA026-RD-M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MY-CA026-RD-S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MY-CA026-RD-XL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MY-LYHigh303-GR-M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MY-LYHigh303-K0-M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MY-LYHigh303-K0-S1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MY-LYHigh303-KQ-S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MY-LYHigh303-W0-L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MY-LYHigh303-W0-M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MY-LYHigh303-W0-S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MY-LYHigh303-WR-M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MY-LYPoint021-DG-M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MY-LYPoint021-GR-S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MY-LYPoint021-LB-L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MY-LYPoint021-LB-S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MY-LYPoint021-NY-L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MY-LYPoint021-NY-M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MY-LYPoint021-NY-S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MY-LYPoint021-OR-L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MY-LYPoint021-OR-M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MY-LYPoint021-W0-S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MY-LYPoint021-WR-S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MY-LYRound020-GR-M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MY-LYRound020-GR-S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MY-SB011-BK-S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MY-SB011-BK-XL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MY-SB011-BL-L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MY-SB011-DG-S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MY-SB011-PP-L</v>
          </cell>
          <cell r="B2428">
            <v>0</v>
          </cell>
          <cell r="C2428">
            <v>1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MY-SB011-PP-XL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MY-SB011-WT-L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MY-SB011-WT-S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MY-SB011JR-BK-S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MY-SB011JR-DG-L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MY-SB011JR-DG-S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MY-SB011JR-LG-S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MY-SB011JR-PP-S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MY-SB013-AG-XS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MY-SB013-BO-XS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MY-SB013-KK-S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MY-SB015-LG-M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MY-SB015-PP-M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MY-SB015-PP-S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MY-SB015-WR-L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MY-SB015-WR-S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MY-SB015-WR-XL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MY-SB018-NY-M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MY-SB019-BL-S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MY-SB020-BK-L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MY-SB020-BK-S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MY-SB020-DG-L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MY-SB026-DG-M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MY-SB026-GN-L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MY-SB026-LG-M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MY-SBPoint021-BK-L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MY-SBPoint021-BK-S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MY-SBPoint021-BK-XL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MY-SBPoint021-BL-L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MY-SBPoint021-BL-S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MY-SBPoint021-BL-XL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MY-SBPoint021-DG-L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MY-SBPoint021-DG-S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MY-SBPoint021-DG-XL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MY-SBPoint021-GN-L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MY-SBPoint021-GN-M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MY-SBPoint021-GN-S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MY-SBPoint021-GR-L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MY-SBPoint021-GR-M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MY-SBPoint021-GR-S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MY-SBPoint021-GR-XL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MY-SBPoint021-KK-L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MY-SBPoint021-KK-S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MY-SBPoint021-KK-XL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MY-SBPoint021-LB-L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MY-SBPoint021-LB-S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MY-SBPoint021-LB-XL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MY-SBPoint021-NY-M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MY-SBPoint021-NY-S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MY-SBPoint021-NY-XL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MY-SBPoint021-OR-L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MY-SBPoint021-OR-M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MY-SBPoint021-OR-S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MY-SBPoint021-OR-XL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MY-SBPoint021-WR-L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MY-SBPoint021-WR-M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MY-SBPoint021-WR-S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MY-SBPoint021-WR-XL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MY-SBPoint021-WT-L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MY-SBPoint021-WT-S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MY-SBPoint021-WT-XL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MY-SBRound020-BK-L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MY-SBRound020-BK-S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MY-SBRound020-BK-XL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MY-SBRound020-BL-L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MY-SBRound020-BL-M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MY-SBRound020-BL-XL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MY-SBRound020-DG-L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MY-SBRound020-DG-M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MY-SBRound020-DG-S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MY-SBRound020-DG-XL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MY-SBRound020-GN-L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MY-SBRound020-GN-M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MY-SBRound020-GN-S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MY-SBRound020-GN-XL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MY-SBRound020-GR-L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MY-SBRound020-GR-M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MY-SBRound020-GR-XL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MY-SBRound020-KK-L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MY-SBRound020-KK-M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MY-SBRound020-KK-XL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MY-SBRound020-LB-L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MY-SBRound020-LB-M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MY-SBRound020-LB-S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MY-SBRound020-LB-XL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MY-SBRound020-NY-L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MY-SBRound020-NY-M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MY-SBRound020-OR-L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MY-SBRound020-OR-M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MY-SBRound020-OR-S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MY-SBRound020-OR-XL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MY-SBRound020-WR-L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MY-SBRound020-WR-M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MY-SBRound020-WR-XL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MY-SBRound020-WT-L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MY-SBRound020-WT-M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MY-SBRound020-WT-S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MY-SBRound020-WT-XL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POLO-1503-BK-2XL</v>
          </cell>
          <cell r="B2527">
            <v>30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POLO-1503-BK-L</v>
          </cell>
          <cell r="B2528">
            <v>10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POLO-1503-GR-2XL</v>
          </cell>
          <cell r="B2529">
            <v>22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POLO-1503-GR-L</v>
          </cell>
          <cell r="B2530">
            <v>21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POLO-1503-GR-S</v>
          </cell>
          <cell r="B2531">
            <v>5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POLO-1503-GR-XL</v>
          </cell>
          <cell r="B2532">
            <v>16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POLO-1503-NY-M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POLO-1503-RD-2XL</v>
          </cell>
          <cell r="B2534">
            <v>6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POLO-1503-RD-L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POLO-1503-RD-M</v>
          </cell>
          <cell r="B2536">
            <v>12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POLO-1503-RD-S</v>
          </cell>
          <cell r="B2537">
            <v>4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POLO-1503-RD-XL</v>
          </cell>
          <cell r="B2538">
            <v>7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POLO-1503-WT-2XL</v>
          </cell>
          <cell r="B2539">
            <v>13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POLO-1503-WT-L</v>
          </cell>
          <cell r="B2540">
            <v>16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POLO-1503-WT-S</v>
          </cell>
          <cell r="B2541">
            <v>4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POLO-1503-WT-XL</v>
          </cell>
          <cell r="B2542">
            <v>21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POLO-SB014-BK-L</v>
          </cell>
          <cell r="B2543">
            <v>0</v>
          </cell>
          <cell r="C2543">
            <v>2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POLO-SB014-BK-XL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POLO-SB014-GN-L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POLO-SB014-GN-S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POLO-SB014-GR-S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POLO-SB014-GR-XL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POLO-SB014-NY-M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POLO-SB014-RD-L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POLO-SB014-RD-S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POLO-SB014-RD-XL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POLO-SB1503-BK-2XL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POLO-SB1503-BK-L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POLO-SB1503-BK-S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POLO-SB1503-BK-XL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POLO-SB1503-GR-2XL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POLO-SB1503-GR-L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POLO-SB1503-GR-M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POLO-SB1503-GR-XL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POLO-SB1503-NY-2XL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POLO-SB1503-NY-L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POLO-SB1503-NY-XL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POLO-SB1503-RD-2XL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POLO-SB1503-RD-L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POLO-SB1503-RD-M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POLO-SB1503-RD-XL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POLO-SB1503-WT-2XL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POLO-SB1503-WT-L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POLO-SB1503-WT-S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POLO-SB1503-WT-XL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SB-YL001-DWA30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SB-YL001-DWA40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SB-YL001-DWA50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SB-YL001-DWA60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SB-YL001-DWA70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SB-YL002-KCN100BNR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SB-YL002-KCN100S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SB-YL002-KCN120S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SB-YL002-KCN80BNR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SB-YL005-KS70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SB-YL005-KS80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SHIRT-SB002-BK-M</v>
          </cell>
          <cell r="B2583">
            <v>26</v>
          </cell>
          <cell r="C2583">
            <v>0</v>
          </cell>
          <cell r="D2583">
            <v>12</v>
          </cell>
          <cell r="E2583">
            <v>0</v>
          </cell>
          <cell r="F2583">
            <v>12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SHIRT-SB002-BK-S</v>
          </cell>
          <cell r="B2584">
            <v>9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SHIRT-SB002-BK-XL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SHIRT-SB002-BLNGN-2XL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SHIRT-SB002-BLNGN-L</v>
          </cell>
          <cell r="B2587">
            <v>2</v>
          </cell>
          <cell r="C2587">
            <v>0</v>
          </cell>
          <cell r="D2587">
            <v>14</v>
          </cell>
          <cell r="E2587">
            <v>0</v>
          </cell>
          <cell r="F2587">
            <v>14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SHIRT-SB002-BLNGN-S</v>
          </cell>
          <cell r="B2588">
            <v>5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SHIRT-SB002-BLNGN-XL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SHIRT-SB002-CF-L</v>
          </cell>
          <cell r="B2590">
            <v>8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SHIRT-SB002-CF-M</v>
          </cell>
          <cell r="B2591">
            <v>30</v>
          </cell>
          <cell r="C2591">
            <v>0</v>
          </cell>
          <cell r="D2591">
            <v>20</v>
          </cell>
          <cell r="E2591">
            <v>0</v>
          </cell>
          <cell r="F2591">
            <v>20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SHIRT-SB002-CF-S</v>
          </cell>
          <cell r="B2592">
            <v>13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SHIRT-SB002-CF-XL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SHIRT-SB002-LB-2XL</v>
          </cell>
          <cell r="B2594">
            <v>18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SHIRT-SB002-LB-L</v>
          </cell>
          <cell r="B2595">
            <v>10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SHIRT-SB002-LB-S</v>
          </cell>
          <cell r="B2596">
            <v>13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SHIRT-SB002-LB-XL</v>
          </cell>
          <cell r="B2597">
            <v>7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SHIRT-SB002-RD-2XL</v>
          </cell>
          <cell r="B2598">
            <v>11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SHIRT-SB002-RD-L</v>
          </cell>
          <cell r="B2599">
            <v>5</v>
          </cell>
          <cell r="C2599">
            <v>0</v>
          </cell>
          <cell r="D2599">
            <v>16</v>
          </cell>
          <cell r="E2599">
            <v>0</v>
          </cell>
          <cell r="F2599">
            <v>16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SHIRT-SB002-RD-M</v>
          </cell>
          <cell r="B2600">
            <v>13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SHIRT-SB002-RD-S</v>
          </cell>
          <cell r="B2601">
            <v>1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SHIRT-SB002-RD-XL</v>
          </cell>
          <cell r="B2602">
            <v>13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SHIRT-SB002-RNBL-2XL</v>
          </cell>
          <cell r="B2603">
            <v>9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SHIRT-SB002-RNBL-L</v>
          </cell>
          <cell r="B2604">
            <v>24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SHIRT-SB002-RNBL-M</v>
          </cell>
          <cell r="B2605">
            <v>27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SHIRT-SB002-RNBL-S</v>
          </cell>
          <cell r="B2606">
            <v>7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SHIRT-SB002-RNBL-XL</v>
          </cell>
          <cell r="B2607">
            <v>11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SHIRTS-SB002-BL-S</v>
          </cell>
          <cell r="B2608">
            <v>3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SHIRTS-SB002-BL-XL</v>
          </cell>
          <cell r="B2609">
            <v>0</v>
          </cell>
          <cell r="C2609">
            <v>0</v>
          </cell>
          <cell r="D2609">
            <v>11</v>
          </cell>
          <cell r="E2609">
            <v>0</v>
          </cell>
          <cell r="F2609">
            <v>11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SHIRTS-SB002-BL-XXL</v>
          </cell>
          <cell r="B2610">
            <v>7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SK-LY168-311-76D-L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SK-LY168-K77-1-XL</v>
          </cell>
          <cell r="B2612">
            <v>5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SK-LY168-K77-2-L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SK-LY168-K77-2-M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SK-LY168-K77-4-L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WY-SB017-PK-L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WY-SB017-PK-M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6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620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43290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2018/7/30-2018/8/5</v>
      </c>
      <c r="E3" s="10" t="str">
        <f>TEXT(时间!$B$8,"yyyy/M/d")&amp;"-"&amp;TEXT(时间!$B$7,"yyyy/M/d")</f>
        <v>2018/7/23-2018/7/29</v>
      </c>
      <c r="F3" s="10" t="str">
        <f>TEXT(时间!$B$10,"yyyy/M/d")&amp;"-"&amp;TEXT(时间!$B$9,"yyyy/M/d")</f>
        <v>2018/7/16-2018/7/22</v>
      </c>
      <c r="G3" s="10" t="str">
        <f>TEXT(时间!$B$12,"yyyy/M/d")&amp;"-"&amp;TEXT(时间!$B$11,"yyyy/M/d")</f>
        <v>2018/7/9-2018/7/15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43311</v>
      </c>
      <c r="AG4" s="16">
        <f>时间!$B$7</f>
        <v>43310</v>
      </c>
      <c r="AH4" s="16">
        <f>时间!$B$8</f>
        <v>43304</v>
      </c>
      <c r="AI4" s="16">
        <f>时间!$B$9</f>
        <v>43303</v>
      </c>
      <c r="AJ4" s="16">
        <f>时间!$B$6</f>
        <v>43311</v>
      </c>
      <c r="AK4" s="16">
        <f>时间!$B$7</f>
        <v>43310</v>
      </c>
      <c r="AL4" s="16">
        <f>时间!$B$8</f>
        <v>43304</v>
      </c>
      <c r="AM4" s="16">
        <f>时间!$B$9</f>
        <v>43303</v>
      </c>
      <c r="AN4" s="16">
        <f>时间!$B$6</f>
        <v>43311</v>
      </c>
      <c r="AO4" s="16">
        <f>时间!$B$7</f>
        <v>43310</v>
      </c>
      <c r="AP4" s="16">
        <f>时间!$B$8</f>
        <v>43304</v>
      </c>
      <c r="AQ4" s="16">
        <f>时间!$B$9</f>
        <v>43303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1583</v>
      </c>
      <c r="E5" s="4">
        <f>SUM(E6:E65536)</f>
        <v>1287</v>
      </c>
      <c r="F5" s="4">
        <f>SUM(F6:F65536)</f>
        <v>1752</v>
      </c>
      <c r="G5" s="4">
        <f>SUM(G6:G65536)</f>
        <v>1210</v>
      </c>
      <c r="I5" s="4">
        <f t="shared" ref="I5:O5" si="0">SUM(I6:I65536)</f>
        <v>15902</v>
      </c>
      <c r="J5" s="4">
        <f t="shared" si="0"/>
        <v>2934</v>
      </c>
      <c r="K5" s="4">
        <f t="shared" si="0"/>
        <v>68</v>
      </c>
      <c r="L5" s="4">
        <f t="shared" si="0"/>
        <v>442</v>
      </c>
      <c r="M5" s="4">
        <f t="shared" si="0"/>
        <v>19346</v>
      </c>
      <c r="N5" s="4">
        <f t="shared" si="0"/>
        <v>77</v>
      </c>
      <c r="O5" s="4">
        <f t="shared" si="0"/>
        <v>7012</v>
      </c>
      <c r="AB5" s="4">
        <f>SUM(AB6:AB1893)</f>
        <v>1020.23</v>
      </c>
      <c r="AC5" s="4">
        <f>SUM(AC6:AC1893)</f>
        <v>682.29</v>
      </c>
      <c r="AD5" s="4">
        <f>SUM(AD6:AD1893)</f>
        <v>788.34</v>
      </c>
      <c r="AE5" s="4">
        <f>SUM(AE6:AE1893)</f>
        <v>625.64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14</v>
      </c>
      <c r="AK6">
        <v>14</v>
      </c>
      <c r="AL6">
        <v>14</v>
      </c>
      <c r="AM6">
        <v>12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8</v>
      </c>
      <c r="J7" s="26">
        <v>0</v>
      </c>
      <c r="K7" s="26">
        <v>0</v>
      </c>
      <c r="L7" s="26">
        <v>1</v>
      </c>
      <c r="M7">
        <v>9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14</v>
      </c>
      <c r="AK7">
        <v>12</v>
      </c>
      <c r="AL7">
        <v>9</v>
      </c>
      <c r="AM7">
        <v>10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9</v>
      </c>
      <c r="AU7" s="24" t="str">
        <f t="shared" si="1"/>
        <v>库存为9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41</v>
      </c>
      <c r="J8" s="26">
        <v>0</v>
      </c>
      <c r="K8" s="26">
        <v>0</v>
      </c>
      <c r="L8" s="26">
        <v>0</v>
      </c>
      <c r="M8">
        <v>41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14</v>
      </c>
      <c r="AK8">
        <v>9</v>
      </c>
      <c r="AL8">
        <v>9</v>
      </c>
      <c r="AM8">
        <v>8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41</v>
      </c>
      <c r="AU8" s="24" t="str">
        <f t="shared" si="1"/>
        <v>库存为41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6</v>
      </c>
      <c r="J9" s="26">
        <v>0</v>
      </c>
      <c r="K9" s="26">
        <v>0</v>
      </c>
      <c r="L9" s="26">
        <v>0</v>
      </c>
      <c r="M9">
        <v>6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7</v>
      </c>
      <c r="AK9">
        <v>8</v>
      </c>
      <c r="AL9">
        <v>11</v>
      </c>
      <c r="AM9">
        <v>10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6</v>
      </c>
      <c r="AU9" s="24" t="str">
        <f t="shared" si="1"/>
        <v>库存为6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22</v>
      </c>
      <c r="J10" s="26">
        <v>0</v>
      </c>
      <c r="K10" s="26">
        <v>0</v>
      </c>
      <c r="L10" s="26">
        <v>0</v>
      </c>
      <c r="M10">
        <v>22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8</v>
      </c>
      <c r="AK10">
        <v>5</v>
      </c>
      <c r="AL10">
        <v>6</v>
      </c>
      <c r="AM10">
        <v>7</v>
      </c>
      <c r="AN10" s="18">
        <v>0</v>
      </c>
      <c r="AO10" s="18">
        <v>0</v>
      </c>
      <c r="AP10" s="18">
        <v>0</v>
      </c>
      <c r="AQ10" s="18">
        <v>0</v>
      </c>
      <c r="AR10" s="29">
        <v>0</v>
      </c>
      <c r="AS10" s="29">
        <v>0</v>
      </c>
      <c r="AT10" s="29">
        <v>22</v>
      </c>
      <c r="AU10" s="24" t="str">
        <f t="shared" si="1"/>
        <v>库存为22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9</v>
      </c>
      <c r="AK11">
        <v>4</v>
      </c>
      <c r="AL11">
        <v>3</v>
      </c>
      <c r="AM11">
        <v>9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0</v>
      </c>
      <c r="F12" s="24">
        <v>0</v>
      </c>
      <c r="G12" s="24">
        <v>0</v>
      </c>
      <c r="H12" s="25">
        <v>0</v>
      </c>
      <c r="I12">
        <v>17</v>
      </c>
      <c r="J12" s="26">
        <v>0</v>
      </c>
      <c r="K12" s="26">
        <v>0</v>
      </c>
      <c r="L12" s="26">
        <v>0</v>
      </c>
      <c r="M12">
        <v>17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16</v>
      </c>
      <c r="AK12">
        <v>12</v>
      </c>
      <c r="AL12">
        <v>12</v>
      </c>
      <c r="AM12">
        <v>14</v>
      </c>
      <c r="AN12" s="18">
        <v>0</v>
      </c>
      <c r="AO12" s="18">
        <v>0</v>
      </c>
      <c r="AP12" s="18">
        <v>0</v>
      </c>
      <c r="AQ12" s="18">
        <v>0</v>
      </c>
      <c r="AR12" s="29">
        <v>0</v>
      </c>
      <c r="AS12" s="29">
        <v>0</v>
      </c>
      <c r="AT12" s="29">
        <v>17</v>
      </c>
      <c r="AU12" s="24" t="str">
        <f t="shared" si="1"/>
        <v>库存为17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0</v>
      </c>
      <c r="J13" s="26">
        <v>0</v>
      </c>
      <c r="K13" s="26">
        <v>0</v>
      </c>
      <c r="L13" s="26">
        <v>0</v>
      </c>
      <c r="M13">
        <v>0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0</v>
      </c>
      <c r="AK13">
        <v>12</v>
      </c>
      <c r="AL13">
        <v>10</v>
      </c>
      <c r="AM13">
        <v>18</v>
      </c>
      <c r="AN13" s="18" t="s">
        <v>52</v>
      </c>
      <c r="AO13" s="18">
        <v>0</v>
      </c>
      <c r="AP13" s="18">
        <v>0</v>
      </c>
      <c r="AQ13" s="18">
        <v>0</v>
      </c>
      <c r="AR13" s="29">
        <v>0</v>
      </c>
      <c r="AS13" s="29">
        <v>0</v>
      </c>
      <c r="AT13" s="29">
        <v>0</v>
      </c>
      <c r="AU13" s="24" t="str">
        <f t="shared" si="1"/>
        <v>库存为0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1</v>
      </c>
      <c r="J14" s="26">
        <v>0</v>
      </c>
      <c r="K14" s="26">
        <v>0</v>
      </c>
      <c r="L14" s="26">
        <v>1</v>
      </c>
      <c r="M14">
        <v>2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14</v>
      </c>
      <c r="AK14">
        <v>0</v>
      </c>
      <c r="AL14">
        <v>13</v>
      </c>
      <c r="AM14">
        <v>14</v>
      </c>
      <c r="AN14" s="18">
        <v>0</v>
      </c>
      <c r="AO14" s="18" t="s">
        <v>52</v>
      </c>
      <c r="AP14" s="18">
        <v>0</v>
      </c>
      <c r="AQ14" s="18">
        <v>0</v>
      </c>
      <c r="AR14" s="29">
        <v>0</v>
      </c>
      <c r="AS14" s="29">
        <v>0</v>
      </c>
      <c r="AT14" s="29">
        <v>2</v>
      </c>
      <c r="AU14" s="24" t="str">
        <f t="shared" si="1"/>
        <v>库存为2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0</v>
      </c>
      <c r="G15" s="24">
        <v>0</v>
      </c>
      <c r="H15" s="25">
        <v>0</v>
      </c>
      <c r="I15">
        <v>16</v>
      </c>
      <c r="J15" s="26">
        <v>0</v>
      </c>
      <c r="K15" s="26">
        <v>0</v>
      </c>
      <c r="L15" s="26">
        <v>0</v>
      </c>
      <c r="M15">
        <v>16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8</v>
      </c>
      <c r="AK15">
        <v>11</v>
      </c>
      <c r="AL15">
        <v>10</v>
      </c>
      <c r="AM15">
        <v>8</v>
      </c>
      <c r="AN15" s="18">
        <v>0</v>
      </c>
      <c r="AO15" s="18">
        <v>0</v>
      </c>
      <c r="AP15" s="18">
        <v>0</v>
      </c>
      <c r="AQ15" s="18">
        <v>0</v>
      </c>
      <c r="AR15" s="29">
        <v>0</v>
      </c>
      <c r="AS15" s="29">
        <v>0</v>
      </c>
      <c r="AT15" s="29">
        <v>16</v>
      </c>
      <c r="AU15" s="24" t="str">
        <f t="shared" si="1"/>
        <v>库存为16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1</v>
      </c>
      <c r="F16" s="24">
        <v>0</v>
      </c>
      <c r="G16" s="24">
        <v>1</v>
      </c>
      <c r="H16" s="25">
        <v>35</v>
      </c>
      <c r="I16">
        <v>10</v>
      </c>
      <c r="J16" s="26">
        <v>0</v>
      </c>
      <c r="K16" s="26">
        <v>0</v>
      </c>
      <c r="L16" s="26">
        <v>0</v>
      </c>
      <c r="M16">
        <v>10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11</v>
      </c>
      <c r="AK16">
        <v>6</v>
      </c>
      <c r="AL16">
        <v>4</v>
      </c>
      <c r="AM16">
        <v>8</v>
      </c>
      <c r="AN16" s="18">
        <v>0</v>
      </c>
      <c r="AO16" s="18">
        <v>0.166666666666667</v>
      </c>
      <c r="AP16" s="18">
        <v>0</v>
      </c>
      <c r="AQ16" s="18">
        <v>0.125</v>
      </c>
      <c r="AR16" s="29">
        <v>0</v>
      </c>
      <c r="AS16" s="29">
        <v>0</v>
      </c>
      <c r="AT16" s="29">
        <v>10</v>
      </c>
      <c r="AU16" s="24" t="str">
        <f t="shared" si="1"/>
        <v>库存为10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2</v>
      </c>
      <c r="F18" s="24">
        <v>0</v>
      </c>
      <c r="G18" s="24">
        <v>0</v>
      </c>
      <c r="H18" s="25">
        <v>35</v>
      </c>
      <c r="I18">
        <v>0</v>
      </c>
      <c r="J18" s="26">
        <v>0</v>
      </c>
      <c r="K18" s="26">
        <v>0</v>
      </c>
      <c r="L18" s="26">
        <v>0</v>
      </c>
      <c r="M18">
        <v>0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8</v>
      </c>
      <c r="AK18">
        <v>24</v>
      </c>
      <c r="AL18">
        <v>25</v>
      </c>
      <c r="AM18">
        <v>29</v>
      </c>
      <c r="AN18" s="18">
        <v>0</v>
      </c>
      <c r="AO18" s="18">
        <v>0.0833333333333333</v>
      </c>
      <c r="AP18" s="18">
        <v>0</v>
      </c>
      <c r="AQ18" s="18">
        <v>0</v>
      </c>
      <c r="AR18" s="29">
        <v>0</v>
      </c>
      <c r="AS18" s="29">
        <v>0</v>
      </c>
      <c r="AT18" s="29">
        <v>0</v>
      </c>
      <c r="AU18" s="24" t="str">
        <f t="shared" si="1"/>
        <v>库存为0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0</v>
      </c>
      <c r="H20" s="25">
        <v>0</v>
      </c>
      <c r="I20">
        <v>0</v>
      </c>
      <c r="J20" s="26">
        <v>0</v>
      </c>
      <c r="K20" s="26">
        <v>0</v>
      </c>
      <c r="L20" s="26">
        <v>0</v>
      </c>
      <c r="M20">
        <v>0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0</v>
      </c>
      <c r="AK20">
        <v>0</v>
      </c>
      <c r="AL20">
        <v>0</v>
      </c>
      <c r="AM20">
        <v>0</v>
      </c>
      <c r="AN20" s="18" t="s">
        <v>52</v>
      </c>
      <c r="AO20" s="18" t="s">
        <v>52</v>
      </c>
      <c r="AP20" s="18" t="s">
        <v>52</v>
      </c>
      <c r="AQ20" s="18" t="s">
        <v>52</v>
      </c>
      <c r="AR20" s="29">
        <v>0</v>
      </c>
      <c r="AS20" s="29">
        <v>0</v>
      </c>
      <c r="AT20" s="29">
        <v>0</v>
      </c>
      <c r="AU20" s="24" t="str">
        <f t="shared" si="1"/>
        <v>库存为0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0</v>
      </c>
      <c r="E21" s="24">
        <v>0</v>
      </c>
      <c r="F21" s="24">
        <v>2</v>
      </c>
      <c r="G21" s="24">
        <v>1</v>
      </c>
      <c r="H21" s="25">
        <v>35</v>
      </c>
      <c r="I21">
        <v>5</v>
      </c>
      <c r="J21" s="26">
        <v>0</v>
      </c>
      <c r="K21" s="26">
        <v>0</v>
      </c>
      <c r="L21" s="26">
        <v>0</v>
      </c>
      <c r="M21">
        <v>5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26</v>
      </c>
      <c r="AK21">
        <v>5</v>
      </c>
      <c r="AL21">
        <v>13</v>
      </c>
      <c r="AM21">
        <v>34</v>
      </c>
      <c r="AN21" s="18">
        <v>0</v>
      </c>
      <c r="AO21" s="18">
        <v>0</v>
      </c>
      <c r="AP21" s="18">
        <v>0.153846153846154</v>
      </c>
      <c r="AQ21" s="18">
        <v>0.0294117647058824</v>
      </c>
      <c r="AR21" s="29">
        <v>0</v>
      </c>
      <c r="AS21" s="29">
        <v>0</v>
      </c>
      <c r="AT21" s="29">
        <v>5</v>
      </c>
      <c r="AU21" s="24" t="str">
        <f t="shared" si="1"/>
        <v>库存为5</v>
      </c>
      <c r="AV21" s="31" t="str">
        <f>IFERROR(时间!$B$4+AU21,"上周无销量")</f>
        <v>上周无销量</v>
      </c>
    </row>
    <row r="22" spans="1:48">
      <c r="A22" s="16" t="s">
        <v>84</v>
      </c>
      <c r="B22" t="s">
        <v>85</v>
      </c>
      <c r="C22" t="s">
        <v>55</v>
      </c>
      <c r="D22" s="24">
        <v>1</v>
      </c>
      <c r="E22" s="24">
        <v>0</v>
      </c>
      <c r="F22" s="24">
        <v>0</v>
      </c>
      <c r="G22" s="24">
        <v>0</v>
      </c>
      <c r="H22" s="25">
        <v>35</v>
      </c>
      <c r="I22">
        <v>18</v>
      </c>
      <c r="J22" s="26">
        <v>0</v>
      </c>
      <c r="K22" s="26">
        <v>0</v>
      </c>
      <c r="L22" s="26">
        <v>0</v>
      </c>
      <c r="M22">
        <v>18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23</v>
      </c>
      <c r="AK22">
        <v>29</v>
      </c>
      <c r="AL22">
        <v>32</v>
      </c>
      <c r="AM22">
        <v>22</v>
      </c>
      <c r="AN22" s="18">
        <v>0.0434782608695652</v>
      </c>
      <c r="AO22" s="18">
        <v>0</v>
      </c>
      <c r="AP22" s="18">
        <v>0</v>
      </c>
      <c r="AQ22" s="18">
        <v>0</v>
      </c>
      <c r="AR22" s="29">
        <v>0.142857142857143</v>
      </c>
      <c r="AS22" s="29">
        <v>8.57142857142857</v>
      </c>
      <c r="AT22" s="29">
        <v>9.42857142857143</v>
      </c>
      <c r="AU22" s="24">
        <f t="shared" si="1"/>
        <v>126</v>
      </c>
      <c r="AV22" s="31">
        <f>IFERROR(时间!$B$4+AU22,"上周无销量")</f>
        <v>43444</v>
      </c>
    </row>
    <row r="23" spans="1:48">
      <c r="A23" s="16" t="s">
        <v>86</v>
      </c>
      <c r="B23" t="s">
        <v>87</v>
      </c>
      <c r="C23" t="s">
        <v>55</v>
      </c>
      <c r="D23" s="24">
        <v>1</v>
      </c>
      <c r="E23" s="24">
        <v>1</v>
      </c>
      <c r="F23" s="24">
        <v>0</v>
      </c>
      <c r="G23" s="24">
        <v>0</v>
      </c>
      <c r="H23" s="25">
        <v>35</v>
      </c>
      <c r="I23">
        <v>25</v>
      </c>
      <c r="J23" s="26">
        <v>0</v>
      </c>
      <c r="K23" s="26">
        <v>0</v>
      </c>
      <c r="L23" s="26">
        <v>0</v>
      </c>
      <c r="M23">
        <v>25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13</v>
      </c>
      <c r="AK23">
        <v>12</v>
      </c>
      <c r="AL23">
        <v>20</v>
      </c>
      <c r="AM23">
        <v>16</v>
      </c>
      <c r="AN23" s="18">
        <v>0.0769230769230769</v>
      </c>
      <c r="AO23" s="18">
        <v>0.0833333333333333</v>
      </c>
      <c r="AP23" s="18">
        <v>0</v>
      </c>
      <c r="AQ23" s="18">
        <v>0</v>
      </c>
      <c r="AR23" s="29">
        <v>0.142857142857143</v>
      </c>
      <c r="AS23" s="29">
        <v>8.57142857142857</v>
      </c>
      <c r="AT23" s="29">
        <v>16.4285714285714</v>
      </c>
      <c r="AU23" s="24">
        <f t="shared" si="1"/>
        <v>175</v>
      </c>
      <c r="AV23" s="31">
        <f>IFERROR(时间!$B$4+AU23,"上周无销量")</f>
        <v>43493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0</v>
      </c>
      <c r="F24" s="24">
        <v>0</v>
      </c>
      <c r="G24" s="24">
        <v>0</v>
      </c>
      <c r="H24" s="25">
        <v>0</v>
      </c>
      <c r="I24">
        <v>31</v>
      </c>
      <c r="J24" s="26">
        <v>0</v>
      </c>
      <c r="K24" s="26">
        <v>0</v>
      </c>
      <c r="L24" s="26">
        <v>1</v>
      </c>
      <c r="M24">
        <v>32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17</v>
      </c>
      <c r="AK24">
        <v>12</v>
      </c>
      <c r="AL24">
        <v>7</v>
      </c>
      <c r="AM24">
        <v>10</v>
      </c>
      <c r="AN24" s="18">
        <v>0</v>
      </c>
      <c r="AO24" s="18">
        <v>0</v>
      </c>
      <c r="AP24" s="18">
        <v>0</v>
      </c>
      <c r="AQ24" s="18">
        <v>0</v>
      </c>
      <c r="AR24" s="29">
        <v>0</v>
      </c>
      <c r="AS24" s="29">
        <v>0</v>
      </c>
      <c r="AT24" s="29">
        <v>32</v>
      </c>
      <c r="AU24" s="24" t="str">
        <f t="shared" si="1"/>
        <v>库存为32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76</v>
      </c>
      <c r="J25" s="26">
        <v>0</v>
      </c>
      <c r="K25" s="26">
        <v>0</v>
      </c>
      <c r="L25" s="26">
        <v>0</v>
      </c>
      <c r="M25">
        <v>76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16</v>
      </c>
      <c r="AK25">
        <v>11</v>
      </c>
      <c r="AL25">
        <v>23</v>
      </c>
      <c r="AM25">
        <v>19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76</v>
      </c>
      <c r="AU25" s="24" t="str">
        <f t="shared" si="1"/>
        <v>库存为76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0</v>
      </c>
      <c r="F26" s="24">
        <v>0</v>
      </c>
      <c r="G26" s="24">
        <v>1</v>
      </c>
      <c r="H26" s="25">
        <v>35</v>
      </c>
      <c r="I26">
        <v>31</v>
      </c>
      <c r="J26" s="26">
        <v>0</v>
      </c>
      <c r="K26" s="26">
        <v>0</v>
      </c>
      <c r="L26" s="26">
        <v>0</v>
      </c>
      <c r="M26">
        <v>31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8</v>
      </c>
      <c r="AK26">
        <v>7</v>
      </c>
      <c r="AL26">
        <v>5</v>
      </c>
      <c r="AM26">
        <v>3</v>
      </c>
      <c r="AN26" s="18">
        <v>0</v>
      </c>
      <c r="AO26" s="18">
        <v>0</v>
      </c>
      <c r="AP26" s="18">
        <v>0</v>
      </c>
      <c r="AQ26" s="18">
        <v>0.333333333333333</v>
      </c>
      <c r="AR26" s="29">
        <v>0</v>
      </c>
      <c r="AS26" s="29">
        <v>0</v>
      </c>
      <c r="AT26" s="29">
        <v>31</v>
      </c>
      <c r="AU26" s="24" t="str">
        <f t="shared" si="1"/>
        <v>库存为31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1</v>
      </c>
      <c r="E27" s="24">
        <v>0</v>
      </c>
      <c r="F27" s="24">
        <v>0</v>
      </c>
      <c r="G27" s="24">
        <v>0</v>
      </c>
      <c r="H27" s="25">
        <v>35</v>
      </c>
      <c r="I27">
        <v>37</v>
      </c>
      <c r="J27" s="26">
        <v>0</v>
      </c>
      <c r="K27" s="26">
        <v>0</v>
      </c>
      <c r="L27" s="26">
        <v>0</v>
      </c>
      <c r="M27">
        <v>37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28</v>
      </c>
      <c r="AK27">
        <v>10</v>
      </c>
      <c r="AL27">
        <v>15</v>
      </c>
      <c r="AM27">
        <v>25</v>
      </c>
      <c r="AN27" s="18">
        <v>0.0357142857142857</v>
      </c>
      <c r="AO27" s="18">
        <v>0</v>
      </c>
      <c r="AP27" s="18">
        <v>0</v>
      </c>
      <c r="AQ27" s="18">
        <v>0</v>
      </c>
      <c r="AR27" s="29">
        <v>0.142857142857143</v>
      </c>
      <c r="AS27" s="29">
        <v>8.57142857142857</v>
      </c>
      <c r="AT27" s="29">
        <v>28.4285714285714</v>
      </c>
      <c r="AU27" s="24">
        <f t="shared" si="1"/>
        <v>259</v>
      </c>
      <c r="AV27" s="31">
        <f>IFERROR(时间!$B$4+AU27,"上周无销量")</f>
        <v>43577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0</v>
      </c>
      <c r="G28" s="24">
        <v>1</v>
      </c>
      <c r="H28" s="25">
        <v>35</v>
      </c>
      <c r="I28">
        <v>13</v>
      </c>
      <c r="J28" s="26">
        <v>0</v>
      </c>
      <c r="K28" s="26">
        <v>0</v>
      </c>
      <c r="L28" s="26">
        <v>0</v>
      </c>
      <c r="M28">
        <v>13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19</v>
      </c>
      <c r="AK28">
        <v>9</v>
      </c>
      <c r="AL28">
        <v>16</v>
      </c>
      <c r="AM28">
        <v>18</v>
      </c>
      <c r="AN28" s="18">
        <v>0</v>
      </c>
      <c r="AO28" s="18">
        <v>0</v>
      </c>
      <c r="AP28" s="18">
        <v>0</v>
      </c>
      <c r="AQ28" s="18">
        <v>0.0555555555555556</v>
      </c>
      <c r="AR28" s="29">
        <v>0</v>
      </c>
      <c r="AS28" s="29">
        <v>0</v>
      </c>
      <c r="AT28" s="29">
        <v>13</v>
      </c>
      <c r="AU28" s="24" t="str">
        <f t="shared" si="1"/>
        <v>库存为13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0</v>
      </c>
      <c r="F29" s="24">
        <v>0</v>
      </c>
      <c r="G29" s="24">
        <v>0</v>
      </c>
      <c r="H29" s="25">
        <v>0</v>
      </c>
      <c r="I29">
        <v>7</v>
      </c>
      <c r="J29" s="26">
        <v>0</v>
      </c>
      <c r="K29" s="26">
        <v>0</v>
      </c>
      <c r="L29" s="26">
        <v>0</v>
      </c>
      <c r="M29">
        <v>7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13</v>
      </c>
      <c r="AK29">
        <v>6</v>
      </c>
      <c r="AL29">
        <v>5</v>
      </c>
      <c r="AM29">
        <v>15</v>
      </c>
      <c r="AN29" s="18">
        <v>0</v>
      </c>
      <c r="AO29" s="18">
        <v>0</v>
      </c>
      <c r="AP29" s="18">
        <v>0</v>
      </c>
      <c r="AQ29" s="18">
        <v>0</v>
      </c>
      <c r="AR29" s="29">
        <v>0</v>
      </c>
      <c r="AS29" s="29">
        <v>0</v>
      </c>
      <c r="AT29" s="29">
        <v>7</v>
      </c>
      <c r="AU29" s="24" t="str">
        <f t="shared" si="1"/>
        <v>库存为7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0</v>
      </c>
      <c r="G30" s="24">
        <v>0</v>
      </c>
      <c r="H30" s="25">
        <v>0</v>
      </c>
      <c r="I30">
        <v>40</v>
      </c>
      <c r="J30" s="26">
        <v>0</v>
      </c>
      <c r="K30" s="26">
        <v>0</v>
      </c>
      <c r="L30" s="26">
        <v>1</v>
      </c>
      <c r="M30">
        <v>41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4</v>
      </c>
      <c r="AK30">
        <v>4</v>
      </c>
      <c r="AL30">
        <v>6</v>
      </c>
      <c r="AM30">
        <v>6</v>
      </c>
      <c r="AN30" s="18">
        <v>0</v>
      </c>
      <c r="AO30" s="18">
        <v>0</v>
      </c>
      <c r="AP30" s="18">
        <v>0</v>
      </c>
      <c r="AQ30" s="18">
        <v>0</v>
      </c>
      <c r="AR30" s="29">
        <v>0</v>
      </c>
      <c r="AS30" s="29">
        <v>0</v>
      </c>
      <c r="AT30" s="29">
        <v>41</v>
      </c>
      <c r="AU30" s="24" t="str">
        <f t="shared" si="1"/>
        <v>库存为41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1</v>
      </c>
      <c r="E31" s="24">
        <v>0</v>
      </c>
      <c r="F31" s="24">
        <v>1</v>
      </c>
      <c r="G31" s="24">
        <v>0</v>
      </c>
      <c r="H31" s="25">
        <v>35</v>
      </c>
      <c r="I31">
        <v>49</v>
      </c>
      <c r="J31" s="26">
        <v>0</v>
      </c>
      <c r="K31" s="26">
        <v>0</v>
      </c>
      <c r="L31" s="26">
        <v>0</v>
      </c>
      <c r="M31">
        <v>49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12</v>
      </c>
      <c r="AK31">
        <v>10</v>
      </c>
      <c r="AL31">
        <v>20</v>
      </c>
      <c r="AM31">
        <v>13</v>
      </c>
      <c r="AN31" s="18">
        <v>0.0833333333333333</v>
      </c>
      <c r="AO31" s="18">
        <v>0</v>
      </c>
      <c r="AP31" s="18">
        <v>0.05</v>
      </c>
      <c r="AQ31" s="18">
        <v>0</v>
      </c>
      <c r="AR31" s="29">
        <v>0.142857142857143</v>
      </c>
      <c r="AS31" s="29">
        <v>8.57142857142857</v>
      </c>
      <c r="AT31" s="29">
        <v>40.4285714285714</v>
      </c>
      <c r="AU31" s="24">
        <f t="shared" si="1"/>
        <v>343</v>
      </c>
      <c r="AV31" s="31">
        <f>IFERROR(时间!$B$4+AU31,"上周无销量")</f>
        <v>43661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4</v>
      </c>
      <c r="J32" s="26">
        <v>0</v>
      </c>
      <c r="K32" s="26">
        <v>0</v>
      </c>
      <c r="L32" s="26">
        <v>0</v>
      </c>
      <c r="M32">
        <v>4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16</v>
      </c>
      <c r="AK32">
        <v>11</v>
      </c>
      <c r="AL32">
        <v>10</v>
      </c>
      <c r="AM32">
        <v>14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4</v>
      </c>
      <c r="AU32" s="24" t="str">
        <f t="shared" si="1"/>
        <v>库存为4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20</v>
      </c>
      <c r="J33" s="26">
        <v>0</v>
      </c>
      <c r="K33" s="26">
        <v>0</v>
      </c>
      <c r="L33" s="26">
        <v>0</v>
      </c>
      <c r="M33">
        <v>20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17</v>
      </c>
      <c r="AK33">
        <v>9</v>
      </c>
      <c r="AL33">
        <v>14</v>
      </c>
      <c r="AM33">
        <v>4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20</v>
      </c>
      <c r="AU33" s="24" t="str">
        <f t="shared" si="1"/>
        <v>库存为20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6</v>
      </c>
      <c r="J34" s="26">
        <v>0</v>
      </c>
      <c r="K34" s="26">
        <v>0</v>
      </c>
      <c r="L34" s="26">
        <v>0</v>
      </c>
      <c r="M34">
        <v>6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33</v>
      </c>
      <c r="AK34">
        <v>26</v>
      </c>
      <c r="AL34">
        <v>27</v>
      </c>
      <c r="AM34">
        <v>30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6</v>
      </c>
      <c r="AU34" s="24" t="str">
        <f t="shared" si="1"/>
        <v>库存为6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32</v>
      </c>
      <c r="J35" s="26">
        <v>0</v>
      </c>
      <c r="K35" s="26">
        <v>0</v>
      </c>
      <c r="L35" s="26">
        <v>0</v>
      </c>
      <c r="M35">
        <v>32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7</v>
      </c>
      <c r="AK35">
        <v>11</v>
      </c>
      <c r="AL35">
        <v>10</v>
      </c>
      <c r="AM35">
        <v>7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32</v>
      </c>
      <c r="AU35" s="24" t="str">
        <f t="shared" si="1"/>
        <v>库存为32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0</v>
      </c>
      <c r="F36" s="24">
        <v>0</v>
      </c>
      <c r="G36" s="24">
        <v>0</v>
      </c>
      <c r="H36" s="25">
        <v>0</v>
      </c>
      <c r="I36">
        <v>17</v>
      </c>
      <c r="J36" s="26">
        <v>0</v>
      </c>
      <c r="K36" s="26">
        <v>0</v>
      </c>
      <c r="L36" s="26">
        <v>0</v>
      </c>
      <c r="M36">
        <v>17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11</v>
      </c>
      <c r="AK36">
        <v>8</v>
      </c>
      <c r="AL36">
        <v>7</v>
      </c>
      <c r="AM36">
        <v>7</v>
      </c>
      <c r="AN36" s="18">
        <v>0</v>
      </c>
      <c r="AO36" s="18">
        <v>0</v>
      </c>
      <c r="AP36" s="18">
        <v>0</v>
      </c>
      <c r="AQ36" s="18">
        <v>0</v>
      </c>
      <c r="AR36" s="29">
        <v>0</v>
      </c>
      <c r="AS36" s="29">
        <v>0</v>
      </c>
      <c r="AT36" s="29">
        <v>17</v>
      </c>
      <c r="AU36" s="24" t="str">
        <f t="shared" si="1"/>
        <v>库存为17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28</v>
      </c>
      <c r="J37" s="26">
        <v>0</v>
      </c>
      <c r="K37" s="26">
        <v>0</v>
      </c>
      <c r="L37" s="26">
        <v>0</v>
      </c>
      <c r="M37">
        <v>28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12</v>
      </c>
      <c r="AK37">
        <v>11</v>
      </c>
      <c r="AL37">
        <v>12</v>
      </c>
      <c r="AM37">
        <v>19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28</v>
      </c>
      <c r="AU37" s="24" t="str">
        <f t="shared" si="1"/>
        <v>库存为28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30</v>
      </c>
      <c r="J38" s="26">
        <v>0</v>
      </c>
      <c r="K38" s="26">
        <v>0</v>
      </c>
      <c r="L38" s="26">
        <v>2</v>
      </c>
      <c r="M38">
        <v>32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9</v>
      </c>
      <c r="AK38">
        <v>3</v>
      </c>
      <c r="AL38">
        <v>7</v>
      </c>
      <c r="AM38">
        <v>7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32</v>
      </c>
      <c r="AU38" s="24" t="str">
        <f t="shared" si="1"/>
        <v>库存为32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9</v>
      </c>
      <c r="J39" s="26">
        <v>0</v>
      </c>
      <c r="K39" s="26">
        <v>0</v>
      </c>
      <c r="L39" s="26">
        <v>0</v>
      </c>
      <c r="M39">
        <v>9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20</v>
      </c>
      <c r="AK39">
        <v>15</v>
      </c>
      <c r="AL39">
        <v>9</v>
      </c>
      <c r="AM39">
        <v>14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9</v>
      </c>
      <c r="AU39" s="24" t="str">
        <f t="shared" si="1"/>
        <v>库存为9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1</v>
      </c>
      <c r="J40" s="26">
        <v>0</v>
      </c>
      <c r="K40" s="26">
        <v>0</v>
      </c>
      <c r="L40" s="26">
        <v>0</v>
      </c>
      <c r="M40">
        <v>1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12</v>
      </c>
      <c r="AK40">
        <v>8</v>
      </c>
      <c r="AL40">
        <v>11</v>
      </c>
      <c r="AM40">
        <v>13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1</v>
      </c>
      <c r="AU40" s="24" t="str">
        <f t="shared" si="1"/>
        <v>库存为1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5</v>
      </c>
      <c r="J41" s="26">
        <v>0</v>
      </c>
      <c r="K41" s="26">
        <v>0</v>
      </c>
      <c r="L41" s="26">
        <v>0</v>
      </c>
      <c r="M41">
        <v>5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13</v>
      </c>
      <c r="AK41">
        <v>9</v>
      </c>
      <c r="AL41">
        <v>7</v>
      </c>
      <c r="AM41">
        <v>16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5</v>
      </c>
      <c r="AU41" s="24" t="str">
        <f t="shared" si="1"/>
        <v>库存为5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33</v>
      </c>
      <c r="J42" s="26">
        <v>0</v>
      </c>
      <c r="K42" s="26">
        <v>0</v>
      </c>
      <c r="L42" s="26">
        <v>0</v>
      </c>
      <c r="M42">
        <v>33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9</v>
      </c>
      <c r="AK42">
        <v>8</v>
      </c>
      <c r="AL42">
        <v>10</v>
      </c>
      <c r="AM42">
        <v>17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33</v>
      </c>
      <c r="AU42" s="24" t="str">
        <f t="shared" si="1"/>
        <v>库存为33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14</v>
      </c>
      <c r="J43" s="26">
        <v>0</v>
      </c>
      <c r="K43" s="26">
        <v>0</v>
      </c>
      <c r="L43" s="26">
        <v>1</v>
      </c>
      <c r="M43">
        <v>15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19</v>
      </c>
      <c r="AK43">
        <v>17</v>
      </c>
      <c r="AL43">
        <v>10</v>
      </c>
      <c r="AM43">
        <v>18</v>
      </c>
      <c r="AN43" s="18">
        <v>0</v>
      </c>
      <c r="AO43" s="18">
        <v>0</v>
      </c>
      <c r="AP43" s="18">
        <v>0</v>
      </c>
      <c r="AQ43" s="18">
        <v>0</v>
      </c>
      <c r="AR43" s="29">
        <v>0</v>
      </c>
      <c r="AS43" s="29">
        <v>0</v>
      </c>
      <c r="AT43" s="29">
        <v>15</v>
      </c>
      <c r="AU43" s="24" t="str">
        <f t="shared" si="1"/>
        <v>库存为15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0</v>
      </c>
      <c r="J44" s="26">
        <v>0</v>
      </c>
      <c r="K44" s="26">
        <v>0</v>
      </c>
      <c r="L44" s="26">
        <v>0</v>
      </c>
      <c r="M44">
        <v>0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0</v>
      </c>
      <c r="AK44">
        <v>0</v>
      </c>
      <c r="AL44">
        <v>0</v>
      </c>
      <c r="AM44">
        <v>0</v>
      </c>
      <c r="AN44" s="18" t="s">
        <v>52</v>
      </c>
      <c r="AO44" s="18" t="s">
        <v>52</v>
      </c>
      <c r="AP44" s="18" t="s">
        <v>52</v>
      </c>
      <c r="AQ44" s="18" t="s">
        <v>52</v>
      </c>
      <c r="AR44" s="29">
        <v>0</v>
      </c>
      <c r="AS44" s="29">
        <v>0</v>
      </c>
      <c r="AT44" s="29">
        <v>0</v>
      </c>
      <c r="AU44" s="24" t="str">
        <f t="shared" si="1"/>
        <v>库存为0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35</v>
      </c>
      <c r="J45" s="26">
        <v>0</v>
      </c>
      <c r="K45" s="26">
        <v>0</v>
      </c>
      <c r="L45" s="26">
        <v>0</v>
      </c>
      <c r="M45">
        <v>35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7</v>
      </c>
      <c r="AK45">
        <v>5</v>
      </c>
      <c r="AL45">
        <v>6</v>
      </c>
      <c r="AM45">
        <v>13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35</v>
      </c>
      <c r="AU45" s="24" t="str">
        <f t="shared" si="1"/>
        <v>库存为35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47</v>
      </c>
      <c r="J46" s="26">
        <v>0</v>
      </c>
      <c r="K46" s="26">
        <v>0</v>
      </c>
      <c r="L46" s="26">
        <v>0</v>
      </c>
      <c r="M46">
        <v>47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11</v>
      </c>
      <c r="AK46">
        <v>10</v>
      </c>
      <c r="AL46">
        <v>5</v>
      </c>
      <c r="AM46">
        <v>10</v>
      </c>
      <c r="AN46" s="18">
        <v>0</v>
      </c>
      <c r="AO46" s="18">
        <v>0</v>
      </c>
      <c r="AP46" s="18">
        <v>0</v>
      </c>
      <c r="AQ46" s="18">
        <v>0</v>
      </c>
      <c r="AR46" s="29">
        <v>0</v>
      </c>
      <c r="AS46" s="29">
        <v>0</v>
      </c>
      <c r="AT46" s="29">
        <v>47</v>
      </c>
      <c r="AU46" s="24" t="str">
        <f t="shared" si="1"/>
        <v>库存为47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0</v>
      </c>
      <c r="AL47">
        <v>0</v>
      </c>
      <c r="AM47">
        <v>0</v>
      </c>
      <c r="AN47" s="18" t="s">
        <v>52</v>
      </c>
      <c r="AO47" s="18" t="s">
        <v>52</v>
      </c>
      <c r="AP47" s="18" t="s">
        <v>52</v>
      </c>
      <c r="AQ47" s="18" t="s">
        <v>52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3</v>
      </c>
      <c r="J48" s="26">
        <v>0</v>
      </c>
      <c r="K48" s="26">
        <v>0</v>
      </c>
      <c r="L48" s="26">
        <v>0</v>
      </c>
      <c r="M48">
        <v>3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9</v>
      </c>
      <c r="AK48">
        <v>7</v>
      </c>
      <c r="AL48">
        <v>5</v>
      </c>
      <c r="AM48">
        <v>11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3</v>
      </c>
      <c r="AU48" s="24" t="str">
        <f t="shared" si="1"/>
        <v>库存为3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3</v>
      </c>
      <c r="J49" s="26">
        <v>0</v>
      </c>
      <c r="K49" s="26">
        <v>0</v>
      </c>
      <c r="L49" s="26">
        <v>0</v>
      </c>
      <c r="M49">
        <v>3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10</v>
      </c>
      <c r="AK49">
        <v>15</v>
      </c>
      <c r="AL49">
        <v>9</v>
      </c>
      <c r="AM49">
        <v>20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3</v>
      </c>
      <c r="AU49" s="24" t="str">
        <f t="shared" si="1"/>
        <v>库存为3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55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8</v>
      </c>
      <c r="J50" s="26">
        <v>0</v>
      </c>
      <c r="K50" s="26">
        <v>0</v>
      </c>
      <c r="L50" s="26">
        <v>0</v>
      </c>
      <c r="M50">
        <v>8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4</v>
      </c>
      <c r="AK50">
        <v>4</v>
      </c>
      <c r="AL50">
        <v>8</v>
      </c>
      <c r="AM50">
        <v>8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8</v>
      </c>
      <c r="AU50" s="24" t="str">
        <f t="shared" si="1"/>
        <v>库存为8</v>
      </c>
      <c r="AV50" s="31" t="str">
        <f>IFERROR(时间!$B$4+AU50,"上周无销量")</f>
        <v>上周无销量</v>
      </c>
    </row>
    <row r="51" spans="1:48">
      <c r="A51" s="16" t="s">
        <v>142</v>
      </c>
      <c r="B51" t="s">
        <v>143</v>
      </c>
      <c r="C51" t="s">
        <v>144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37</v>
      </c>
      <c r="J51" s="26">
        <v>0</v>
      </c>
      <c r="K51" s="26">
        <v>0</v>
      </c>
      <c r="L51" s="26">
        <v>1</v>
      </c>
      <c r="M51">
        <v>38</v>
      </c>
      <c r="N51">
        <v>1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5</v>
      </c>
      <c r="AK51">
        <v>12</v>
      </c>
      <c r="AL51">
        <v>25</v>
      </c>
      <c r="AM51">
        <v>15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38</v>
      </c>
      <c r="AU51" s="24" t="str">
        <f t="shared" si="1"/>
        <v>库存为38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144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32</v>
      </c>
      <c r="J52" s="26">
        <v>0</v>
      </c>
      <c r="K52" s="26">
        <v>0</v>
      </c>
      <c r="L52" s="26">
        <v>0</v>
      </c>
      <c r="M52">
        <v>32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9</v>
      </c>
      <c r="AK52">
        <v>15</v>
      </c>
      <c r="AL52">
        <v>14</v>
      </c>
      <c r="AM52">
        <v>9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32</v>
      </c>
      <c r="AU52" s="24" t="str">
        <f t="shared" si="1"/>
        <v>库存为32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144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38</v>
      </c>
      <c r="J53" s="26">
        <v>0</v>
      </c>
      <c r="K53" s="26">
        <v>0</v>
      </c>
      <c r="L53" s="26">
        <v>0</v>
      </c>
      <c r="M53">
        <v>38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4</v>
      </c>
      <c r="AK53">
        <v>8</v>
      </c>
      <c r="AL53">
        <v>19</v>
      </c>
      <c r="AM53">
        <v>9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38</v>
      </c>
      <c r="AU53" s="24" t="str">
        <f t="shared" si="1"/>
        <v>库存为38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144</v>
      </c>
      <c r="D54" s="24">
        <v>0</v>
      </c>
      <c r="E54" s="24">
        <v>0</v>
      </c>
      <c r="F54" s="24">
        <v>0</v>
      </c>
      <c r="G54" s="24">
        <v>0</v>
      </c>
      <c r="H54" s="25">
        <v>0</v>
      </c>
      <c r="I54">
        <v>20</v>
      </c>
      <c r="J54" s="26">
        <v>0</v>
      </c>
      <c r="K54" s="26">
        <v>0</v>
      </c>
      <c r="L54" s="26">
        <v>1</v>
      </c>
      <c r="M54">
        <v>21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16</v>
      </c>
      <c r="AK54">
        <v>18</v>
      </c>
      <c r="AL54">
        <v>42</v>
      </c>
      <c r="AM54">
        <v>31</v>
      </c>
      <c r="AN54" s="18">
        <v>0</v>
      </c>
      <c r="AO54" s="18">
        <v>0</v>
      </c>
      <c r="AP54" s="18">
        <v>0</v>
      </c>
      <c r="AQ54" s="18">
        <v>0</v>
      </c>
      <c r="AR54" s="29">
        <v>0</v>
      </c>
      <c r="AS54" s="29">
        <v>0</v>
      </c>
      <c r="AT54" s="29">
        <v>21</v>
      </c>
      <c r="AU54" s="24" t="str">
        <f t="shared" si="1"/>
        <v>库存为21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144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15</v>
      </c>
      <c r="J55" s="26">
        <v>0</v>
      </c>
      <c r="K55" s="26">
        <v>0</v>
      </c>
      <c r="L55" s="26">
        <v>0</v>
      </c>
      <c r="M55">
        <v>15</v>
      </c>
      <c r="N55">
        <v>0</v>
      </c>
      <c r="O55">
        <v>15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7</v>
      </c>
      <c r="AK55">
        <v>3</v>
      </c>
      <c r="AL55">
        <v>4</v>
      </c>
      <c r="AM55">
        <v>5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15</v>
      </c>
      <c r="AU55" s="24" t="str">
        <f t="shared" si="1"/>
        <v>库存为15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144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18</v>
      </c>
      <c r="J56" s="26">
        <v>0</v>
      </c>
      <c r="K56" s="26">
        <v>0</v>
      </c>
      <c r="L56" s="26">
        <v>0</v>
      </c>
      <c r="M56">
        <v>18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19</v>
      </c>
      <c r="AK56">
        <v>17</v>
      </c>
      <c r="AL56">
        <v>14</v>
      </c>
      <c r="AM56">
        <v>11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18</v>
      </c>
      <c r="AU56" s="24" t="str">
        <f t="shared" si="1"/>
        <v>库存为18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144</v>
      </c>
      <c r="D57" s="24">
        <v>0</v>
      </c>
      <c r="E57" s="24">
        <v>0</v>
      </c>
      <c r="F57" s="24">
        <v>1</v>
      </c>
      <c r="G57" s="24">
        <v>0</v>
      </c>
      <c r="H57" s="25">
        <v>30</v>
      </c>
      <c r="I57">
        <v>41</v>
      </c>
      <c r="J57" s="26">
        <v>0</v>
      </c>
      <c r="K57" s="26">
        <v>0</v>
      </c>
      <c r="L57" s="26">
        <v>0</v>
      </c>
      <c r="M57">
        <v>41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12</v>
      </c>
      <c r="AK57">
        <v>20</v>
      </c>
      <c r="AL57">
        <v>10</v>
      </c>
      <c r="AM57">
        <v>4</v>
      </c>
      <c r="AN57" s="18">
        <v>0</v>
      </c>
      <c r="AO57" s="18">
        <v>0</v>
      </c>
      <c r="AP57" s="18">
        <v>0.1</v>
      </c>
      <c r="AQ57" s="18">
        <v>0</v>
      </c>
      <c r="AR57" s="29">
        <v>0</v>
      </c>
      <c r="AS57" s="29">
        <v>0</v>
      </c>
      <c r="AT57" s="29">
        <v>41</v>
      </c>
      <c r="AU57" s="24" t="str">
        <f t="shared" si="1"/>
        <v>库存为41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144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38</v>
      </c>
      <c r="J58" s="26">
        <v>0</v>
      </c>
      <c r="K58" s="26">
        <v>0</v>
      </c>
      <c r="L58" s="26">
        <v>0</v>
      </c>
      <c r="M58">
        <v>38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13</v>
      </c>
      <c r="AK58">
        <v>14</v>
      </c>
      <c r="AL58">
        <v>7</v>
      </c>
      <c r="AM58">
        <v>14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38</v>
      </c>
      <c r="AU58" s="24" t="str">
        <f t="shared" si="1"/>
        <v>库存为38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144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38</v>
      </c>
      <c r="J59" s="26">
        <v>0</v>
      </c>
      <c r="K59" s="26">
        <v>0</v>
      </c>
      <c r="L59" s="26">
        <v>0</v>
      </c>
      <c r="M59">
        <v>38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12</v>
      </c>
      <c r="AK59">
        <v>22</v>
      </c>
      <c r="AL59">
        <v>48</v>
      </c>
      <c r="AM59">
        <v>29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38</v>
      </c>
      <c r="AU59" s="24" t="str">
        <f t="shared" si="1"/>
        <v>库存为38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144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58</v>
      </c>
      <c r="J60" s="26">
        <v>0</v>
      </c>
      <c r="K60" s="26">
        <v>0</v>
      </c>
      <c r="L60" s="26">
        <v>0</v>
      </c>
      <c r="M60">
        <v>58</v>
      </c>
      <c r="N60">
        <v>0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16</v>
      </c>
      <c r="AK60">
        <v>26</v>
      </c>
      <c r="AL60">
        <v>15</v>
      </c>
      <c r="AM60">
        <v>8</v>
      </c>
      <c r="AN60" s="18">
        <v>0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58</v>
      </c>
      <c r="AU60" s="24" t="str">
        <f t="shared" si="1"/>
        <v>库存为58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144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0</v>
      </c>
      <c r="J61" s="26">
        <v>0</v>
      </c>
      <c r="K61" s="26">
        <v>0</v>
      </c>
      <c r="L61" s="26">
        <v>0</v>
      </c>
      <c r="M61">
        <v>0</v>
      </c>
      <c r="N61">
        <v>1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7</v>
      </c>
      <c r="AK61">
        <v>1</v>
      </c>
      <c r="AL61">
        <v>3</v>
      </c>
      <c r="AM61">
        <v>12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0</v>
      </c>
      <c r="AU61" s="24" t="str">
        <f t="shared" si="1"/>
        <v>库存为0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144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2</v>
      </c>
      <c r="J62" s="26">
        <v>0</v>
      </c>
      <c r="K62" s="26">
        <v>0</v>
      </c>
      <c r="L62" s="26">
        <v>0</v>
      </c>
      <c r="M62">
        <v>2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28</v>
      </c>
      <c r="AK62">
        <v>31</v>
      </c>
      <c r="AL62">
        <v>35</v>
      </c>
      <c r="AM62">
        <v>15</v>
      </c>
      <c r="AN62" s="18">
        <v>0</v>
      </c>
      <c r="AO62" s="18">
        <v>0</v>
      </c>
      <c r="AP62" s="18">
        <v>0</v>
      </c>
      <c r="AQ62" s="18">
        <v>0</v>
      </c>
      <c r="AR62" s="29">
        <v>0</v>
      </c>
      <c r="AS62" s="29">
        <v>0</v>
      </c>
      <c r="AT62" s="29">
        <v>2</v>
      </c>
      <c r="AU62" s="24" t="str">
        <f t="shared" si="1"/>
        <v>库存为2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144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0</v>
      </c>
      <c r="J63" s="26">
        <v>0</v>
      </c>
      <c r="K63" s="26">
        <v>0</v>
      </c>
      <c r="L63" s="26">
        <v>0</v>
      </c>
      <c r="M63">
        <v>0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0</v>
      </c>
      <c r="AK63">
        <v>0</v>
      </c>
      <c r="AL63">
        <v>10</v>
      </c>
      <c r="AM63">
        <v>10</v>
      </c>
      <c r="AN63" s="18" t="s">
        <v>52</v>
      </c>
      <c r="AO63" s="18" t="s">
        <v>52</v>
      </c>
      <c r="AP63" s="18">
        <v>0</v>
      </c>
      <c r="AQ63" s="18">
        <v>0</v>
      </c>
      <c r="AR63" s="29">
        <v>0</v>
      </c>
      <c r="AS63" s="29">
        <v>0</v>
      </c>
      <c r="AT63" s="29">
        <v>0</v>
      </c>
      <c r="AU63" s="24" t="str">
        <f t="shared" si="1"/>
        <v>库存为0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144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5</v>
      </c>
      <c r="J64" s="26">
        <v>0</v>
      </c>
      <c r="K64" s="26">
        <v>0</v>
      </c>
      <c r="L64" s="26">
        <v>0</v>
      </c>
      <c r="M64">
        <v>5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10</v>
      </c>
      <c r="AK64">
        <v>18</v>
      </c>
      <c r="AL64">
        <v>13</v>
      </c>
      <c r="AM64">
        <v>14</v>
      </c>
      <c r="AN64" s="18">
        <v>0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5</v>
      </c>
      <c r="AU64" s="24" t="str">
        <f t="shared" si="1"/>
        <v>库存为5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144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0</v>
      </c>
      <c r="J65" s="26">
        <v>0</v>
      </c>
      <c r="K65" s="26">
        <v>0</v>
      </c>
      <c r="L65" s="26">
        <v>0</v>
      </c>
      <c r="M65">
        <v>0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8</v>
      </c>
      <c r="AK65">
        <v>16</v>
      </c>
      <c r="AL65">
        <v>43</v>
      </c>
      <c r="AM65">
        <v>30</v>
      </c>
      <c r="AN65" s="18">
        <v>0</v>
      </c>
      <c r="AO65" s="18">
        <v>0</v>
      </c>
      <c r="AP65" s="18">
        <v>0</v>
      </c>
      <c r="AQ65" s="18">
        <v>0</v>
      </c>
      <c r="AR65" s="29">
        <v>0</v>
      </c>
      <c r="AS65" s="29">
        <v>0</v>
      </c>
      <c r="AT65" s="29">
        <v>0</v>
      </c>
      <c r="AU65" s="24" t="str">
        <f t="shared" si="1"/>
        <v>库存为0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144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0</v>
      </c>
      <c r="AK66">
        <v>0</v>
      </c>
      <c r="AL66">
        <v>0</v>
      </c>
      <c r="AM66">
        <v>0</v>
      </c>
      <c r="AN66" s="18" t="s">
        <v>52</v>
      </c>
      <c r="AO66" s="18" t="s">
        <v>52</v>
      </c>
      <c r="AP66" s="18" t="s">
        <v>52</v>
      </c>
      <c r="AQ66" s="18" t="s">
        <v>52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144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1</v>
      </c>
      <c r="J67" s="26">
        <v>0</v>
      </c>
      <c r="K67" s="26">
        <v>0</v>
      </c>
      <c r="L67" s="26">
        <v>1</v>
      </c>
      <c r="M67">
        <v>2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24</v>
      </c>
      <c r="AK67">
        <v>19</v>
      </c>
      <c r="AL67">
        <v>22</v>
      </c>
      <c r="AM67">
        <v>29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2</v>
      </c>
      <c r="AU67" s="24" t="str">
        <f t="shared" si="1"/>
        <v>库存为2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144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0</v>
      </c>
      <c r="J68" s="26">
        <v>0</v>
      </c>
      <c r="K68" s="26">
        <v>0</v>
      </c>
      <c r="L68" s="26">
        <v>0</v>
      </c>
      <c r="M68">
        <v>0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12</v>
      </c>
      <c r="AK68">
        <v>9</v>
      </c>
      <c r="AL68">
        <v>12</v>
      </c>
      <c r="AM68">
        <v>17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0</v>
      </c>
      <c r="AU68" s="24" t="str">
        <f t="shared" si="1"/>
        <v>库存为0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144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3</v>
      </c>
      <c r="J69" s="26">
        <v>0</v>
      </c>
      <c r="K69" s="26">
        <v>0</v>
      </c>
      <c r="L69" s="26">
        <v>0</v>
      </c>
      <c r="M69">
        <v>3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19</v>
      </c>
      <c r="AK69">
        <v>22</v>
      </c>
      <c r="AL69">
        <v>33</v>
      </c>
      <c r="AM69">
        <v>30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3</v>
      </c>
      <c r="AU69" s="24" t="str">
        <f t="shared" si="1"/>
        <v>库存为3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144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6</v>
      </c>
      <c r="J70" s="26">
        <v>0</v>
      </c>
      <c r="K70" s="26">
        <v>0</v>
      </c>
      <c r="L70" s="26">
        <v>1</v>
      </c>
      <c r="M70">
        <v>7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6</v>
      </c>
      <c r="AK70">
        <v>9</v>
      </c>
      <c r="AL70">
        <v>8</v>
      </c>
      <c r="AM70">
        <v>9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7</v>
      </c>
      <c r="AU70" s="24" t="str">
        <f t="shared" ref="AU70:AU133" si="2">IF(AR70="","库存为"&amp;M70,IF(AS70=0,"库存为"&amp;M70,INT(M70/AR70)))</f>
        <v>库存为7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144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43</v>
      </c>
      <c r="J71" s="26">
        <v>0</v>
      </c>
      <c r="K71" s="26">
        <v>0</v>
      </c>
      <c r="L71" s="26">
        <v>0</v>
      </c>
      <c r="M71">
        <v>43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13</v>
      </c>
      <c r="AK71">
        <v>8</v>
      </c>
      <c r="AL71">
        <v>15</v>
      </c>
      <c r="AM71">
        <v>9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43</v>
      </c>
      <c r="AU71" s="24" t="str">
        <f t="shared" si="2"/>
        <v>库存为43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144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53</v>
      </c>
      <c r="J72" s="26">
        <v>0</v>
      </c>
      <c r="K72" s="26">
        <v>0</v>
      </c>
      <c r="L72" s="26">
        <v>1</v>
      </c>
      <c r="M72">
        <v>54</v>
      </c>
      <c r="N72">
        <v>1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7</v>
      </c>
      <c r="AK72">
        <v>11</v>
      </c>
      <c r="AL72">
        <v>13</v>
      </c>
      <c r="AM72">
        <v>13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54</v>
      </c>
      <c r="AU72" s="24" t="str">
        <f t="shared" si="2"/>
        <v>库存为54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144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2</v>
      </c>
      <c r="J73" s="26">
        <v>0</v>
      </c>
      <c r="K73" s="26">
        <v>0</v>
      </c>
      <c r="L73" s="26">
        <v>0</v>
      </c>
      <c r="M73">
        <v>2</v>
      </c>
      <c r="N73">
        <v>1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8</v>
      </c>
      <c r="AK73">
        <v>9</v>
      </c>
      <c r="AL73">
        <v>12</v>
      </c>
      <c r="AM73">
        <v>5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2</v>
      </c>
      <c r="AU73" s="24" t="str">
        <f t="shared" si="2"/>
        <v>库存为2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144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44</v>
      </c>
      <c r="J74" s="26">
        <v>0</v>
      </c>
      <c r="K74" s="26">
        <v>0</v>
      </c>
      <c r="L74" s="26">
        <v>0</v>
      </c>
      <c r="M74">
        <v>44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16</v>
      </c>
      <c r="AK74">
        <v>24</v>
      </c>
      <c r="AL74">
        <v>33</v>
      </c>
      <c r="AM74">
        <v>28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44</v>
      </c>
      <c r="AU74" s="24" t="str">
        <f t="shared" si="2"/>
        <v>库存为44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144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48</v>
      </c>
      <c r="J75" s="26">
        <v>0</v>
      </c>
      <c r="K75" s="26">
        <v>0</v>
      </c>
      <c r="L75" s="26">
        <v>0</v>
      </c>
      <c r="M75">
        <v>48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8</v>
      </c>
      <c r="AK75">
        <v>5</v>
      </c>
      <c r="AL75">
        <v>6</v>
      </c>
      <c r="AM75">
        <v>8</v>
      </c>
      <c r="AN75" s="18">
        <v>0</v>
      </c>
      <c r="AO75" s="18">
        <v>0</v>
      </c>
      <c r="AP75" s="18">
        <v>0</v>
      </c>
      <c r="AQ75" s="18">
        <v>0</v>
      </c>
      <c r="AR75" s="29">
        <v>0</v>
      </c>
      <c r="AS75" s="29">
        <v>0</v>
      </c>
      <c r="AT75" s="29">
        <v>48</v>
      </c>
      <c r="AU75" s="24" t="str">
        <f t="shared" si="2"/>
        <v>库存为48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144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144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144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144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144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0</v>
      </c>
      <c r="J80" s="26">
        <v>0</v>
      </c>
      <c r="K80" s="26">
        <v>0</v>
      </c>
      <c r="L80" s="26">
        <v>0</v>
      </c>
      <c r="M80">
        <v>0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0</v>
      </c>
      <c r="AK80">
        <v>0</v>
      </c>
      <c r="AL80">
        <v>0</v>
      </c>
      <c r="AM80">
        <v>0</v>
      </c>
      <c r="AN80" s="18" t="s">
        <v>52</v>
      </c>
      <c r="AO80" s="18" t="s">
        <v>52</v>
      </c>
      <c r="AP80" s="18" t="s">
        <v>52</v>
      </c>
      <c r="AQ80" s="18" t="s">
        <v>52</v>
      </c>
      <c r="AR80" s="29">
        <v>0</v>
      </c>
      <c r="AS80" s="29">
        <v>0</v>
      </c>
      <c r="AT80" s="29">
        <v>0</v>
      </c>
      <c r="AU80" s="24" t="str">
        <f t="shared" si="2"/>
        <v>库存为0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144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7</v>
      </c>
      <c r="J81" s="26">
        <v>0</v>
      </c>
      <c r="K81" s="26">
        <v>0</v>
      </c>
      <c r="L81" s="26">
        <v>0</v>
      </c>
      <c r="M81">
        <v>7</v>
      </c>
      <c r="N81">
        <v>0</v>
      </c>
      <c r="O81">
        <v>0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12</v>
      </c>
      <c r="AK81">
        <v>12</v>
      </c>
      <c r="AL81">
        <v>21</v>
      </c>
      <c r="AM81">
        <v>13</v>
      </c>
      <c r="AN81" s="18">
        <v>0</v>
      </c>
      <c r="AO81" s="18">
        <v>0</v>
      </c>
      <c r="AP81" s="18">
        <v>0</v>
      </c>
      <c r="AQ81" s="18">
        <v>0</v>
      </c>
      <c r="AR81" s="29">
        <v>0</v>
      </c>
      <c r="AS81" s="29">
        <v>0</v>
      </c>
      <c r="AT81" s="29">
        <v>7</v>
      </c>
      <c r="AU81" s="24" t="str">
        <f t="shared" si="2"/>
        <v>库存为7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144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5</v>
      </c>
      <c r="J82" s="26">
        <v>0</v>
      </c>
      <c r="K82" s="26">
        <v>0</v>
      </c>
      <c r="L82" s="26">
        <v>0</v>
      </c>
      <c r="M82">
        <v>5</v>
      </c>
      <c r="N82">
        <v>0</v>
      </c>
      <c r="O82">
        <v>5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0</v>
      </c>
      <c r="AK82">
        <v>0</v>
      </c>
      <c r="AL82">
        <v>0</v>
      </c>
      <c r="AM82">
        <v>0</v>
      </c>
      <c r="AN82" s="18" t="s">
        <v>52</v>
      </c>
      <c r="AO82" s="18" t="s">
        <v>52</v>
      </c>
      <c r="AP82" s="18" t="s">
        <v>52</v>
      </c>
      <c r="AQ82" s="18" t="s">
        <v>52</v>
      </c>
      <c r="AR82" s="29">
        <v>0</v>
      </c>
      <c r="AS82" s="29">
        <v>0</v>
      </c>
      <c r="AT82" s="29">
        <v>5</v>
      </c>
      <c r="AU82" s="24" t="str">
        <f t="shared" si="2"/>
        <v>库存为5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144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30</v>
      </c>
      <c r="J83" s="26">
        <v>0</v>
      </c>
      <c r="K83" s="26">
        <v>0</v>
      </c>
      <c r="L83" s="26">
        <v>0</v>
      </c>
      <c r="M83">
        <v>30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10</v>
      </c>
      <c r="AK83">
        <v>8</v>
      </c>
      <c r="AL83">
        <v>4</v>
      </c>
      <c r="AM83">
        <v>7</v>
      </c>
      <c r="AN83" s="18">
        <v>0</v>
      </c>
      <c r="AO83" s="18">
        <v>0</v>
      </c>
      <c r="AP83" s="18">
        <v>0</v>
      </c>
      <c r="AQ83" s="18">
        <v>0</v>
      </c>
      <c r="AR83" s="29">
        <v>0</v>
      </c>
      <c r="AS83" s="29">
        <v>0</v>
      </c>
      <c r="AT83" s="29">
        <v>30</v>
      </c>
      <c r="AU83" s="24" t="str">
        <f t="shared" si="2"/>
        <v>库存为30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144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23</v>
      </c>
      <c r="J84" s="26">
        <v>0</v>
      </c>
      <c r="K84" s="26">
        <v>0</v>
      </c>
      <c r="L84" s="26">
        <v>0</v>
      </c>
      <c r="M84">
        <v>23</v>
      </c>
      <c r="N84">
        <v>0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11</v>
      </c>
      <c r="AK84">
        <v>29</v>
      </c>
      <c r="AL84">
        <v>33</v>
      </c>
      <c r="AM84">
        <v>31</v>
      </c>
      <c r="AN84" s="18">
        <v>0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23</v>
      </c>
      <c r="AU84" s="24" t="str">
        <f t="shared" si="2"/>
        <v>库存为23</v>
      </c>
      <c r="AV84" s="31" t="str">
        <f>IFERROR(时间!$B$4+AU84,"上周无销量")</f>
        <v>上周无销量</v>
      </c>
    </row>
    <row r="85" spans="1:48">
      <c r="A85" s="16" t="s">
        <v>211</v>
      </c>
      <c r="B85" t="s">
        <v>212</v>
      </c>
      <c r="C85" t="s">
        <v>213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1</v>
      </c>
      <c r="J85" s="26">
        <v>0</v>
      </c>
      <c r="K85" s="26">
        <v>0</v>
      </c>
      <c r="L85" s="26">
        <v>0</v>
      </c>
      <c r="M85">
        <v>1</v>
      </c>
      <c r="N85">
        <v>0</v>
      </c>
      <c r="O85">
        <v>1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1</v>
      </c>
      <c r="AK85">
        <v>10</v>
      </c>
      <c r="AL85">
        <v>2</v>
      </c>
      <c r="AM85">
        <v>0</v>
      </c>
      <c r="AN85" s="18">
        <v>0</v>
      </c>
      <c r="AO85" s="18">
        <v>0</v>
      </c>
      <c r="AP85" s="18">
        <v>0</v>
      </c>
      <c r="AQ85" s="18" t="s">
        <v>52</v>
      </c>
      <c r="AR85" s="29">
        <v>0</v>
      </c>
      <c r="AS85" s="29">
        <v>0</v>
      </c>
      <c r="AT85" s="29">
        <v>1</v>
      </c>
      <c r="AU85" s="24" t="str">
        <f t="shared" si="2"/>
        <v>库存为1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213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1</v>
      </c>
      <c r="J86" s="26">
        <v>0</v>
      </c>
      <c r="K86" s="26">
        <v>0</v>
      </c>
      <c r="L86" s="26">
        <v>0</v>
      </c>
      <c r="M86">
        <v>1</v>
      </c>
      <c r="N86">
        <v>0</v>
      </c>
      <c r="O86">
        <v>1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2</v>
      </c>
      <c r="AK86">
        <v>10</v>
      </c>
      <c r="AL86">
        <v>2</v>
      </c>
      <c r="AM86">
        <v>0</v>
      </c>
      <c r="AN86" s="18">
        <v>0</v>
      </c>
      <c r="AO86" s="18">
        <v>0</v>
      </c>
      <c r="AP86" s="18">
        <v>0</v>
      </c>
      <c r="AQ86" s="18" t="s">
        <v>52</v>
      </c>
      <c r="AR86" s="29">
        <v>0</v>
      </c>
      <c r="AS86" s="29">
        <v>0</v>
      </c>
      <c r="AT86" s="29">
        <v>1</v>
      </c>
      <c r="AU86" s="24" t="str">
        <f t="shared" si="2"/>
        <v>库存为1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213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1</v>
      </c>
      <c r="J87" s="26">
        <v>0</v>
      </c>
      <c r="K87" s="26">
        <v>0</v>
      </c>
      <c r="L87" s="26">
        <v>0</v>
      </c>
      <c r="M87">
        <v>1</v>
      </c>
      <c r="N87">
        <v>0</v>
      </c>
      <c r="O87">
        <v>1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2</v>
      </c>
      <c r="AK87">
        <v>11</v>
      </c>
      <c r="AL87">
        <v>2</v>
      </c>
      <c r="AM87">
        <v>0</v>
      </c>
      <c r="AN87" s="18">
        <v>0</v>
      </c>
      <c r="AO87" s="18">
        <v>0</v>
      </c>
      <c r="AP87" s="18">
        <v>0</v>
      </c>
      <c r="AQ87" s="18" t="s">
        <v>52</v>
      </c>
      <c r="AR87" s="29">
        <v>0</v>
      </c>
      <c r="AS87" s="29">
        <v>0</v>
      </c>
      <c r="AT87" s="29">
        <v>1</v>
      </c>
      <c r="AU87" s="24" t="str">
        <f t="shared" si="2"/>
        <v>库存为1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213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1</v>
      </c>
      <c r="J88" s="26">
        <v>0</v>
      </c>
      <c r="K88" s="26">
        <v>0</v>
      </c>
      <c r="L88" s="26">
        <v>0</v>
      </c>
      <c r="M88">
        <v>1</v>
      </c>
      <c r="N88">
        <v>0</v>
      </c>
      <c r="O88">
        <v>1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1</v>
      </c>
      <c r="AK88">
        <v>2</v>
      </c>
      <c r="AL88">
        <v>1</v>
      </c>
      <c r="AM88">
        <v>2</v>
      </c>
      <c r="AN88" s="18">
        <v>0</v>
      </c>
      <c r="AO88" s="18">
        <v>0</v>
      </c>
      <c r="AP88" s="18">
        <v>0</v>
      </c>
      <c r="AQ88" s="18">
        <v>0</v>
      </c>
      <c r="AR88" s="29">
        <v>0</v>
      </c>
      <c r="AS88" s="29">
        <v>0</v>
      </c>
      <c r="AT88" s="29">
        <v>1</v>
      </c>
      <c r="AU88" s="24" t="str">
        <f t="shared" si="2"/>
        <v>库存为1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213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1</v>
      </c>
      <c r="J89" s="26">
        <v>0</v>
      </c>
      <c r="K89" s="26">
        <v>0</v>
      </c>
      <c r="L89" s="26">
        <v>0</v>
      </c>
      <c r="M89">
        <v>1</v>
      </c>
      <c r="N89">
        <v>0</v>
      </c>
      <c r="O89">
        <v>1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6</v>
      </c>
      <c r="AK89">
        <v>9</v>
      </c>
      <c r="AL89">
        <v>2</v>
      </c>
      <c r="AM89">
        <v>2</v>
      </c>
      <c r="AN89" s="18">
        <v>0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1</v>
      </c>
      <c r="AU89" s="24" t="str">
        <f t="shared" si="2"/>
        <v>库存为1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213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1</v>
      </c>
      <c r="J90" s="26">
        <v>0</v>
      </c>
      <c r="K90" s="26">
        <v>0</v>
      </c>
      <c r="L90" s="26">
        <v>0</v>
      </c>
      <c r="M90">
        <v>1</v>
      </c>
      <c r="N90">
        <v>0</v>
      </c>
      <c r="O90">
        <v>1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1</v>
      </c>
      <c r="AK90">
        <v>9</v>
      </c>
      <c r="AL90">
        <v>1</v>
      </c>
      <c r="AM90">
        <v>2</v>
      </c>
      <c r="AN90" s="18">
        <v>0</v>
      </c>
      <c r="AO90" s="18">
        <v>0</v>
      </c>
      <c r="AP90" s="18">
        <v>0</v>
      </c>
      <c r="AQ90" s="18">
        <v>0</v>
      </c>
      <c r="AR90" s="29">
        <v>0</v>
      </c>
      <c r="AS90" s="29">
        <v>0</v>
      </c>
      <c r="AT90" s="29">
        <v>1</v>
      </c>
      <c r="AU90" s="24" t="str">
        <f t="shared" si="2"/>
        <v>库存为1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213</v>
      </c>
      <c r="D91" s="24">
        <v>0</v>
      </c>
      <c r="E91" s="24">
        <v>0</v>
      </c>
      <c r="F91" s="24">
        <v>1</v>
      </c>
      <c r="G91" s="24">
        <v>0</v>
      </c>
      <c r="H91" s="25">
        <v>60.98</v>
      </c>
      <c r="I91">
        <v>0</v>
      </c>
      <c r="J91" s="26">
        <v>0</v>
      </c>
      <c r="K91" s="26">
        <v>0</v>
      </c>
      <c r="L91" s="26">
        <v>0</v>
      </c>
      <c r="M91">
        <v>0</v>
      </c>
      <c r="N91">
        <v>1</v>
      </c>
      <c r="O91">
        <v>0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0</v>
      </c>
      <c r="AL91">
        <v>7</v>
      </c>
      <c r="AM91">
        <v>3</v>
      </c>
      <c r="AN91" s="18" t="s">
        <v>52</v>
      </c>
      <c r="AO91" s="18" t="s">
        <v>52</v>
      </c>
      <c r="AP91" s="18">
        <v>0.142857142857143</v>
      </c>
      <c r="AQ91" s="18">
        <v>0</v>
      </c>
      <c r="AR91" s="29">
        <v>0</v>
      </c>
      <c r="AS91" s="29">
        <v>0</v>
      </c>
      <c r="AT91" s="29">
        <v>0</v>
      </c>
      <c r="AU91" s="24" t="str">
        <f t="shared" si="2"/>
        <v>库存为0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213</v>
      </c>
      <c r="D92" s="24">
        <v>1</v>
      </c>
      <c r="E92" s="24">
        <v>0</v>
      </c>
      <c r="F92" s="24">
        <v>0</v>
      </c>
      <c r="G92" s="24">
        <v>0</v>
      </c>
      <c r="H92" s="25">
        <v>60.98</v>
      </c>
      <c r="I92">
        <v>0</v>
      </c>
      <c r="J92" s="26">
        <v>0</v>
      </c>
      <c r="K92" s="26">
        <v>0</v>
      </c>
      <c r="L92" s="26">
        <v>0</v>
      </c>
      <c r="M92">
        <v>0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6</v>
      </c>
      <c r="AK92">
        <v>7</v>
      </c>
      <c r="AL92">
        <v>4</v>
      </c>
      <c r="AM92">
        <v>1</v>
      </c>
      <c r="AN92" s="18">
        <v>0.166666666666667</v>
      </c>
      <c r="AO92" s="18">
        <v>0</v>
      </c>
      <c r="AP92" s="18">
        <v>0</v>
      </c>
      <c r="AQ92" s="18">
        <v>0</v>
      </c>
      <c r="AR92" s="29">
        <v>0.142857142857143</v>
      </c>
      <c r="AS92" s="29">
        <v>8.57142857142857</v>
      </c>
      <c r="AT92" s="29">
        <v>-8.57142857142857</v>
      </c>
      <c r="AU92" s="24">
        <f t="shared" si="2"/>
        <v>0</v>
      </c>
      <c r="AV92" s="31">
        <f>IFERROR(时间!$B$4+AU92,"上周无销量")</f>
        <v>43318</v>
      </c>
      <c r="AW92" s="31"/>
    </row>
    <row r="93" spans="1:49">
      <c r="A93" s="16" t="s">
        <v>228</v>
      </c>
      <c r="B93" t="s">
        <v>229</v>
      </c>
      <c r="C93" t="s">
        <v>213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1</v>
      </c>
      <c r="J93" s="26">
        <v>0</v>
      </c>
      <c r="K93" s="26">
        <v>0</v>
      </c>
      <c r="L93" s="26">
        <v>0</v>
      </c>
      <c r="M93">
        <v>1</v>
      </c>
      <c r="N93">
        <v>0</v>
      </c>
      <c r="O93">
        <v>1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3</v>
      </c>
      <c r="AK93">
        <v>6</v>
      </c>
      <c r="AL93">
        <v>0</v>
      </c>
      <c r="AM93">
        <v>1</v>
      </c>
      <c r="AN93" s="18">
        <v>0</v>
      </c>
      <c r="AO93" s="18">
        <v>0</v>
      </c>
      <c r="AP93" s="18" t="s">
        <v>52</v>
      </c>
      <c r="AQ93" s="18">
        <v>0</v>
      </c>
      <c r="AR93" s="29">
        <v>0</v>
      </c>
      <c r="AS93" s="29">
        <v>0</v>
      </c>
      <c r="AT93" s="29">
        <v>1</v>
      </c>
      <c r="AU93" s="24" t="str">
        <f t="shared" si="2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230</v>
      </c>
      <c r="B94" t="s">
        <v>231</v>
      </c>
      <c r="C94" t="s">
        <v>232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5</v>
      </c>
      <c r="J94" s="26">
        <v>0</v>
      </c>
      <c r="K94" s="26">
        <v>0</v>
      </c>
      <c r="L94" s="26">
        <v>0</v>
      </c>
      <c r="M94">
        <v>5</v>
      </c>
      <c r="N94">
        <v>0</v>
      </c>
      <c r="O94">
        <v>5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3</v>
      </c>
      <c r="AK94">
        <v>10</v>
      </c>
      <c r="AL94">
        <v>0</v>
      </c>
      <c r="AM94">
        <v>2</v>
      </c>
      <c r="AN94" s="18">
        <v>0</v>
      </c>
      <c r="AO94" s="18">
        <v>0</v>
      </c>
      <c r="AP94" s="18" t="s">
        <v>52</v>
      </c>
      <c r="AQ94" s="18">
        <v>0</v>
      </c>
      <c r="AR94" s="29">
        <v>0</v>
      </c>
      <c r="AS94" s="29">
        <v>0</v>
      </c>
      <c r="AT94" s="29">
        <v>5</v>
      </c>
      <c r="AU94" s="24" t="str">
        <f t="shared" si="2"/>
        <v>库存为5</v>
      </c>
      <c r="AV94" s="31" t="str">
        <f>IFERROR(时间!$B$4+AU94,"上周无销量")</f>
        <v>上周无销量</v>
      </c>
      <c r="AW94" s="31"/>
    </row>
    <row r="95" spans="1:49">
      <c r="A95" s="16" t="s">
        <v>233</v>
      </c>
      <c r="B95" t="s">
        <v>234</v>
      </c>
      <c r="C95" t="s">
        <v>232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1</v>
      </c>
      <c r="AK95">
        <v>1</v>
      </c>
      <c r="AL95">
        <v>2</v>
      </c>
      <c r="AM95">
        <v>2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232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1</v>
      </c>
      <c r="J96" s="26">
        <v>0</v>
      </c>
      <c r="K96" s="26">
        <v>0</v>
      </c>
      <c r="L96" s="26">
        <v>0</v>
      </c>
      <c r="M96">
        <v>1</v>
      </c>
      <c r="N96">
        <v>0</v>
      </c>
      <c r="O96">
        <v>1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4</v>
      </c>
      <c r="AK96">
        <v>9</v>
      </c>
      <c r="AL96">
        <v>3</v>
      </c>
      <c r="AM96">
        <v>1</v>
      </c>
      <c r="AN96" s="18">
        <v>0</v>
      </c>
      <c r="AO96" s="18">
        <v>0</v>
      </c>
      <c r="AP96" s="18">
        <v>0</v>
      </c>
      <c r="AQ96" s="18">
        <v>0</v>
      </c>
      <c r="AR96" s="29">
        <v>0</v>
      </c>
      <c r="AS96" s="29">
        <v>0</v>
      </c>
      <c r="AT96" s="29">
        <v>1</v>
      </c>
      <c r="AU96" s="24" t="str">
        <f t="shared" si="2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232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0</v>
      </c>
      <c r="J97" s="26">
        <v>0</v>
      </c>
      <c r="K97" s="26">
        <v>0</v>
      </c>
      <c r="L97" s="26">
        <v>0</v>
      </c>
      <c r="M97">
        <v>0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0</v>
      </c>
      <c r="AK97">
        <v>0</v>
      </c>
      <c r="AL97">
        <v>0</v>
      </c>
      <c r="AM97">
        <v>0</v>
      </c>
      <c r="AN97" s="18" t="s">
        <v>52</v>
      </c>
      <c r="AO97" s="18" t="s">
        <v>52</v>
      </c>
      <c r="AP97" s="18" t="s">
        <v>52</v>
      </c>
      <c r="AQ97" s="18" t="s">
        <v>52</v>
      </c>
      <c r="AR97" s="29">
        <v>0</v>
      </c>
      <c r="AS97" s="29">
        <v>0</v>
      </c>
      <c r="AT97" s="29">
        <v>0</v>
      </c>
      <c r="AU97" s="24" t="str">
        <f t="shared" si="2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232</v>
      </c>
      <c r="D98" s="24">
        <v>0</v>
      </c>
      <c r="E98" s="24">
        <v>0</v>
      </c>
      <c r="F98" s="24">
        <v>1</v>
      </c>
      <c r="G98" s="24">
        <v>0</v>
      </c>
      <c r="H98" s="25">
        <v>65.98</v>
      </c>
      <c r="I98">
        <v>0</v>
      </c>
      <c r="J98" s="26">
        <v>0</v>
      </c>
      <c r="K98" s="26">
        <v>0</v>
      </c>
      <c r="L98" s="26">
        <v>0</v>
      </c>
      <c r="M98">
        <v>0</v>
      </c>
      <c r="N98">
        <v>0</v>
      </c>
      <c r="O98">
        <v>0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0</v>
      </c>
      <c r="AK98">
        <v>0</v>
      </c>
      <c r="AL98">
        <v>0</v>
      </c>
      <c r="AM98">
        <v>4</v>
      </c>
      <c r="AN98" s="18" t="s">
        <v>52</v>
      </c>
      <c r="AO98" s="18" t="s">
        <v>52</v>
      </c>
      <c r="AP98" s="18" t="s">
        <v>52</v>
      </c>
      <c r="AQ98" s="18">
        <v>0</v>
      </c>
      <c r="AR98" s="29">
        <v>0</v>
      </c>
      <c r="AS98" s="29">
        <v>0</v>
      </c>
      <c r="AT98" s="29">
        <v>0</v>
      </c>
      <c r="AU98" s="24" t="str">
        <f t="shared" si="2"/>
        <v>库存为0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232</v>
      </c>
      <c r="D99" s="24">
        <v>0</v>
      </c>
      <c r="E99" s="24">
        <v>1</v>
      </c>
      <c r="F99" s="24">
        <v>0</v>
      </c>
      <c r="G99" s="24">
        <v>0</v>
      </c>
      <c r="H99" s="25">
        <v>62.98</v>
      </c>
      <c r="I99">
        <v>0</v>
      </c>
      <c r="J99" s="26">
        <v>0</v>
      </c>
      <c r="K99" s="26">
        <v>0</v>
      </c>
      <c r="L99" s="26">
        <v>0</v>
      </c>
      <c r="M99">
        <v>0</v>
      </c>
      <c r="N99">
        <v>0</v>
      </c>
      <c r="O99">
        <v>0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0</v>
      </c>
      <c r="AK99">
        <v>2</v>
      </c>
      <c r="AL99">
        <v>1</v>
      </c>
      <c r="AM99">
        <v>1</v>
      </c>
      <c r="AN99" s="18" t="s">
        <v>52</v>
      </c>
      <c r="AO99" s="18">
        <v>0.5</v>
      </c>
      <c r="AP99" s="18">
        <v>0</v>
      </c>
      <c r="AQ99" s="18">
        <v>0</v>
      </c>
      <c r="AR99" s="29">
        <v>0</v>
      </c>
      <c r="AS99" s="29">
        <v>0</v>
      </c>
      <c r="AT99" s="29">
        <v>0</v>
      </c>
      <c r="AU99" s="24" t="str">
        <f t="shared" si="2"/>
        <v>库存为0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232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2</v>
      </c>
      <c r="AK100">
        <v>4</v>
      </c>
      <c r="AL100">
        <v>3</v>
      </c>
      <c r="AM100">
        <v>1</v>
      </c>
      <c r="AN100" s="18">
        <v>0</v>
      </c>
      <c r="AO100" s="18">
        <v>0</v>
      </c>
      <c r="AP100" s="18">
        <v>0</v>
      </c>
      <c r="AQ100" s="18">
        <v>0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245</v>
      </c>
      <c r="B101" t="s">
        <v>246</v>
      </c>
      <c r="C101" t="s">
        <v>232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1</v>
      </c>
      <c r="J101" s="26">
        <v>0</v>
      </c>
      <c r="K101" s="26">
        <v>0</v>
      </c>
      <c r="L101" s="26">
        <v>0</v>
      </c>
      <c r="M101">
        <v>1</v>
      </c>
      <c r="N101">
        <v>0</v>
      </c>
      <c r="O101">
        <v>1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14</v>
      </c>
      <c r="AK101">
        <v>11</v>
      </c>
      <c r="AL101">
        <v>14</v>
      </c>
      <c r="AM101">
        <v>5</v>
      </c>
      <c r="AN101" s="18">
        <v>0</v>
      </c>
      <c r="AO101" s="18">
        <v>0</v>
      </c>
      <c r="AP101" s="18">
        <v>0</v>
      </c>
      <c r="AQ101" s="18">
        <v>0</v>
      </c>
      <c r="AR101" s="29">
        <v>0</v>
      </c>
      <c r="AS101" s="29">
        <v>0</v>
      </c>
      <c r="AT101" s="29">
        <v>1</v>
      </c>
      <c r="AU101" s="24" t="str">
        <f t="shared" si="2"/>
        <v>库存为1</v>
      </c>
      <c r="AV101" s="31" t="str">
        <f>IFERROR(时间!$B$4+AU101,"上周无销量")</f>
        <v>上周无销量</v>
      </c>
    </row>
    <row r="102" spans="1:48">
      <c r="A102" s="16" t="s">
        <v>247</v>
      </c>
      <c r="B102" t="s">
        <v>248</v>
      </c>
      <c r="C102" t="s">
        <v>232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1</v>
      </c>
      <c r="J102" s="26">
        <v>0</v>
      </c>
      <c r="K102" s="26">
        <v>0</v>
      </c>
      <c r="L102" s="26">
        <v>0</v>
      </c>
      <c r="M102">
        <v>1</v>
      </c>
      <c r="N102">
        <v>0</v>
      </c>
      <c r="O102">
        <v>1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0</v>
      </c>
      <c r="AK102">
        <v>0</v>
      </c>
      <c r="AL102">
        <v>0</v>
      </c>
      <c r="AM102">
        <v>0</v>
      </c>
      <c r="AN102" s="18" t="s">
        <v>52</v>
      </c>
      <c r="AO102" s="18" t="s">
        <v>52</v>
      </c>
      <c r="AP102" s="18" t="s">
        <v>52</v>
      </c>
      <c r="AQ102" s="18" t="s">
        <v>52</v>
      </c>
      <c r="AR102" s="29">
        <v>0</v>
      </c>
      <c r="AS102" s="29">
        <v>0</v>
      </c>
      <c r="AT102" s="29">
        <v>1</v>
      </c>
      <c r="AU102" s="24" t="str">
        <f t="shared" si="2"/>
        <v>库存为1</v>
      </c>
      <c r="AV102" s="31" t="str">
        <f>IFERROR(时间!$B$4+AU102,"上周无销量")</f>
        <v>上周无销量</v>
      </c>
    </row>
    <row r="103" spans="1:48">
      <c r="A103" s="16" t="s">
        <v>249</v>
      </c>
      <c r="B103" t="s">
        <v>250</v>
      </c>
      <c r="C103" t="s">
        <v>251</v>
      </c>
      <c r="D103" s="24">
        <v>1</v>
      </c>
      <c r="E103" s="24">
        <v>0</v>
      </c>
      <c r="F103" s="24">
        <v>1</v>
      </c>
      <c r="G103" s="24">
        <v>1</v>
      </c>
      <c r="H103" s="25">
        <v>65.98</v>
      </c>
      <c r="I103">
        <v>0</v>
      </c>
      <c r="J103" s="26">
        <v>0</v>
      </c>
      <c r="K103" s="26">
        <v>0</v>
      </c>
      <c r="L103" s="26">
        <v>0</v>
      </c>
      <c r="M103">
        <v>0</v>
      </c>
      <c r="N103">
        <v>0</v>
      </c>
      <c r="O103">
        <v>0</v>
      </c>
      <c r="P103">
        <v>827</v>
      </c>
      <c r="Q103">
        <v>1035</v>
      </c>
      <c r="R103">
        <v>1594</v>
      </c>
      <c r="S103">
        <v>1512</v>
      </c>
      <c r="T103">
        <v>1</v>
      </c>
      <c r="U103">
        <v>5</v>
      </c>
      <c r="V103">
        <v>2</v>
      </c>
      <c r="W103">
        <v>3</v>
      </c>
      <c r="X103" s="18">
        <v>0.00120918984280532</v>
      </c>
      <c r="Y103" s="18">
        <v>0.00483091787439614</v>
      </c>
      <c r="Z103" s="18">
        <v>0.00125470514429109</v>
      </c>
      <c r="AA103" s="18">
        <v>0.00198412698412698</v>
      </c>
      <c r="AB103">
        <v>0.3</v>
      </c>
      <c r="AC103">
        <v>2.19</v>
      </c>
      <c r="AD103">
        <v>0.81</v>
      </c>
      <c r="AE103">
        <v>1.47</v>
      </c>
      <c r="AF103" s="18">
        <v>0.0045468323734465</v>
      </c>
      <c r="AG103" s="18" t="s">
        <v>252</v>
      </c>
      <c r="AH103" s="18">
        <v>0.0122764474083055</v>
      </c>
      <c r="AI103" s="18">
        <v>0.0222794786298878</v>
      </c>
      <c r="AJ103">
        <v>1</v>
      </c>
      <c r="AK103">
        <v>4</v>
      </c>
      <c r="AL103">
        <v>5</v>
      </c>
      <c r="AM103">
        <v>10</v>
      </c>
      <c r="AN103" s="18">
        <v>1</v>
      </c>
      <c r="AO103" s="18">
        <v>0</v>
      </c>
      <c r="AP103" s="18">
        <v>0.2</v>
      </c>
      <c r="AQ103" s="18">
        <v>0.1</v>
      </c>
      <c r="AR103" s="29">
        <v>0.142857142857143</v>
      </c>
      <c r="AS103" s="29">
        <v>8.57142857142857</v>
      </c>
      <c r="AT103" s="29">
        <v>-8.57142857142857</v>
      </c>
      <c r="AU103" s="24">
        <f t="shared" si="2"/>
        <v>0</v>
      </c>
      <c r="AV103" s="31">
        <f>IFERROR(时间!$B$4+AU103,"上周无销量")</f>
        <v>43318</v>
      </c>
    </row>
    <row r="104" spans="1:48">
      <c r="A104" s="16" t="s">
        <v>253</v>
      </c>
      <c r="B104" t="s">
        <v>254</v>
      </c>
      <c r="C104" t="s">
        <v>251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0</v>
      </c>
      <c r="J104" s="26">
        <v>0</v>
      </c>
      <c r="K104" s="26">
        <v>0</v>
      </c>
      <c r="L104" s="26">
        <v>0</v>
      </c>
      <c r="M104">
        <v>0</v>
      </c>
      <c r="N104">
        <v>0</v>
      </c>
      <c r="O104">
        <v>0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0</v>
      </c>
      <c r="AK104">
        <v>0</v>
      </c>
      <c r="AL104">
        <v>0</v>
      </c>
      <c r="AM104">
        <v>0</v>
      </c>
      <c r="AN104" s="18" t="s">
        <v>52</v>
      </c>
      <c r="AO104" s="18" t="s">
        <v>52</v>
      </c>
      <c r="AP104" s="18" t="s">
        <v>52</v>
      </c>
      <c r="AQ104" s="18" t="s">
        <v>52</v>
      </c>
      <c r="AR104" s="29">
        <v>0</v>
      </c>
      <c r="AS104" s="29">
        <v>0</v>
      </c>
      <c r="AT104" s="29">
        <v>0</v>
      </c>
      <c r="AU104" s="24" t="str">
        <f t="shared" si="2"/>
        <v>库存为0</v>
      </c>
      <c r="AV104" s="31" t="str">
        <f>IFERROR(时间!$B$4+AU104,"上周无销量")</f>
        <v>上周无销量</v>
      </c>
    </row>
    <row r="105" spans="1:48">
      <c r="A105" s="16" t="s">
        <v>255</v>
      </c>
      <c r="B105" t="s">
        <v>256</v>
      </c>
      <c r="C105" t="s">
        <v>251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>
        <v>0</v>
      </c>
      <c r="M105">
        <v>1</v>
      </c>
      <c r="N105">
        <v>0</v>
      </c>
      <c r="O105">
        <v>0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3</v>
      </c>
      <c r="AK105">
        <v>6</v>
      </c>
      <c r="AL105">
        <v>2</v>
      </c>
      <c r="AM105">
        <v>2</v>
      </c>
      <c r="AN105" s="18">
        <v>0</v>
      </c>
      <c r="AO105" s="18">
        <v>0</v>
      </c>
      <c r="AP105" s="18">
        <v>0</v>
      </c>
      <c r="AQ105" s="18">
        <v>0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257</v>
      </c>
      <c r="B106" t="s">
        <v>258</v>
      </c>
      <c r="C106" t="s">
        <v>251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2</v>
      </c>
      <c r="J106" s="26">
        <v>0</v>
      </c>
      <c r="K106" s="26">
        <v>0</v>
      </c>
      <c r="L106" s="26">
        <v>0</v>
      </c>
      <c r="M106">
        <v>2</v>
      </c>
      <c r="N106">
        <v>0</v>
      </c>
      <c r="O106">
        <v>1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4</v>
      </c>
      <c r="AK106">
        <v>2</v>
      </c>
      <c r="AL106">
        <v>2</v>
      </c>
      <c r="AM106">
        <v>1</v>
      </c>
      <c r="AN106" s="18">
        <v>0</v>
      </c>
      <c r="AO106" s="18">
        <v>0</v>
      </c>
      <c r="AP106" s="18">
        <v>0</v>
      </c>
      <c r="AQ106" s="18">
        <v>0</v>
      </c>
      <c r="AR106" s="29">
        <v>0</v>
      </c>
      <c r="AS106" s="29">
        <v>0</v>
      </c>
      <c r="AT106" s="29">
        <v>2</v>
      </c>
      <c r="AU106" s="24" t="str">
        <f t="shared" si="2"/>
        <v>库存为2</v>
      </c>
      <c r="AV106" s="31" t="str">
        <f>IFERROR(时间!$B$4+AU106,"上周无销量")</f>
        <v>上周无销量</v>
      </c>
    </row>
    <row r="107" spans="1:48">
      <c r="A107" s="16" t="s">
        <v>259</v>
      </c>
      <c r="B107" t="s">
        <v>260</v>
      </c>
      <c r="C107" t="s">
        <v>251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1</v>
      </c>
      <c r="J107" s="26">
        <v>0</v>
      </c>
      <c r="K107" s="26">
        <v>0</v>
      </c>
      <c r="L107" s="26">
        <v>0</v>
      </c>
      <c r="M107">
        <v>1</v>
      </c>
      <c r="N107">
        <v>0</v>
      </c>
      <c r="O107">
        <v>1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1</v>
      </c>
      <c r="AK107">
        <v>4</v>
      </c>
      <c r="AL107">
        <v>5</v>
      </c>
      <c r="AM107">
        <v>5</v>
      </c>
      <c r="AN107" s="18">
        <v>0</v>
      </c>
      <c r="AO107" s="18">
        <v>0</v>
      </c>
      <c r="AP107" s="18">
        <v>0</v>
      </c>
      <c r="AQ107" s="18">
        <v>0</v>
      </c>
      <c r="AR107" s="29">
        <v>0</v>
      </c>
      <c r="AS107" s="29">
        <v>0</v>
      </c>
      <c r="AT107" s="29">
        <v>1</v>
      </c>
      <c r="AU107" s="24" t="str">
        <f t="shared" si="2"/>
        <v>库存为1</v>
      </c>
      <c r="AV107" s="31" t="str">
        <f>IFERROR(时间!$B$4+AU107,"上周无销量")</f>
        <v>上周无销量</v>
      </c>
    </row>
    <row r="108" spans="1:48">
      <c r="A108" s="16" t="s">
        <v>261</v>
      </c>
      <c r="B108" t="s">
        <v>262</v>
      </c>
      <c r="C108" t="s">
        <v>251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0</v>
      </c>
      <c r="J108" s="26">
        <v>0</v>
      </c>
      <c r="K108" s="26">
        <v>0</v>
      </c>
      <c r="L108" s="26">
        <v>0</v>
      </c>
      <c r="M108">
        <v>0</v>
      </c>
      <c r="N108">
        <v>0</v>
      </c>
      <c r="O108">
        <v>0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0</v>
      </c>
      <c r="AK108">
        <v>0</v>
      </c>
      <c r="AL108">
        <v>0</v>
      </c>
      <c r="AM108">
        <v>0</v>
      </c>
      <c r="AN108" s="18" t="s">
        <v>52</v>
      </c>
      <c r="AO108" s="18" t="s">
        <v>52</v>
      </c>
      <c r="AP108" s="18" t="s">
        <v>52</v>
      </c>
      <c r="AQ108" s="18" t="s">
        <v>52</v>
      </c>
      <c r="AR108" s="29">
        <v>0</v>
      </c>
      <c r="AS108" s="29">
        <v>0</v>
      </c>
      <c r="AT108" s="29">
        <v>0</v>
      </c>
      <c r="AU108" s="24" t="str">
        <f t="shared" si="2"/>
        <v>库存为0</v>
      </c>
      <c r="AV108" s="31" t="str">
        <f>IFERROR(时间!$B$4+AU108,"上周无销量")</f>
        <v>上周无销量</v>
      </c>
    </row>
    <row r="109" spans="1:48">
      <c r="A109" s="16" t="s">
        <v>263</v>
      </c>
      <c r="B109" t="s">
        <v>264</v>
      </c>
      <c r="C109" t="s">
        <v>251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2</v>
      </c>
      <c r="J109" s="26">
        <v>0</v>
      </c>
      <c r="K109" s="26">
        <v>0</v>
      </c>
      <c r="L109" s="26">
        <v>0</v>
      </c>
      <c r="M109">
        <v>2</v>
      </c>
      <c r="N109">
        <v>0</v>
      </c>
      <c r="O109">
        <v>2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2</v>
      </c>
      <c r="AK109">
        <v>5</v>
      </c>
      <c r="AL109">
        <v>4</v>
      </c>
      <c r="AM109">
        <v>3</v>
      </c>
      <c r="AN109" s="18">
        <v>0</v>
      </c>
      <c r="AO109" s="18">
        <v>0</v>
      </c>
      <c r="AP109" s="18">
        <v>0</v>
      </c>
      <c r="AQ109" s="18">
        <v>0</v>
      </c>
      <c r="AR109" s="29">
        <v>0</v>
      </c>
      <c r="AS109" s="29">
        <v>0</v>
      </c>
      <c r="AT109" s="29">
        <v>2</v>
      </c>
      <c r="AU109" s="24" t="str">
        <f t="shared" si="2"/>
        <v>库存为2</v>
      </c>
      <c r="AV109" s="31" t="str">
        <f>IFERROR(时间!$B$4+AU109,"上周无销量")</f>
        <v>上周无销量</v>
      </c>
    </row>
    <row r="110" spans="1:48">
      <c r="A110" s="16" t="s">
        <v>265</v>
      </c>
      <c r="B110" t="s">
        <v>266</v>
      </c>
      <c r="C110" t="s">
        <v>251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0</v>
      </c>
      <c r="J110" s="26">
        <v>0</v>
      </c>
      <c r="K110" s="26">
        <v>0</v>
      </c>
      <c r="L110" s="26">
        <v>0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0</v>
      </c>
      <c r="AN110" s="18" t="s">
        <v>52</v>
      </c>
      <c r="AO110" s="18" t="s">
        <v>52</v>
      </c>
      <c r="AP110" s="18" t="s">
        <v>52</v>
      </c>
      <c r="AQ110" s="18" t="s">
        <v>52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267</v>
      </c>
      <c r="B111" t="s">
        <v>268</v>
      </c>
      <c r="C111" t="s">
        <v>251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1</v>
      </c>
      <c r="J111" s="26">
        <v>0</v>
      </c>
      <c r="K111" s="26">
        <v>0</v>
      </c>
      <c r="L111" s="26">
        <v>0</v>
      </c>
      <c r="M111">
        <v>1</v>
      </c>
      <c r="N111">
        <v>0</v>
      </c>
      <c r="O111">
        <v>1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3</v>
      </c>
      <c r="AK111">
        <v>4</v>
      </c>
      <c r="AL111">
        <v>3</v>
      </c>
      <c r="AM111">
        <v>4</v>
      </c>
      <c r="AN111" s="18">
        <v>0</v>
      </c>
      <c r="AO111" s="18">
        <v>0</v>
      </c>
      <c r="AP111" s="18">
        <v>0</v>
      </c>
      <c r="AQ111" s="18">
        <v>0</v>
      </c>
      <c r="AR111" s="29">
        <v>0</v>
      </c>
      <c r="AS111" s="29">
        <v>0</v>
      </c>
      <c r="AT111" s="29">
        <v>1</v>
      </c>
      <c r="AU111" s="24" t="str">
        <f t="shared" si="2"/>
        <v>库存为1</v>
      </c>
      <c r="AV111" s="31" t="str">
        <f>IFERROR(时间!$B$4+AU111,"上周无销量")</f>
        <v>上周无销量</v>
      </c>
    </row>
    <row r="112" spans="1:48">
      <c r="A112" s="16" t="s">
        <v>269</v>
      </c>
      <c r="B112" t="s">
        <v>270</v>
      </c>
      <c r="C112" t="s">
        <v>251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0</v>
      </c>
      <c r="J112" s="26">
        <v>0</v>
      </c>
      <c r="K112" s="26">
        <v>0</v>
      </c>
      <c r="L112" s="26">
        <v>0</v>
      </c>
      <c r="M112">
        <v>0</v>
      </c>
      <c r="N112">
        <v>0</v>
      </c>
      <c r="O112">
        <v>0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0</v>
      </c>
      <c r="AK112">
        <v>0</v>
      </c>
      <c r="AL112">
        <v>0</v>
      </c>
      <c r="AM112">
        <v>0</v>
      </c>
      <c r="AN112" s="18" t="s">
        <v>52</v>
      </c>
      <c r="AO112" s="18" t="s">
        <v>52</v>
      </c>
      <c r="AP112" s="18" t="s">
        <v>52</v>
      </c>
      <c r="AQ112" s="18" t="s">
        <v>52</v>
      </c>
      <c r="AR112" s="29">
        <v>0</v>
      </c>
      <c r="AS112" s="29">
        <v>0</v>
      </c>
      <c r="AT112" s="29">
        <v>0</v>
      </c>
      <c r="AU112" s="24" t="str">
        <f t="shared" si="2"/>
        <v>库存为0</v>
      </c>
      <c r="AV112" s="31" t="str">
        <f>IFERROR(时间!$B$4+AU112,"上周无销量")</f>
        <v>上周无销量</v>
      </c>
    </row>
    <row r="113" spans="1:48">
      <c r="A113" s="16" t="s">
        <v>271</v>
      </c>
      <c r="B113" t="s">
        <v>272</v>
      </c>
      <c r="C113" t="s">
        <v>251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0</v>
      </c>
      <c r="J113" s="26">
        <v>0</v>
      </c>
      <c r="K113" s="26">
        <v>0</v>
      </c>
      <c r="L113" s="26">
        <v>0</v>
      </c>
      <c r="M113">
        <v>0</v>
      </c>
      <c r="N113">
        <v>0</v>
      </c>
      <c r="O113">
        <v>0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0</v>
      </c>
      <c r="AK113">
        <v>0</v>
      </c>
      <c r="AL113">
        <v>0</v>
      </c>
      <c r="AM113">
        <v>0</v>
      </c>
      <c r="AN113" s="18" t="s">
        <v>52</v>
      </c>
      <c r="AO113" s="18" t="s">
        <v>52</v>
      </c>
      <c r="AP113" s="18" t="s">
        <v>52</v>
      </c>
      <c r="AQ113" s="18" t="s">
        <v>52</v>
      </c>
      <c r="AR113" s="29">
        <v>0</v>
      </c>
      <c r="AS113" s="29">
        <v>0</v>
      </c>
      <c r="AT113" s="29">
        <v>0</v>
      </c>
      <c r="AU113" s="24" t="str">
        <f t="shared" si="2"/>
        <v>库存为0</v>
      </c>
      <c r="AV113" s="31" t="str">
        <f>IFERROR(时间!$B$4+AU113,"上周无销量")</f>
        <v>上周无销量</v>
      </c>
    </row>
    <row r="114" spans="1:48">
      <c r="A114" s="16" t="s">
        <v>273</v>
      </c>
      <c r="B114" t="s">
        <v>274</v>
      </c>
      <c r="C114" t="s">
        <v>251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1</v>
      </c>
      <c r="J114" s="26">
        <v>0</v>
      </c>
      <c r="K114" s="26">
        <v>0</v>
      </c>
      <c r="L114" s="26">
        <v>0</v>
      </c>
      <c r="M114">
        <v>1</v>
      </c>
      <c r="N114">
        <v>0</v>
      </c>
      <c r="O114">
        <v>0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5</v>
      </c>
      <c r="AK114">
        <v>1</v>
      </c>
      <c r="AL114">
        <v>3</v>
      </c>
      <c r="AM114">
        <v>1</v>
      </c>
      <c r="AN114" s="18">
        <v>0</v>
      </c>
      <c r="AO114" s="18">
        <v>0</v>
      </c>
      <c r="AP114" s="18">
        <v>0</v>
      </c>
      <c r="AQ114" s="18">
        <v>0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275</v>
      </c>
      <c r="B115" t="s">
        <v>276</v>
      </c>
      <c r="C115" t="s">
        <v>251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1</v>
      </c>
      <c r="J115" s="26">
        <v>0</v>
      </c>
      <c r="K115" s="26">
        <v>0</v>
      </c>
      <c r="L115" s="26">
        <v>0</v>
      </c>
      <c r="M115">
        <v>1</v>
      </c>
      <c r="N115">
        <v>0</v>
      </c>
      <c r="O115">
        <v>1</v>
      </c>
      <c r="P115">
        <v>1667</v>
      </c>
      <c r="Q115">
        <v>1877</v>
      </c>
      <c r="R115">
        <v>582</v>
      </c>
      <c r="S115">
        <v>637</v>
      </c>
      <c r="T115">
        <v>2</v>
      </c>
      <c r="U115">
        <v>3</v>
      </c>
      <c r="V115">
        <v>2</v>
      </c>
      <c r="W115">
        <v>0</v>
      </c>
      <c r="X115" s="18">
        <v>0.0011997600479904</v>
      </c>
      <c r="Y115" s="18">
        <v>0.00159829515183804</v>
      </c>
      <c r="Z115" s="18">
        <v>0.00343642611683849</v>
      </c>
      <c r="AA115" s="18">
        <v>0</v>
      </c>
      <c r="AB115">
        <v>0.72</v>
      </c>
      <c r="AC115">
        <v>1.2</v>
      </c>
      <c r="AD115">
        <v>0.47</v>
      </c>
      <c r="AE115">
        <v>0</v>
      </c>
      <c r="AF115" s="18" t="s">
        <v>277</v>
      </c>
      <c r="AG115" s="18" t="s">
        <v>278</v>
      </c>
      <c r="AH115" s="18" t="s">
        <v>279</v>
      </c>
      <c r="AI115" s="18" t="s">
        <v>52</v>
      </c>
      <c r="AJ115">
        <v>6</v>
      </c>
      <c r="AK115">
        <v>7</v>
      </c>
      <c r="AL115">
        <v>8</v>
      </c>
      <c r="AM115">
        <v>2</v>
      </c>
      <c r="AN115" s="18">
        <v>0</v>
      </c>
      <c r="AO115" s="18">
        <v>0</v>
      </c>
      <c r="AP115" s="18">
        <v>0</v>
      </c>
      <c r="AQ115" s="18">
        <v>0</v>
      </c>
      <c r="AR115" s="29">
        <v>0</v>
      </c>
      <c r="AS115" s="29">
        <v>0</v>
      </c>
      <c r="AT115" s="29">
        <v>1</v>
      </c>
      <c r="AU115" s="24" t="str">
        <f t="shared" si="2"/>
        <v>库存为1</v>
      </c>
      <c r="AV115" s="31" t="str">
        <f>IFERROR(时间!$B$4+AU115,"上周无销量")</f>
        <v>上周无销量</v>
      </c>
    </row>
    <row r="116" spans="1:48">
      <c r="A116" s="16" t="s">
        <v>280</v>
      </c>
      <c r="B116" t="s">
        <v>281</v>
      </c>
      <c r="C116" t="s">
        <v>251</v>
      </c>
      <c r="D116" s="24">
        <v>0</v>
      </c>
      <c r="E116" s="24">
        <v>1</v>
      </c>
      <c r="F116" s="24">
        <v>0</v>
      </c>
      <c r="G116" s="24">
        <v>0</v>
      </c>
      <c r="H116" s="25">
        <v>64.98</v>
      </c>
      <c r="I116">
        <v>0</v>
      </c>
      <c r="J116" s="26">
        <v>0</v>
      </c>
      <c r="K116" s="26">
        <v>0</v>
      </c>
      <c r="L116" s="26">
        <v>0</v>
      </c>
      <c r="M116">
        <v>0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0</v>
      </c>
      <c r="AK116">
        <v>3</v>
      </c>
      <c r="AL116">
        <v>8</v>
      </c>
      <c r="AM116">
        <v>11</v>
      </c>
      <c r="AN116" s="18" t="s">
        <v>52</v>
      </c>
      <c r="AO116" s="18">
        <v>0.333333333333333</v>
      </c>
      <c r="AP116" s="18">
        <v>0</v>
      </c>
      <c r="AQ116" s="18">
        <v>0</v>
      </c>
      <c r="AR116" s="29">
        <v>0</v>
      </c>
      <c r="AS116" s="29">
        <v>0</v>
      </c>
      <c r="AT116" s="29">
        <v>0</v>
      </c>
      <c r="AU116" s="24" t="str">
        <f t="shared" si="2"/>
        <v>库存为0</v>
      </c>
      <c r="AV116" s="31" t="str">
        <f>IFERROR(时间!$B$4+AU116,"上周无销量")</f>
        <v>上周无销量</v>
      </c>
    </row>
    <row r="117" spans="1:48">
      <c r="A117" s="16" t="s">
        <v>282</v>
      </c>
      <c r="B117" t="s">
        <v>283</v>
      </c>
      <c r="C117" t="s">
        <v>251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1</v>
      </c>
      <c r="J117" s="26">
        <v>0</v>
      </c>
      <c r="K117" s="26">
        <v>0</v>
      </c>
      <c r="L117" s="26">
        <v>0</v>
      </c>
      <c r="M117">
        <v>1</v>
      </c>
      <c r="N117">
        <v>0</v>
      </c>
      <c r="O117">
        <v>1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14</v>
      </c>
      <c r="AK117">
        <v>7</v>
      </c>
      <c r="AL117">
        <v>3</v>
      </c>
      <c r="AM117">
        <v>2</v>
      </c>
      <c r="AN117" s="18">
        <v>0</v>
      </c>
      <c r="AO117" s="18">
        <v>0</v>
      </c>
      <c r="AP117" s="18">
        <v>0</v>
      </c>
      <c r="AQ117" s="18">
        <v>0</v>
      </c>
      <c r="AR117" s="29">
        <v>0</v>
      </c>
      <c r="AS117" s="29">
        <v>0</v>
      </c>
      <c r="AT117" s="29">
        <v>1</v>
      </c>
      <c r="AU117" s="24" t="str">
        <f t="shared" si="2"/>
        <v>库存为1</v>
      </c>
      <c r="AV117" s="31" t="str">
        <f>IFERROR(时间!$B$4+AU117,"上周无销量")</f>
        <v>上周无销量</v>
      </c>
    </row>
    <row r="118" spans="1:48">
      <c r="A118" s="16" t="s">
        <v>284</v>
      </c>
      <c r="B118" t="s">
        <v>285</v>
      </c>
      <c r="C118" t="s">
        <v>286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0</v>
      </c>
      <c r="J118" s="26">
        <v>0</v>
      </c>
      <c r="K118" s="26">
        <v>0</v>
      </c>
      <c r="L118" s="26">
        <v>0</v>
      </c>
      <c r="M118">
        <v>0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0</v>
      </c>
      <c r="AK118">
        <v>0</v>
      </c>
      <c r="AL118">
        <v>0</v>
      </c>
      <c r="AM118">
        <v>0</v>
      </c>
      <c r="AN118" s="18" t="s">
        <v>52</v>
      </c>
      <c r="AO118" s="18" t="s">
        <v>52</v>
      </c>
      <c r="AP118" s="18" t="s">
        <v>52</v>
      </c>
      <c r="AQ118" s="18" t="s">
        <v>52</v>
      </c>
      <c r="AR118" s="29">
        <v>0</v>
      </c>
      <c r="AS118" s="29">
        <v>0</v>
      </c>
      <c r="AT118" s="29">
        <v>0</v>
      </c>
      <c r="AU118" s="24" t="str">
        <f t="shared" si="2"/>
        <v>库存为0</v>
      </c>
      <c r="AV118" s="31" t="str">
        <f>IFERROR(时间!$B$4+AU118,"上周无销量")</f>
        <v>上周无销量</v>
      </c>
    </row>
    <row r="119" spans="1:48">
      <c r="A119" s="16" t="s">
        <v>287</v>
      </c>
      <c r="B119" t="s">
        <v>288</v>
      </c>
      <c r="C119" t="s">
        <v>289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24</v>
      </c>
      <c r="J119" s="26">
        <v>0</v>
      </c>
      <c r="K119" s="26">
        <v>0</v>
      </c>
      <c r="L119" s="26">
        <v>0</v>
      </c>
      <c r="M119">
        <v>24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7</v>
      </c>
      <c r="AK119">
        <v>13</v>
      </c>
      <c r="AL119">
        <v>11</v>
      </c>
      <c r="AM119">
        <v>11</v>
      </c>
      <c r="AN119" s="18">
        <v>0</v>
      </c>
      <c r="AO119" s="18">
        <v>0</v>
      </c>
      <c r="AP119" s="18">
        <v>0</v>
      </c>
      <c r="AQ119" s="18">
        <v>0</v>
      </c>
      <c r="AR119" s="29">
        <v>0</v>
      </c>
      <c r="AS119" s="29">
        <v>0</v>
      </c>
      <c r="AT119" s="29">
        <v>24</v>
      </c>
      <c r="AU119" s="24" t="str">
        <f t="shared" si="2"/>
        <v>库存为24</v>
      </c>
      <c r="AV119" s="31" t="str">
        <f>IFERROR(时间!$B$4+AU119,"上周无销量")</f>
        <v>上周无销量</v>
      </c>
    </row>
    <row r="120" spans="1:48">
      <c r="A120" s="16" t="s">
        <v>290</v>
      </c>
      <c r="B120" t="s">
        <v>291</v>
      </c>
      <c r="C120" t="s">
        <v>289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7</v>
      </c>
      <c r="J120" s="26">
        <v>0</v>
      </c>
      <c r="K120" s="26">
        <v>0</v>
      </c>
      <c r="L120" s="26">
        <v>0</v>
      </c>
      <c r="M120">
        <v>7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9</v>
      </c>
      <c r="AK120">
        <v>22</v>
      </c>
      <c r="AL120">
        <v>22</v>
      </c>
      <c r="AM120">
        <v>17</v>
      </c>
      <c r="AN120" s="18">
        <v>0</v>
      </c>
      <c r="AO120" s="18">
        <v>0</v>
      </c>
      <c r="AP120" s="18">
        <v>0</v>
      </c>
      <c r="AQ120" s="18">
        <v>0</v>
      </c>
      <c r="AR120" s="29">
        <v>0</v>
      </c>
      <c r="AS120" s="29">
        <v>0</v>
      </c>
      <c r="AT120" s="29">
        <v>7</v>
      </c>
      <c r="AU120" s="24" t="str">
        <f t="shared" si="2"/>
        <v>库存为7</v>
      </c>
      <c r="AV120" s="31" t="str">
        <f>IFERROR(时间!$B$4+AU120,"上周无销量")</f>
        <v>上周无销量</v>
      </c>
    </row>
    <row r="121" spans="1:48">
      <c r="A121" s="16" t="s">
        <v>292</v>
      </c>
      <c r="B121" t="s">
        <v>293</v>
      </c>
      <c r="C121" t="s">
        <v>289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23</v>
      </c>
      <c r="J121" s="26">
        <v>0</v>
      </c>
      <c r="K121" s="26">
        <v>0</v>
      </c>
      <c r="L121" s="26">
        <v>0</v>
      </c>
      <c r="M121">
        <v>23</v>
      </c>
      <c r="N121">
        <v>0</v>
      </c>
      <c r="O121">
        <v>0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14</v>
      </c>
      <c r="AK121">
        <v>18</v>
      </c>
      <c r="AL121">
        <v>21</v>
      </c>
      <c r="AM121">
        <v>28</v>
      </c>
      <c r="AN121" s="18">
        <v>0</v>
      </c>
      <c r="AO121" s="18">
        <v>0</v>
      </c>
      <c r="AP121" s="18">
        <v>0</v>
      </c>
      <c r="AQ121" s="18">
        <v>0</v>
      </c>
      <c r="AR121" s="29">
        <v>0</v>
      </c>
      <c r="AS121" s="29">
        <v>0</v>
      </c>
      <c r="AT121" s="29">
        <v>23</v>
      </c>
      <c r="AU121" s="24" t="str">
        <f t="shared" si="2"/>
        <v>库存为23</v>
      </c>
      <c r="AV121" s="31" t="str">
        <f>IFERROR(时间!$B$4+AU121,"上周无销量")</f>
        <v>上周无销量</v>
      </c>
    </row>
    <row r="122" spans="1:49">
      <c r="A122" s="16" t="s">
        <v>294</v>
      </c>
      <c r="B122" t="s">
        <v>295</v>
      </c>
      <c r="C122" t="s">
        <v>289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17</v>
      </c>
      <c r="J122" s="26">
        <v>0</v>
      </c>
      <c r="K122" s="26">
        <v>0</v>
      </c>
      <c r="L122" s="26">
        <v>0</v>
      </c>
      <c r="M122">
        <v>17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14</v>
      </c>
      <c r="AK122">
        <v>17</v>
      </c>
      <c r="AL122">
        <v>15</v>
      </c>
      <c r="AM122">
        <v>23</v>
      </c>
      <c r="AN122" s="18">
        <v>0</v>
      </c>
      <c r="AO122" s="18">
        <v>0</v>
      </c>
      <c r="AP122" s="18">
        <v>0</v>
      </c>
      <c r="AQ122" s="18">
        <v>0</v>
      </c>
      <c r="AR122" s="29">
        <v>0</v>
      </c>
      <c r="AS122" s="29">
        <v>0</v>
      </c>
      <c r="AT122" s="29">
        <v>17</v>
      </c>
      <c r="AU122" s="24" t="str">
        <f t="shared" si="2"/>
        <v>库存为17</v>
      </c>
      <c r="AV122" s="31" t="str">
        <f>IFERROR(时间!$B$4+AU122,"上周无销量")</f>
        <v>上周无销量</v>
      </c>
      <c r="AW122" s="31"/>
    </row>
    <row r="123" spans="1:48">
      <c r="A123" s="16" t="s">
        <v>296</v>
      </c>
      <c r="B123" t="s">
        <v>297</v>
      </c>
      <c r="C123" t="s">
        <v>289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13</v>
      </c>
      <c r="J123" s="26">
        <v>0</v>
      </c>
      <c r="K123" s="26">
        <v>0</v>
      </c>
      <c r="L123" s="26">
        <v>0</v>
      </c>
      <c r="M123">
        <v>13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13</v>
      </c>
      <c r="AK123">
        <v>23</v>
      </c>
      <c r="AL123">
        <v>20</v>
      </c>
      <c r="AM123">
        <v>27</v>
      </c>
      <c r="AN123" s="18">
        <v>0</v>
      </c>
      <c r="AO123" s="18">
        <v>0</v>
      </c>
      <c r="AP123" s="18">
        <v>0</v>
      </c>
      <c r="AQ123" s="18">
        <v>0</v>
      </c>
      <c r="AR123" s="29">
        <v>0</v>
      </c>
      <c r="AS123" s="29">
        <v>0</v>
      </c>
      <c r="AT123" s="29">
        <v>13</v>
      </c>
      <c r="AU123" s="24" t="str">
        <f t="shared" si="2"/>
        <v>库存为13</v>
      </c>
      <c r="AV123" s="31" t="str">
        <f>IFERROR(时间!$B$4+AU123,"上周无销量")</f>
        <v>上周无销量</v>
      </c>
    </row>
    <row r="124" spans="1:48">
      <c r="A124" s="16" t="s">
        <v>298</v>
      </c>
      <c r="B124" t="s">
        <v>299</v>
      </c>
      <c r="C124" t="s">
        <v>289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23</v>
      </c>
      <c r="J124" s="26">
        <v>0</v>
      </c>
      <c r="K124" s="26">
        <v>0</v>
      </c>
      <c r="L124" s="26">
        <v>0</v>
      </c>
      <c r="M124">
        <v>23</v>
      </c>
      <c r="N124">
        <v>0</v>
      </c>
      <c r="O124">
        <v>23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0</v>
      </c>
      <c r="AK124">
        <v>0</v>
      </c>
      <c r="AL124">
        <v>0</v>
      </c>
      <c r="AM124">
        <v>1</v>
      </c>
      <c r="AN124" s="18" t="s">
        <v>52</v>
      </c>
      <c r="AO124" s="18" t="s">
        <v>52</v>
      </c>
      <c r="AP124" s="18" t="s">
        <v>52</v>
      </c>
      <c r="AQ124" s="18">
        <v>0</v>
      </c>
      <c r="AR124" s="29">
        <v>0</v>
      </c>
      <c r="AS124" s="29">
        <v>0</v>
      </c>
      <c r="AT124" s="29">
        <v>23</v>
      </c>
      <c r="AU124" s="24" t="str">
        <f t="shared" si="2"/>
        <v>库存为23</v>
      </c>
      <c r="AV124" s="31" t="str">
        <f>IFERROR(时间!$B$4+AU124,"上周无销量")</f>
        <v>上周无销量</v>
      </c>
    </row>
    <row r="125" spans="1:48">
      <c r="A125" s="16" t="s">
        <v>300</v>
      </c>
      <c r="B125" t="s">
        <v>301</v>
      </c>
      <c r="C125" t="s">
        <v>289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0</v>
      </c>
      <c r="J125" s="26">
        <v>0</v>
      </c>
      <c r="K125" s="26">
        <v>0</v>
      </c>
      <c r="L125" s="26">
        <v>0</v>
      </c>
      <c r="M125">
        <v>0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0</v>
      </c>
      <c r="AK125">
        <v>100</v>
      </c>
      <c r="AL125">
        <v>164</v>
      </c>
      <c r="AM125">
        <v>168</v>
      </c>
      <c r="AN125" s="18" t="s">
        <v>52</v>
      </c>
      <c r="AO125" s="18">
        <v>0</v>
      </c>
      <c r="AP125" s="18">
        <v>0</v>
      </c>
      <c r="AQ125" s="18">
        <v>0</v>
      </c>
      <c r="AR125" s="29">
        <v>0</v>
      </c>
      <c r="AS125" s="29">
        <v>0</v>
      </c>
      <c r="AT125" s="29">
        <v>0</v>
      </c>
      <c r="AU125" s="24" t="str">
        <f t="shared" si="2"/>
        <v>库存为0</v>
      </c>
      <c r="AV125" s="31" t="str">
        <f>IFERROR(时间!$B$4+AU125,"上周无销量")</f>
        <v>上周无销量</v>
      </c>
    </row>
    <row r="126" spans="1:48">
      <c r="A126" s="16" t="s">
        <v>302</v>
      </c>
      <c r="B126" t="s">
        <v>303</v>
      </c>
      <c r="C126" t="s">
        <v>289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5</v>
      </c>
      <c r="J126" s="26">
        <v>0</v>
      </c>
      <c r="K126" s="26">
        <v>0</v>
      </c>
      <c r="L126" s="26">
        <v>0</v>
      </c>
      <c r="M126">
        <v>5</v>
      </c>
      <c r="N126">
        <v>1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40</v>
      </c>
      <c r="AK126">
        <v>37</v>
      </c>
      <c r="AL126">
        <v>37</v>
      </c>
      <c r="AM126">
        <v>36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5</v>
      </c>
      <c r="AU126" s="24" t="str">
        <f t="shared" si="2"/>
        <v>库存为5</v>
      </c>
      <c r="AV126" s="31" t="str">
        <f>IFERROR(时间!$B$4+AU126,"上周无销量")</f>
        <v>上周无销量</v>
      </c>
    </row>
    <row r="127" spans="1:48">
      <c r="A127" s="16" t="s">
        <v>304</v>
      </c>
      <c r="B127" t="s">
        <v>305</v>
      </c>
      <c r="C127" t="s">
        <v>289</v>
      </c>
      <c r="D127" s="24">
        <v>2</v>
      </c>
      <c r="E127" s="24">
        <v>0</v>
      </c>
      <c r="F127" s="24">
        <v>2</v>
      </c>
      <c r="G127" s="24">
        <v>2</v>
      </c>
      <c r="H127" s="25">
        <v>22.98</v>
      </c>
      <c r="I127">
        <v>0</v>
      </c>
      <c r="J127" s="26">
        <v>0</v>
      </c>
      <c r="K127" s="26">
        <v>0</v>
      </c>
      <c r="L127" s="26">
        <v>1</v>
      </c>
      <c r="M127">
        <v>1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26</v>
      </c>
      <c r="AK127">
        <v>18</v>
      </c>
      <c r="AL127">
        <v>21</v>
      </c>
      <c r="AM127">
        <v>20</v>
      </c>
      <c r="AN127" s="18">
        <v>0.0769230769230769</v>
      </c>
      <c r="AO127" s="18">
        <v>0</v>
      </c>
      <c r="AP127" s="18">
        <v>0.0952380952380952</v>
      </c>
      <c r="AQ127" s="18">
        <v>0.1</v>
      </c>
      <c r="AR127" s="29">
        <v>0.285714285714286</v>
      </c>
      <c r="AS127" s="29">
        <v>17.1428571428571</v>
      </c>
      <c r="AT127" s="29">
        <v>-16.1428571428571</v>
      </c>
      <c r="AU127" s="24">
        <f t="shared" si="2"/>
        <v>3</v>
      </c>
      <c r="AV127" s="31">
        <f>IFERROR(时间!$B$4+AU127,"上周无销量")</f>
        <v>43321</v>
      </c>
    </row>
    <row r="128" spans="1:48">
      <c r="A128" s="16" t="s">
        <v>306</v>
      </c>
      <c r="B128" t="s">
        <v>307</v>
      </c>
      <c r="C128" t="s">
        <v>289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0</v>
      </c>
      <c r="J128" s="26">
        <v>0</v>
      </c>
      <c r="K128" s="26">
        <v>0</v>
      </c>
      <c r="L128" s="26">
        <v>0</v>
      </c>
      <c r="M128">
        <v>0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21</v>
      </c>
      <c r="AK128">
        <v>39</v>
      </c>
      <c r="AL128">
        <v>32</v>
      </c>
      <c r="AM128">
        <v>21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0</v>
      </c>
      <c r="AU128" s="24" t="str">
        <f t="shared" si="2"/>
        <v>库存为0</v>
      </c>
      <c r="AV128" s="31" t="str">
        <f>IFERROR(时间!$B$4+AU128,"上周无销量")</f>
        <v>上周无销量</v>
      </c>
    </row>
    <row r="129" spans="1:48">
      <c r="A129" s="16" t="s">
        <v>308</v>
      </c>
      <c r="B129" t="s">
        <v>309</v>
      </c>
      <c r="C129" t="s">
        <v>289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20</v>
      </c>
      <c r="J129" s="26">
        <v>0</v>
      </c>
      <c r="K129" s="26">
        <v>0</v>
      </c>
      <c r="L129" s="26">
        <v>0</v>
      </c>
      <c r="M129">
        <v>20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20</v>
      </c>
      <c r="AK129">
        <v>27</v>
      </c>
      <c r="AL129">
        <v>30</v>
      </c>
      <c r="AM129">
        <v>18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20</v>
      </c>
      <c r="AU129" s="24" t="str">
        <f t="shared" si="2"/>
        <v>库存为20</v>
      </c>
      <c r="AV129" s="31" t="str">
        <f>IFERROR(时间!$B$4+AU129,"上周无销量")</f>
        <v>上周无销量</v>
      </c>
    </row>
    <row r="130" spans="1:48">
      <c r="A130" s="16" t="s">
        <v>310</v>
      </c>
      <c r="B130" t="s">
        <v>311</v>
      </c>
      <c r="C130" t="s">
        <v>289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3</v>
      </c>
      <c r="J130" s="26">
        <v>0</v>
      </c>
      <c r="K130" s="26">
        <v>0</v>
      </c>
      <c r="L130" s="26">
        <v>0</v>
      </c>
      <c r="M130">
        <v>3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7</v>
      </c>
      <c r="AK130">
        <v>5</v>
      </c>
      <c r="AL130">
        <v>5</v>
      </c>
      <c r="AM130">
        <v>5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3</v>
      </c>
      <c r="AU130" s="24" t="str">
        <f t="shared" si="2"/>
        <v>库存为3</v>
      </c>
      <c r="AV130" s="31" t="str">
        <f>IFERROR(时间!$B$4+AU130,"上周无销量")</f>
        <v>上周无销量</v>
      </c>
    </row>
    <row r="131" spans="1:48">
      <c r="A131" s="16" t="s">
        <v>312</v>
      </c>
      <c r="B131" t="s">
        <v>313</v>
      </c>
      <c r="C131" t="s">
        <v>289</v>
      </c>
      <c r="D131" s="24">
        <v>0</v>
      </c>
      <c r="E131" s="24">
        <v>0</v>
      </c>
      <c r="F131" s="24">
        <v>0</v>
      </c>
      <c r="G131" s="24">
        <v>0</v>
      </c>
      <c r="H131" s="25">
        <v>0</v>
      </c>
      <c r="I131">
        <v>15</v>
      </c>
      <c r="J131" s="26">
        <v>0</v>
      </c>
      <c r="K131" s="26">
        <v>0</v>
      </c>
      <c r="L131" s="26">
        <v>0</v>
      </c>
      <c r="M131">
        <v>15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4</v>
      </c>
      <c r="AK131">
        <v>8</v>
      </c>
      <c r="AL131">
        <v>4</v>
      </c>
      <c r="AM131">
        <v>6</v>
      </c>
      <c r="AN131" s="18">
        <v>0</v>
      </c>
      <c r="AO131" s="18">
        <v>0</v>
      </c>
      <c r="AP131" s="18">
        <v>0</v>
      </c>
      <c r="AQ131" s="18">
        <v>0</v>
      </c>
      <c r="AR131" s="29">
        <v>0</v>
      </c>
      <c r="AS131" s="29">
        <v>0</v>
      </c>
      <c r="AT131" s="29">
        <v>15</v>
      </c>
      <c r="AU131" s="24" t="str">
        <f t="shared" si="2"/>
        <v>库存为15</v>
      </c>
      <c r="AV131" s="31" t="str">
        <f>IFERROR(时间!$B$4+AU131,"上周无销量")</f>
        <v>上周无销量</v>
      </c>
    </row>
    <row r="132" spans="1:48">
      <c r="A132" s="16" t="s">
        <v>314</v>
      </c>
      <c r="B132" t="s">
        <v>315</v>
      </c>
      <c r="C132" t="s">
        <v>289</v>
      </c>
      <c r="D132" s="24">
        <v>0</v>
      </c>
      <c r="E132" s="24">
        <v>0</v>
      </c>
      <c r="F132" s="24">
        <v>0</v>
      </c>
      <c r="G132" s="24">
        <v>0</v>
      </c>
      <c r="H132" s="25">
        <v>0</v>
      </c>
      <c r="I132">
        <v>34</v>
      </c>
      <c r="J132" s="26">
        <v>0</v>
      </c>
      <c r="K132" s="26">
        <v>0</v>
      </c>
      <c r="L132" s="26">
        <v>0</v>
      </c>
      <c r="M132">
        <v>34</v>
      </c>
      <c r="N132">
        <v>0</v>
      </c>
      <c r="O132">
        <v>0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5</v>
      </c>
      <c r="AK132">
        <v>9</v>
      </c>
      <c r="AL132">
        <v>18</v>
      </c>
      <c r="AM132">
        <v>8</v>
      </c>
      <c r="AN132" s="18">
        <v>0</v>
      </c>
      <c r="AO132" s="18">
        <v>0</v>
      </c>
      <c r="AP132" s="18">
        <v>0</v>
      </c>
      <c r="AQ132" s="18">
        <v>0</v>
      </c>
      <c r="AR132" s="29">
        <v>0</v>
      </c>
      <c r="AS132" s="29">
        <v>0</v>
      </c>
      <c r="AT132" s="29">
        <v>34</v>
      </c>
      <c r="AU132" s="24" t="str">
        <f t="shared" si="2"/>
        <v>库存为34</v>
      </c>
      <c r="AV132" s="31" t="str">
        <f>IFERROR(时间!$B$4+AU132,"上周无销量")</f>
        <v>上周无销量</v>
      </c>
    </row>
    <row r="133" spans="1:48">
      <c r="A133" s="16" t="s">
        <v>316</v>
      </c>
      <c r="B133" t="s">
        <v>317</v>
      </c>
      <c r="C133" t="s">
        <v>289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22</v>
      </c>
      <c r="J133" s="26">
        <v>0</v>
      </c>
      <c r="K133" s="26">
        <v>0</v>
      </c>
      <c r="L133" s="26">
        <v>0</v>
      </c>
      <c r="M133">
        <v>22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9</v>
      </c>
      <c r="AK133">
        <v>5</v>
      </c>
      <c r="AL133">
        <v>7</v>
      </c>
      <c r="AM133">
        <v>4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22</v>
      </c>
      <c r="AU133" s="24" t="str">
        <f t="shared" si="2"/>
        <v>库存为22</v>
      </c>
      <c r="AV133" s="31" t="str">
        <f>IFERROR(时间!$B$4+AU133,"上周无销量")</f>
        <v>上周无销量</v>
      </c>
    </row>
    <row r="134" spans="1:48">
      <c r="A134" s="16" t="s">
        <v>318</v>
      </c>
      <c r="B134" t="s">
        <v>319</v>
      </c>
      <c r="C134" t="s">
        <v>320</v>
      </c>
      <c r="D134" s="24">
        <v>0</v>
      </c>
      <c r="E134" s="24">
        <v>0</v>
      </c>
      <c r="F134" s="24">
        <v>2</v>
      </c>
      <c r="G134" s="24">
        <v>0</v>
      </c>
      <c r="H134" s="25">
        <v>22.98</v>
      </c>
      <c r="I134">
        <v>31</v>
      </c>
      <c r="J134" s="26">
        <v>0</v>
      </c>
      <c r="K134" s="26">
        <v>0</v>
      </c>
      <c r="L134" s="26">
        <v>0</v>
      </c>
      <c r="M134">
        <v>31</v>
      </c>
      <c r="N134">
        <v>0</v>
      </c>
      <c r="O134">
        <v>15</v>
      </c>
      <c r="P134">
        <v>298</v>
      </c>
      <c r="Q134">
        <v>52</v>
      </c>
      <c r="R134">
        <v>233</v>
      </c>
      <c r="S134">
        <v>96</v>
      </c>
      <c r="T134">
        <v>0</v>
      </c>
      <c r="U134">
        <v>1</v>
      </c>
      <c r="V134">
        <v>1</v>
      </c>
      <c r="W134">
        <v>0</v>
      </c>
      <c r="X134" s="18">
        <v>0</v>
      </c>
      <c r="Y134" s="18">
        <v>0.0192307692307692</v>
      </c>
      <c r="Z134" s="18">
        <v>0.00429184549356223</v>
      </c>
      <c r="AA134" s="18">
        <v>0</v>
      </c>
      <c r="AB134">
        <v>0</v>
      </c>
      <c r="AC134">
        <v>0.32</v>
      </c>
      <c r="AD134">
        <v>0.32</v>
      </c>
      <c r="AE134">
        <v>0</v>
      </c>
      <c r="AF134" s="18" t="s">
        <v>52</v>
      </c>
      <c r="AG134" s="18" t="s">
        <v>321</v>
      </c>
      <c r="AH134" s="18">
        <v>0.00696257615317668</v>
      </c>
      <c r="AI134" s="18" t="s">
        <v>52</v>
      </c>
      <c r="AJ134">
        <v>10</v>
      </c>
      <c r="AK134">
        <v>9</v>
      </c>
      <c r="AL134">
        <v>9</v>
      </c>
      <c r="AM134">
        <v>9</v>
      </c>
      <c r="AN134" s="18">
        <v>0</v>
      </c>
      <c r="AO134" s="18">
        <v>0</v>
      </c>
      <c r="AP134" s="18">
        <v>0.222222222222222</v>
      </c>
      <c r="AQ134" s="18">
        <v>0</v>
      </c>
      <c r="AR134" s="29">
        <v>0</v>
      </c>
      <c r="AS134" s="29">
        <v>0</v>
      </c>
      <c r="AT134" s="29">
        <v>31</v>
      </c>
      <c r="AU134" s="24" t="str">
        <f t="shared" ref="AU134:AU197" si="3">IF(AR134="","库存为"&amp;M134,IF(AS134=0,"库存为"&amp;M134,INT(M134/AR134)))</f>
        <v>库存为31</v>
      </c>
      <c r="AV134" s="31" t="str">
        <f>IFERROR(时间!$B$4+AU134,"上周无销量")</f>
        <v>上周无销量</v>
      </c>
    </row>
    <row r="135" spans="1:48">
      <c r="A135" s="16" t="s">
        <v>322</v>
      </c>
      <c r="B135" t="s">
        <v>323</v>
      </c>
      <c r="C135" t="s">
        <v>324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4</v>
      </c>
      <c r="J135" s="26">
        <v>0</v>
      </c>
      <c r="K135" s="26">
        <v>0</v>
      </c>
      <c r="L135" s="26">
        <v>0</v>
      </c>
      <c r="M135">
        <v>4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8</v>
      </c>
      <c r="AK135">
        <v>5</v>
      </c>
      <c r="AL135">
        <v>8</v>
      </c>
      <c r="AM135">
        <v>6</v>
      </c>
      <c r="AN135" s="18">
        <v>0</v>
      </c>
      <c r="AO135" s="18">
        <v>0</v>
      </c>
      <c r="AP135" s="18">
        <v>0</v>
      </c>
      <c r="AQ135" s="18">
        <v>0</v>
      </c>
      <c r="AR135" s="29">
        <v>0</v>
      </c>
      <c r="AS135" s="29">
        <v>0</v>
      </c>
      <c r="AT135" s="29">
        <v>4</v>
      </c>
      <c r="AU135" s="24" t="str">
        <f t="shared" si="3"/>
        <v>库存为4</v>
      </c>
      <c r="AV135" s="31" t="str">
        <f>IFERROR(时间!$B$4+AU135,"上周无销量")</f>
        <v>上周无销量</v>
      </c>
    </row>
    <row r="136" spans="1:48">
      <c r="A136" s="16" t="s">
        <v>325</v>
      </c>
      <c r="B136" t="s">
        <v>326</v>
      </c>
      <c r="C136" t="s">
        <v>324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3</v>
      </c>
      <c r="J136" s="26">
        <v>0</v>
      </c>
      <c r="K136" s="26">
        <v>0</v>
      </c>
      <c r="L136" s="26">
        <v>0</v>
      </c>
      <c r="M136">
        <v>3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6</v>
      </c>
      <c r="AK136">
        <v>3</v>
      </c>
      <c r="AL136">
        <v>5</v>
      </c>
      <c r="AM136">
        <v>4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3</v>
      </c>
      <c r="AU136" s="24" t="str">
        <f t="shared" si="3"/>
        <v>库存为3</v>
      </c>
      <c r="AV136" s="31" t="str">
        <f>IFERROR(时间!$B$4+AU136,"上周无销量")</f>
        <v>上周无销量</v>
      </c>
    </row>
    <row r="137" spans="1:48">
      <c r="A137" s="16" t="s">
        <v>327</v>
      </c>
      <c r="B137" t="s">
        <v>328</v>
      </c>
      <c r="C137" t="s">
        <v>324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2</v>
      </c>
      <c r="J137" s="26">
        <v>0</v>
      </c>
      <c r="K137" s="26">
        <v>0</v>
      </c>
      <c r="L137" s="26">
        <v>0</v>
      </c>
      <c r="M137">
        <v>2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2</v>
      </c>
      <c r="AK137">
        <v>7</v>
      </c>
      <c r="AL137">
        <v>5</v>
      </c>
      <c r="AM137">
        <v>5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2</v>
      </c>
      <c r="AU137" s="24" t="str">
        <f t="shared" si="3"/>
        <v>库存为2</v>
      </c>
      <c r="AV137" s="31" t="str">
        <f>IFERROR(时间!$B$4+AU137,"上周无销量")</f>
        <v>上周无销量</v>
      </c>
    </row>
    <row r="138" spans="1:48">
      <c r="A138" s="16" t="s">
        <v>329</v>
      </c>
      <c r="B138" t="s">
        <v>330</v>
      </c>
      <c r="C138" t="s">
        <v>324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1</v>
      </c>
      <c r="J138" s="26">
        <v>0</v>
      </c>
      <c r="K138" s="26">
        <v>0</v>
      </c>
      <c r="L138" s="26">
        <v>0</v>
      </c>
      <c r="M138">
        <v>1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0</v>
      </c>
      <c r="AK138">
        <v>0</v>
      </c>
      <c r="AL138">
        <v>0</v>
      </c>
      <c r="AM138">
        <v>0</v>
      </c>
      <c r="AN138" s="18" t="s">
        <v>52</v>
      </c>
      <c r="AO138" s="18" t="s">
        <v>52</v>
      </c>
      <c r="AP138" s="18" t="s">
        <v>52</v>
      </c>
      <c r="AQ138" s="18" t="s">
        <v>52</v>
      </c>
      <c r="AR138" s="29">
        <v>0</v>
      </c>
      <c r="AS138" s="29">
        <v>0</v>
      </c>
      <c r="AT138" s="29">
        <v>1</v>
      </c>
      <c r="AU138" s="24" t="str">
        <f t="shared" si="3"/>
        <v>库存为1</v>
      </c>
      <c r="AV138" s="31" t="str">
        <f>IFERROR(时间!$B$4+AU138,"上周无销量")</f>
        <v>上周无销量</v>
      </c>
    </row>
    <row r="139" spans="1:48">
      <c r="A139" s="16" t="s">
        <v>331</v>
      </c>
      <c r="B139" t="s">
        <v>332</v>
      </c>
      <c r="C139" t="s">
        <v>324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5</v>
      </c>
      <c r="J139" s="26">
        <v>0</v>
      </c>
      <c r="K139" s="26">
        <v>0</v>
      </c>
      <c r="L139" s="26">
        <v>0</v>
      </c>
      <c r="M139">
        <v>5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2</v>
      </c>
      <c r="AK139">
        <v>3</v>
      </c>
      <c r="AL139">
        <v>1</v>
      </c>
      <c r="AM139">
        <v>3</v>
      </c>
      <c r="AN139" s="18">
        <v>0</v>
      </c>
      <c r="AO139" s="18">
        <v>0</v>
      </c>
      <c r="AP139" s="18">
        <v>0</v>
      </c>
      <c r="AQ139" s="18">
        <v>0</v>
      </c>
      <c r="AR139" s="29">
        <v>0</v>
      </c>
      <c r="AS139" s="29">
        <v>0</v>
      </c>
      <c r="AT139" s="29">
        <v>5</v>
      </c>
      <c r="AU139" s="24" t="str">
        <f t="shared" si="3"/>
        <v>库存为5</v>
      </c>
      <c r="AV139" s="31" t="str">
        <f>IFERROR(时间!$B$4+AU139,"上周无销量")</f>
        <v>上周无销量</v>
      </c>
    </row>
    <row r="140" spans="1:48">
      <c r="A140" s="16" t="s">
        <v>333</v>
      </c>
      <c r="B140" t="s">
        <v>334</v>
      </c>
      <c r="C140" t="s">
        <v>324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2</v>
      </c>
      <c r="J140" s="26">
        <v>0</v>
      </c>
      <c r="K140" s="26">
        <v>0</v>
      </c>
      <c r="L140" s="26">
        <v>0</v>
      </c>
      <c r="M140">
        <v>2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12</v>
      </c>
      <c r="AK140">
        <v>4</v>
      </c>
      <c r="AL140">
        <v>7</v>
      </c>
      <c r="AM140">
        <v>4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2</v>
      </c>
      <c r="AU140" s="24" t="str">
        <f t="shared" si="3"/>
        <v>库存为2</v>
      </c>
      <c r="AV140" s="31" t="str">
        <f>IFERROR(时间!$B$4+AU140,"上周无销量")</f>
        <v>上周无销量</v>
      </c>
    </row>
    <row r="141" spans="1:48">
      <c r="A141" s="16" t="s">
        <v>335</v>
      </c>
      <c r="B141" t="s">
        <v>336</v>
      </c>
      <c r="C141" t="s">
        <v>324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18</v>
      </c>
      <c r="J141" s="26">
        <v>0</v>
      </c>
      <c r="K141" s="26">
        <v>0</v>
      </c>
      <c r="L141" s="26">
        <v>0</v>
      </c>
      <c r="M141">
        <v>18</v>
      </c>
      <c r="N141">
        <v>0</v>
      </c>
      <c r="O141">
        <v>18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3</v>
      </c>
      <c r="AK141">
        <v>1</v>
      </c>
      <c r="AL141">
        <v>5</v>
      </c>
      <c r="AM141">
        <v>3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18</v>
      </c>
      <c r="AU141" s="24" t="str">
        <f t="shared" si="3"/>
        <v>库存为18</v>
      </c>
      <c r="AV141" s="31" t="str">
        <f>IFERROR(时间!$B$4+AU141,"上周无销量")</f>
        <v>上周无销量</v>
      </c>
    </row>
    <row r="142" spans="1:48">
      <c r="A142" s="16" t="s">
        <v>337</v>
      </c>
      <c r="B142" t="s">
        <v>338</v>
      </c>
      <c r="C142" t="s">
        <v>324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0</v>
      </c>
      <c r="J142" s="26">
        <v>0</v>
      </c>
      <c r="K142" s="26">
        <v>0</v>
      </c>
      <c r="L142" s="26">
        <v>0</v>
      </c>
      <c r="M142">
        <v>0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0</v>
      </c>
      <c r="AK142">
        <v>0</v>
      </c>
      <c r="AL142">
        <v>0</v>
      </c>
      <c r="AM142">
        <v>0</v>
      </c>
      <c r="AN142" s="18" t="s">
        <v>52</v>
      </c>
      <c r="AO142" s="18" t="s">
        <v>52</v>
      </c>
      <c r="AP142" s="18" t="s">
        <v>52</v>
      </c>
      <c r="AQ142" s="18" t="s">
        <v>52</v>
      </c>
      <c r="AR142" s="29">
        <v>0</v>
      </c>
      <c r="AS142" s="29">
        <v>0</v>
      </c>
      <c r="AT142" s="29">
        <v>0</v>
      </c>
      <c r="AU142" s="24" t="str">
        <f t="shared" si="3"/>
        <v>库存为0</v>
      </c>
      <c r="AV142" s="31" t="str">
        <f>IFERROR(时间!$B$4+AU142,"上周无销量")</f>
        <v>上周无销量</v>
      </c>
    </row>
    <row r="143" spans="1:48">
      <c r="A143" s="16" t="s">
        <v>339</v>
      </c>
      <c r="B143" t="s">
        <v>340</v>
      </c>
      <c r="C143" t="s">
        <v>324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12</v>
      </c>
      <c r="J143" s="26">
        <v>0</v>
      </c>
      <c r="K143" s="26">
        <v>0</v>
      </c>
      <c r="L143" s="26">
        <v>0</v>
      </c>
      <c r="M143">
        <v>12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2</v>
      </c>
      <c r="AK143">
        <v>6</v>
      </c>
      <c r="AL143">
        <v>4</v>
      </c>
      <c r="AM143">
        <v>5</v>
      </c>
      <c r="AN143" s="18">
        <v>0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12</v>
      </c>
      <c r="AU143" s="24" t="str">
        <f t="shared" si="3"/>
        <v>库存为12</v>
      </c>
      <c r="AV143" s="31" t="str">
        <f>IFERROR(时间!$B$4+AU143,"上周无销量")</f>
        <v>上周无销量</v>
      </c>
    </row>
    <row r="144" spans="1:48">
      <c r="A144" s="16" t="s">
        <v>341</v>
      </c>
      <c r="B144" t="s">
        <v>342</v>
      </c>
      <c r="C144" t="s">
        <v>324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2</v>
      </c>
      <c r="J144" s="26">
        <v>0</v>
      </c>
      <c r="K144" s="26">
        <v>0</v>
      </c>
      <c r="L144" s="26">
        <v>0</v>
      </c>
      <c r="M144">
        <v>2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5</v>
      </c>
      <c r="AK144">
        <v>10</v>
      </c>
      <c r="AL144">
        <v>18</v>
      </c>
      <c r="AM144">
        <v>4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2</v>
      </c>
      <c r="AU144" s="24" t="str">
        <f t="shared" si="3"/>
        <v>库存为2</v>
      </c>
      <c r="AV144" s="31" t="str">
        <f>IFERROR(时间!$B$4+AU144,"上周无销量")</f>
        <v>上周无销量</v>
      </c>
    </row>
    <row r="145" spans="1:48">
      <c r="A145" s="16" t="s">
        <v>343</v>
      </c>
      <c r="B145" t="s">
        <v>344</v>
      </c>
      <c r="C145" t="s">
        <v>324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9</v>
      </c>
      <c r="J145" s="26">
        <v>0</v>
      </c>
      <c r="K145" s="26">
        <v>0</v>
      </c>
      <c r="L145" s="26">
        <v>0</v>
      </c>
      <c r="M145">
        <v>9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5</v>
      </c>
      <c r="AK145">
        <v>9</v>
      </c>
      <c r="AL145">
        <v>7</v>
      </c>
      <c r="AM145">
        <v>8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9</v>
      </c>
      <c r="AU145" s="24" t="str">
        <f t="shared" si="3"/>
        <v>库存为9</v>
      </c>
      <c r="AV145" s="31" t="str">
        <f>IFERROR(时间!$B$4+AU145,"上周无销量")</f>
        <v>上周无销量</v>
      </c>
    </row>
    <row r="146" spans="1:48">
      <c r="A146" s="16" t="s">
        <v>345</v>
      </c>
      <c r="B146" t="s">
        <v>346</v>
      </c>
      <c r="C146" t="s">
        <v>324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4</v>
      </c>
      <c r="J146" s="26">
        <v>0</v>
      </c>
      <c r="K146" s="26">
        <v>0</v>
      </c>
      <c r="L146" s="26">
        <v>0</v>
      </c>
      <c r="M146">
        <v>4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14</v>
      </c>
      <c r="AK146">
        <v>5</v>
      </c>
      <c r="AL146">
        <v>3</v>
      </c>
      <c r="AM146">
        <v>5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4</v>
      </c>
      <c r="AU146" s="24" t="str">
        <f t="shared" si="3"/>
        <v>库存为4</v>
      </c>
      <c r="AV146" s="31" t="str">
        <f>IFERROR(时间!$B$4+AU146,"上周无销量")</f>
        <v>上周无销量</v>
      </c>
    </row>
    <row r="147" spans="1:48">
      <c r="A147" s="16" t="s">
        <v>347</v>
      </c>
      <c r="B147" t="s">
        <v>348</v>
      </c>
      <c r="C147" t="s">
        <v>324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7</v>
      </c>
      <c r="J147" s="26">
        <v>0</v>
      </c>
      <c r="K147" s="26">
        <v>0</v>
      </c>
      <c r="L147" s="26">
        <v>0</v>
      </c>
      <c r="M147">
        <v>7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2</v>
      </c>
      <c r="AK147">
        <v>4</v>
      </c>
      <c r="AL147">
        <v>5</v>
      </c>
      <c r="AM147">
        <v>5</v>
      </c>
      <c r="AN147" s="18">
        <v>0</v>
      </c>
      <c r="AO147" s="18">
        <v>0</v>
      </c>
      <c r="AP147" s="18">
        <v>0</v>
      </c>
      <c r="AQ147" s="18">
        <v>0</v>
      </c>
      <c r="AR147" s="29">
        <v>0</v>
      </c>
      <c r="AS147" s="29">
        <v>0</v>
      </c>
      <c r="AT147" s="29">
        <v>7</v>
      </c>
      <c r="AU147" s="24" t="str">
        <f t="shared" si="3"/>
        <v>库存为7</v>
      </c>
      <c r="AV147" s="31" t="str">
        <f>IFERROR(时间!$B$4+AU147,"上周无销量")</f>
        <v>上周无销量</v>
      </c>
    </row>
    <row r="148" spans="1:48">
      <c r="A148" s="16" t="s">
        <v>349</v>
      </c>
      <c r="B148" t="s">
        <v>350</v>
      </c>
      <c r="C148" t="s">
        <v>324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9</v>
      </c>
      <c r="J148" s="26">
        <v>0</v>
      </c>
      <c r="K148" s="26">
        <v>0</v>
      </c>
      <c r="L148" s="26">
        <v>0</v>
      </c>
      <c r="M148">
        <v>9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5</v>
      </c>
      <c r="AK148">
        <v>2</v>
      </c>
      <c r="AL148">
        <v>9</v>
      </c>
      <c r="AM148">
        <v>4</v>
      </c>
      <c r="AN148" s="18">
        <v>0</v>
      </c>
      <c r="AO148" s="18">
        <v>0</v>
      </c>
      <c r="AP148" s="18">
        <v>0</v>
      </c>
      <c r="AQ148" s="18">
        <v>0</v>
      </c>
      <c r="AR148" s="29">
        <v>0</v>
      </c>
      <c r="AS148" s="29">
        <v>0</v>
      </c>
      <c r="AT148" s="29">
        <v>9</v>
      </c>
      <c r="AU148" s="24" t="str">
        <f t="shared" si="3"/>
        <v>库存为9</v>
      </c>
      <c r="AV148" s="31" t="str">
        <f>IFERROR(时间!$B$4+AU148,"上周无销量")</f>
        <v>上周无销量</v>
      </c>
    </row>
    <row r="149" spans="1:48">
      <c r="A149" s="16" t="s">
        <v>351</v>
      </c>
      <c r="B149" t="s">
        <v>352</v>
      </c>
      <c r="C149" t="s">
        <v>324</v>
      </c>
      <c r="D149" s="24">
        <v>0</v>
      </c>
      <c r="E149" s="24">
        <v>0</v>
      </c>
      <c r="F149" s="24">
        <v>0</v>
      </c>
      <c r="G149" s="24">
        <v>0</v>
      </c>
      <c r="H149" s="25">
        <v>0</v>
      </c>
      <c r="I149">
        <v>9</v>
      </c>
      <c r="J149" s="26">
        <v>0</v>
      </c>
      <c r="K149" s="26">
        <v>0</v>
      </c>
      <c r="L149" s="26">
        <v>0</v>
      </c>
      <c r="M149">
        <v>9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4</v>
      </c>
      <c r="AK149">
        <v>2</v>
      </c>
      <c r="AL149">
        <v>3</v>
      </c>
      <c r="AM149">
        <v>2</v>
      </c>
      <c r="AN149" s="18">
        <v>0</v>
      </c>
      <c r="AO149" s="18">
        <v>0</v>
      </c>
      <c r="AP149" s="18">
        <v>0</v>
      </c>
      <c r="AQ149" s="18">
        <v>0</v>
      </c>
      <c r="AR149" s="29">
        <v>0</v>
      </c>
      <c r="AS149" s="29">
        <v>0</v>
      </c>
      <c r="AT149" s="29">
        <v>9</v>
      </c>
      <c r="AU149" s="24" t="str">
        <f t="shared" si="3"/>
        <v>库存为9</v>
      </c>
      <c r="AV149" s="31" t="str">
        <f>IFERROR(时间!$B$4+AU149,"上周无销量")</f>
        <v>上周无销量</v>
      </c>
    </row>
    <row r="150" spans="1:48">
      <c r="A150" s="16" t="s">
        <v>353</v>
      </c>
      <c r="B150" t="s">
        <v>354</v>
      </c>
      <c r="C150" t="s">
        <v>324</v>
      </c>
      <c r="D150" s="24">
        <v>0</v>
      </c>
      <c r="E150" s="24">
        <v>0</v>
      </c>
      <c r="F150" s="24">
        <v>0</v>
      </c>
      <c r="G150" s="24">
        <v>0</v>
      </c>
      <c r="H150" s="25">
        <v>0</v>
      </c>
      <c r="I150">
        <v>0</v>
      </c>
      <c r="J150" s="26">
        <v>0</v>
      </c>
      <c r="K150" s="26">
        <v>0</v>
      </c>
      <c r="L150" s="26">
        <v>0</v>
      </c>
      <c r="M150">
        <v>0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0</v>
      </c>
      <c r="AK150">
        <v>0</v>
      </c>
      <c r="AL150">
        <v>0</v>
      </c>
      <c r="AM150">
        <v>0</v>
      </c>
      <c r="AN150" s="18" t="s">
        <v>52</v>
      </c>
      <c r="AO150" s="18" t="s">
        <v>52</v>
      </c>
      <c r="AP150" s="18" t="s">
        <v>52</v>
      </c>
      <c r="AQ150" s="18" t="s">
        <v>52</v>
      </c>
      <c r="AR150" s="29">
        <v>0</v>
      </c>
      <c r="AS150" s="29">
        <v>0</v>
      </c>
      <c r="AT150" s="29">
        <v>0</v>
      </c>
      <c r="AU150" s="24" t="str">
        <f t="shared" si="3"/>
        <v>库存为0</v>
      </c>
      <c r="AV150" s="31" t="str">
        <f>IFERROR(时间!$B$4+AU150,"上周无销量")</f>
        <v>上周无销量</v>
      </c>
    </row>
    <row r="151" spans="1:48">
      <c r="A151" s="16" t="s">
        <v>355</v>
      </c>
      <c r="B151" t="s">
        <v>356</v>
      </c>
      <c r="C151" t="s">
        <v>357</v>
      </c>
      <c r="D151" s="24">
        <v>14</v>
      </c>
      <c r="E151" s="24">
        <v>8</v>
      </c>
      <c r="F151" s="24">
        <v>16</v>
      </c>
      <c r="G151" s="24">
        <v>5</v>
      </c>
      <c r="H151" s="25">
        <v>23.5144186046512</v>
      </c>
      <c r="I151">
        <v>1</v>
      </c>
      <c r="J151" s="26">
        <v>30</v>
      </c>
      <c r="K151" s="26">
        <v>0</v>
      </c>
      <c r="L151" s="26">
        <v>2</v>
      </c>
      <c r="M151">
        <v>33</v>
      </c>
      <c r="N151">
        <v>0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52</v>
      </c>
      <c r="AK151">
        <v>54</v>
      </c>
      <c r="AL151">
        <v>48</v>
      </c>
      <c r="AM151">
        <v>58</v>
      </c>
      <c r="AN151" s="18">
        <v>0.269230769230769</v>
      </c>
      <c r="AO151" s="18">
        <v>0.148148148148148</v>
      </c>
      <c r="AP151" s="18">
        <v>0.333333333333333</v>
      </c>
      <c r="AQ151" s="18">
        <v>0.0862068965517241</v>
      </c>
      <c r="AR151" s="29">
        <v>2</v>
      </c>
      <c r="AS151" s="29">
        <v>120</v>
      </c>
      <c r="AT151" s="29">
        <v>-87</v>
      </c>
      <c r="AU151" s="24">
        <f t="shared" si="3"/>
        <v>16</v>
      </c>
      <c r="AV151" s="31">
        <f>IFERROR(时间!$B$4+AU151,"上周无销量")</f>
        <v>43334</v>
      </c>
    </row>
    <row r="152" spans="1:48">
      <c r="A152" s="16" t="s">
        <v>358</v>
      </c>
      <c r="B152" t="s">
        <v>359</v>
      </c>
      <c r="C152" t="s">
        <v>357</v>
      </c>
      <c r="D152" s="24">
        <v>8</v>
      </c>
      <c r="E152" s="24">
        <v>3</v>
      </c>
      <c r="F152" s="24">
        <v>5</v>
      </c>
      <c r="G152" s="24">
        <v>9</v>
      </c>
      <c r="H152" s="25">
        <v>22.98</v>
      </c>
      <c r="I152">
        <v>12</v>
      </c>
      <c r="J152" s="26">
        <v>15</v>
      </c>
      <c r="K152" s="26">
        <v>0</v>
      </c>
      <c r="L152" s="26">
        <v>1</v>
      </c>
      <c r="M152">
        <v>28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42</v>
      </c>
      <c r="AK152">
        <v>32</v>
      </c>
      <c r="AL152">
        <v>49</v>
      </c>
      <c r="AM152">
        <v>29</v>
      </c>
      <c r="AN152" s="18">
        <v>0.19047619047619</v>
      </c>
      <c r="AO152" s="18">
        <v>0.09375</v>
      </c>
      <c r="AP152" s="18">
        <v>0.102040816326531</v>
      </c>
      <c r="AQ152" s="18">
        <v>0.310344827586207</v>
      </c>
      <c r="AR152" s="29">
        <v>1.14285714285714</v>
      </c>
      <c r="AS152" s="29">
        <v>68.5714285714286</v>
      </c>
      <c r="AT152" s="29">
        <v>-40.5714285714286</v>
      </c>
      <c r="AU152" s="24">
        <f t="shared" si="3"/>
        <v>24</v>
      </c>
      <c r="AV152" s="31">
        <f>IFERROR(时间!$B$4+AU152,"上周无销量")</f>
        <v>43342</v>
      </c>
    </row>
    <row r="153" spans="1:48">
      <c r="A153" s="16" t="s">
        <v>360</v>
      </c>
      <c r="B153" t="s">
        <v>361</v>
      </c>
      <c r="C153" t="s">
        <v>357</v>
      </c>
      <c r="D153" s="24">
        <v>2</v>
      </c>
      <c r="E153" s="24">
        <v>0</v>
      </c>
      <c r="F153" s="24">
        <v>0</v>
      </c>
      <c r="G153" s="24">
        <v>0</v>
      </c>
      <c r="H153" s="25">
        <v>22.98</v>
      </c>
      <c r="I153">
        <v>6</v>
      </c>
      <c r="J153" s="26">
        <v>0</v>
      </c>
      <c r="K153" s="26">
        <v>0</v>
      </c>
      <c r="L153" s="26">
        <v>1</v>
      </c>
      <c r="M153">
        <v>7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39</v>
      </c>
      <c r="AK153">
        <v>13</v>
      </c>
      <c r="AL153">
        <v>0</v>
      </c>
      <c r="AM153">
        <v>16</v>
      </c>
      <c r="AN153" s="18">
        <v>0.0512820512820513</v>
      </c>
      <c r="AO153" s="18">
        <v>0</v>
      </c>
      <c r="AP153" s="18" t="s">
        <v>52</v>
      </c>
      <c r="AQ153" s="18">
        <v>0</v>
      </c>
      <c r="AR153" s="29">
        <v>0.285714285714286</v>
      </c>
      <c r="AS153" s="29">
        <v>17.1428571428571</v>
      </c>
      <c r="AT153" s="29">
        <v>-10.1428571428571</v>
      </c>
      <c r="AU153" s="24">
        <f t="shared" si="3"/>
        <v>24</v>
      </c>
      <c r="AV153" s="31">
        <f>IFERROR(时间!$B$4+AU153,"上周无销量")</f>
        <v>43342</v>
      </c>
    </row>
    <row r="154" spans="1:48">
      <c r="A154" s="16" t="s">
        <v>362</v>
      </c>
      <c r="B154" t="s">
        <v>363</v>
      </c>
      <c r="C154" t="s">
        <v>357</v>
      </c>
      <c r="D154" s="24">
        <v>13</v>
      </c>
      <c r="E154" s="24">
        <v>9</v>
      </c>
      <c r="F154" s="24">
        <v>16</v>
      </c>
      <c r="G154" s="24">
        <v>9</v>
      </c>
      <c r="H154" s="25">
        <v>23.98</v>
      </c>
      <c r="I154">
        <v>0</v>
      </c>
      <c r="J154" s="26">
        <v>58</v>
      </c>
      <c r="K154" s="26">
        <v>0</v>
      </c>
      <c r="L154" s="26">
        <v>20</v>
      </c>
      <c r="M154">
        <v>78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46</v>
      </c>
      <c r="AK154">
        <v>60</v>
      </c>
      <c r="AL154">
        <v>48</v>
      </c>
      <c r="AM154">
        <v>53</v>
      </c>
      <c r="AN154" s="18">
        <v>0.282608695652174</v>
      </c>
      <c r="AO154" s="18">
        <v>0.15</v>
      </c>
      <c r="AP154" s="18">
        <v>0.333333333333333</v>
      </c>
      <c r="AQ154" s="18">
        <v>0.169811320754717</v>
      </c>
      <c r="AR154" s="29">
        <v>1.85714285714286</v>
      </c>
      <c r="AS154" s="29">
        <v>111.428571428571</v>
      </c>
      <c r="AT154" s="29">
        <v>-33.4285714285714</v>
      </c>
      <c r="AU154" s="24">
        <f t="shared" si="3"/>
        <v>42</v>
      </c>
      <c r="AV154" s="31">
        <f>IFERROR(时间!$B$4+AU154,"上周无销量")</f>
        <v>43360</v>
      </c>
    </row>
    <row r="155" spans="1:48">
      <c r="A155" s="16" t="s">
        <v>364</v>
      </c>
      <c r="B155" t="s">
        <v>365</v>
      </c>
      <c r="C155" t="s">
        <v>357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0</v>
      </c>
      <c r="J155" s="26">
        <v>0</v>
      </c>
      <c r="K155" s="26">
        <v>0</v>
      </c>
      <c r="L155" s="26">
        <v>0</v>
      </c>
      <c r="M155">
        <v>0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0</v>
      </c>
      <c r="AK155">
        <v>0</v>
      </c>
      <c r="AL155">
        <v>0</v>
      </c>
      <c r="AM155">
        <v>0</v>
      </c>
      <c r="AN155" s="18" t="s">
        <v>52</v>
      </c>
      <c r="AO155" s="18" t="s">
        <v>52</v>
      </c>
      <c r="AP155" s="18" t="s">
        <v>52</v>
      </c>
      <c r="AQ155" s="18" t="s">
        <v>52</v>
      </c>
      <c r="AR155" s="29">
        <v>0</v>
      </c>
      <c r="AS155" s="29">
        <v>0</v>
      </c>
      <c r="AT155" s="29">
        <v>0</v>
      </c>
      <c r="AU155" s="24" t="str">
        <f t="shared" si="3"/>
        <v>库存为0</v>
      </c>
      <c r="AV155" s="31" t="str">
        <f>IFERROR(时间!$B$4+AU155,"上周无销量")</f>
        <v>上周无销量</v>
      </c>
    </row>
    <row r="156" spans="1:48">
      <c r="A156" s="16" t="s">
        <v>366</v>
      </c>
      <c r="B156" t="s">
        <v>367</v>
      </c>
      <c r="C156" t="s">
        <v>357</v>
      </c>
      <c r="D156" s="24">
        <v>8</v>
      </c>
      <c r="E156" s="24">
        <v>3</v>
      </c>
      <c r="F156" s="24">
        <v>5</v>
      </c>
      <c r="G156" s="24">
        <v>5</v>
      </c>
      <c r="H156" s="25">
        <v>22.98</v>
      </c>
      <c r="I156">
        <v>16</v>
      </c>
      <c r="J156" s="26">
        <v>22</v>
      </c>
      <c r="K156" s="26">
        <v>0</v>
      </c>
      <c r="L156" s="26">
        <v>1</v>
      </c>
      <c r="M156">
        <v>39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32</v>
      </c>
      <c r="AK156">
        <v>28</v>
      </c>
      <c r="AL156">
        <v>40</v>
      </c>
      <c r="AM156">
        <v>46</v>
      </c>
      <c r="AN156" s="18">
        <v>0.25</v>
      </c>
      <c r="AO156" s="18">
        <v>0.107142857142857</v>
      </c>
      <c r="AP156" s="18">
        <v>0.125</v>
      </c>
      <c r="AQ156" s="18">
        <v>0.108695652173913</v>
      </c>
      <c r="AR156" s="29">
        <v>1.14285714285714</v>
      </c>
      <c r="AS156" s="29">
        <v>68.5714285714286</v>
      </c>
      <c r="AT156" s="29">
        <v>-29.5714285714286</v>
      </c>
      <c r="AU156" s="24">
        <f t="shared" si="3"/>
        <v>34</v>
      </c>
      <c r="AV156" s="31">
        <f>IFERROR(时间!$B$4+AU156,"上周无销量")</f>
        <v>43352</v>
      </c>
    </row>
    <row r="157" spans="1:48">
      <c r="A157" s="16" t="s">
        <v>368</v>
      </c>
      <c r="B157" t="s">
        <v>369</v>
      </c>
      <c r="C157" t="s">
        <v>357</v>
      </c>
      <c r="D157" s="24">
        <v>5</v>
      </c>
      <c r="E157" s="24">
        <v>3</v>
      </c>
      <c r="F157" s="24">
        <v>2</v>
      </c>
      <c r="G157" s="24">
        <v>4</v>
      </c>
      <c r="H157" s="25">
        <v>22.98</v>
      </c>
      <c r="I157">
        <v>26</v>
      </c>
      <c r="J157" s="26">
        <v>0</v>
      </c>
      <c r="K157" s="26">
        <v>0</v>
      </c>
      <c r="L157" s="26">
        <v>1</v>
      </c>
      <c r="M157">
        <v>27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21</v>
      </c>
      <c r="AK157">
        <v>31</v>
      </c>
      <c r="AL157">
        <v>21</v>
      </c>
      <c r="AM157">
        <v>25</v>
      </c>
      <c r="AN157" s="18">
        <v>0.238095238095238</v>
      </c>
      <c r="AO157" s="18">
        <v>0.0967741935483871</v>
      </c>
      <c r="AP157" s="18">
        <v>0.0952380952380952</v>
      </c>
      <c r="AQ157" s="18">
        <v>0.16</v>
      </c>
      <c r="AR157" s="29">
        <v>0.714285714285714</v>
      </c>
      <c r="AS157" s="29">
        <v>42.8571428571429</v>
      </c>
      <c r="AT157" s="29">
        <v>-15.8571428571429</v>
      </c>
      <c r="AU157" s="24">
        <f t="shared" si="3"/>
        <v>37</v>
      </c>
      <c r="AV157" s="31">
        <f>IFERROR(时间!$B$4+AU157,"上周无销量")</f>
        <v>43355</v>
      </c>
    </row>
    <row r="158" spans="1:48">
      <c r="A158" s="16" t="s">
        <v>370</v>
      </c>
      <c r="B158" t="s">
        <v>371</v>
      </c>
      <c r="C158" t="s">
        <v>357</v>
      </c>
      <c r="D158" s="24">
        <v>0</v>
      </c>
      <c r="E158" s="24">
        <v>0</v>
      </c>
      <c r="F158" s="24">
        <v>0</v>
      </c>
      <c r="G158" s="24">
        <v>0</v>
      </c>
      <c r="H158" s="25">
        <v>0</v>
      </c>
      <c r="I158">
        <v>0</v>
      </c>
      <c r="J158" s="26">
        <v>0</v>
      </c>
      <c r="K158" s="26">
        <v>0</v>
      </c>
      <c r="L158" s="26">
        <v>0</v>
      </c>
      <c r="M158">
        <v>0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29</v>
      </c>
      <c r="AK158">
        <v>25</v>
      </c>
      <c r="AL158">
        <v>22</v>
      </c>
      <c r="AM158">
        <v>23</v>
      </c>
      <c r="AN158" s="18">
        <v>0</v>
      </c>
      <c r="AO158" s="18">
        <v>0</v>
      </c>
      <c r="AP158" s="18">
        <v>0</v>
      </c>
      <c r="AQ158" s="18">
        <v>0</v>
      </c>
      <c r="AR158" s="29">
        <v>0</v>
      </c>
      <c r="AS158" s="29">
        <v>0</v>
      </c>
      <c r="AT158" s="29">
        <v>0</v>
      </c>
      <c r="AU158" s="24" t="str">
        <f t="shared" si="3"/>
        <v>库存为0</v>
      </c>
      <c r="AV158" s="31" t="str">
        <f>IFERROR(时间!$B$4+AU158,"上周无销量")</f>
        <v>上周无销量</v>
      </c>
    </row>
    <row r="159" spans="1:48">
      <c r="A159" s="16" t="s">
        <v>372</v>
      </c>
      <c r="B159" t="s">
        <v>373</v>
      </c>
      <c r="C159" t="s">
        <v>357</v>
      </c>
      <c r="D159" s="24">
        <v>11</v>
      </c>
      <c r="E159" s="24">
        <v>7</v>
      </c>
      <c r="F159" s="24">
        <v>10</v>
      </c>
      <c r="G159" s="24">
        <v>8</v>
      </c>
      <c r="H159" s="25">
        <v>23.98</v>
      </c>
      <c r="I159">
        <v>8</v>
      </c>
      <c r="J159" s="26">
        <v>0</v>
      </c>
      <c r="K159" s="26">
        <v>0</v>
      </c>
      <c r="L159" s="26">
        <v>1</v>
      </c>
      <c r="M159">
        <v>9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27</v>
      </c>
      <c r="AK159">
        <v>33</v>
      </c>
      <c r="AL159">
        <v>39</v>
      </c>
      <c r="AM159">
        <v>37</v>
      </c>
      <c r="AN159" s="18">
        <v>0.407407407407407</v>
      </c>
      <c r="AO159" s="18">
        <v>0.212121212121212</v>
      </c>
      <c r="AP159" s="18">
        <v>0.256410256410256</v>
      </c>
      <c r="AQ159" s="18">
        <v>0.216216216216216</v>
      </c>
      <c r="AR159" s="29">
        <v>1.57142857142857</v>
      </c>
      <c r="AS159" s="29">
        <v>94.2857142857143</v>
      </c>
      <c r="AT159" s="29">
        <v>-85.2857142857143</v>
      </c>
      <c r="AU159" s="24">
        <f t="shared" si="3"/>
        <v>5</v>
      </c>
      <c r="AV159" s="31">
        <f>IFERROR(时间!$B$4+AU159,"上周无销量")</f>
        <v>43323</v>
      </c>
    </row>
    <row r="160" spans="1:48">
      <c r="A160" s="16" t="s">
        <v>374</v>
      </c>
      <c r="B160" t="s">
        <v>375</v>
      </c>
      <c r="C160" t="s">
        <v>357</v>
      </c>
      <c r="D160" s="24">
        <v>6</v>
      </c>
      <c r="E160" s="24">
        <v>2</v>
      </c>
      <c r="F160" s="24">
        <v>11</v>
      </c>
      <c r="G160" s="24">
        <v>2</v>
      </c>
      <c r="H160" s="25">
        <v>23.98</v>
      </c>
      <c r="I160">
        <v>14</v>
      </c>
      <c r="J160" s="26">
        <v>10</v>
      </c>
      <c r="K160" s="26">
        <v>0</v>
      </c>
      <c r="L160" s="26">
        <v>0</v>
      </c>
      <c r="M160">
        <v>24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31</v>
      </c>
      <c r="AK160">
        <v>19</v>
      </c>
      <c r="AL160">
        <v>29</v>
      </c>
      <c r="AM160">
        <v>37</v>
      </c>
      <c r="AN160" s="18">
        <v>0.193548387096774</v>
      </c>
      <c r="AO160" s="18">
        <v>0.105263157894737</v>
      </c>
      <c r="AP160" s="18">
        <v>0.379310344827586</v>
      </c>
      <c r="AQ160" s="18">
        <v>0.0540540540540541</v>
      </c>
      <c r="AR160" s="29">
        <v>0.857142857142857</v>
      </c>
      <c r="AS160" s="29">
        <v>51.4285714285714</v>
      </c>
      <c r="AT160" s="29">
        <v>-27.4285714285714</v>
      </c>
      <c r="AU160" s="24">
        <f t="shared" si="3"/>
        <v>28</v>
      </c>
      <c r="AV160" s="31">
        <f>IFERROR(时间!$B$4+AU160,"上周无销量")</f>
        <v>43346</v>
      </c>
    </row>
    <row r="161" spans="1:48">
      <c r="A161" s="16" t="s">
        <v>376</v>
      </c>
      <c r="B161" t="s">
        <v>377</v>
      </c>
      <c r="C161" t="s">
        <v>357</v>
      </c>
      <c r="D161" s="24">
        <v>10</v>
      </c>
      <c r="E161" s="24">
        <v>4</v>
      </c>
      <c r="F161" s="24">
        <v>11</v>
      </c>
      <c r="G161" s="24">
        <v>3</v>
      </c>
      <c r="H161" s="25">
        <v>23.8007142857143</v>
      </c>
      <c r="I161">
        <v>46</v>
      </c>
      <c r="J161" s="26">
        <v>0</v>
      </c>
      <c r="K161" s="26">
        <v>0</v>
      </c>
      <c r="L161" s="26">
        <v>1</v>
      </c>
      <c r="M161">
        <v>47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33</v>
      </c>
      <c r="AK161">
        <v>27</v>
      </c>
      <c r="AL161">
        <v>43</v>
      </c>
      <c r="AM161">
        <v>38</v>
      </c>
      <c r="AN161" s="18">
        <v>0.303030303030303</v>
      </c>
      <c r="AO161" s="18">
        <v>0.148148148148148</v>
      </c>
      <c r="AP161" s="18">
        <v>0.255813953488372</v>
      </c>
      <c r="AQ161" s="18">
        <v>0.0789473684210526</v>
      </c>
      <c r="AR161" s="29">
        <v>1.42857142857143</v>
      </c>
      <c r="AS161" s="29">
        <v>85.7142857142857</v>
      </c>
      <c r="AT161" s="29">
        <v>-38.7142857142857</v>
      </c>
      <c r="AU161" s="24">
        <f t="shared" si="3"/>
        <v>32</v>
      </c>
      <c r="AV161" s="31">
        <f>IFERROR(时间!$B$4+AU161,"上周无销量")</f>
        <v>43350</v>
      </c>
    </row>
    <row r="162" spans="1:48">
      <c r="A162" s="16" t="s">
        <v>378</v>
      </c>
      <c r="B162" t="s">
        <v>379</v>
      </c>
      <c r="C162" t="s">
        <v>357</v>
      </c>
      <c r="D162" s="24">
        <v>2</v>
      </c>
      <c r="E162" s="24">
        <v>2</v>
      </c>
      <c r="F162" s="24">
        <v>0</v>
      </c>
      <c r="G162" s="24">
        <v>0</v>
      </c>
      <c r="H162" s="25">
        <v>22.98</v>
      </c>
      <c r="I162">
        <v>6</v>
      </c>
      <c r="J162" s="26">
        <v>10</v>
      </c>
      <c r="K162" s="26">
        <v>0</v>
      </c>
      <c r="L162" s="26">
        <v>0</v>
      </c>
      <c r="M162">
        <v>16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31</v>
      </c>
      <c r="AK162">
        <v>16</v>
      </c>
      <c r="AL162">
        <v>21</v>
      </c>
      <c r="AM162">
        <v>25</v>
      </c>
      <c r="AN162" s="18">
        <v>0.0645161290322581</v>
      </c>
      <c r="AO162" s="18">
        <v>0.125</v>
      </c>
      <c r="AP162" s="18">
        <v>0</v>
      </c>
      <c r="AQ162" s="18">
        <v>0</v>
      </c>
      <c r="AR162" s="29">
        <v>0.285714285714286</v>
      </c>
      <c r="AS162" s="29">
        <v>17.1428571428571</v>
      </c>
      <c r="AT162" s="29">
        <v>-1.14285714285714</v>
      </c>
      <c r="AU162" s="24">
        <f t="shared" si="3"/>
        <v>56</v>
      </c>
      <c r="AV162" s="31">
        <f>IFERROR(时间!$B$4+AU162,"上周无销量")</f>
        <v>43374</v>
      </c>
    </row>
    <row r="163" spans="1:48">
      <c r="A163" s="16" t="s">
        <v>380</v>
      </c>
      <c r="B163" t="s">
        <v>381</v>
      </c>
      <c r="C163" t="s">
        <v>357</v>
      </c>
      <c r="D163" s="24">
        <v>0</v>
      </c>
      <c r="E163" s="24">
        <v>0</v>
      </c>
      <c r="F163" s="24">
        <v>0</v>
      </c>
      <c r="G163" s="24">
        <v>0</v>
      </c>
      <c r="H163" s="25">
        <v>0</v>
      </c>
      <c r="I163">
        <v>0</v>
      </c>
      <c r="J163" s="26">
        <v>0</v>
      </c>
      <c r="K163" s="26">
        <v>0</v>
      </c>
      <c r="L163" s="26">
        <v>0</v>
      </c>
      <c r="M163">
        <v>0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103</v>
      </c>
      <c r="AK163">
        <v>86</v>
      </c>
      <c r="AL163">
        <v>131</v>
      </c>
      <c r="AM163">
        <v>100</v>
      </c>
      <c r="AN163" s="18">
        <v>0</v>
      </c>
      <c r="AO163" s="18">
        <v>0</v>
      </c>
      <c r="AP163" s="18">
        <v>0</v>
      </c>
      <c r="AQ163" s="18">
        <v>0</v>
      </c>
      <c r="AR163" s="29">
        <v>0</v>
      </c>
      <c r="AS163" s="29">
        <v>0</v>
      </c>
      <c r="AT163" s="29">
        <v>0</v>
      </c>
      <c r="AU163" s="24" t="str">
        <f t="shared" si="3"/>
        <v>库存为0</v>
      </c>
      <c r="AV163" s="31" t="str">
        <f>IFERROR(时间!$B$4+AU163,"上周无销量")</f>
        <v>上周无销量</v>
      </c>
    </row>
    <row r="164" spans="1:48">
      <c r="A164" s="16" t="s">
        <v>382</v>
      </c>
      <c r="B164" t="s">
        <v>383</v>
      </c>
      <c r="C164" t="s">
        <v>357</v>
      </c>
      <c r="D164" s="24">
        <v>2</v>
      </c>
      <c r="E164" s="24">
        <v>8</v>
      </c>
      <c r="F164" s="24">
        <v>5</v>
      </c>
      <c r="G164" s="24">
        <v>6</v>
      </c>
      <c r="H164" s="25">
        <v>23.98</v>
      </c>
      <c r="I164">
        <v>25</v>
      </c>
      <c r="J164" s="26">
        <v>10</v>
      </c>
      <c r="K164" s="26">
        <v>0</v>
      </c>
      <c r="L164" s="26">
        <v>0</v>
      </c>
      <c r="M164">
        <v>35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14</v>
      </c>
      <c r="AK164">
        <v>26</v>
      </c>
      <c r="AL164">
        <v>51</v>
      </c>
      <c r="AM164">
        <v>29</v>
      </c>
      <c r="AN164" s="18">
        <v>0.142857142857143</v>
      </c>
      <c r="AO164" s="18">
        <v>0.307692307692308</v>
      </c>
      <c r="AP164" s="18">
        <v>0.0980392156862745</v>
      </c>
      <c r="AQ164" s="18">
        <v>0.206896551724138</v>
      </c>
      <c r="AR164" s="29">
        <v>0.285714285714286</v>
      </c>
      <c r="AS164" s="29">
        <v>17.1428571428571</v>
      </c>
      <c r="AT164" s="29">
        <v>17.8571428571429</v>
      </c>
      <c r="AU164" s="24">
        <f t="shared" si="3"/>
        <v>122</v>
      </c>
      <c r="AV164" s="31">
        <f>IFERROR(时间!$B$4+AU164,"上周无销量")</f>
        <v>43440</v>
      </c>
    </row>
    <row r="165" spans="1:48">
      <c r="A165" s="16" t="s">
        <v>384</v>
      </c>
      <c r="B165" t="s">
        <v>385</v>
      </c>
      <c r="C165" t="s">
        <v>357</v>
      </c>
      <c r="D165" s="24">
        <v>0</v>
      </c>
      <c r="E165" s="24">
        <v>0</v>
      </c>
      <c r="F165" s="24">
        <v>0</v>
      </c>
      <c r="G165" s="24">
        <v>0</v>
      </c>
      <c r="H165" s="25">
        <v>0</v>
      </c>
      <c r="I165">
        <v>0</v>
      </c>
      <c r="J165" s="26">
        <v>0</v>
      </c>
      <c r="K165" s="26">
        <v>0</v>
      </c>
      <c r="L165" s="26">
        <v>0</v>
      </c>
      <c r="M165">
        <v>0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0</v>
      </c>
      <c r="AK165">
        <v>3</v>
      </c>
      <c r="AL165">
        <v>25</v>
      </c>
      <c r="AM165">
        <v>20</v>
      </c>
      <c r="AN165" s="18" t="s">
        <v>52</v>
      </c>
      <c r="AO165" s="18">
        <v>0</v>
      </c>
      <c r="AP165" s="18">
        <v>0</v>
      </c>
      <c r="AQ165" s="18">
        <v>0</v>
      </c>
      <c r="AR165" s="29">
        <v>0</v>
      </c>
      <c r="AS165" s="29">
        <v>0</v>
      </c>
      <c r="AT165" s="29">
        <v>0</v>
      </c>
      <c r="AU165" s="24" t="str">
        <f t="shared" si="3"/>
        <v>库存为0</v>
      </c>
      <c r="AV165" s="31" t="str">
        <f>IFERROR(时间!$B$4+AU165,"上周无销量")</f>
        <v>上周无销量</v>
      </c>
    </row>
    <row r="166" spans="1:48">
      <c r="A166" s="16" t="s">
        <v>386</v>
      </c>
      <c r="B166" t="s">
        <v>387</v>
      </c>
      <c r="C166" t="s">
        <v>357</v>
      </c>
      <c r="D166" s="24">
        <v>5</v>
      </c>
      <c r="E166" s="24">
        <v>4</v>
      </c>
      <c r="F166" s="24">
        <v>4</v>
      </c>
      <c r="G166" s="24">
        <v>2</v>
      </c>
      <c r="H166" s="25">
        <v>22.98</v>
      </c>
      <c r="I166">
        <v>15</v>
      </c>
      <c r="J166" s="26">
        <v>15</v>
      </c>
      <c r="K166" s="26">
        <v>0</v>
      </c>
      <c r="L166" s="26">
        <v>1</v>
      </c>
      <c r="M166">
        <v>31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25</v>
      </c>
      <c r="AK166">
        <v>21</v>
      </c>
      <c r="AL166">
        <v>28</v>
      </c>
      <c r="AM166">
        <v>28</v>
      </c>
      <c r="AN166" s="18">
        <v>0.2</v>
      </c>
      <c r="AO166" s="18">
        <v>0.19047619047619</v>
      </c>
      <c r="AP166" s="18">
        <v>0.142857142857143</v>
      </c>
      <c r="AQ166" s="18">
        <v>0.0714285714285714</v>
      </c>
      <c r="AR166" s="29">
        <v>0.714285714285714</v>
      </c>
      <c r="AS166" s="29">
        <v>42.8571428571429</v>
      </c>
      <c r="AT166" s="29">
        <v>-11.8571428571429</v>
      </c>
      <c r="AU166" s="24">
        <f t="shared" si="3"/>
        <v>43</v>
      </c>
      <c r="AV166" s="31">
        <f>IFERROR(时间!$B$4+AU166,"上周无销量")</f>
        <v>43361</v>
      </c>
    </row>
    <row r="167" spans="1:48">
      <c r="A167" s="16" t="s">
        <v>388</v>
      </c>
      <c r="B167" t="s">
        <v>389</v>
      </c>
      <c r="C167" t="s">
        <v>357</v>
      </c>
      <c r="D167" s="24">
        <v>3</v>
      </c>
      <c r="E167" s="24">
        <v>2</v>
      </c>
      <c r="F167" s="24">
        <v>2</v>
      </c>
      <c r="G167" s="24">
        <v>1</v>
      </c>
      <c r="H167" s="25">
        <v>22.98</v>
      </c>
      <c r="I167">
        <v>34</v>
      </c>
      <c r="J167" s="26">
        <v>0</v>
      </c>
      <c r="K167" s="26">
        <v>0</v>
      </c>
      <c r="L167" s="26">
        <v>0</v>
      </c>
      <c r="M167">
        <v>34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16</v>
      </c>
      <c r="AK167">
        <v>18</v>
      </c>
      <c r="AL167">
        <v>33</v>
      </c>
      <c r="AM167">
        <v>16</v>
      </c>
      <c r="AN167" s="18">
        <v>0.1875</v>
      </c>
      <c r="AO167" s="18">
        <v>0.111111111111111</v>
      </c>
      <c r="AP167" s="18">
        <v>0.0606060606060606</v>
      </c>
      <c r="AQ167" s="18">
        <v>0.0625</v>
      </c>
      <c r="AR167" s="29">
        <v>0.428571428571429</v>
      </c>
      <c r="AS167" s="29">
        <v>25.7142857142857</v>
      </c>
      <c r="AT167" s="29">
        <v>8.28571428571429</v>
      </c>
      <c r="AU167" s="24">
        <f t="shared" si="3"/>
        <v>79</v>
      </c>
      <c r="AV167" s="31">
        <f>IFERROR(时间!$B$4+AU167,"上周无销量")</f>
        <v>43397</v>
      </c>
    </row>
    <row r="168" spans="1:48">
      <c r="A168" s="16" t="s">
        <v>390</v>
      </c>
      <c r="B168" t="s">
        <v>391</v>
      </c>
      <c r="C168" t="s">
        <v>357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0</v>
      </c>
      <c r="J168" s="26">
        <v>0</v>
      </c>
      <c r="K168" s="26">
        <v>0</v>
      </c>
      <c r="L168" s="26">
        <v>0</v>
      </c>
      <c r="M168">
        <v>0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23</v>
      </c>
      <c r="AK168">
        <v>18</v>
      </c>
      <c r="AL168">
        <v>18</v>
      </c>
      <c r="AM168">
        <v>14</v>
      </c>
      <c r="AN168" s="18">
        <v>0</v>
      </c>
      <c r="AO168" s="18">
        <v>0</v>
      </c>
      <c r="AP168" s="18">
        <v>0</v>
      </c>
      <c r="AQ168" s="18">
        <v>0</v>
      </c>
      <c r="AR168" s="29">
        <v>0</v>
      </c>
      <c r="AS168" s="29">
        <v>0</v>
      </c>
      <c r="AT168" s="29">
        <v>0</v>
      </c>
      <c r="AU168" s="24" t="str">
        <f t="shared" si="3"/>
        <v>库存为0</v>
      </c>
      <c r="AV168" s="31" t="str">
        <f>IFERROR(时间!$B$4+AU168,"上周无销量")</f>
        <v>上周无销量</v>
      </c>
    </row>
    <row r="169" spans="1:48">
      <c r="A169" s="16" t="s">
        <v>392</v>
      </c>
      <c r="B169" t="s">
        <v>393</v>
      </c>
      <c r="C169" t="s">
        <v>357</v>
      </c>
      <c r="D169" s="24">
        <v>3</v>
      </c>
      <c r="E169" s="24">
        <v>2</v>
      </c>
      <c r="F169" s="24">
        <v>0</v>
      </c>
      <c r="G169" s="24">
        <v>7</v>
      </c>
      <c r="H169" s="25">
        <v>23.98</v>
      </c>
      <c r="I169">
        <v>13</v>
      </c>
      <c r="J169" s="26">
        <v>5</v>
      </c>
      <c r="K169" s="26">
        <v>0</v>
      </c>
      <c r="L169" s="26">
        <v>1</v>
      </c>
      <c r="M169">
        <v>19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28</v>
      </c>
      <c r="AK169">
        <v>20</v>
      </c>
      <c r="AL169">
        <v>37</v>
      </c>
      <c r="AM169">
        <v>23</v>
      </c>
      <c r="AN169" s="18">
        <v>0.107142857142857</v>
      </c>
      <c r="AO169" s="18">
        <v>0.1</v>
      </c>
      <c r="AP169" s="18">
        <v>0</v>
      </c>
      <c r="AQ169" s="18">
        <v>0.304347826086957</v>
      </c>
      <c r="AR169" s="29">
        <v>0.428571428571429</v>
      </c>
      <c r="AS169" s="29">
        <v>25.7142857142857</v>
      </c>
      <c r="AT169" s="29">
        <v>-6.71428571428571</v>
      </c>
      <c r="AU169" s="24">
        <f t="shared" si="3"/>
        <v>44</v>
      </c>
      <c r="AV169" s="31">
        <f>IFERROR(时间!$B$4+AU169,"上周无销量")</f>
        <v>43362</v>
      </c>
    </row>
    <row r="170" spans="1:48">
      <c r="A170" s="16" t="s">
        <v>394</v>
      </c>
      <c r="B170" t="s">
        <v>395</v>
      </c>
      <c r="C170" t="s">
        <v>357</v>
      </c>
      <c r="D170" s="24">
        <v>3</v>
      </c>
      <c r="E170" s="24">
        <v>0</v>
      </c>
      <c r="F170" s="24">
        <v>3</v>
      </c>
      <c r="G170" s="24">
        <v>1</v>
      </c>
      <c r="H170" s="25">
        <v>23.98</v>
      </c>
      <c r="I170">
        <v>24</v>
      </c>
      <c r="J170" s="26">
        <v>0</v>
      </c>
      <c r="K170" s="26">
        <v>0</v>
      </c>
      <c r="L170" s="26">
        <v>1</v>
      </c>
      <c r="M170">
        <v>25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26</v>
      </c>
      <c r="AK170">
        <v>28</v>
      </c>
      <c r="AL170">
        <v>27</v>
      </c>
      <c r="AM170">
        <v>13</v>
      </c>
      <c r="AN170" s="18">
        <v>0.115384615384615</v>
      </c>
      <c r="AO170" s="18">
        <v>0</v>
      </c>
      <c r="AP170" s="18">
        <v>0.111111111111111</v>
      </c>
      <c r="AQ170" s="18">
        <v>0.0769230769230769</v>
      </c>
      <c r="AR170" s="29">
        <v>0.428571428571429</v>
      </c>
      <c r="AS170" s="29">
        <v>25.7142857142857</v>
      </c>
      <c r="AT170" s="29">
        <v>-0.714285714285712</v>
      </c>
      <c r="AU170" s="24">
        <f t="shared" si="3"/>
        <v>58</v>
      </c>
      <c r="AV170" s="31">
        <f>IFERROR(时间!$B$4+AU170,"上周无销量")</f>
        <v>43376</v>
      </c>
    </row>
    <row r="171" spans="1:48">
      <c r="A171" s="16" t="s">
        <v>396</v>
      </c>
      <c r="B171" t="s">
        <v>397</v>
      </c>
      <c r="C171" t="s">
        <v>357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5</v>
      </c>
      <c r="AK171">
        <v>5</v>
      </c>
      <c r="AL171">
        <v>0</v>
      </c>
      <c r="AM171">
        <v>0</v>
      </c>
      <c r="AN171" s="18">
        <v>0</v>
      </c>
      <c r="AO171" s="18">
        <v>0</v>
      </c>
      <c r="AP171" s="18" t="s">
        <v>52</v>
      </c>
      <c r="AQ171" s="18" t="s">
        <v>52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398</v>
      </c>
      <c r="B172" t="s">
        <v>399</v>
      </c>
      <c r="C172" t="s">
        <v>357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0</v>
      </c>
      <c r="K172" s="26">
        <v>0</v>
      </c>
      <c r="L172" s="26">
        <v>0</v>
      </c>
      <c r="M172">
        <v>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0</v>
      </c>
      <c r="AK172">
        <v>5</v>
      </c>
      <c r="AL172">
        <v>1</v>
      </c>
      <c r="AM172">
        <v>23</v>
      </c>
      <c r="AN172" s="18" t="s">
        <v>52</v>
      </c>
      <c r="AO172" s="18">
        <v>0</v>
      </c>
      <c r="AP172" s="18">
        <v>0</v>
      </c>
      <c r="AQ172" s="18">
        <v>0</v>
      </c>
      <c r="AR172" s="29">
        <v>0</v>
      </c>
      <c r="AS172" s="29">
        <v>0</v>
      </c>
      <c r="AT172" s="29">
        <v>0</v>
      </c>
      <c r="AU172" s="24" t="str">
        <f t="shared" si="3"/>
        <v>库存为0</v>
      </c>
      <c r="AV172" s="31" t="str">
        <f>IFERROR(时间!$B$4+AU172,"上周无销量")</f>
        <v>上周无销量</v>
      </c>
    </row>
    <row r="173" spans="1:48">
      <c r="A173" s="16" t="s">
        <v>400</v>
      </c>
      <c r="B173" t="s">
        <v>401</v>
      </c>
      <c r="C173" t="s">
        <v>357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0</v>
      </c>
      <c r="J173" s="26">
        <v>0</v>
      </c>
      <c r="K173" s="26">
        <v>0</v>
      </c>
      <c r="L173" s="26">
        <v>0</v>
      </c>
      <c r="M173">
        <v>0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30</v>
      </c>
      <c r="AK173">
        <v>21</v>
      </c>
      <c r="AL173">
        <v>22</v>
      </c>
      <c r="AM173">
        <v>16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0</v>
      </c>
      <c r="AU173" s="24" t="str">
        <f t="shared" si="3"/>
        <v>库存为0</v>
      </c>
      <c r="AV173" s="31" t="str">
        <f>IFERROR(时间!$B$4+AU173,"上周无销量")</f>
        <v>上周无销量</v>
      </c>
    </row>
    <row r="174" spans="1:48">
      <c r="A174" s="16" t="s">
        <v>402</v>
      </c>
      <c r="B174" t="s">
        <v>403</v>
      </c>
      <c r="C174" t="s">
        <v>357</v>
      </c>
      <c r="D174" s="24">
        <v>0</v>
      </c>
      <c r="E174" s="24">
        <v>0</v>
      </c>
      <c r="F174" s="24">
        <v>0</v>
      </c>
      <c r="G174" s="24">
        <v>0</v>
      </c>
      <c r="H174" s="25">
        <v>0</v>
      </c>
      <c r="I174">
        <v>0</v>
      </c>
      <c r="J174" s="26">
        <v>0</v>
      </c>
      <c r="K174" s="26">
        <v>0</v>
      </c>
      <c r="L174" s="26">
        <v>0</v>
      </c>
      <c r="M174">
        <v>0</v>
      </c>
      <c r="N174">
        <v>0</v>
      </c>
      <c r="O174">
        <v>0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0</v>
      </c>
      <c r="AK174">
        <v>0</v>
      </c>
      <c r="AL174">
        <v>0</v>
      </c>
      <c r="AM174">
        <v>2</v>
      </c>
      <c r="AN174" s="18" t="s">
        <v>52</v>
      </c>
      <c r="AO174" s="18" t="s">
        <v>52</v>
      </c>
      <c r="AP174" s="18" t="s">
        <v>52</v>
      </c>
      <c r="AQ174" s="18">
        <v>0</v>
      </c>
      <c r="AR174" s="29">
        <v>0</v>
      </c>
      <c r="AS174" s="29">
        <v>0</v>
      </c>
      <c r="AT174" s="29">
        <v>0</v>
      </c>
      <c r="AU174" s="24" t="str">
        <f t="shared" si="3"/>
        <v>库存为0</v>
      </c>
      <c r="AV174" s="31" t="str">
        <f>IFERROR(时间!$B$4+AU174,"上周无销量")</f>
        <v>上周无销量</v>
      </c>
    </row>
    <row r="175" spans="1:49">
      <c r="A175" s="16" t="s">
        <v>404</v>
      </c>
      <c r="B175" t="s">
        <v>405</v>
      </c>
      <c r="C175" t="s">
        <v>357</v>
      </c>
      <c r="D175" s="24">
        <v>0</v>
      </c>
      <c r="E175" s="24">
        <v>0</v>
      </c>
      <c r="F175" s="24">
        <v>0</v>
      </c>
      <c r="G175" s="24">
        <v>0</v>
      </c>
      <c r="H175" s="25">
        <v>0</v>
      </c>
      <c r="I175">
        <v>0</v>
      </c>
      <c r="J175" s="26">
        <v>0</v>
      </c>
      <c r="K175" s="26">
        <v>0</v>
      </c>
      <c r="L175" s="26">
        <v>0</v>
      </c>
      <c r="M175">
        <v>0</v>
      </c>
      <c r="N175">
        <v>0</v>
      </c>
      <c r="O175">
        <v>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16</v>
      </c>
      <c r="AK175">
        <v>2</v>
      </c>
      <c r="AL175">
        <v>14</v>
      </c>
      <c r="AM175">
        <v>0</v>
      </c>
      <c r="AN175" s="18">
        <v>0</v>
      </c>
      <c r="AO175" s="18">
        <v>0</v>
      </c>
      <c r="AP175" s="18">
        <v>0</v>
      </c>
      <c r="AQ175" s="18" t="s">
        <v>52</v>
      </c>
      <c r="AR175" s="29">
        <v>0</v>
      </c>
      <c r="AS175" s="29">
        <v>0</v>
      </c>
      <c r="AT175" s="29">
        <v>0</v>
      </c>
      <c r="AU175" s="24" t="str">
        <f t="shared" si="3"/>
        <v>库存为0</v>
      </c>
      <c r="AV175" s="31" t="str">
        <f>IFERROR(时间!$B$4+AU175,"上周无销量")</f>
        <v>上周无销量</v>
      </c>
      <c r="AW175" s="31"/>
    </row>
    <row r="176" spans="1:48">
      <c r="A176" s="16" t="s">
        <v>406</v>
      </c>
      <c r="B176" t="s">
        <v>288</v>
      </c>
      <c r="C176" t="s">
        <v>407</v>
      </c>
      <c r="D176" s="24">
        <v>1</v>
      </c>
      <c r="E176" s="24">
        <v>2</v>
      </c>
      <c r="F176" s="24">
        <v>0</v>
      </c>
      <c r="G176" s="24">
        <v>2</v>
      </c>
      <c r="H176" s="25">
        <v>24.98</v>
      </c>
      <c r="I176">
        <v>24</v>
      </c>
      <c r="J176" s="26">
        <v>0</v>
      </c>
      <c r="K176" s="26">
        <v>0</v>
      </c>
      <c r="L176" s="26">
        <v>0</v>
      </c>
      <c r="M176">
        <v>24</v>
      </c>
      <c r="N176">
        <v>0</v>
      </c>
      <c r="O176">
        <v>23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7</v>
      </c>
      <c r="AK176">
        <v>13</v>
      </c>
      <c r="AL176">
        <v>11</v>
      </c>
      <c r="AM176">
        <v>11</v>
      </c>
      <c r="AN176" s="18">
        <v>0.142857142857143</v>
      </c>
      <c r="AO176" s="18">
        <v>0.153846153846154</v>
      </c>
      <c r="AP176" s="18">
        <v>0</v>
      </c>
      <c r="AQ176" s="18">
        <v>0.181818181818182</v>
      </c>
      <c r="AR176" s="29">
        <v>0.142857142857143</v>
      </c>
      <c r="AS176" s="29">
        <v>8.57142857142857</v>
      </c>
      <c r="AT176" s="29">
        <v>15.4285714285714</v>
      </c>
      <c r="AU176" s="24">
        <f t="shared" si="3"/>
        <v>168</v>
      </c>
      <c r="AV176" s="31">
        <f>IFERROR(时间!$B$4+AU176,"上周无销量")</f>
        <v>43486</v>
      </c>
    </row>
    <row r="177" spans="1:48">
      <c r="A177" s="16" t="s">
        <v>408</v>
      </c>
      <c r="B177" t="s">
        <v>291</v>
      </c>
      <c r="C177" t="s">
        <v>409</v>
      </c>
      <c r="D177" s="24">
        <v>1</v>
      </c>
      <c r="E177" s="24">
        <v>1</v>
      </c>
      <c r="F177" s="24">
        <v>0</v>
      </c>
      <c r="G177" s="24">
        <v>2</v>
      </c>
      <c r="H177" s="25">
        <v>24.98</v>
      </c>
      <c r="I177">
        <v>7</v>
      </c>
      <c r="J177" s="26">
        <v>0</v>
      </c>
      <c r="K177" s="26">
        <v>0</v>
      </c>
      <c r="L177" s="26">
        <v>0</v>
      </c>
      <c r="M177">
        <v>7</v>
      </c>
      <c r="N177">
        <v>0</v>
      </c>
      <c r="O177">
        <v>6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9</v>
      </c>
      <c r="AK177">
        <v>22</v>
      </c>
      <c r="AL177">
        <v>22</v>
      </c>
      <c r="AM177">
        <v>17</v>
      </c>
      <c r="AN177" s="18">
        <v>0.111111111111111</v>
      </c>
      <c r="AO177" s="18">
        <v>0.0454545454545455</v>
      </c>
      <c r="AP177" s="18">
        <v>0</v>
      </c>
      <c r="AQ177" s="18">
        <v>0.117647058823529</v>
      </c>
      <c r="AR177" s="29">
        <v>0.142857142857143</v>
      </c>
      <c r="AS177" s="29">
        <v>8.57142857142857</v>
      </c>
      <c r="AT177" s="29">
        <v>-1.57142857142857</v>
      </c>
      <c r="AU177" s="24">
        <f t="shared" si="3"/>
        <v>49</v>
      </c>
      <c r="AV177" s="31">
        <f>IFERROR(时间!$B$4+AU177,"上周无销量")</f>
        <v>43367</v>
      </c>
    </row>
    <row r="178" spans="1:48">
      <c r="A178" s="16" t="s">
        <v>410</v>
      </c>
      <c r="B178" t="s">
        <v>293</v>
      </c>
      <c r="C178" t="s">
        <v>409</v>
      </c>
      <c r="D178" s="24">
        <v>0</v>
      </c>
      <c r="E178" s="24">
        <v>0</v>
      </c>
      <c r="F178" s="24">
        <v>1</v>
      </c>
      <c r="G178" s="24">
        <v>0</v>
      </c>
      <c r="H178" s="25">
        <v>24.98</v>
      </c>
      <c r="I178">
        <v>23</v>
      </c>
      <c r="J178" s="26">
        <v>0</v>
      </c>
      <c r="K178" s="26">
        <v>0</v>
      </c>
      <c r="L178" s="26">
        <v>0</v>
      </c>
      <c r="M178">
        <v>23</v>
      </c>
      <c r="N178">
        <v>0</v>
      </c>
      <c r="O178">
        <v>26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14</v>
      </c>
      <c r="AK178">
        <v>18</v>
      </c>
      <c r="AL178">
        <v>21</v>
      </c>
      <c r="AM178">
        <v>28</v>
      </c>
      <c r="AN178" s="18">
        <v>0</v>
      </c>
      <c r="AO178" s="18">
        <v>0</v>
      </c>
      <c r="AP178" s="18">
        <v>0.0476190476190476</v>
      </c>
      <c r="AQ178" s="18">
        <v>0</v>
      </c>
      <c r="AR178" s="29">
        <v>0</v>
      </c>
      <c r="AS178" s="29">
        <v>0</v>
      </c>
      <c r="AT178" s="29">
        <v>23</v>
      </c>
      <c r="AU178" s="24" t="str">
        <f t="shared" si="3"/>
        <v>库存为23</v>
      </c>
      <c r="AV178" s="31" t="str">
        <f>IFERROR(时间!$B$4+AU178,"上周无销量")</f>
        <v>上周无销量</v>
      </c>
    </row>
    <row r="179" spans="1:48">
      <c r="A179" s="16" t="s">
        <v>411</v>
      </c>
      <c r="B179" t="s">
        <v>295</v>
      </c>
      <c r="C179" t="s">
        <v>409</v>
      </c>
      <c r="D179" s="24">
        <v>0</v>
      </c>
      <c r="E179" s="24">
        <v>1</v>
      </c>
      <c r="F179" s="24">
        <v>1</v>
      </c>
      <c r="G179" s="24">
        <v>1</v>
      </c>
      <c r="H179" s="25">
        <v>24.98</v>
      </c>
      <c r="I179">
        <v>17</v>
      </c>
      <c r="J179" s="26">
        <v>0</v>
      </c>
      <c r="K179" s="26">
        <v>0</v>
      </c>
      <c r="L179" s="26">
        <v>0</v>
      </c>
      <c r="M179">
        <v>17</v>
      </c>
      <c r="N179">
        <v>0</v>
      </c>
      <c r="O179">
        <v>17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14</v>
      </c>
      <c r="AK179">
        <v>17</v>
      </c>
      <c r="AL179">
        <v>15</v>
      </c>
      <c r="AM179">
        <v>23</v>
      </c>
      <c r="AN179" s="18">
        <v>0</v>
      </c>
      <c r="AO179" s="18">
        <v>0.0588235294117647</v>
      </c>
      <c r="AP179" s="18">
        <v>0.0666666666666667</v>
      </c>
      <c r="AQ179" s="18">
        <v>0.0434782608695652</v>
      </c>
      <c r="AR179" s="29">
        <v>0</v>
      </c>
      <c r="AS179" s="29">
        <v>0</v>
      </c>
      <c r="AT179" s="29">
        <v>17</v>
      </c>
      <c r="AU179" s="24" t="str">
        <f t="shared" si="3"/>
        <v>库存为17</v>
      </c>
      <c r="AV179" s="31" t="str">
        <f>IFERROR(时间!$B$4+AU179,"上周无销量")</f>
        <v>上周无销量</v>
      </c>
    </row>
    <row r="180" spans="1:48">
      <c r="A180" s="16" t="s">
        <v>412</v>
      </c>
      <c r="B180" t="s">
        <v>297</v>
      </c>
      <c r="C180" t="s">
        <v>409</v>
      </c>
      <c r="D180" s="24">
        <v>0</v>
      </c>
      <c r="E180" s="24">
        <v>1</v>
      </c>
      <c r="F180" s="24">
        <v>0</v>
      </c>
      <c r="G180" s="24">
        <v>2</v>
      </c>
      <c r="H180" s="25">
        <v>24.98</v>
      </c>
      <c r="I180">
        <v>13</v>
      </c>
      <c r="J180" s="26">
        <v>0</v>
      </c>
      <c r="K180" s="26">
        <v>0</v>
      </c>
      <c r="L180" s="26">
        <v>0</v>
      </c>
      <c r="M180">
        <v>13</v>
      </c>
      <c r="N180">
        <v>0</v>
      </c>
      <c r="O180">
        <v>12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13</v>
      </c>
      <c r="AK180">
        <v>23</v>
      </c>
      <c r="AL180">
        <v>20</v>
      </c>
      <c r="AM180">
        <v>27</v>
      </c>
      <c r="AN180" s="18">
        <v>0</v>
      </c>
      <c r="AO180" s="18">
        <v>0.0434782608695652</v>
      </c>
      <c r="AP180" s="18">
        <v>0</v>
      </c>
      <c r="AQ180" s="18">
        <v>0.0740740740740741</v>
      </c>
      <c r="AR180" s="29">
        <v>0</v>
      </c>
      <c r="AS180" s="29">
        <v>0</v>
      </c>
      <c r="AT180" s="29">
        <v>13</v>
      </c>
      <c r="AU180" s="24" t="str">
        <f t="shared" si="3"/>
        <v>库存为13</v>
      </c>
      <c r="AV180" s="31" t="str">
        <f>IFERROR(时间!$B$4+AU180,"上周无销量")</f>
        <v>上周无销量</v>
      </c>
    </row>
    <row r="181" spans="1:48">
      <c r="A181" s="16" t="s">
        <v>413</v>
      </c>
      <c r="B181" t="s">
        <v>299</v>
      </c>
      <c r="C181" t="s">
        <v>409</v>
      </c>
      <c r="D181" s="24">
        <v>0</v>
      </c>
      <c r="E181" s="24">
        <v>0</v>
      </c>
      <c r="F181" s="24">
        <v>0</v>
      </c>
      <c r="G181" s="24">
        <v>0</v>
      </c>
      <c r="H181" s="25">
        <v>0</v>
      </c>
      <c r="I181">
        <v>23</v>
      </c>
      <c r="J181" s="26">
        <v>0</v>
      </c>
      <c r="K181" s="26">
        <v>0</v>
      </c>
      <c r="L181" s="26">
        <v>0</v>
      </c>
      <c r="M181">
        <v>23</v>
      </c>
      <c r="N181">
        <v>0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0</v>
      </c>
      <c r="AK181">
        <v>0</v>
      </c>
      <c r="AL181">
        <v>0</v>
      </c>
      <c r="AM181">
        <v>1</v>
      </c>
      <c r="AN181" s="18" t="s">
        <v>52</v>
      </c>
      <c r="AO181" s="18" t="s">
        <v>52</v>
      </c>
      <c r="AP181" s="18" t="s">
        <v>52</v>
      </c>
      <c r="AQ181" s="18">
        <v>0</v>
      </c>
      <c r="AR181" s="29">
        <v>0</v>
      </c>
      <c r="AS181" s="29">
        <v>0</v>
      </c>
      <c r="AT181" s="29">
        <v>23</v>
      </c>
      <c r="AU181" s="24" t="str">
        <f t="shared" si="3"/>
        <v>库存为23</v>
      </c>
      <c r="AV181" s="31" t="str">
        <f>IFERROR(时间!$B$4+AU181,"上周无销量")</f>
        <v>上周无销量</v>
      </c>
    </row>
    <row r="182" spans="1:48">
      <c r="A182" s="16" t="s">
        <v>414</v>
      </c>
      <c r="B182" t="s">
        <v>301</v>
      </c>
      <c r="C182" t="s">
        <v>409</v>
      </c>
      <c r="D182" s="24">
        <v>0</v>
      </c>
      <c r="E182" s="24">
        <v>6</v>
      </c>
      <c r="F182" s="24">
        <v>14</v>
      </c>
      <c r="G182" s="24">
        <v>10</v>
      </c>
      <c r="H182" s="25">
        <v>24.98</v>
      </c>
      <c r="I182">
        <v>0</v>
      </c>
      <c r="J182" s="26">
        <v>0</v>
      </c>
      <c r="K182" s="26">
        <v>0</v>
      </c>
      <c r="L182" s="26">
        <v>0</v>
      </c>
      <c r="M182">
        <v>0</v>
      </c>
      <c r="N182">
        <v>0</v>
      </c>
      <c r="O182">
        <v>0</v>
      </c>
      <c r="P182">
        <v>22989</v>
      </c>
      <c r="Q182">
        <v>45983</v>
      </c>
      <c r="R182">
        <v>38418</v>
      </c>
      <c r="S182">
        <v>35577</v>
      </c>
      <c r="T182">
        <v>138</v>
      </c>
      <c r="U182">
        <v>233</v>
      </c>
      <c r="V182">
        <v>228</v>
      </c>
      <c r="W182">
        <v>216</v>
      </c>
      <c r="X182" s="18">
        <v>0.00600287093827483</v>
      </c>
      <c r="Y182" s="18">
        <v>0.005067090011526</v>
      </c>
      <c r="Z182" s="18">
        <v>0.00593471810089021</v>
      </c>
      <c r="AA182" s="18">
        <v>0.00607133822413357</v>
      </c>
      <c r="AB182">
        <v>68.58</v>
      </c>
      <c r="AC182">
        <v>109.59</v>
      </c>
      <c r="AD182">
        <v>121.59</v>
      </c>
      <c r="AE182">
        <v>103.8</v>
      </c>
      <c r="AF182" s="18" t="s">
        <v>415</v>
      </c>
      <c r="AG182" s="18">
        <v>0.731184947958367</v>
      </c>
      <c r="AH182" s="18">
        <v>0.347678142514011</v>
      </c>
      <c r="AI182" s="18">
        <v>0.415532425940753</v>
      </c>
      <c r="AJ182">
        <v>0</v>
      </c>
      <c r="AK182">
        <v>100</v>
      </c>
      <c r="AL182">
        <v>164</v>
      </c>
      <c r="AM182">
        <v>168</v>
      </c>
      <c r="AN182" s="18" t="s">
        <v>52</v>
      </c>
      <c r="AO182" s="18">
        <v>0.06</v>
      </c>
      <c r="AP182" s="18">
        <v>0.0853658536585366</v>
      </c>
      <c r="AQ182" s="18">
        <v>0.0595238095238095</v>
      </c>
      <c r="AR182" s="29">
        <v>0</v>
      </c>
      <c r="AS182" s="29">
        <v>0</v>
      </c>
      <c r="AT182" s="29">
        <v>0</v>
      </c>
      <c r="AU182" s="24" t="str">
        <f t="shared" si="3"/>
        <v>库存为0</v>
      </c>
      <c r="AV182" s="31" t="str">
        <f>IFERROR(时间!$B$4+AU182,"上周无销量")</f>
        <v>上周无销量</v>
      </c>
    </row>
    <row r="183" spans="1:48">
      <c r="A183" s="16" t="s">
        <v>416</v>
      </c>
      <c r="B183" t="s">
        <v>303</v>
      </c>
      <c r="C183" t="s">
        <v>409</v>
      </c>
      <c r="D183" s="24">
        <v>3</v>
      </c>
      <c r="E183" s="24">
        <v>4</v>
      </c>
      <c r="F183" s="24">
        <v>4</v>
      </c>
      <c r="G183" s="24">
        <v>4</v>
      </c>
      <c r="H183" s="25">
        <v>24.98</v>
      </c>
      <c r="I183">
        <v>5</v>
      </c>
      <c r="J183" s="26">
        <v>0</v>
      </c>
      <c r="K183" s="26">
        <v>0</v>
      </c>
      <c r="L183" s="26">
        <v>0</v>
      </c>
      <c r="M183">
        <v>5</v>
      </c>
      <c r="N183">
        <v>1</v>
      </c>
      <c r="O183">
        <v>0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40</v>
      </c>
      <c r="AK183">
        <v>37</v>
      </c>
      <c r="AL183">
        <v>37</v>
      </c>
      <c r="AM183">
        <v>36</v>
      </c>
      <c r="AN183" s="18">
        <v>0.075</v>
      </c>
      <c r="AO183" s="18">
        <v>0.108108108108108</v>
      </c>
      <c r="AP183" s="18">
        <v>0.108108108108108</v>
      </c>
      <c r="AQ183" s="18">
        <v>0.111111111111111</v>
      </c>
      <c r="AR183" s="29">
        <v>0.428571428571429</v>
      </c>
      <c r="AS183" s="29">
        <v>25.7142857142857</v>
      </c>
      <c r="AT183" s="29">
        <v>-20.7142857142857</v>
      </c>
      <c r="AU183" s="24">
        <f t="shared" si="3"/>
        <v>11</v>
      </c>
      <c r="AV183" s="31">
        <f>IFERROR(时间!$B$4+AU183,"上周无销量")</f>
        <v>43329</v>
      </c>
    </row>
    <row r="184" spans="1:48">
      <c r="A184" s="16" t="s">
        <v>417</v>
      </c>
      <c r="B184" t="s">
        <v>305</v>
      </c>
      <c r="C184" t="s">
        <v>409</v>
      </c>
      <c r="D184" s="24">
        <v>0</v>
      </c>
      <c r="E184" s="24">
        <v>0</v>
      </c>
      <c r="F184" s="24">
        <v>0</v>
      </c>
      <c r="G184" s="24">
        <v>0</v>
      </c>
      <c r="H184" s="25">
        <v>0</v>
      </c>
      <c r="I184">
        <v>0</v>
      </c>
      <c r="J184" s="26">
        <v>0</v>
      </c>
      <c r="K184" s="26">
        <v>0</v>
      </c>
      <c r="L184" s="26">
        <v>1</v>
      </c>
      <c r="M184">
        <v>1</v>
      </c>
      <c r="N184">
        <v>0</v>
      </c>
      <c r="O184">
        <v>0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26</v>
      </c>
      <c r="AK184">
        <v>18</v>
      </c>
      <c r="AL184">
        <v>21</v>
      </c>
      <c r="AM184">
        <v>20</v>
      </c>
      <c r="AN184" s="18">
        <v>0</v>
      </c>
      <c r="AO184" s="18">
        <v>0</v>
      </c>
      <c r="AP184" s="18">
        <v>0</v>
      </c>
      <c r="AQ184" s="18">
        <v>0</v>
      </c>
      <c r="AR184" s="29">
        <v>0</v>
      </c>
      <c r="AS184" s="29">
        <v>0</v>
      </c>
      <c r="AT184" s="29">
        <v>1</v>
      </c>
      <c r="AU184" s="24" t="str">
        <f t="shared" si="3"/>
        <v>库存为1</v>
      </c>
      <c r="AV184" s="31" t="str">
        <f>IFERROR(时间!$B$4+AU184,"上周无销量")</f>
        <v>上周无销量</v>
      </c>
    </row>
    <row r="185" spans="1:48">
      <c r="A185" s="16" t="s">
        <v>418</v>
      </c>
      <c r="B185" t="s">
        <v>307</v>
      </c>
      <c r="C185" t="s">
        <v>409</v>
      </c>
      <c r="D185" s="24">
        <v>0</v>
      </c>
      <c r="E185" s="24">
        <v>0</v>
      </c>
      <c r="F185" s="24">
        <v>0</v>
      </c>
      <c r="G185" s="24">
        <v>0</v>
      </c>
      <c r="H185" s="25">
        <v>0</v>
      </c>
      <c r="I185">
        <v>0</v>
      </c>
      <c r="J185" s="26">
        <v>0</v>
      </c>
      <c r="K185" s="26">
        <v>0</v>
      </c>
      <c r="L185" s="26">
        <v>0</v>
      </c>
      <c r="M185">
        <v>0</v>
      </c>
      <c r="N185">
        <v>0</v>
      </c>
      <c r="O185">
        <v>0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21</v>
      </c>
      <c r="AK185">
        <v>39</v>
      </c>
      <c r="AL185">
        <v>32</v>
      </c>
      <c r="AM185">
        <v>21</v>
      </c>
      <c r="AN185" s="18">
        <v>0</v>
      </c>
      <c r="AO185" s="18">
        <v>0</v>
      </c>
      <c r="AP185" s="18">
        <v>0</v>
      </c>
      <c r="AQ185" s="18">
        <v>0</v>
      </c>
      <c r="AR185" s="29">
        <v>0</v>
      </c>
      <c r="AS185" s="29">
        <v>0</v>
      </c>
      <c r="AT185" s="29">
        <v>0</v>
      </c>
      <c r="AU185" s="24" t="str">
        <f t="shared" si="3"/>
        <v>库存为0</v>
      </c>
      <c r="AV185" s="31" t="str">
        <f>IFERROR(时间!$B$4+AU185,"上周无销量")</f>
        <v>上周无销量</v>
      </c>
    </row>
    <row r="186" spans="1:48">
      <c r="A186" s="16" t="s">
        <v>419</v>
      </c>
      <c r="B186" t="s">
        <v>309</v>
      </c>
      <c r="C186" t="s">
        <v>409</v>
      </c>
      <c r="D186" s="24">
        <v>2</v>
      </c>
      <c r="E186" s="24">
        <v>4</v>
      </c>
      <c r="F186" s="24">
        <v>4</v>
      </c>
      <c r="G186" s="24">
        <v>6</v>
      </c>
      <c r="H186" s="25">
        <v>24.98</v>
      </c>
      <c r="I186">
        <v>20</v>
      </c>
      <c r="J186" s="26">
        <v>0</v>
      </c>
      <c r="K186" s="26">
        <v>0</v>
      </c>
      <c r="L186" s="26">
        <v>0</v>
      </c>
      <c r="M186">
        <v>20</v>
      </c>
      <c r="N186">
        <v>0</v>
      </c>
      <c r="O186">
        <v>0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20</v>
      </c>
      <c r="AK186">
        <v>27</v>
      </c>
      <c r="AL186">
        <v>30</v>
      </c>
      <c r="AM186">
        <v>18</v>
      </c>
      <c r="AN186" s="18">
        <v>0.1</v>
      </c>
      <c r="AO186" s="18">
        <v>0.148148148148148</v>
      </c>
      <c r="AP186" s="18">
        <v>0.133333333333333</v>
      </c>
      <c r="AQ186" s="18">
        <v>0.333333333333333</v>
      </c>
      <c r="AR186" s="29">
        <v>0.285714285714286</v>
      </c>
      <c r="AS186" s="29">
        <v>17.1428571428571</v>
      </c>
      <c r="AT186" s="29">
        <v>2.85714285714286</v>
      </c>
      <c r="AU186" s="24">
        <f t="shared" si="3"/>
        <v>70</v>
      </c>
      <c r="AV186" s="31">
        <f>IFERROR(时间!$B$4+AU186,"上周无销量")</f>
        <v>43388</v>
      </c>
    </row>
    <row r="187" spans="1:48">
      <c r="A187" s="16" t="s">
        <v>420</v>
      </c>
      <c r="B187" t="s">
        <v>311</v>
      </c>
      <c r="C187" t="s">
        <v>409</v>
      </c>
      <c r="D187" s="24">
        <v>0</v>
      </c>
      <c r="E187" s="24">
        <v>0</v>
      </c>
      <c r="F187" s="24">
        <v>0</v>
      </c>
      <c r="G187" s="24">
        <v>0</v>
      </c>
      <c r="H187" s="25">
        <v>0</v>
      </c>
      <c r="I187">
        <v>3</v>
      </c>
      <c r="J187" s="26">
        <v>0</v>
      </c>
      <c r="K187" s="26">
        <v>0</v>
      </c>
      <c r="L187" s="26">
        <v>0</v>
      </c>
      <c r="M187">
        <v>3</v>
      </c>
      <c r="N187">
        <v>0</v>
      </c>
      <c r="O187">
        <v>3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7</v>
      </c>
      <c r="AK187">
        <v>5</v>
      </c>
      <c r="AL187">
        <v>5</v>
      </c>
      <c r="AM187">
        <v>5</v>
      </c>
      <c r="AN187" s="18">
        <v>0</v>
      </c>
      <c r="AO187" s="18">
        <v>0</v>
      </c>
      <c r="AP187" s="18">
        <v>0</v>
      </c>
      <c r="AQ187" s="18">
        <v>0</v>
      </c>
      <c r="AR187" s="29">
        <v>0</v>
      </c>
      <c r="AS187" s="29">
        <v>0</v>
      </c>
      <c r="AT187" s="29">
        <v>3</v>
      </c>
      <c r="AU187" s="24" t="str">
        <f t="shared" si="3"/>
        <v>库存为3</v>
      </c>
      <c r="AV187" s="31" t="str">
        <f>IFERROR(时间!$B$4+AU187,"上周无销量")</f>
        <v>上周无销量</v>
      </c>
    </row>
    <row r="188" spans="1:48">
      <c r="A188" s="16" t="s">
        <v>421</v>
      </c>
      <c r="B188" t="s">
        <v>313</v>
      </c>
      <c r="C188" t="s">
        <v>409</v>
      </c>
      <c r="D188" s="24">
        <v>0</v>
      </c>
      <c r="E188" s="24">
        <v>1</v>
      </c>
      <c r="F188" s="24">
        <v>0</v>
      </c>
      <c r="G188" s="24">
        <v>0</v>
      </c>
      <c r="H188" s="25">
        <v>24.98</v>
      </c>
      <c r="I188">
        <v>15</v>
      </c>
      <c r="J188" s="26">
        <v>0</v>
      </c>
      <c r="K188" s="26">
        <v>0</v>
      </c>
      <c r="L188" s="26">
        <v>0</v>
      </c>
      <c r="M188">
        <v>15</v>
      </c>
      <c r="N188">
        <v>0</v>
      </c>
      <c r="O188">
        <v>15</v>
      </c>
      <c r="P188" t="s">
        <v>52</v>
      </c>
      <c r="Q188" t="s">
        <v>52</v>
      </c>
      <c r="R188" t="s">
        <v>52</v>
      </c>
      <c r="S188" t="s">
        <v>52</v>
      </c>
      <c r="T188" t="s">
        <v>52</v>
      </c>
      <c r="U188" t="s">
        <v>52</v>
      </c>
      <c r="V188" t="s">
        <v>52</v>
      </c>
      <c r="W188" t="s">
        <v>52</v>
      </c>
      <c r="X188" s="18" t="s">
        <v>52</v>
      </c>
      <c r="Y188" s="18" t="s">
        <v>52</v>
      </c>
      <c r="Z188" s="18" t="s">
        <v>52</v>
      </c>
      <c r="AA188" s="18" t="s">
        <v>52</v>
      </c>
      <c r="AB188" t="s">
        <v>52</v>
      </c>
      <c r="AC188" t="s">
        <v>52</v>
      </c>
      <c r="AD188" t="s">
        <v>52</v>
      </c>
      <c r="AE188" t="s">
        <v>52</v>
      </c>
      <c r="AF188" s="18" t="s">
        <v>52</v>
      </c>
      <c r="AG188" s="18" t="s">
        <v>52</v>
      </c>
      <c r="AH188" s="18" t="s">
        <v>52</v>
      </c>
      <c r="AI188" s="18" t="s">
        <v>52</v>
      </c>
      <c r="AJ188">
        <v>4</v>
      </c>
      <c r="AK188">
        <v>8</v>
      </c>
      <c r="AL188">
        <v>4</v>
      </c>
      <c r="AM188">
        <v>6</v>
      </c>
      <c r="AN188" s="18">
        <v>0</v>
      </c>
      <c r="AO188" s="18">
        <v>0.125</v>
      </c>
      <c r="AP188" s="18">
        <v>0</v>
      </c>
      <c r="AQ188" s="18">
        <v>0</v>
      </c>
      <c r="AR188" s="29">
        <v>0</v>
      </c>
      <c r="AS188" s="29">
        <v>0</v>
      </c>
      <c r="AT188" s="29">
        <v>15</v>
      </c>
      <c r="AU188" s="24" t="str">
        <f t="shared" si="3"/>
        <v>库存为15</v>
      </c>
      <c r="AV188" s="31" t="str">
        <f>IFERROR(时间!$B$4+AU188,"上周无销量")</f>
        <v>上周无销量</v>
      </c>
    </row>
    <row r="189" spans="1:48">
      <c r="A189" s="16" t="s">
        <v>422</v>
      </c>
      <c r="B189" t="s">
        <v>315</v>
      </c>
      <c r="C189" t="s">
        <v>409</v>
      </c>
      <c r="D189" s="24">
        <v>0</v>
      </c>
      <c r="E189" s="24">
        <v>1</v>
      </c>
      <c r="F189" s="24">
        <v>2</v>
      </c>
      <c r="G189" s="24">
        <v>1</v>
      </c>
      <c r="H189" s="25">
        <v>22.98</v>
      </c>
      <c r="I189">
        <v>34</v>
      </c>
      <c r="J189" s="26">
        <v>0</v>
      </c>
      <c r="K189" s="26">
        <v>0</v>
      </c>
      <c r="L189" s="26">
        <v>0</v>
      </c>
      <c r="M189">
        <v>34</v>
      </c>
      <c r="N189">
        <v>0</v>
      </c>
      <c r="O189">
        <v>29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5</v>
      </c>
      <c r="AK189">
        <v>9</v>
      </c>
      <c r="AL189">
        <v>18</v>
      </c>
      <c r="AM189">
        <v>8</v>
      </c>
      <c r="AN189" s="18">
        <v>0</v>
      </c>
      <c r="AO189" s="18">
        <v>0.111111111111111</v>
      </c>
      <c r="AP189" s="18">
        <v>0.111111111111111</v>
      </c>
      <c r="AQ189" s="18">
        <v>0.125</v>
      </c>
      <c r="AR189" s="29">
        <v>0</v>
      </c>
      <c r="AS189" s="29">
        <v>0</v>
      </c>
      <c r="AT189" s="29">
        <v>34</v>
      </c>
      <c r="AU189" s="24" t="str">
        <f t="shared" si="3"/>
        <v>库存为34</v>
      </c>
      <c r="AV189" s="31" t="str">
        <f>IFERROR(时间!$B$4+AU189,"上周无销量")</f>
        <v>上周无销量</v>
      </c>
    </row>
    <row r="190" spans="1:48">
      <c r="A190" s="16" t="s">
        <v>423</v>
      </c>
      <c r="B190" t="s">
        <v>317</v>
      </c>
      <c r="C190" t="s">
        <v>409</v>
      </c>
      <c r="D190" s="24">
        <v>1</v>
      </c>
      <c r="E190" s="24">
        <v>0</v>
      </c>
      <c r="F190" s="24">
        <v>0</v>
      </c>
      <c r="G190" s="24">
        <v>0</v>
      </c>
      <c r="H190" s="25">
        <v>22.98</v>
      </c>
      <c r="I190">
        <v>22</v>
      </c>
      <c r="J190" s="26">
        <v>0</v>
      </c>
      <c r="K190" s="26">
        <v>0</v>
      </c>
      <c r="L190" s="26">
        <v>0</v>
      </c>
      <c r="M190">
        <v>22</v>
      </c>
      <c r="N190">
        <v>0</v>
      </c>
      <c r="O190">
        <v>22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9</v>
      </c>
      <c r="AK190">
        <v>5</v>
      </c>
      <c r="AL190">
        <v>7</v>
      </c>
      <c r="AM190">
        <v>4</v>
      </c>
      <c r="AN190" s="18">
        <v>0.111111111111111</v>
      </c>
      <c r="AO190" s="18">
        <v>0</v>
      </c>
      <c r="AP190" s="18">
        <v>0</v>
      </c>
      <c r="AQ190" s="18">
        <v>0</v>
      </c>
      <c r="AR190" s="29">
        <v>0.142857142857143</v>
      </c>
      <c r="AS190" s="29">
        <v>8.57142857142857</v>
      </c>
      <c r="AT190" s="29">
        <v>13.4285714285714</v>
      </c>
      <c r="AU190" s="24">
        <f t="shared" si="3"/>
        <v>154</v>
      </c>
      <c r="AV190" s="31">
        <f>IFERROR(时间!$B$4+AU190,"上周无销量")</f>
        <v>43472</v>
      </c>
    </row>
    <row r="191" spans="1:48">
      <c r="A191" s="16" t="s">
        <v>424</v>
      </c>
      <c r="B191" t="s">
        <v>323</v>
      </c>
      <c r="C191" t="s">
        <v>425</v>
      </c>
      <c r="D191" s="24">
        <v>2</v>
      </c>
      <c r="E191" s="24">
        <v>0</v>
      </c>
      <c r="F191" s="24">
        <v>0</v>
      </c>
      <c r="G191" s="24">
        <v>0</v>
      </c>
      <c r="H191" s="25">
        <v>26.98</v>
      </c>
      <c r="I191">
        <v>4</v>
      </c>
      <c r="J191" s="26">
        <v>0</v>
      </c>
      <c r="K191" s="26">
        <v>0</v>
      </c>
      <c r="L191" s="26">
        <v>0</v>
      </c>
      <c r="M191">
        <v>4</v>
      </c>
      <c r="N191">
        <v>0</v>
      </c>
      <c r="O191">
        <v>4</v>
      </c>
      <c r="P191">
        <v>814</v>
      </c>
      <c r="Q191">
        <v>418</v>
      </c>
      <c r="R191">
        <v>523</v>
      </c>
      <c r="S191">
        <v>652</v>
      </c>
      <c r="T191">
        <v>1</v>
      </c>
      <c r="U191">
        <v>4</v>
      </c>
      <c r="V191">
        <v>1</v>
      </c>
      <c r="W191">
        <v>4</v>
      </c>
      <c r="X191" s="18">
        <v>0.00122850122850123</v>
      </c>
      <c r="Y191" s="18">
        <v>0.00956937799043062</v>
      </c>
      <c r="Z191" s="18">
        <v>0.00191204588910134</v>
      </c>
      <c r="AA191" s="18">
        <v>0.00613496932515337</v>
      </c>
      <c r="AB191">
        <v>1.13</v>
      </c>
      <c r="AC191">
        <v>1.86</v>
      </c>
      <c r="AD191">
        <v>0.3</v>
      </c>
      <c r="AE191">
        <v>2.34</v>
      </c>
      <c r="AF191" s="18">
        <v>0.020941438102298</v>
      </c>
      <c r="AG191" s="18" t="s">
        <v>426</v>
      </c>
      <c r="AH191" s="18" t="s">
        <v>427</v>
      </c>
      <c r="AI191" s="18" t="s">
        <v>428</v>
      </c>
      <c r="AJ191">
        <v>8</v>
      </c>
      <c r="AK191">
        <v>5</v>
      </c>
      <c r="AL191">
        <v>8</v>
      </c>
      <c r="AM191">
        <v>6</v>
      </c>
      <c r="AN191" s="18">
        <v>0.25</v>
      </c>
      <c r="AO191" s="18">
        <v>0</v>
      </c>
      <c r="AP191" s="18">
        <v>0</v>
      </c>
      <c r="AQ191" s="18">
        <v>0</v>
      </c>
      <c r="AR191" s="29">
        <v>0.285714285714286</v>
      </c>
      <c r="AS191" s="29">
        <v>17.1428571428571</v>
      </c>
      <c r="AT191" s="29">
        <v>-13.1428571428571</v>
      </c>
      <c r="AU191" s="24">
        <f t="shared" si="3"/>
        <v>14</v>
      </c>
      <c r="AV191" s="31">
        <f>IFERROR(时间!$B$4+AU191,"上周无销量")</f>
        <v>43332</v>
      </c>
    </row>
    <row r="192" spans="1:48">
      <c r="A192" s="16" t="s">
        <v>429</v>
      </c>
      <c r="B192" t="s">
        <v>326</v>
      </c>
      <c r="C192" t="s">
        <v>425</v>
      </c>
      <c r="D192" s="24">
        <v>0</v>
      </c>
      <c r="E192" s="24">
        <v>0</v>
      </c>
      <c r="F192" s="24">
        <v>0</v>
      </c>
      <c r="G192" s="24">
        <v>0</v>
      </c>
      <c r="H192" s="25">
        <v>0</v>
      </c>
      <c r="I192">
        <v>3</v>
      </c>
      <c r="J192" s="26">
        <v>0</v>
      </c>
      <c r="K192" s="26">
        <v>0</v>
      </c>
      <c r="L192" s="26">
        <v>0</v>
      </c>
      <c r="M192">
        <v>3</v>
      </c>
      <c r="N192">
        <v>0</v>
      </c>
      <c r="O192">
        <v>2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6</v>
      </c>
      <c r="AK192">
        <v>3</v>
      </c>
      <c r="AL192">
        <v>5</v>
      </c>
      <c r="AM192">
        <v>4</v>
      </c>
      <c r="AN192" s="18">
        <v>0</v>
      </c>
      <c r="AO192" s="18">
        <v>0</v>
      </c>
      <c r="AP192" s="18">
        <v>0</v>
      </c>
      <c r="AQ192" s="18">
        <v>0</v>
      </c>
      <c r="AR192" s="29">
        <v>0</v>
      </c>
      <c r="AS192" s="29">
        <v>0</v>
      </c>
      <c r="AT192" s="29">
        <v>3</v>
      </c>
      <c r="AU192" s="24" t="str">
        <f t="shared" si="3"/>
        <v>库存为3</v>
      </c>
      <c r="AV192" s="31" t="str">
        <f>IFERROR(时间!$B$4+AU192,"上周无销量")</f>
        <v>上周无销量</v>
      </c>
    </row>
    <row r="193" spans="1:48">
      <c r="A193" s="16" t="s">
        <v>430</v>
      </c>
      <c r="B193" t="s">
        <v>328</v>
      </c>
      <c r="C193" t="s">
        <v>425</v>
      </c>
      <c r="D193" s="24">
        <v>0</v>
      </c>
      <c r="E193" s="24">
        <v>0</v>
      </c>
      <c r="F193" s="24">
        <v>1</v>
      </c>
      <c r="G193" s="24">
        <v>0</v>
      </c>
      <c r="H193" s="25">
        <v>26.98</v>
      </c>
      <c r="I193">
        <v>2</v>
      </c>
      <c r="J193" s="26">
        <v>0</v>
      </c>
      <c r="K193" s="26">
        <v>0</v>
      </c>
      <c r="L193" s="26">
        <v>0</v>
      </c>
      <c r="M193">
        <v>2</v>
      </c>
      <c r="N193">
        <v>0</v>
      </c>
      <c r="O193">
        <v>2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2</v>
      </c>
      <c r="AK193">
        <v>7</v>
      </c>
      <c r="AL193">
        <v>5</v>
      </c>
      <c r="AM193">
        <v>5</v>
      </c>
      <c r="AN193" s="18">
        <v>0</v>
      </c>
      <c r="AO193" s="18">
        <v>0</v>
      </c>
      <c r="AP193" s="18">
        <v>0.2</v>
      </c>
      <c r="AQ193" s="18">
        <v>0</v>
      </c>
      <c r="AR193" s="29">
        <v>0</v>
      </c>
      <c r="AS193" s="29">
        <v>0</v>
      </c>
      <c r="AT193" s="29">
        <v>2</v>
      </c>
      <c r="AU193" s="24" t="str">
        <f t="shared" si="3"/>
        <v>库存为2</v>
      </c>
      <c r="AV193" s="31" t="str">
        <f>IFERROR(时间!$B$4+AU193,"上周无销量")</f>
        <v>上周无销量</v>
      </c>
    </row>
    <row r="194" spans="1:48">
      <c r="A194" s="16" t="s">
        <v>431</v>
      </c>
      <c r="B194" t="s">
        <v>330</v>
      </c>
      <c r="C194" t="s">
        <v>425</v>
      </c>
      <c r="D194" s="24">
        <v>0</v>
      </c>
      <c r="E194" s="24">
        <v>0</v>
      </c>
      <c r="F194" s="24">
        <v>0</v>
      </c>
      <c r="G194" s="24">
        <v>0</v>
      </c>
      <c r="H194" s="25">
        <v>0</v>
      </c>
      <c r="I194">
        <v>1</v>
      </c>
      <c r="J194" s="26">
        <v>0</v>
      </c>
      <c r="K194" s="26">
        <v>0</v>
      </c>
      <c r="L194" s="26">
        <v>0</v>
      </c>
      <c r="M194">
        <v>1</v>
      </c>
      <c r="N194">
        <v>0</v>
      </c>
      <c r="O194">
        <v>0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0</v>
      </c>
      <c r="AK194">
        <v>0</v>
      </c>
      <c r="AL194">
        <v>0</v>
      </c>
      <c r="AM194">
        <v>0</v>
      </c>
      <c r="AN194" s="18" t="s">
        <v>52</v>
      </c>
      <c r="AO194" s="18" t="s">
        <v>52</v>
      </c>
      <c r="AP194" s="18" t="s">
        <v>52</v>
      </c>
      <c r="AQ194" s="18" t="s">
        <v>52</v>
      </c>
      <c r="AR194" s="29">
        <v>0</v>
      </c>
      <c r="AS194" s="29">
        <v>0</v>
      </c>
      <c r="AT194" s="29">
        <v>1</v>
      </c>
      <c r="AU194" s="24" t="str">
        <f t="shared" si="3"/>
        <v>库存为1</v>
      </c>
      <c r="AV194" s="31" t="str">
        <f>IFERROR(时间!$B$4+AU194,"上周无销量")</f>
        <v>上周无销量</v>
      </c>
    </row>
    <row r="195" spans="1:48">
      <c r="A195" s="16" t="s">
        <v>432</v>
      </c>
      <c r="B195" t="s">
        <v>332</v>
      </c>
      <c r="C195" t="s">
        <v>425</v>
      </c>
      <c r="D195" s="24">
        <v>0</v>
      </c>
      <c r="E195" s="24">
        <v>0</v>
      </c>
      <c r="F195" s="24">
        <v>0</v>
      </c>
      <c r="G195" s="24">
        <v>0</v>
      </c>
      <c r="H195" s="25">
        <v>0</v>
      </c>
      <c r="I195">
        <v>5</v>
      </c>
      <c r="J195" s="26">
        <v>0</v>
      </c>
      <c r="K195" s="26">
        <v>0</v>
      </c>
      <c r="L195" s="26">
        <v>0</v>
      </c>
      <c r="M195">
        <v>5</v>
      </c>
      <c r="N195">
        <v>0</v>
      </c>
      <c r="O195">
        <v>8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2</v>
      </c>
      <c r="AK195">
        <v>3</v>
      </c>
      <c r="AL195">
        <v>1</v>
      </c>
      <c r="AM195">
        <v>3</v>
      </c>
      <c r="AN195" s="18">
        <v>0</v>
      </c>
      <c r="AO195" s="18">
        <v>0</v>
      </c>
      <c r="AP195" s="18">
        <v>0</v>
      </c>
      <c r="AQ195" s="18">
        <v>0</v>
      </c>
      <c r="AR195" s="29">
        <v>0</v>
      </c>
      <c r="AS195" s="29">
        <v>0</v>
      </c>
      <c r="AT195" s="29">
        <v>5</v>
      </c>
      <c r="AU195" s="24" t="str">
        <f t="shared" si="3"/>
        <v>库存为5</v>
      </c>
      <c r="AV195" s="31" t="str">
        <f>IFERROR(时间!$B$4+AU195,"上周无销量")</f>
        <v>上周无销量</v>
      </c>
    </row>
    <row r="196" spans="1:48">
      <c r="A196" s="16" t="s">
        <v>433</v>
      </c>
      <c r="B196" t="s">
        <v>334</v>
      </c>
      <c r="C196" t="s">
        <v>425</v>
      </c>
      <c r="D196" s="24">
        <v>0</v>
      </c>
      <c r="E196" s="24">
        <v>0</v>
      </c>
      <c r="F196" s="24">
        <v>1</v>
      </c>
      <c r="G196" s="24">
        <v>0</v>
      </c>
      <c r="H196" s="25">
        <v>26.98</v>
      </c>
      <c r="I196">
        <v>2</v>
      </c>
      <c r="J196" s="26">
        <v>0</v>
      </c>
      <c r="K196" s="26">
        <v>0</v>
      </c>
      <c r="L196" s="26">
        <v>0</v>
      </c>
      <c r="M196">
        <v>2</v>
      </c>
      <c r="N196">
        <v>0</v>
      </c>
      <c r="O196">
        <v>2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12</v>
      </c>
      <c r="AK196">
        <v>4</v>
      </c>
      <c r="AL196">
        <v>7</v>
      </c>
      <c r="AM196">
        <v>4</v>
      </c>
      <c r="AN196" s="18">
        <v>0</v>
      </c>
      <c r="AO196" s="18">
        <v>0</v>
      </c>
      <c r="AP196" s="18">
        <v>0.142857142857143</v>
      </c>
      <c r="AQ196" s="18">
        <v>0</v>
      </c>
      <c r="AR196" s="29">
        <v>0</v>
      </c>
      <c r="AS196" s="29">
        <v>0</v>
      </c>
      <c r="AT196" s="29">
        <v>2</v>
      </c>
      <c r="AU196" s="24" t="str">
        <f t="shared" si="3"/>
        <v>库存为2</v>
      </c>
      <c r="AV196" s="31" t="str">
        <f>IFERROR(时间!$B$4+AU196,"上周无销量")</f>
        <v>上周无销量</v>
      </c>
    </row>
    <row r="197" spans="1:48">
      <c r="A197" s="16" t="s">
        <v>434</v>
      </c>
      <c r="B197" t="s">
        <v>336</v>
      </c>
      <c r="C197" t="s">
        <v>425</v>
      </c>
      <c r="D197" s="24">
        <v>0</v>
      </c>
      <c r="E197" s="24">
        <v>0</v>
      </c>
      <c r="F197" s="24">
        <v>0</v>
      </c>
      <c r="G197" s="24">
        <v>0</v>
      </c>
      <c r="H197" s="25">
        <v>0</v>
      </c>
      <c r="I197">
        <v>18</v>
      </c>
      <c r="J197" s="26">
        <v>0</v>
      </c>
      <c r="K197" s="26">
        <v>0</v>
      </c>
      <c r="L197" s="26">
        <v>0</v>
      </c>
      <c r="M197">
        <v>18</v>
      </c>
      <c r="N197">
        <v>0</v>
      </c>
      <c r="O197">
        <v>0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3</v>
      </c>
      <c r="AK197">
        <v>1</v>
      </c>
      <c r="AL197">
        <v>5</v>
      </c>
      <c r="AM197">
        <v>3</v>
      </c>
      <c r="AN197" s="18">
        <v>0</v>
      </c>
      <c r="AO197" s="18">
        <v>0</v>
      </c>
      <c r="AP197" s="18">
        <v>0</v>
      </c>
      <c r="AQ197" s="18">
        <v>0</v>
      </c>
      <c r="AR197" s="29">
        <v>0</v>
      </c>
      <c r="AS197" s="29">
        <v>0</v>
      </c>
      <c r="AT197" s="29">
        <v>18</v>
      </c>
      <c r="AU197" s="24" t="str">
        <f t="shared" si="3"/>
        <v>库存为18</v>
      </c>
      <c r="AV197" s="31" t="str">
        <f>IFERROR(时间!$B$4+AU197,"上周无销量")</f>
        <v>上周无销量</v>
      </c>
    </row>
    <row r="198" spans="1:48">
      <c r="A198" s="16" t="s">
        <v>435</v>
      </c>
      <c r="B198" t="s">
        <v>338</v>
      </c>
      <c r="C198" t="s">
        <v>425</v>
      </c>
      <c r="D198" s="24">
        <v>0</v>
      </c>
      <c r="E198" s="24">
        <v>0</v>
      </c>
      <c r="F198" s="24">
        <v>0</v>
      </c>
      <c r="G198" s="24">
        <v>0</v>
      </c>
      <c r="H198" s="25">
        <v>0</v>
      </c>
      <c r="I198">
        <v>0</v>
      </c>
      <c r="J198" s="26">
        <v>0</v>
      </c>
      <c r="K198" s="26">
        <v>0</v>
      </c>
      <c r="L198" s="26">
        <v>0</v>
      </c>
      <c r="M198">
        <v>0</v>
      </c>
      <c r="N198">
        <v>0</v>
      </c>
      <c r="O198">
        <v>0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0</v>
      </c>
      <c r="AK198">
        <v>0</v>
      </c>
      <c r="AL198">
        <v>0</v>
      </c>
      <c r="AM198">
        <v>0</v>
      </c>
      <c r="AN198" s="18" t="s">
        <v>52</v>
      </c>
      <c r="AO198" s="18" t="s">
        <v>52</v>
      </c>
      <c r="AP198" s="18" t="s">
        <v>52</v>
      </c>
      <c r="AQ198" s="18" t="s">
        <v>52</v>
      </c>
      <c r="AR198" s="29">
        <v>0</v>
      </c>
      <c r="AS198" s="29">
        <v>0</v>
      </c>
      <c r="AT198" s="29">
        <v>0</v>
      </c>
      <c r="AU198" s="24" t="str">
        <f t="shared" ref="AU198:AU261" si="4">IF(AR198="","库存为"&amp;M198,IF(AS198=0,"库存为"&amp;M198,INT(M198/AR198)))</f>
        <v>库存为0</v>
      </c>
      <c r="AV198" s="31" t="str">
        <f>IFERROR(时间!$B$4+AU198,"上周无销量")</f>
        <v>上周无销量</v>
      </c>
    </row>
    <row r="199" spans="1:48">
      <c r="A199" s="16" t="s">
        <v>436</v>
      </c>
      <c r="B199" t="s">
        <v>340</v>
      </c>
      <c r="C199" t="s">
        <v>425</v>
      </c>
      <c r="D199" s="24">
        <v>0</v>
      </c>
      <c r="E199" s="24">
        <v>0</v>
      </c>
      <c r="F199" s="24">
        <v>0</v>
      </c>
      <c r="G199" s="24">
        <v>0</v>
      </c>
      <c r="H199" s="25">
        <v>0</v>
      </c>
      <c r="I199">
        <v>12</v>
      </c>
      <c r="J199" s="26">
        <v>0</v>
      </c>
      <c r="K199" s="26">
        <v>0</v>
      </c>
      <c r="L199" s="26">
        <v>0</v>
      </c>
      <c r="M199">
        <v>12</v>
      </c>
      <c r="N199">
        <v>0</v>
      </c>
      <c r="O199">
        <v>9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2</v>
      </c>
      <c r="AK199">
        <v>6</v>
      </c>
      <c r="AL199">
        <v>4</v>
      </c>
      <c r="AM199">
        <v>5</v>
      </c>
      <c r="AN199" s="18">
        <v>0</v>
      </c>
      <c r="AO199" s="18">
        <v>0</v>
      </c>
      <c r="AP199" s="18">
        <v>0</v>
      </c>
      <c r="AQ199" s="18">
        <v>0</v>
      </c>
      <c r="AR199" s="29">
        <v>0</v>
      </c>
      <c r="AS199" s="29">
        <v>0</v>
      </c>
      <c r="AT199" s="29">
        <v>12</v>
      </c>
      <c r="AU199" s="24" t="str">
        <f t="shared" si="4"/>
        <v>库存为12</v>
      </c>
      <c r="AV199" s="31" t="str">
        <f>IFERROR(时间!$B$4+AU199,"上周无销量")</f>
        <v>上周无销量</v>
      </c>
    </row>
    <row r="200" spans="1:48">
      <c r="A200" s="16" t="s">
        <v>437</v>
      </c>
      <c r="B200" t="s">
        <v>342</v>
      </c>
      <c r="C200" t="s">
        <v>425</v>
      </c>
      <c r="D200" s="24">
        <v>0</v>
      </c>
      <c r="E200" s="24">
        <v>0</v>
      </c>
      <c r="F200" s="24">
        <v>1</v>
      </c>
      <c r="G200" s="24">
        <v>0</v>
      </c>
      <c r="H200" s="25">
        <v>26.98</v>
      </c>
      <c r="I200">
        <v>2</v>
      </c>
      <c r="J200" s="26">
        <v>0</v>
      </c>
      <c r="K200" s="26">
        <v>0</v>
      </c>
      <c r="L200" s="26">
        <v>0</v>
      </c>
      <c r="M200">
        <v>2</v>
      </c>
      <c r="N200">
        <v>0</v>
      </c>
      <c r="O200">
        <v>1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5</v>
      </c>
      <c r="AK200">
        <v>10</v>
      </c>
      <c r="AL200">
        <v>18</v>
      </c>
      <c r="AM200">
        <v>4</v>
      </c>
      <c r="AN200" s="18">
        <v>0</v>
      </c>
      <c r="AO200" s="18">
        <v>0</v>
      </c>
      <c r="AP200" s="18">
        <v>0.0555555555555556</v>
      </c>
      <c r="AQ200" s="18">
        <v>0</v>
      </c>
      <c r="AR200" s="29">
        <v>0</v>
      </c>
      <c r="AS200" s="29">
        <v>0</v>
      </c>
      <c r="AT200" s="29">
        <v>2</v>
      </c>
      <c r="AU200" s="24" t="str">
        <f t="shared" si="4"/>
        <v>库存为2</v>
      </c>
      <c r="AV200" s="31" t="str">
        <f>IFERROR(时间!$B$4+AU200,"上周无销量")</f>
        <v>上周无销量</v>
      </c>
    </row>
    <row r="201" spans="1:48">
      <c r="A201" s="16" t="s">
        <v>438</v>
      </c>
      <c r="B201" t="s">
        <v>344</v>
      </c>
      <c r="C201" t="s">
        <v>425</v>
      </c>
      <c r="D201" s="24">
        <v>0</v>
      </c>
      <c r="E201" s="24">
        <v>0</v>
      </c>
      <c r="F201" s="24">
        <v>0</v>
      </c>
      <c r="G201" s="24">
        <v>0</v>
      </c>
      <c r="H201" s="25">
        <v>0</v>
      </c>
      <c r="I201">
        <v>9</v>
      </c>
      <c r="J201" s="26">
        <v>0</v>
      </c>
      <c r="K201" s="26">
        <v>0</v>
      </c>
      <c r="L201" s="26">
        <v>0</v>
      </c>
      <c r="M201">
        <v>9</v>
      </c>
      <c r="N201">
        <v>0</v>
      </c>
      <c r="O201">
        <v>8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5</v>
      </c>
      <c r="AK201">
        <v>9</v>
      </c>
      <c r="AL201">
        <v>7</v>
      </c>
      <c r="AM201">
        <v>8</v>
      </c>
      <c r="AN201" s="18">
        <v>0</v>
      </c>
      <c r="AO201" s="18">
        <v>0</v>
      </c>
      <c r="AP201" s="18">
        <v>0</v>
      </c>
      <c r="AQ201" s="18">
        <v>0</v>
      </c>
      <c r="AR201" s="29">
        <v>0</v>
      </c>
      <c r="AS201" s="29">
        <v>0</v>
      </c>
      <c r="AT201" s="29">
        <v>9</v>
      </c>
      <c r="AU201" s="24" t="str">
        <f t="shared" si="4"/>
        <v>库存为9</v>
      </c>
      <c r="AV201" s="31" t="str">
        <f>IFERROR(时间!$B$4+AU201,"上周无销量")</f>
        <v>上周无销量</v>
      </c>
    </row>
    <row r="202" spans="1:48">
      <c r="A202" s="16" t="s">
        <v>439</v>
      </c>
      <c r="B202" t="s">
        <v>346</v>
      </c>
      <c r="C202" t="s">
        <v>425</v>
      </c>
      <c r="D202" s="24">
        <v>0</v>
      </c>
      <c r="E202" s="24">
        <v>0</v>
      </c>
      <c r="F202" s="24">
        <v>2</v>
      </c>
      <c r="G202" s="24">
        <v>0</v>
      </c>
      <c r="H202" s="25">
        <v>26.98</v>
      </c>
      <c r="I202">
        <v>4</v>
      </c>
      <c r="J202" s="26">
        <v>0</v>
      </c>
      <c r="K202" s="26">
        <v>0</v>
      </c>
      <c r="L202" s="26">
        <v>0</v>
      </c>
      <c r="M202">
        <v>4</v>
      </c>
      <c r="N202">
        <v>0</v>
      </c>
      <c r="O202">
        <v>4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14</v>
      </c>
      <c r="AK202">
        <v>5</v>
      </c>
      <c r="AL202">
        <v>3</v>
      </c>
      <c r="AM202">
        <v>5</v>
      </c>
      <c r="AN202" s="18">
        <v>0</v>
      </c>
      <c r="AO202" s="18">
        <v>0</v>
      </c>
      <c r="AP202" s="18">
        <v>0.666666666666667</v>
      </c>
      <c r="AQ202" s="18">
        <v>0</v>
      </c>
      <c r="AR202" s="29">
        <v>0</v>
      </c>
      <c r="AS202" s="29">
        <v>0</v>
      </c>
      <c r="AT202" s="29">
        <v>4</v>
      </c>
      <c r="AU202" s="24" t="str">
        <f t="shared" si="4"/>
        <v>库存为4</v>
      </c>
      <c r="AV202" s="31" t="str">
        <f>IFERROR(时间!$B$4+AU202,"上周无销量")</f>
        <v>上周无销量</v>
      </c>
    </row>
    <row r="203" spans="1:48">
      <c r="A203" s="16" t="s">
        <v>440</v>
      </c>
      <c r="B203" t="s">
        <v>348</v>
      </c>
      <c r="C203" t="s">
        <v>425</v>
      </c>
      <c r="D203" s="24">
        <v>0</v>
      </c>
      <c r="E203" s="24">
        <v>0</v>
      </c>
      <c r="F203" s="24">
        <v>1</v>
      </c>
      <c r="G203" s="24">
        <v>0</v>
      </c>
      <c r="H203" s="25">
        <v>26.98</v>
      </c>
      <c r="I203">
        <v>7</v>
      </c>
      <c r="J203" s="26">
        <v>0</v>
      </c>
      <c r="K203" s="26">
        <v>0</v>
      </c>
      <c r="L203" s="26">
        <v>0</v>
      </c>
      <c r="M203">
        <v>7</v>
      </c>
      <c r="N203">
        <v>0</v>
      </c>
      <c r="O203">
        <v>7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2</v>
      </c>
      <c r="AK203">
        <v>4</v>
      </c>
      <c r="AL203">
        <v>5</v>
      </c>
      <c r="AM203">
        <v>5</v>
      </c>
      <c r="AN203" s="18">
        <v>0</v>
      </c>
      <c r="AO203" s="18">
        <v>0</v>
      </c>
      <c r="AP203" s="18">
        <v>0.2</v>
      </c>
      <c r="AQ203" s="18">
        <v>0</v>
      </c>
      <c r="AR203" s="29">
        <v>0</v>
      </c>
      <c r="AS203" s="29">
        <v>0</v>
      </c>
      <c r="AT203" s="29">
        <v>7</v>
      </c>
      <c r="AU203" s="24" t="str">
        <f t="shared" si="4"/>
        <v>库存为7</v>
      </c>
      <c r="AV203" s="31" t="str">
        <f>IFERROR(时间!$B$4+AU203,"上周无销量")</f>
        <v>上周无销量</v>
      </c>
    </row>
    <row r="204" spans="1:48">
      <c r="A204" s="16" t="s">
        <v>441</v>
      </c>
      <c r="B204" t="s">
        <v>350</v>
      </c>
      <c r="C204" t="s">
        <v>425</v>
      </c>
      <c r="D204" s="24">
        <v>0</v>
      </c>
      <c r="E204" s="24">
        <v>0</v>
      </c>
      <c r="F204" s="24">
        <v>0</v>
      </c>
      <c r="G204" s="24">
        <v>0</v>
      </c>
      <c r="H204" s="25">
        <v>0</v>
      </c>
      <c r="I204">
        <v>9</v>
      </c>
      <c r="J204" s="26">
        <v>0</v>
      </c>
      <c r="K204" s="26">
        <v>0</v>
      </c>
      <c r="L204" s="26">
        <v>0</v>
      </c>
      <c r="M204">
        <v>9</v>
      </c>
      <c r="N204">
        <v>0</v>
      </c>
      <c r="O204">
        <v>9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5</v>
      </c>
      <c r="AK204">
        <v>2</v>
      </c>
      <c r="AL204">
        <v>9</v>
      </c>
      <c r="AM204">
        <v>4</v>
      </c>
      <c r="AN204" s="18">
        <v>0</v>
      </c>
      <c r="AO204" s="18">
        <v>0</v>
      </c>
      <c r="AP204" s="18">
        <v>0</v>
      </c>
      <c r="AQ204" s="18">
        <v>0</v>
      </c>
      <c r="AR204" s="29">
        <v>0</v>
      </c>
      <c r="AS204" s="29">
        <v>0</v>
      </c>
      <c r="AT204" s="29">
        <v>9</v>
      </c>
      <c r="AU204" s="24" t="str">
        <f t="shared" si="4"/>
        <v>库存为9</v>
      </c>
      <c r="AV204" s="31" t="str">
        <f>IFERROR(时间!$B$4+AU204,"上周无销量")</f>
        <v>上周无销量</v>
      </c>
    </row>
    <row r="205" spans="1:48">
      <c r="A205" s="16" t="s">
        <v>442</v>
      </c>
      <c r="B205" t="s">
        <v>352</v>
      </c>
      <c r="C205" t="s">
        <v>425</v>
      </c>
      <c r="D205" s="24">
        <v>0</v>
      </c>
      <c r="E205" s="24">
        <v>0</v>
      </c>
      <c r="F205" s="24">
        <v>0</v>
      </c>
      <c r="G205" s="24">
        <v>0</v>
      </c>
      <c r="H205" s="25">
        <v>0</v>
      </c>
      <c r="I205">
        <v>9</v>
      </c>
      <c r="J205" s="26">
        <v>0</v>
      </c>
      <c r="K205" s="26">
        <v>0</v>
      </c>
      <c r="L205" s="26">
        <v>0</v>
      </c>
      <c r="M205">
        <v>9</v>
      </c>
      <c r="N205">
        <v>0</v>
      </c>
      <c r="O205">
        <v>9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4</v>
      </c>
      <c r="AK205">
        <v>2</v>
      </c>
      <c r="AL205">
        <v>3</v>
      </c>
      <c r="AM205">
        <v>2</v>
      </c>
      <c r="AN205" s="18">
        <v>0</v>
      </c>
      <c r="AO205" s="18">
        <v>0</v>
      </c>
      <c r="AP205" s="18">
        <v>0</v>
      </c>
      <c r="AQ205" s="18">
        <v>0</v>
      </c>
      <c r="AR205" s="29">
        <v>0</v>
      </c>
      <c r="AS205" s="29">
        <v>0</v>
      </c>
      <c r="AT205" s="29">
        <v>9</v>
      </c>
      <c r="AU205" s="24" t="str">
        <f t="shared" si="4"/>
        <v>库存为9</v>
      </c>
      <c r="AV205" s="31" t="str">
        <f>IFERROR(时间!$B$4+AU205,"上周无销量")</f>
        <v>上周无销量</v>
      </c>
    </row>
    <row r="206" spans="1:48">
      <c r="A206" s="16" t="s">
        <v>443</v>
      </c>
      <c r="B206" t="s">
        <v>354</v>
      </c>
      <c r="C206" t="s">
        <v>425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0</v>
      </c>
      <c r="J206" s="26">
        <v>0</v>
      </c>
      <c r="K206" s="26">
        <v>0</v>
      </c>
      <c r="L206" s="26">
        <v>0</v>
      </c>
      <c r="M206">
        <v>0</v>
      </c>
      <c r="N206">
        <v>0</v>
      </c>
      <c r="O206">
        <v>0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0</v>
      </c>
      <c r="AK206">
        <v>0</v>
      </c>
      <c r="AL206">
        <v>0</v>
      </c>
      <c r="AM206">
        <v>0</v>
      </c>
      <c r="AN206" s="18" t="s">
        <v>52</v>
      </c>
      <c r="AO206" s="18" t="s">
        <v>52</v>
      </c>
      <c r="AP206" s="18" t="s">
        <v>52</v>
      </c>
      <c r="AQ206" s="18" t="s">
        <v>52</v>
      </c>
      <c r="AR206" s="29">
        <v>0</v>
      </c>
      <c r="AS206" s="29">
        <v>0</v>
      </c>
      <c r="AT206" s="29">
        <v>0</v>
      </c>
      <c r="AU206" s="24" t="str">
        <f t="shared" si="4"/>
        <v>库存为0</v>
      </c>
      <c r="AV206" s="31" t="str">
        <f>IFERROR(时间!$B$4+AU206,"上周无销量")</f>
        <v>上周无销量</v>
      </c>
    </row>
    <row r="207" spans="1:48">
      <c r="A207" s="16" t="s">
        <v>444</v>
      </c>
      <c r="B207" t="s">
        <v>356</v>
      </c>
      <c r="C207" t="s">
        <v>445</v>
      </c>
      <c r="D207" s="24">
        <v>0</v>
      </c>
      <c r="E207" s="24">
        <v>0</v>
      </c>
      <c r="F207" s="24">
        <v>0</v>
      </c>
      <c r="G207" s="24">
        <v>0</v>
      </c>
      <c r="H207" s="25">
        <v>0</v>
      </c>
      <c r="I207">
        <v>5</v>
      </c>
      <c r="J207" s="26">
        <v>0</v>
      </c>
      <c r="K207" s="26">
        <v>0</v>
      </c>
      <c r="L207" s="26">
        <v>0</v>
      </c>
      <c r="M207">
        <v>5</v>
      </c>
      <c r="N207">
        <v>0</v>
      </c>
      <c r="O207">
        <v>0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52</v>
      </c>
      <c r="AK207">
        <v>54</v>
      </c>
      <c r="AL207">
        <v>48</v>
      </c>
      <c r="AM207">
        <v>58</v>
      </c>
      <c r="AN207" s="18">
        <v>0</v>
      </c>
      <c r="AO207" s="18">
        <v>0</v>
      </c>
      <c r="AP207" s="18">
        <v>0</v>
      </c>
      <c r="AQ207" s="18">
        <v>0</v>
      </c>
      <c r="AR207" s="29">
        <v>0</v>
      </c>
      <c r="AS207" s="29">
        <v>0</v>
      </c>
      <c r="AT207" s="29">
        <v>5</v>
      </c>
      <c r="AU207" s="24" t="str">
        <f t="shared" si="4"/>
        <v>库存为5</v>
      </c>
      <c r="AV207" s="31" t="str">
        <f>IFERROR(时间!$B$4+AU207,"上周无销量")</f>
        <v>上周无销量</v>
      </c>
    </row>
    <row r="208" spans="1:48">
      <c r="A208" s="16" t="s">
        <v>446</v>
      </c>
      <c r="B208" t="s">
        <v>447</v>
      </c>
      <c r="C208" t="s">
        <v>448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0</v>
      </c>
      <c r="J208" s="26">
        <v>0</v>
      </c>
      <c r="K208" s="26">
        <v>0</v>
      </c>
      <c r="L208" s="26">
        <v>0</v>
      </c>
      <c r="M208">
        <v>0</v>
      </c>
      <c r="N208">
        <v>0</v>
      </c>
      <c r="O208">
        <v>0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114</v>
      </c>
      <c r="AK208">
        <v>59</v>
      </c>
      <c r="AL208">
        <v>10</v>
      </c>
      <c r="AM208">
        <v>4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0</v>
      </c>
      <c r="AU208" s="24" t="str">
        <f t="shared" si="4"/>
        <v>库存为0</v>
      </c>
      <c r="AV208" s="31" t="str">
        <f>IFERROR(时间!$B$4+AU208,"上周无销量")</f>
        <v>上周无销量</v>
      </c>
    </row>
    <row r="209" spans="1:48">
      <c r="A209" s="16" t="s">
        <v>449</v>
      </c>
      <c r="B209" t="s">
        <v>450</v>
      </c>
      <c r="C209" t="s">
        <v>448</v>
      </c>
      <c r="D209" s="24">
        <v>0</v>
      </c>
      <c r="E209" s="24">
        <v>0</v>
      </c>
      <c r="F209" s="24">
        <v>0</v>
      </c>
      <c r="G209" s="24">
        <v>0</v>
      </c>
      <c r="H209" s="25">
        <v>0</v>
      </c>
      <c r="I209">
        <v>0</v>
      </c>
      <c r="J209" s="26">
        <v>0</v>
      </c>
      <c r="K209" s="26">
        <v>0</v>
      </c>
      <c r="L209" s="26">
        <v>0</v>
      </c>
      <c r="M209">
        <v>0</v>
      </c>
      <c r="N209">
        <v>0</v>
      </c>
      <c r="O209">
        <v>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15</v>
      </c>
      <c r="AK209">
        <v>10</v>
      </c>
      <c r="AL209">
        <v>9</v>
      </c>
      <c r="AM209">
        <v>13</v>
      </c>
      <c r="AN209" s="18">
        <v>0</v>
      </c>
      <c r="AO209" s="18">
        <v>0</v>
      </c>
      <c r="AP209" s="18">
        <v>0</v>
      </c>
      <c r="AQ209" s="18">
        <v>0</v>
      </c>
      <c r="AR209" s="29">
        <v>0</v>
      </c>
      <c r="AS209" s="29">
        <v>0</v>
      </c>
      <c r="AT209" s="29">
        <v>0</v>
      </c>
      <c r="AU209" s="24" t="str">
        <f t="shared" si="4"/>
        <v>库存为0</v>
      </c>
      <c r="AV209" s="31" t="str">
        <f>IFERROR(时间!$B$4+AU209,"上周无销量")</f>
        <v>上周无销量</v>
      </c>
    </row>
    <row r="210" spans="1:48">
      <c r="A210" s="16" t="s">
        <v>451</v>
      </c>
      <c r="B210" t="s">
        <v>452</v>
      </c>
      <c r="C210" t="s">
        <v>448</v>
      </c>
      <c r="D210" s="24">
        <v>0</v>
      </c>
      <c r="E210" s="24">
        <v>0</v>
      </c>
      <c r="F210" s="24">
        <v>0</v>
      </c>
      <c r="G210" s="24">
        <v>0</v>
      </c>
      <c r="H210" s="25">
        <v>0</v>
      </c>
      <c r="I210">
        <v>0</v>
      </c>
      <c r="J210" s="26">
        <v>0</v>
      </c>
      <c r="K210" s="26">
        <v>0</v>
      </c>
      <c r="L210" s="26">
        <v>0</v>
      </c>
      <c r="M210">
        <v>0</v>
      </c>
      <c r="N210">
        <v>0</v>
      </c>
      <c r="O210">
        <v>0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26</v>
      </c>
      <c r="AK210">
        <v>37</v>
      </c>
      <c r="AL210">
        <v>36</v>
      </c>
      <c r="AM210">
        <v>48</v>
      </c>
      <c r="AN210" s="18">
        <v>0</v>
      </c>
      <c r="AO210" s="18">
        <v>0</v>
      </c>
      <c r="AP210" s="18">
        <v>0</v>
      </c>
      <c r="AQ210" s="18">
        <v>0</v>
      </c>
      <c r="AR210" s="29">
        <v>0</v>
      </c>
      <c r="AS210" s="29">
        <v>0</v>
      </c>
      <c r="AT210" s="29">
        <v>0</v>
      </c>
      <c r="AU210" s="24" t="str">
        <f t="shared" si="4"/>
        <v>库存为0</v>
      </c>
      <c r="AV210" s="31" t="str">
        <f>IFERROR(时间!$B$4+AU210,"上周无销量")</f>
        <v>上周无销量</v>
      </c>
    </row>
    <row r="211" spans="1:48">
      <c r="A211" s="16" t="s">
        <v>453</v>
      </c>
      <c r="B211" t="s">
        <v>454</v>
      </c>
      <c r="C211" t="s">
        <v>448</v>
      </c>
      <c r="D211" s="24">
        <v>0</v>
      </c>
      <c r="E211" s="24">
        <v>0</v>
      </c>
      <c r="F211" s="24">
        <v>0</v>
      </c>
      <c r="G211" s="24">
        <v>0</v>
      </c>
      <c r="H211" s="25">
        <v>0</v>
      </c>
      <c r="I211">
        <v>0</v>
      </c>
      <c r="J211" s="26">
        <v>0</v>
      </c>
      <c r="K211" s="26">
        <v>0</v>
      </c>
      <c r="L211" s="26">
        <v>0</v>
      </c>
      <c r="M211">
        <v>0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8</v>
      </c>
      <c r="AK211">
        <v>4</v>
      </c>
      <c r="AL211">
        <v>7</v>
      </c>
      <c r="AM211">
        <v>12</v>
      </c>
      <c r="AN211" s="18">
        <v>0</v>
      </c>
      <c r="AO211" s="18">
        <v>0</v>
      </c>
      <c r="AP211" s="18">
        <v>0</v>
      </c>
      <c r="AQ211" s="18">
        <v>0</v>
      </c>
      <c r="AR211" s="29">
        <v>0</v>
      </c>
      <c r="AS211" s="29">
        <v>0</v>
      </c>
      <c r="AT211" s="29">
        <v>0</v>
      </c>
      <c r="AU211" s="24" t="str">
        <f t="shared" si="4"/>
        <v>库存为0</v>
      </c>
      <c r="AV211" s="31" t="str">
        <f>IFERROR(时间!$B$4+AU211,"上周无销量")</f>
        <v>上周无销量</v>
      </c>
    </row>
    <row r="212" spans="1:48">
      <c r="A212" s="16" t="s">
        <v>455</v>
      </c>
      <c r="B212" t="s">
        <v>456</v>
      </c>
      <c r="C212" t="s">
        <v>448</v>
      </c>
      <c r="D212" s="24">
        <v>0</v>
      </c>
      <c r="E212" s="24">
        <v>0</v>
      </c>
      <c r="F212" s="24">
        <v>0</v>
      </c>
      <c r="G212" s="24">
        <v>0</v>
      </c>
      <c r="H212" s="25">
        <v>0</v>
      </c>
      <c r="I212">
        <v>0</v>
      </c>
      <c r="J212" s="26">
        <v>0</v>
      </c>
      <c r="K212" s="26">
        <v>0</v>
      </c>
      <c r="L212" s="26">
        <v>0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16</v>
      </c>
      <c r="AK212">
        <v>10</v>
      </c>
      <c r="AL212">
        <v>11</v>
      </c>
      <c r="AM212">
        <v>10</v>
      </c>
      <c r="AN212" s="18">
        <v>0</v>
      </c>
      <c r="AO212" s="18">
        <v>0</v>
      </c>
      <c r="AP212" s="18">
        <v>0</v>
      </c>
      <c r="AQ212" s="18">
        <v>0</v>
      </c>
      <c r="AR212" s="29">
        <v>0</v>
      </c>
      <c r="AS212" s="29">
        <v>0</v>
      </c>
      <c r="AT212" s="29">
        <v>0</v>
      </c>
      <c r="AU212" s="24" t="str">
        <f t="shared" si="4"/>
        <v>库存为0</v>
      </c>
      <c r="AV212" s="31" t="str">
        <f>IFERROR(时间!$B$4+AU212,"上周无销量")</f>
        <v>上周无销量</v>
      </c>
    </row>
    <row r="213" spans="1:48">
      <c r="A213" s="16" t="s">
        <v>457</v>
      </c>
      <c r="B213" t="s">
        <v>458</v>
      </c>
      <c r="C213" t="s">
        <v>448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1</v>
      </c>
      <c r="J213" s="26">
        <v>0</v>
      </c>
      <c r="K213" s="26">
        <v>0</v>
      </c>
      <c r="L213" s="26">
        <v>0</v>
      </c>
      <c r="M213">
        <v>1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32</v>
      </c>
      <c r="AK213">
        <v>24</v>
      </c>
      <c r="AL213">
        <v>11</v>
      </c>
      <c r="AM213">
        <v>14</v>
      </c>
      <c r="AN213" s="18">
        <v>0</v>
      </c>
      <c r="AO213" s="18">
        <v>0</v>
      </c>
      <c r="AP213" s="18">
        <v>0</v>
      </c>
      <c r="AQ213" s="18">
        <v>0</v>
      </c>
      <c r="AR213" s="29">
        <v>0</v>
      </c>
      <c r="AS213" s="29">
        <v>0</v>
      </c>
      <c r="AT213" s="29">
        <v>1</v>
      </c>
      <c r="AU213" s="24" t="str">
        <f t="shared" si="4"/>
        <v>库存为1</v>
      </c>
      <c r="AV213" s="31" t="str">
        <f>IFERROR(时间!$B$4+AU213,"上周无销量")</f>
        <v>上周无销量</v>
      </c>
    </row>
    <row r="214" spans="1:48">
      <c r="A214" s="16" t="s">
        <v>459</v>
      </c>
      <c r="B214" t="s">
        <v>460</v>
      </c>
      <c r="C214" t="s">
        <v>448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0</v>
      </c>
      <c r="J214" s="26">
        <v>0</v>
      </c>
      <c r="K214" s="26">
        <v>0</v>
      </c>
      <c r="L214" s="26">
        <v>0</v>
      </c>
      <c r="M214">
        <v>0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17</v>
      </c>
      <c r="AK214">
        <v>15</v>
      </c>
      <c r="AL214">
        <v>9</v>
      </c>
      <c r="AM214">
        <v>14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0</v>
      </c>
      <c r="AU214" s="24" t="str">
        <f t="shared" si="4"/>
        <v>库存为0</v>
      </c>
      <c r="AV214" s="31" t="str">
        <f>IFERROR(时间!$B$4+AU214,"上周无销量")</f>
        <v>上周无销量</v>
      </c>
    </row>
    <row r="215" spans="1:48">
      <c r="A215" s="16" t="s">
        <v>461</v>
      </c>
      <c r="B215" t="s">
        <v>462</v>
      </c>
      <c r="C215" t="s">
        <v>448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0</v>
      </c>
      <c r="J215" s="26">
        <v>0</v>
      </c>
      <c r="K215" s="26">
        <v>0</v>
      </c>
      <c r="L215" s="26">
        <v>0</v>
      </c>
      <c r="M215">
        <v>0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9</v>
      </c>
      <c r="AK215">
        <v>5</v>
      </c>
      <c r="AL215">
        <v>7</v>
      </c>
      <c r="AM215">
        <v>17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0</v>
      </c>
      <c r="AU215" s="24" t="str">
        <f t="shared" si="4"/>
        <v>库存为0</v>
      </c>
      <c r="AV215" s="31" t="str">
        <f>IFERROR(时间!$B$4+AU215,"上周无销量")</f>
        <v>上周无销量</v>
      </c>
    </row>
    <row r="216" spans="1:48">
      <c r="A216" s="16" t="s">
        <v>463</v>
      </c>
      <c r="B216" t="s">
        <v>464</v>
      </c>
      <c r="C216" t="s">
        <v>448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2</v>
      </c>
      <c r="J216" s="26">
        <v>0</v>
      </c>
      <c r="K216" s="26">
        <v>0</v>
      </c>
      <c r="L216" s="26">
        <v>0</v>
      </c>
      <c r="M216">
        <v>2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21</v>
      </c>
      <c r="AK216">
        <v>14</v>
      </c>
      <c r="AL216">
        <v>5</v>
      </c>
      <c r="AM216">
        <v>6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2</v>
      </c>
      <c r="AU216" s="24" t="str">
        <f t="shared" si="4"/>
        <v>库存为2</v>
      </c>
      <c r="AV216" s="31" t="str">
        <f>IFERROR(时间!$B$4+AU216,"上周无销量")</f>
        <v>上周无销量</v>
      </c>
    </row>
    <row r="217" spans="1:48">
      <c r="A217" s="16" t="s">
        <v>465</v>
      </c>
      <c r="B217" t="s">
        <v>466</v>
      </c>
      <c r="C217" t="s">
        <v>448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1</v>
      </c>
      <c r="J217" s="26">
        <v>0</v>
      </c>
      <c r="K217" s="26">
        <v>0</v>
      </c>
      <c r="L217" s="26">
        <v>0</v>
      </c>
      <c r="M217">
        <v>1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8</v>
      </c>
      <c r="AK217">
        <v>8</v>
      </c>
      <c r="AL217">
        <v>7</v>
      </c>
      <c r="AM217">
        <v>5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1</v>
      </c>
      <c r="AU217" s="24" t="str">
        <f t="shared" si="4"/>
        <v>库存为1</v>
      </c>
      <c r="AV217" s="31" t="str">
        <f>IFERROR(时间!$B$4+AU217,"上周无销量")</f>
        <v>上周无销量</v>
      </c>
    </row>
    <row r="218" spans="1:48">
      <c r="A218" s="16" t="s">
        <v>467</v>
      </c>
      <c r="B218" t="s">
        <v>468</v>
      </c>
      <c r="C218" t="s">
        <v>448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2</v>
      </c>
      <c r="J218" s="26">
        <v>0</v>
      </c>
      <c r="K218" s="26">
        <v>0</v>
      </c>
      <c r="L218" s="26">
        <v>1</v>
      </c>
      <c r="M218">
        <v>3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18</v>
      </c>
      <c r="AK218">
        <v>13</v>
      </c>
      <c r="AL218">
        <v>6</v>
      </c>
      <c r="AM218">
        <v>3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3</v>
      </c>
      <c r="AU218" s="24" t="str">
        <f t="shared" si="4"/>
        <v>库存为3</v>
      </c>
      <c r="AV218" s="31" t="str">
        <f>IFERROR(时间!$B$4+AU218,"上周无销量")</f>
        <v>上周无销量</v>
      </c>
    </row>
    <row r="219" spans="1:48">
      <c r="A219" s="16" t="s">
        <v>469</v>
      </c>
      <c r="B219" t="s">
        <v>470</v>
      </c>
      <c r="C219" t="s">
        <v>448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0</v>
      </c>
      <c r="J219" s="26">
        <v>0</v>
      </c>
      <c r="K219" s="26">
        <v>0</v>
      </c>
      <c r="L219" s="26">
        <v>0</v>
      </c>
      <c r="M219">
        <v>0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6</v>
      </c>
      <c r="AK219">
        <v>5</v>
      </c>
      <c r="AL219">
        <v>6</v>
      </c>
      <c r="AM219">
        <v>2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0</v>
      </c>
      <c r="AU219" s="24" t="str">
        <f t="shared" si="4"/>
        <v>库存为0</v>
      </c>
      <c r="AV219" s="31" t="str">
        <f>IFERROR(时间!$B$4+AU219,"上周无销量")</f>
        <v>上周无销量</v>
      </c>
    </row>
    <row r="220" spans="1:48">
      <c r="A220" s="16" t="s">
        <v>471</v>
      </c>
      <c r="B220" t="s">
        <v>472</v>
      </c>
      <c r="C220" t="s">
        <v>448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0</v>
      </c>
      <c r="J220" s="26">
        <v>0</v>
      </c>
      <c r="K220" s="26">
        <v>0</v>
      </c>
      <c r="L220" s="26">
        <v>0</v>
      </c>
      <c r="M220">
        <v>0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10</v>
      </c>
      <c r="AK220">
        <v>8</v>
      </c>
      <c r="AL220">
        <v>6</v>
      </c>
      <c r="AM220">
        <v>5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0</v>
      </c>
      <c r="AU220" s="24" t="str">
        <f t="shared" si="4"/>
        <v>库存为0</v>
      </c>
      <c r="AV220" s="31" t="str">
        <f>IFERROR(时间!$B$4+AU220,"上周无销量")</f>
        <v>上周无销量</v>
      </c>
    </row>
    <row r="221" spans="1:48">
      <c r="A221" s="16" t="s">
        <v>473</v>
      </c>
      <c r="B221" t="s">
        <v>474</v>
      </c>
      <c r="C221" t="s">
        <v>448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0</v>
      </c>
      <c r="J221" s="26">
        <v>0</v>
      </c>
      <c r="K221" s="26">
        <v>0</v>
      </c>
      <c r="L221" s="26">
        <v>0</v>
      </c>
      <c r="M221">
        <v>0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28</v>
      </c>
      <c r="AK221">
        <v>32</v>
      </c>
      <c r="AL221">
        <v>10</v>
      </c>
      <c r="AM221">
        <v>4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0</v>
      </c>
      <c r="AU221" s="24" t="str">
        <f t="shared" si="4"/>
        <v>库存为0</v>
      </c>
      <c r="AV221" s="31" t="str">
        <f>IFERROR(时间!$B$4+AU221,"上周无销量")</f>
        <v>上周无销量</v>
      </c>
    </row>
    <row r="222" spans="1:48">
      <c r="A222" s="16" t="s">
        <v>475</v>
      </c>
      <c r="B222" t="s">
        <v>476</v>
      </c>
      <c r="C222" t="s">
        <v>448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2</v>
      </c>
      <c r="J222" s="26">
        <v>0</v>
      </c>
      <c r="K222" s="26">
        <v>0</v>
      </c>
      <c r="L222" s="26">
        <v>0</v>
      </c>
      <c r="M222">
        <v>2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9</v>
      </c>
      <c r="AK222">
        <v>6</v>
      </c>
      <c r="AL222">
        <v>5</v>
      </c>
      <c r="AM222">
        <v>5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2</v>
      </c>
      <c r="AU222" s="24" t="str">
        <f t="shared" si="4"/>
        <v>库存为2</v>
      </c>
      <c r="AV222" s="31" t="str">
        <f>IFERROR(时间!$B$4+AU222,"上周无销量")</f>
        <v>上周无销量</v>
      </c>
    </row>
    <row r="223" spans="1:48">
      <c r="A223" s="16" t="s">
        <v>477</v>
      </c>
      <c r="B223" t="s">
        <v>478</v>
      </c>
      <c r="C223" t="s">
        <v>448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6</v>
      </c>
      <c r="J223" s="26">
        <v>0</v>
      </c>
      <c r="K223" s="26">
        <v>0</v>
      </c>
      <c r="L223" s="26">
        <v>0</v>
      </c>
      <c r="M223">
        <v>6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28</v>
      </c>
      <c r="AK223">
        <v>22</v>
      </c>
      <c r="AL223">
        <v>11</v>
      </c>
      <c r="AM223">
        <v>8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6</v>
      </c>
      <c r="AU223" s="24" t="str">
        <f t="shared" si="4"/>
        <v>库存为6</v>
      </c>
      <c r="AV223" s="31" t="str">
        <f>IFERROR(时间!$B$4+AU223,"上周无销量")</f>
        <v>上周无销量</v>
      </c>
    </row>
    <row r="224" spans="1:48">
      <c r="A224" s="16" t="s">
        <v>479</v>
      </c>
      <c r="B224" t="s">
        <v>480</v>
      </c>
      <c r="C224" t="s">
        <v>448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0</v>
      </c>
      <c r="J224" s="26">
        <v>0</v>
      </c>
      <c r="K224" s="26">
        <v>0</v>
      </c>
      <c r="L224" s="26">
        <v>0</v>
      </c>
      <c r="M224">
        <v>0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12</v>
      </c>
      <c r="AK224">
        <v>13</v>
      </c>
      <c r="AL224">
        <v>6</v>
      </c>
      <c r="AM224">
        <v>6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0</v>
      </c>
      <c r="AU224" s="24" t="str">
        <f t="shared" si="4"/>
        <v>库存为0</v>
      </c>
      <c r="AV224" s="31" t="str">
        <f>IFERROR(时间!$B$4+AU224,"上周无销量")</f>
        <v>上周无销量</v>
      </c>
    </row>
    <row r="225" spans="1:48">
      <c r="A225" s="16" t="s">
        <v>481</v>
      </c>
      <c r="B225" t="s">
        <v>482</v>
      </c>
      <c r="C225" t="s">
        <v>448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0</v>
      </c>
      <c r="J225" s="26">
        <v>0</v>
      </c>
      <c r="K225" s="26">
        <v>0</v>
      </c>
      <c r="L225" s="26">
        <v>0</v>
      </c>
      <c r="M225">
        <v>0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9</v>
      </c>
      <c r="AK225">
        <v>8</v>
      </c>
      <c r="AL225">
        <v>7</v>
      </c>
      <c r="AM225">
        <v>7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0</v>
      </c>
      <c r="AU225" s="24" t="str">
        <f t="shared" si="4"/>
        <v>库存为0</v>
      </c>
      <c r="AV225" s="31" t="str">
        <f>IFERROR(时间!$B$4+AU225,"上周无销量")</f>
        <v>上周无销量</v>
      </c>
    </row>
    <row r="226" spans="1:48">
      <c r="A226" s="16" t="s">
        <v>483</v>
      </c>
      <c r="B226" t="s">
        <v>484</v>
      </c>
      <c r="C226" t="s">
        <v>448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10</v>
      </c>
      <c r="J226" s="26">
        <v>0</v>
      </c>
      <c r="K226" s="26">
        <v>0</v>
      </c>
      <c r="L226" s="26">
        <v>0</v>
      </c>
      <c r="M226">
        <v>10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10</v>
      </c>
      <c r="AK226">
        <v>10</v>
      </c>
      <c r="AL226">
        <v>8</v>
      </c>
      <c r="AM226">
        <v>4</v>
      </c>
      <c r="AN226" s="18">
        <v>0</v>
      </c>
      <c r="AO226" s="18">
        <v>0</v>
      </c>
      <c r="AP226" s="18">
        <v>0</v>
      </c>
      <c r="AQ226" s="18">
        <v>0</v>
      </c>
      <c r="AR226" s="29">
        <v>0</v>
      </c>
      <c r="AS226" s="29">
        <v>0</v>
      </c>
      <c r="AT226" s="29">
        <v>10</v>
      </c>
      <c r="AU226" s="24" t="str">
        <f t="shared" si="4"/>
        <v>库存为10</v>
      </c>
      <c r="AV226" s="31" t="str">
        <f>IFERROR(时间!$B$4+AU226,"上周无销量")</f>
        <v>上周无销量</v>
      </c>
    </row>
    <row r="227" spans="1:48">
      <c r="A227" s="16" t="s">
        <v>485</v>
      </c>
      <c r="B227" t="s">
        <v>486</v>
      </c>
      <c r="C227" t="s">
        <v>448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6</v>
      </c>
      <c r="J227" s="26">
        <v>0</v>
      </c>
      <c r="K227" s="26">
        <v>0</v>
      </c>
      <c r="L227" s="26">
        <v>0</v>
      </c>
      <c r="M227">
        <v>6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3</v>
      </c>
      <c r="AK227">
        <v>5</v>
      </c>
      <c r="AL227">
        <v>7</v>
      </c>
      <c r="AM227">
        <v>1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6</v>
      </c>
      <c r="AU227" s="24" t="str">
        <f t="shared" si="4"/>
        <v>库存为6</v>
      </c>
      <c r="AV227" s="31" t="str">
        <f>IFERROR(时间!$B$4+AU227,"上周无销量")</f>
        <v>上周无销量</v>
      </c>
    </row>
    <row r="228" spans="1:48">
      <c r="A228" s="16" t="s">
        <v>487</v>
      </c>
      <c r="B228" t="s">
        <v>488</v>
      </c>
      <c r="C228" t="s">
        <v>448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0</v>
      </c>
      <c r="J228" s="26">
        <v>0</v>
      </c>
      <c r="K228" s="26">
        <v>0</v>
      </c>
      <c r="L228" s="26">
        <v>0</v>
      </c>
      <c r="M228">
        <v>0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17</v>
      </c>
      <c r="AK228">
        <v>16</v>
      </c>
      <c r="AL228">
        <v>8</v>
      </c>
      <c r="AM228">
        <v>8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0</v>
      </c>
      <c r="AU228" s="24" t="str">
        <f t="shared" si="4"/>
        <v>库存为0</v>
      </c>
      <c r="AV228" s="31" t="str">
        <f>IFERROR(时间!$B$4+AU228,"上周无销量")</f>
        <v>上周无销量</v>
      </c>
    </row>
    <row r="229" spans="1:48">
      <c r="A229" s="16" t="s">
        <v>489</v>
      </c>
      <c r="B229" t="s">
        <v>490</v>
      </c>
      <c r="C229" t="s">
        <v>448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0</v>
      </c>
      <c r="J229" s="26">
        <v>0</v>
      </c>
      <c r="K229" s="26">
        <v>0</v>
      </c>
      <c r="L229" s="26">
        <v>0</v>
      </c>
      <c r="M229">
        <v>0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6</v>
      </c>
      <c r="AK229">
        <v>15</v>
      </c>
      <c r="AL229">
        <v>9</v>
      </c>
      <c r="AM229">
        <v>12</v>
      </c>
      <c r="AN229" s="18">
        <v>0</v>
      </c>
      <c r="AO229" s="18">
        <v>0</v>
      </c>
      <c r="AP229" s="18">
        <v>0</v>
      </c>
      <c r="AQ229" s="18">
        <v>0</v>
      </c>
      <c r="AR229" s="29">
        <v>0</v>
      </c>
      <c r="AS229" s="29">
        <v>0</v>
      </c>
      <c r="AT229" s="29">
        <v>0</v>
      </c>
      <c r="AU229" s="24" t="str">
        <f t="shared" si="4"/>
        <v>库存为0</v>
      </c>
      <c r="AV229" s="31" t="str">
        <f>IFERROR(时间!$B$4+AU229,"上周无销量")</f>
        <v>上周无销量</v>
      </c>
    </row>
    <row r="230" spans="1:48">
      <c r="A230" s="16" t="s">
        <v>491</v>
      </c>
      <c r="B230" t="s">
        <v>492</v>
      </c>
      <c r="C230" t="s">
        <v>448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9</v>
      </c>
      <c r="AK230">
        <v>6</v>
      </c>
      <c r="AL230">
        <v>6</v>
      </c>
      <c r="AM230">
        <v>5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493</v>
      </c>
      <c r="B231" t="s">
        <v>494</v>
      </c>
      <c r="C231" t="s">
        <v>448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1</v>
      </c>
      <c r="J231" s="26">
        <v>0</v>
      </c>
      <c r="K231" s="26">
        <v>0</v>
      </c>
      <c r="L231" s="26">
        <v>1</v>
      </c>
      <c r="M231">
        <v>2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7</v>
      </c>
      <c r="AK231">
        <v>10</v>
      </c>
      <c r="AL231">
        <v>11</v>
      </c>
      <c r="AM231">
        <v>7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2</v>
      </c>
      <c r="AU231" s="24" t="str">
        <f t="shared" si="4"/>
        <v>库存为2</v>
      </c>
      <c r="AV231" s="31" t="str">
        <f>IFERROR(时间!$B$4+AU231,"上周无销量")</f>
        <v>上周无销量</v>
      </c>
    </row>
    <row r="232" spans="1:48">
      <c r="A232" s="16" t="s">
        <v>495</v>
      </c>
      <c r="B232" t="s">
        <v>496</v>
      </c>
      <c r="C232" t="s">
        <v>448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2</v>
      </c>
      <c r="J232" s="26">
        <v>0</v>
      </c>
      <c r="K232" s="26">
        <v>0</v>
      </c>
      <c r="L232" s="26">
        <v>0</v>
      </c>
      <c r="M232">
        <v>2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8</v>
      </c>
      <c r="AK232">
        <v>5</v>
      </c>
      <c r="AL232">
        <v>7</v>
      </c>
      <c r="AM232">
        <v>11</v>
      </c>
      <c r="AN232" s="18">
        <v>0</v>
      </c>
      <c r="AO232" s="18">
        <v>0</v>
      </c>
      <c r="AP232" s="18">
        <v>0</v>
      </c>
      <c r="AQ232" s="18">
        <v>0</v>
      </c>
      <c r="AR232" s="29">
        <v>0</v>
      </c>
      <c r="AS232" s="29">
        <v>0</v>
      </c>
      <c r="AT232" s="29">
        <v>2</v>
      </c>
      <c r="AU232" s="24" t="str">
        <f t="shared" si="4"/>
        <v>库存为2</v>
      </c>
      <c r="AV232" s="31" t="str">
        <f>IFERROR(时间!$B$4+AU232,"上周无销量")</f>
        <v>上周无销量</v>
      </c>
    </row>
    <row r="233" spans="1:48">
      <c r="A233" s="16" t="s">
        <v>497</v>
      </c>
      <c r="B233" t="s">
        <v>498</v>
      </c>
      <c r="C233" t="s">
        <v>448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0</v>
      </c>
      <c r="J233" s="26">
        <v>0</v>
      </c>
      <c r="K233" s="26">
        <v>0</v>
      </c>
      <c r="L233" s="26">
        <v>0</v>
      </c>
      <c r="M233">
        <v>0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19</v>
      </c>
      <c r="AK233">
        <v>17</v>
      </c>
      <c r="AL233">
        <v>12</v>
      </c>
      <c r="AM233">
        <v>14</v>
      </c>
      <c r="AN233" s="18">
        <v>0</v>
      </c>
      <c r="AO233" s="18">
        <v>0</v>
      </c>
      <c r="AP233" s="18">
        <v>0</v>
      </c>
      <c r="AQ233" s="18">
        <v>0</v>
      </c>
      <c r="AR233" s="29">
        <v>0</v>
      </c>
      <c r="AS233" s="29">
        <v>0</v>
      </c>
      <c r="AT233" s="29">
        <v>0</v>
      </c>
      <c r="AU233" s="24" t="str">
        <f t="shared" si="4"/>
        <v>库存为0</v>
      </c>
      <c r="AV233" s="31" t="str">
        <f>IFERROR(时间!$B$4+AU233,"上周无销量")</f>
        <v>上周无销量</v>
      </c>
    </row>
    <row r="234" spans="1:48">
      <c r="A234" s="16" t="s">
        <v>499</v>
      </c>
      <c r="B234" t="s">
        <v>500</v>
      </c>
      <c r="C234" t="s">
        <v>448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17</v>
      </c>
      <c r="AK234">
        <v>4</v>
      </c>
      <c r="AL234">
        <v>0</v>
      </c>
      <c r="AM234">
        <v>25</v>
      </c>
      <c r="AN234" s="18">
        <v>0</v>
      </c>
      <c r="AO234" s="18">
        <v>0</v>
      </c>
      <c r="AP234" s="18" t="s">
        <v>52</v>
      </c>
      <c r="AQ234" s="18">
        <v>0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501</v>
      </c>
      <c r="B235" t="s">
        <v>502</v>
      </c>
      <c r="C235" t="s">
        <v>448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0</v>
      </c>
      <c r="J235" s="26">
        <v>0</v>
      </c>
      <c r="K235" s="26">
        <v>0</v>
      </c>
      <c r="L235" s="26">
        <v>0</v>
      </c>
      <c r="M235">
        <v>0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0</v>
      </c>
      <c r="AK235">
        <v>2</v>
      </c>
      <c r="AL235">
        <v>18</v>
      </c>
      <c r="AM235">
        <v>11</v>
      </c>
      <c r="AN235" s="18" t="s">
        <v>52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0</v>
      </c>
      <c r="AU235" s="24" t="str">
        <f t="shared" si="4"/>
        <v>库存为0</v>
      </c>
      <c r="AV235" s="31" t="str">
        <f>IFERROR(时间!$B$4+AU235,"上周无销量")</f>
        <v>上周无销量</v>
      </c>
    </row>
    <row r="236" spans="1:48">
      <c r="A236" s="16" t="s">
        <v>503</v>
      </c>
      <c r="B236" t="s">
        <v>504</v>
      </c>
      <c r="C236" t="s">
        <v>448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0</v>
      </c>
      <c r="J236" s="26">
        <v>0</v>
      </c>
      <c r="K236" s="26">
        <v>0</v>
      </c>
      <c r="L236" s="26">
        <v>0</v>
      </c>
      <c r="M236">
        <v>0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16</v>
      </c>
      <c r="AK236">
        <v>11</v>
      </c>
      <c r="AL236">
        <v>5</v>
      </c>
      <c r="AM236">
        <v>2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0</v>
      </c>
      <c r="AU236" s="24" t="str">
        <f t="shared" si="4"/>
        <v>库存为0</v>
      </c>
      <c r="AV236" s="31" t="str">
        <f>IFERROR(时间!$B$4+AU236,"上周无销量")</f>
        <v>上周无销量</v>
      </c>
    </row>
    <row r="237" spans="1:48">
      <c r="A237" s="16" t="s">
        <v>505</v>
      </c>
      <c r="B237" t="s">
        <v>506</v>
      </c>
      <c r="C237" t="s">
        <v>448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0</v>
      </c>
      <c r="J237" s="26">
        <v>0</v>
      </c>
      <c r="K237" s="26">
        <v>0</v>
      </c>
      <c r="L237" s="26">
        <v>0</v>
      </c>
      <c r="M237">
        <v>0</v>
      </c>
      <c r="N237">
        <v>0</v>
      </c>
      <c r="O237">
        <v>0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5</v>
      </c>
      <c r="AK237">
        <v>7</v>
      </c>
      <c r="AL237">
        <v>10</v>
      </c>
      <c r="AM237">
        <v>9</v>
      </c>
      <c r="AN237" s="18">
        <v>0</v>
      </c>
      <c r="AO237" s="18">
        <v>0</v>
      </c>
      <c r="AP237" s="18">
        <v>0</v>
      </c>
      <c r="AQ237" s="18">
        <v>0</v>
      </c>
      <c r="AR237" s="29">
        <v>0</v>
      </c>
      <c r="AS237" s="29">
        <v>0</v>
      </c>
      <c r="AT237" s="29">
        <v>0</v>
      </c>
      <c r="AU237" s="24" t="str">
        <f t="shared" si="4"/>
        <v>库存为0</v>
      </c>
      <c r="AV237" s="31" t="str">
        <f>IFERROR(时间!$B$4+AU237,"上周无销量")</f>
        <v>上周无销量</v>
      </c>
    </row>
    <row r="238" spans="1:48">
      <c r="A238" s="16" t="s">
        <v>507</v>
      </c>
      <c r="B238" t="s">
        <v>508</v>
      </c>
      <c r="C238" t="s">
        <v>509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0</v>
      </c>
      <c r="J238" s="26">
        <v>0</v>
      </c>
      <c r="K238" s="26">
        <v>0</v>
      </c>
      <c r="L238" s="26">
        <v>0</v>
      </c>
      <c r="M238">
        <v>0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8</v>
      </c>
      <c r="AK238">
        <v>4</v>
      </c>
      <c r="AL238">
        <v>8</v>
      </c>
      <c r="AM238">
        <v>6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0</v>
      </c>
      <c r="AU238" s="24" t="str">
        <f t="shared" si="4"/>
        <v>库存为0</v>
      </c>
      <c r="AV238" s="31" t="str">
        <f>IFERROR(时间!$B$4+AU238,"上周无销量")</f>
        <v>上周无销量</v>
      </c>
    </row>
    <row r="239" spans="1:48">
      <c r="A239" s="16" t="s">
        <v>510</v>
      </c>
      <c r="B239" t="s">
        <v>511</v>
      </c>
      <c r="C239" t="s">
        <v>512</v>
      </c>
      <c r="D239" s="24">
        <v>0</v>
      </c>
      <c r="E239" s="24">
        <v>1</v>
      </c>
      <c r="F239" s="24">
        <v>0</v>
      </c>
      <c r="G239" s="24">
        <v>0</v>
      </c>
      <c r="H239" s="25">
        <v>27.98</v>
      </c>
      <c r="I239">
        <v>9</v>
      </c>
      <c r="J239" s="26">
        <v>0</v>
      </c>
      <c r="K239" s="26">
        <v>0</v>
      </c>
      <c r="L239" s="26">
        <v>0</v>
      </c>
      <c r="M239">
        <v>9</v>
      </c>
      <c r="N239">
        <v>0</v>
      </c>
      <c r="O239">
        <v>4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5</v>
      </c>
      <c r="AK239">
        <v>0</v>
      </c>
      <c r="AL239">
        <v>0</v>
      </c>
      <c r="AM239">
        <v>3</v>
      </c>
      <c r="AN239" s="18">
        <v>0</v>
      </c>
      <c r="AO239" s="18" t="s">
        <v>52</v>
      </c>
      <c r="AP239" s="18" t="s">
        <v>52</v>
      </c>
      <c r="AQ239" s="18">
        <v>0</v>
      </c>
      <c r="AR239" s="29">
        <v>0</v>
      </c>
      <c r="AS239" s="29">
        <v>0</v>
      </c>
      <c r="AT239" s="29">
        <v>9</v>
      </c>
      <c r="AU239" s="24" t="str">
        <f t="shared" si="4"/>
        <v>库存为9</v>
      </c>
      <c r="AV239" s="31" t="str">
        <f>IFERROR(时间!$B$4+AU239,"上周无销量")</f>
        <v>上周无销量</v>
      </c>
    </row>
    <row r="240" spans="1:48">
      <c r="A240" s="16" t="s">
        <v>513</v>
      </c>
      <c r="B240" t="s">
        <v>514</v>
      </c>
      <c r="C240" t="s">
        <v>512</v>
      </c>
      <c r="D240" s="24">
        <v>0</v>
      </c>
      <c r="E240" s="24">
        <v>0</v>
      </c>
      <c r="F240" s="24">
        <v>1</v>
      </c>
      <c r="G240" s="24">
        <v>0</v>
      </c>
      <c r="H240" s="25">
        <v>27.98</v>
      </c>
      <c r="I240">
        <v>7</v>
      </c>
      <c r="J240" s="26">
        <v>0</v>
      </c>
      <c r="K240" s="26">
        <v>0</v>
      </c>
      <c r="L240" s="26">
        <v>0</v>
      </c>
      <c r="M240">
        <v>7</v>
      </c>
      <c r="N240">
        <v>0</v>
      </c>
      <c r="O240">
        <v>4</v>
      </c>
      <c r="P240">
        <v>1251</v>
      </c>
      <c r="Q240">
        <v>135</v>
      </c>
      <c r="R240">
        <v>408</v>
      </c>
      <c r="S240">
        <v>324</v>
      </c>
      <c r="T240">
        <v>4</v>
      </c>
      <c r="U240">
        <v>1</v>
      </c>
      <c r="V240">
        <v>3</v>
      </c>
      <c r="W240">
        <v>2</v>
      </c>
      <c r="X240" s="18">
        <v>0.00319744204636291</v>
      </c>
      <c r="Y240" s="18">
        <v>0.00740740740740741</v>
      </c>
      <c r="Z240" s="18">
        <v>0.00735294117647059</v>
      </c>
      <c r="AA240" s="18">
        <v>0.00617283950617284</v>
      </c>
      <c r="AB240">
        <v>4.19</v>
      </c>
      <c r="AC240">
        <v>0.61</v>
      </c>
      <c r="AD240">
        <v>1.45</v>
      </c>
      <c r="AE240">
        <v>0.82</v>
      </c>
      <c r="AF240" s="18" t="s">
        <v>515</v>
      </c>
      <c r="AG240" s="18" t="s">
        <v>516</v>
      </c>
      <c r="AH240" s="18">
        <v>0.0518227305218013</v>
      </c>
      <c r="AI240" s="18" t="s">
        <v>517</v>
      </c>
      <c r="AJ240">
        <v>6</v>
      </c>
      <c r="AK240">
        <v>4</v>
      </c>
      <c r="AL240">
        <v>3</v>
      </c>
      <c r="AM240">
        <v>3</v>
      </c>
      <c r="AN240" s="18">
        <v>0</v>
      </c>
      <c r="AO240" s="18">
        <v>0</v>
      </c>
      <c r="AP240" s="18">
        <v>0.333333333333333</v>
      </c>
      <c r="AQ240" s="18">
        <v>0</v>
      </c>
      <c r="AR240" s="29">
        <v>0</v>
      </c>
      <c r="AS240" s="29">
        <v>0</v>
      </c>
      <c r="AT240" s="29">
        <v>7</v>
      </c>
      <c r="AU240" s="24" t="str">
        <f t="shared" si="4"/>
        <v>库存为7</v>
      </c>
      <c r="AV240" s="31" t="str">
        <f>IFERROR(时间!$B$4+AU240,"上周无销量")</f>
        <v>上周无销量</v>
      </c>
    </row>
    <row r="241" spans="1:48">
      <c r="A241" s="16" t="s">
        <v>518</v>
      </c>
      <c r="B241" t="s">
        <v>519</v>
      </c>
      <c r="C241" t="s">
        <v>512</v>
      </c>
      <c r="D241" s="24">
        <v>0</v>
      </c>
      <c r="E241" s="24">
        <v>0</v>
      </c>
      <c r="F241" s="24">
        <v>0</v>
      </c>
      <c r="G241" s="24">
        <v>0</v>
      </c>
      <c r="H241" s="25">
        <v>0</v>
      </c>
      <c r="I241">
        <v>10</v>
      </c>
      <c r="J241" s="26">
        <v>0</v>
      </c>
      <c r="K241" s="26">
        <v>0</v>
      </c>
      <c r="L241" s="26">
        <v>0</v>
      </c>
      <c r="M241">
        <v>10</v>
      </c>
      <c r="N241">
        <v>0</v>
      </c>
      <c r="O241">
        <v>2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7</v>
      </c>
      <c r="AK241">
        <v>7</v>
      </c>
      <c r="AL241">
        <v>2</v>
      </c>
      <c r="AM241">
        <v>2</v>
      </c>
      <c r="AN241" s="18">
        <v>0</v>
      </c>
      <c r="AO241" s="18">
        <v>0</v>
      </c>
      <c r="AP241" s="18">
        <v>0</v>
      </c>
      <c r="AQ241" s="18">
        <v>0</v>
      </c>
      <c r="AR241" s="29">
        <v>0</v>
      </c>
      <c r="AS241" s="29">
        <v>0</v>
      </c>
      <c r="AT241" s="29">
        <v>10</v>
      </c>
      <c r="AU241" s="24" t="str">
        <f t="shared" si="4"/>
        <v>库存为10</v>
      </c>
      <c r="AV241" s="31" t="str">
        <f>IFERROR(时间!$B$4+AU241,"上周无销量")</f>
        <v>上周无销量</v>
      </c>
    </row>
    <row r="242" spans="1:48">
      <c r="A242" s="16" t="s">
        <v>520</v>
      </c>
      <c r="B242" t="s">
        <v>521</v>
      </c>
      <c r="C242" t="s">
        <v>512</v>
      </c>
      <c r="D242" s="24">
        <v>0</v>
      </c>
      <c r="E242" s="24">
        <v>0</v>
      </c>
      <c r="F242" s="24">
        <v>1</v>
      </c>
      <c r="G242" s="24">
        <v>0</v>
      </c>
      <c r="H242" s="25">
        <v>27.98</v>
      </c>
      <c r="I242">
        <v>4</v>
      </c>
      <c r="J242" s="26">
        <v>0</v>
      </c>
      <c r="K242" s="26">
        <v>0</v>
      </c>
      <c r="L242" s="26">
        <v>0</v>
      </c>
      <c r="M242">
        <v>4</v>
      </c>
      <c r="N242">
        <v>0</v>
      </c>
      <c r="O242">
        <v>4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7</v>
      </c>
      <c r="AK242">
        <v>7</v>
      </c>
      <c r="AL242">
        <v>4</v>
      </c>
      <c r="AM242">
        <v>4</v>
      </c>
      <c r="AN242" s="18">
        <v>0</v>
      </c>
      <c r="AO242" s="18">
        <v>0</v>
      </c>
      <c r="AP242" s="18">
        <v>0.25</v>
      </c>
      <c r="AQ242" s="18">
        <v>0</v>
      </c>
      <c r="AR242" s="29">
        <v>0</v>
      </c>
      <c r="AS242" s="29">
        <v>0</v>
      </c>
      <c r="AT242" s="29">
        <v>4</v>
      </c>
      <c r="AU242" s="24" t="str">
        <f t="shared" si="4"/>
        <v>库存为4</v>
      </c>
      <c r="AV242" s="31" t="str">
        <f>IFERROR(时间!$B$4+AU242,"上周无销量")</f>
        <v>上周无销量</v>
      </c>
    </row>
    <row r="243" spans="1:48">
      <c r="A243" s="16" t="s">
        <v>522</v>
      </c>
      <c r="B243" t="s">
        <v>523</v>
      </c>
      <c r="C243" t="s">
        <v>512</v>
      </c>
      <c r="D243" s="24">
        <v>0</v>
      </c>
      <c r="E243" s="24">
        <v>1</v>
      </c>
      <c r="F243" s="24">
        <v>0</v>
      </c>
      <c r="G243" s="24">
        <v>0</v>
      </c>
      <c r="H243" s="25">
        <v>27.98</v>
      </c>
      <c r="I243">
        <v>0</v>
      </c>
      <c r="J243" s="26">
        <v>0</v>
      </c>
      <c r="K243" s="26">
        <v>0</v>
      </c>
      <c r="L243" s="26">
        <v>0</v>
      </c>
      <c r="M243">
        <v>0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3</v>
      </c>
      <c r="AK243">
        <v>4</v>
      </c>
      <c r="AL243">
        <v>4</v>
      </c>
      <c r="AM243">
        <v>5</v>
      </c>
      <c r="AN243" s="18">
        <v>0</v>
      </c>
      <c r="AO243" s="18">
        <v>0.25</v>
      </c>
      <c r="AP243" s="18">
        <v>0</v>
      </c>
      <c r="AQ243" s="18">
        <v>0</v>
      </c>
      <c r="AR243" s="29">
        <v>0</v>
      </c>
      <c r="AS243" s="29">
        <v>0</v>
      </c>
      <c r="AT243" s="29">
        <v>0</v>
      </c>
      <c r="AU243" s="24" t="str">
        <f t="shared" si="4"/>
        <v>库存为0</v>
      </c>
      <c r="AV243" s="31" t="str">
        <f>IFERROR(时间!$B$4+AU243,"上周无销量")</f>
        <v>上周无销量</v>
      </c>
    </row>
    <row r="244" spans="1:48">
      <c r="A244" s="16" t="s">
        <v>524</v>
      </c>
      <c r="B244" t="s">
        <v>525</v>
      </c>
      <c r="C244" t="s">
        <v>512</v>
      </c>
      <c r="D244" s="24">
        <v>0</v>
      </c>
      <c r="E244" s="24">
        <v>0</v>
      </c>
      <c r="F244" s="24">
        <v>0</v>
      </c>
      <c r="G244" s="24">
        <v>0</v>
      </c>
      <c r="H244" s="25">
        <v>0</v>
      </c>
      <c r="I244">
        <v>0</v>
      </c>
      <c r="J244" s="26">
        <v>0</v>
      </c>
      <c r="K244" s="26">
        <v>0</v>
      </c>
      <c r="L244" s="26">
        <v>0</v>
      </c>
      <c r="M244">
        <v>0</v>
      </c>
      <c r="N244">
        <v>0</v>
      </c>
      <c r="O244">
        <v>0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5</v>
      </c>
      <c r="AK244">
        <v>8</v>
      </c>
      <c r="AL244">
        <v>0</v>
      </c>
      <c r="AM244">
        <v>1</v>
      </c>
      <c r="AN244" s="18">
        <v>0</v>
      </c>
      <c r="AO244" s="18">
        <v>0</v>
      </c>
      <c r="AP244" s="18" t="s">
        <v>52</v>
      </c>
      <c r="AQ244" s="18">
        <v>0</v>
      </c>
      <c r="AR244" s="29">
        <v>0</v>
      </c>
      <c r="AS244" s="29">
        <v>0</v>
      </c>
      <c r="AT244" s="29">
        <v>0</v>
      </c>
      <c r="AU244" s="24" t="str">
        <f t="shared" si="4"/>
        <v>库存为0</v>
      </c>
      <c r="AV244" s="31" t="str">
        <f>IFERROR(时间!$B$4+AU244,"上周无销量")</f>
        <v>上周无销量</v>
      </c>
    </row>
    <row r="245" spans="1:48">
      <c r="A245" s="16" t="s">
        <v>526</v>
      </c>
      <c r="B245" t="s">
        <v>527</v>
      </c>
      <c r="C245" t="s">
        <v>512</v>
      </c>
      <c r="D245" s="24">
        <v>0</v>
      </c>
      <c r="E245" s="24">
        <v>1</v>
      </c>
      <c r="F245" s="24">
        <v>0</v>
      </c>
      <c r="G245" s="24">
        <v>0</v>
      </c>
      <c r="H245" s="25">
        <v>27.98</v>
      </c>
      <c r="I245">
        <v>5</v>
      </c>
      <c r="J245" s="26">
        <v>0</v>
      </c>
      <c r="K245" s="26">
        <v>0</v>
      </c>
      <c r="L245" s="26">
        <v>0</v>
      </c>
      <c r="M245">
        <v>5</v>
      </c>
      <c r="N245">
        <v>0</v>
      </c>
      <c r="O245">
        <v>1</v>
      </c>
      <c r="P245" t="s">
        <v>52</v>
      </c>
      <c r="Q245" t="s">
        <v>52</v>
      </c>
      <c r="R245" t="s">
        <v>52</v>
      </c>
      <c r="S245" t="s">
        <v>52</v>
      </c>
      <c r="T245" t="s">
        <v>52</v>
      </c>
      <c r="U245" t="s">
        <v>52</v>
      </c>
      <c r="V245" t="s">
        <v>52</v>
      </c>
      <c r="W245" t="s">
        <v>52</v>
      </c>
      <c r="X245" s="18" t="s">
        <v>52</v>
      </c>
      <c r="Y245" s="18" t="s">
        <v>52</v>
      </c>
      <c r="Z245" s="18" t="s">
        <v>52</v>
      </c>
      <c r="AA245" s="18" t="s">
        <v>52</v>
      </c>
      <c r="AB245" t="s">
        <v>52</v>
      </c>
      <c r="AC245" t="s">
        <v>52</v>
      </c>
      <c r="AD245" t="s">
        <v>52</v>
      </c>
      <c r="AE245" t="s">
        <v>52</v>
      </c>
      <c r="AF245" s="18" t="s">
        <v>52</v>
      </c>
      <c r="AG245" s="18" t="s">
        <v>52</v>
      </c>
      <c r="AH245" s="18" t="s">
        <v>52</v>
      </c>
      <c r="AI245" s="18" t="s">
        <v>52</v>
      </c>
      <c r="AJ245">
        <v>6</v>
      </c>
      <c r="AK245">
        <v>5</v>
      </c>
      <c r="AL245">
        <v>7</v>
      </c>
      <c r="AM245">
        <v>4</v>
      </c>
      <c r="AN245" s="18">
        <v>0</v>
      </c>
      <c r="AO245" s="18">
        <v>0.2</v>
      </c>
      <c r="AP245" s="18">
        <v>0</v>
      </c>
      <c r="AQ245" s="18">
        <v>0</v>
      </c>
      <c r="AR245" s="29">
        <v>0</v>
      </c>
      <c r="AS245" s="29">
        <v>0</v>
      </c>
      <c r="AT245" s="29">
        <v>5</v>
      </c>
      <c r="AU245" s="24" t="str">
        <f t="shared" si="4"/>
        <v>库存为5</v>
      </c>
      <c r="AV245" s="31" t="str">
        <f>IFERROR(时间!$B$4+AU245,"上周无销量")</f>
        <v>上周无销量</v>
      </c>
    </row>
    <row r="246" spans="1:48">
      <c r="A246" s="16" t="s">
        <v>528</v>
      </c>
      <c r="B246" t="s">
        <v>529</v>
      </c>
      <c r="C246" t="s">
        <v>512</v>
      </c>
      <c r="D246" s="24">
        <v>0</v>
      </c>
      <c r="E246" s="24">
        <v>0</v>
      </c>
      <c r="F246" s="24">
        <v>1</v>
      </c>
      <c r="G246" s="24">
        <v>1</v>
      </c>
      <c r="H246" s="25">
        <v>27.98</v>
      </c>
      <c r="I246">
        <v>4</v>
      </c>
      <c r="J246" s="26">
        <v>0</v>
      </c>
      <c r="K246" s="26">
        <v>0</v>
      </c>
      <c r="L246" s="26">
        <v>0</v>
      </c>
      <c r="M246">
        <v>4</v>
      </c>
      <c r="N246">
        <v>0</v>
      </c>
      <c r="O246">
        <v>4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13</v>
      </c>
      <c r="AK246">
        <v>5</v>
      </c>
      <c r="AL246">
        <v>4</v>
      </c>
      <c r="AM246">
        <v>4</v>
      </c>
      <c r="AN246" s="18">
        <v>0</v>
      </c>
      <c r="AO246" s="18">
        <v>0</v>
      </c>
      <c r="AP246" s="18">
        <v>0.25</v>
      </c>
      <c r="AQ246" s="18">
        <v>0.25</v>
      </c>
      <c r="AR246" s="29">
        <v>0</v>
      </c>
      <c r="AS246" s="29">
        <v>0</v>
      </c>
      <c r="AT246" s="29">
        <v>4</v>
      </c>
      <c r="AU246" s="24" t="str">
        <f t="shared" si="4"/>
        <v>库存为4</v>
      </c>
      <c r="AV246" s="31" t="str">
        <f>IFERROR(时间!$B$4+AU246,"上周无销量")</f>
        <v>上周无销量</v>
      </c>
    </row>
    <row r="247" spans="1:48">
      <c r="A247" s="16" t="s">
        <v>530</v>
      </c>
      <c r="B247" t="s">
        <v>531</v>
      </c>
      <c r="C247" t="s">
        <v>512</v>
      </c>
      <c r="D247" s="24">
        <v>2</v>
      </c>
      <c r="E247" s="24">
        <v>0</v>
      </c>
      <c r="F247" s="24">
        <v>0</v>
      </c>
      <c r="G247" s="24">
        <v>0</v>
      </c>
      <c r="H247" s="25">
        <v>27.98</v>
      </c>
      <c r="I247">
        <v>7</v>
      </c>
      <c r="J247" s="26">
        <v>0</v>
      </c>
      <c r="K247" s="26">
        <v>0</v>
      </c>
      <c r="L247" s="26">
        <v>0</v>
      </c>
      <c r="M247">
        <v>7</v>
      </c>
      <c r="N247">
        <v>0</v>
      </c>
      <c r="O247">
        <v>6</v>
      </c>
      <c r="P247">
        <v>38718</v>
      </c>
      <c r="Q247">
        <v>5098</v>
      </c>
      <c r="R247">
        <v>0</v>
      </c>
      <c r="S247">
        <v>0</v>
      </c>
      <c r="T247">
        <v>82</v>
      </c>
      <c r="U247">
        <v>18</v>
      </c>
      <c r="V247">
        <v>0</v>
      </c>
      <c r="W247">
        <v>0</v>
      </c>
      <c r="X247" s="18">
        <v>0.00211787798956558</v>
      </c>
      <c r="Y247" s="18">
        <v>0.00353079639074147</v>
      </c>
      <c r="Z247" s="18" t="s">
        <v>52</v>
      </c>
      <c r="AA247" s="18" t="s">
        <v>52</v>
      </c>
      <c r="AB247">
        <v>39.05</v>
      </c>
      <c r="AC247">
        <v>8.17</v>
      </c>
      <c r="AD247">
        <v>0</v>
      </c>
      <c r="AE247">
        <v>0</v>
      </c>
      <c r="AF247" s="18">
        <v>0.697819871336669</v>
      </c>
      <c r="AG247" s="18" t="s">
        <v>532</v>
      </c>
      <c r="AH247" s="18" t="s">
        <v>52</v>
      </c>
      <c r="AI247" s="18" t="s">
        <v>52</v>
      </c>
      <c r="AJ247">
        <v>59</v>
      </c>
      <c r="AK247">
        <v>43</v>
      </c>
      <c r="AL247">
        <v>16</v>
      </c>
      <c r="AM247">
        <v>4</v>
      </c>
      <c r="AN247" s="18">
        <v>0.0338983050847458</v>
      </c>
      <c r="AO247" s="18">
        <v>0</v>
      </c>
      <c r="AP247" s="18">
        <v>0</v>
      </c>
      <c r="AQ247" s="18">
        <v>0</v>
      </c>
      <c r="AR247" s="29">
        <v>0.285714285714286</v>
      </c>
      <c r="AS247" s="29">
        <v>17.1428571428571</v>
      </c>
      <c r="AT247" s="29">
        <v>-10.1428571428571</v>
      </c>
      <c r="AU247" s="24">
        <f t="shared" si="4"/>
        <v>24</v>
      </c>
      <c r="AV247" s="31">
        <f>IFERROR(时间!$B$4+AU247,"上周无销量")</f>
        <v>43342</v>
      </c>
    </row>
    <row r="248" spans="1:48">
      <c r="A248" s="16" t="s">
        <v>533</v>
      </c>
      <c r="B248" t="s">
        <v>534</v>
      </c>
      <c r="C248" t="s">
        <v>512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8</v>
      </c>
      <c r="J248" s="26">
        <v>0</v>
      </c>
      <c r="K248" s="26">
        <v>0</v>
      </c>
      <c r="L248" s="26">
        <v>0</v>
      </c>
      <c r="M248">
        <v>8</v>
      </c>
      <c r="N248">
        <v>0</v>
      </c>
      <c r="O248">
        <v>5</v>
      </c>
      <c r="P248">
        <v>6235</v>
      </c>
      <c r="Q248">
        <v>12</v>
      </c>
      <c r="R248">
        <v>0</v>
      </c>
      <c r="S248">
        <v>0</v>
      </c>
      <c r="T248">
        <v>13</v>
      </c>
      <c r="U248">
        <v>0</v>
      </c>
      <c r="V248">
        <v>0</v>
      </c>
      <c r="W248">
        <v>0</v>
      </c>
      <c r="X248" s="18">
        <v>0.0020850040096231</v>
      </c>
      <c r="Y248" s="18">
        <v>0</v>
      </c>
      <c r="Z248" s="18" t="s">
        <v>52</v>
      </c>
      <c r="AA248" s="18" t="s">
        <v>52</v>
      </c>
      <c r="AB248">
        <v>7.83</v>
      </c>
      <c r="AC248">
        <v>0</v>
      </c>
      <c r="AD248">
        <v>0</v>
      </c>
      <c r="AE248">
        <v>0</v>
      </c>
      <c r="AF248" s="18" t="s">
        <v>535</v>
      </c>
      <c r="AG248" s="18" t="s">
        <v>52</v>
      </c>
      <c r="AH248" s="18" t="s">
        <v>52</v>
      </c>
      <c r="AI248" s="18" t="s">
        <v>52</v>
      </c>
      <c r="AJ248">
        <v>16</v>
      </c>
      <c r="AK248">
        <v>8</v>
      </c>
      <c r="AL248">
        <v>5</v>
      </c>
      <c r="AM248">
        <v>1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8</v>
      </c>
      <c r="AU248" s="24" t="str">
        <f t="shared" si="4"/>
        <v>库存为8</v>
      </c>
      <c r="AV248" s="31" t="str">
        <f>IFERROR(时间!$B$4+AU248,"上周无销量")</f>
        <v>上周无销量</v>
      </c>
    </row>
    <row r="249" spans="1:48">
      <c r="A249" s="16" t="s">
        <v>536</v>
      </c>
      <c r="B249" t="s">
        <v>537</v>
      </c>
      <c r="C249" t="s">
        <v>512</v>
      </c>
      <c r="D249" s="24">
        <v>0</v>
      </c>
      <c r="E249" s="24">
        <v>0</v>
      </c>
      <c r="F249" s="24">
        <v>0</v>
      </c>
      <c r="G249" s="24">
        <v>0</v>
      </c>
      <c r="H249" s="25">
        <v>0</v>
      </c>
      <c r="I249">
        <v>10</v>
      </c>
      <c r="J249" s="26">
        <v>0</v>
      </c>
      <c r="K249" s="26">
        <v>0</v>
      </c>
      <c r="L249" s="26">
        <v>0</v>
      </c>
      <c r="M249">
        <v>10</v>
      </c>
      <c r="N249">
        <v>0</v>
      </c>
      <c r="O249">
        <v>4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4</v>
      </c>
      <c r="AK249">
        <v>6</v>
      </c>
      <c r="AL249">
        <v>3</v>
      </c>
      <c r="AM249">
        <v>4</v>
      </c>
      <c r="AN249" s="18">
        <v>0</v>
      </c>
      <c r="AO249" s="18">
        <v>0</v>
      </c>
      <c r="AP249" s="18">
        <v>0</v>
      </c>
      <c r="AQ249" s="18">
        <v>0</v>
      </c>
      <c r="AR249" s="29">
        <v>0</v>
      </c>
      <c r="AS249" s="29">
        <v>0</v>
      </c>
      <c r="AT249" s="29">
        <v>10</v>
      </c>
      <c r="AU249" s="24" t="str">
        <f t="shared" si="4"/>
        <v>库存为10</v>
      </c>
      <c r="AV249" s="31" t="str">
        <f>IFERROR(时间!$B$4+AU249,"上周无销量")</f>
        <v>上周无销量</v>
      </c>
    </row>
    <row r="250" spans="1:48">
      <c r="A250" s="16" t="s">
        <v>538</v>
      </c>
      <c r="B250" t="s">
        <v>539</v>
      </c>
      <c r="C250" t="s">
        <v>512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10</v>
      </c>
      <c r="J250" s="26">
        <v>0</v>
      </c>
      <c r="K250" s="26">
        <v>0</v>
      </c>
      <c r="L250" s="26">
        <v>0</v>
      </c>
      <c r="M250">
        <v>10</v>
      </c>
      <c r="N250">
        <v>0</v>
      </c>
      <c r="O250">
        <v>5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3</v>
      </c>
      <c r="AK250">
        <v>5</v>
      </c>
      <c r="AL250">
        <v>7</v>
      </c>
      <c r="AM250">
        <v>3</v>
      </c>
      <c r="AN250" s="18">
        <v>0</v>
      </c>
      <c r="AO250" s="18">
        <v>0</v>
      </c>
      <c r="AP250" s="18">
        <v>0</v>
      </c>
      <c r="AQ250" s="18">
        <v>0</v>
      </c>
      <c r="AR250" s="29">
        <v>0</v>
      </c>
      <c r="AS250" s="29">
        <v>0</v>
      </c>
      <c r="AT250" s="29">
        <v>10</v>
      </c>
      <c r="AU250" s="24" t="str">
        <f t="shared" si="4"/>
        <v>库存为10</v>
      </c>
      <c r="AV250" s="31" t="str">
        <f>IFERROR(时间!$B$4+AU250,"上周无销量")</f>
        <v>上周无销量</v>
      </c>
    </row>
    <row r="251" spans="1:48">
      <c r="A251" s="16" t="s">
        <v>540</v>
      </c>
      <c r="B251" t="s">
        <v>541</v>
      </c>
      <c r="C251" t="s">
        <v>512</v>
      </c>
      <c r="D251" s="24">
        <v>0</v>
      </c>
      <c r="E251" s="24">
        <v>0</v>
      </c>
      <c r="F251" s="24">
        <v>0</v>
      </c>
      <c r="G251" s="24">
        <v>0</v>
      </c>
      <c r="H251" s="25">
        <v>0</v>
      </c>
      <c r="I251">
        <v>10</v>
      </c>
      <c r="J251" s="26">
        <v>0</v>
      </c>
      <c r="K251" s="26">
        <v>0</v>
      </c>
      <c r="L251" s="26">
        <v>0</v>
      </c>
      <c r="M251">
        <v>10</v>
      </c>
      <c r="N251">
        <v>0</v>
      </c>
      <c r="O251">
        <v>2</v>
      </c>
      <c r="P251">
        <v>0</v>
      </c>
      <c r="Q251">
        <v>27</v>
      </c>
      <c r="R251">
        <v>91</v>
      </c>
      <c r="S251">
        <v>130</v>
      </c>
      <c r="T251">
        <v>0</v>
      </c>
      <c r="U251">
        <v>0</v>
      </c>
      <c r="V251">
        <v>0</v>
      </c>
      <c r="W251">
        <v>0</v>
      </c>
      <c r="X251" s="18" t="s">
        <v>52</v>
      </c>
      <c r="Y251" s="18">
        <v>0</v>
      </c>
      <c r="Z251" s="18">
        <v>0</v>
      </c>
      <c r="AA251" s="18">
        <v>0</v>
      </c>
      <c r="AB251">
        <v>0</v>
      </c>
      <c r="AC251">
        <v>0</v>
      </c>
      <c r="AD251">
        <v>0</v>
      </c>
      <c r="AE251">
        <v>0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4</v>
      </c>
      <c r="AK251">
        <v>7</v>
      </c>
      <c r="AL251">
        <v>2</v>
      </c>
      <c r="AM251">
        <v>2</v>
      </c>
      <c r="AN251" s="18">
        <v>0</v>
      </c>
      <c r="AO251" s="18">
        <v>0</v>
      </c>
      <c r="AP251" s="18">
        <v>0</v>
      </c>
      <c r="AQ251" s="18">
        <v>0</v>
      </c>
      <c r="AR251" s="29">
        <v>0</v>
      </c>
      <c r="AS251" s="29">
        <v>0</v>
      </c>
      <c r="AT251" s="29">
        <v>10</v>
      </c>
      <c r="AU251" s="24" t="str">
        <f t="shared" si="4"/>
        <v>库存为10</v>
      </c>
      <c r="AV251" s="31" t="str">
        <f>IFERROR(时间!$B$4+AU251,"上周无销量")</f>
        <v>上周无销量</v>
      </c>
    </row>
    <row r="252" spans="1:48">
      <c r="A252" s="16" t="s">
        <v>542</v>
      </c>
      <c r="B252" t="s">
        <v>543</v>
      </c>
      <c r="C252" t="s">
        <v>512</v>
      </c>
      <c r="D252" s="24">
        <v>0</v>
      </c>
      <c r="E252" s="24">
        <v>0</v>
      </c>
      <c r="F252" s="24">
        <v>0</v>
      </c>
      <c r="G252" s="24">
        <v>0</v>
      </c>
      <c r="H252" s="25">
        <v>0</v>
      </c>
      <c r="I252">
        <v>10</v>
      </c>
      <c r="J252" s="26">
        <v>0</v>
      </c>
      <c r="K252" s="26">
        <v>0</v>
      </c>
      <c r="L252" s="26">
        <v>0</v>
      </c>
      <c r="M252">
        <v>10</v>
      </c>
      <c r="N252">
        <v>0</v>
      </c>
      <c r="O252">
        <v>4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3</v>
      </c>
      <c r="AK252">
        <v>7</v>
      </c>
      <c r="AL252">
        <v>2</v>
      </c>
      <c r="AM252">
        <v>3</v>
      </c>
      <c r="AN252" s="18">
        <v>0</v>
      </c>
      <c r="AO252" s="18">
        <v>0</v>
      </c>
      <c r="AP252" s="18">
        <v>0</v>
      </c>
      <c r="AQ252" s="18">
        <v>0</v>
      </c>
      <c r="AR252" s="29">
        <v>0</v>
      </c>
      <c r="AS252" s="29">
        <v>0</v>
      </c>
      <c r="AT252" s="29">
        <v>10</v>
      </c>
      <c r="AU252" s="24" t="str">
        <f t="shared" si="4"/>
        <v>库存为10</v>
      </c>
      <c r="AV252" s="31" t="str">
        <f>IFERROR(时间!$B$4+AU252,"上周无销量")</f>
        <v>上周无销量</v>
      </c>
    </row>
    <row r="253" spans="1:48">
      <c r="A253" s="16" t="s">
        <v>544</v>
      </c>
      <c r="B253" t="s">
        <v>545</v>
      </c>
      <c r="C253" t="s">
        <v>512</v>
      </c>
      <c r="D253" s="24">
        <v>0</v>
      </c>
      <c r="E253" s="24">
        <v>0</v>
      </c>
      <c r="F253" s="24">
        <v>0</v>
      </c>
      <c r="G253" s="24">
        <v>0</v>
      </c>
      <c r="H253" s="25">
        <v>0</v>
      </c>
      <c r="I253">
        <v>10</v>
      </c>
      <c r="J253" s="26">
        <v>0</v>
      </c>
      <c r="K253" s="26">
        <v>0</v>
      </c>
      <c r="L253" s="26">
        <v>0</v>
      </c>
      <c r="M253">
        <v>10</v>
      </c>
      <c r="N253">
        <v>0</v>
      </c>
      <c r="O253">
        <v>6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3</v>
      </c>
      <c r="AK253">
        <v>2</v>
      </c>
      <c r="AL253">
        <v>4</v>
      </c>
      <c r="AM253">
        <v>3</v>
      </c>
      <c r="AN253" s="18">
        <v>0</v>
      </c>
      <c r="AO253" s="18">
        <v>0</v>
      </c>
      <c r="AP253" s="18">
        <v>0</v>
      </c>
      <c r="AQ253" s="18">
        <v>0</v>
      </c>
      <c r="AR253" s="29">
        <v>0</v>
      </c>
      <c r="AS253" s="29">
        <v>0</v>
      </c>
      <c r="AT253" s="29">
        <v>10</v>
      </c>
      <c r="AU253" s="24" t="str">
        <f t="shared" si="4"/>
        <v>库存为10</v>
      </c>
      <c r="AV253" s="31" t="str">
        <f>IFERROR(时间!$B$4+AU253,"上周无销量")</f>
        <v>上周无销量</v>
      </c>
    </row>
    <row r="254" spans="1:48">
      <c r="A254" s="16" t="s">
        <v>546</v>
      </c>
      <c r="B254" t="s">
        <v>547</v>
      </c>
      <c r="C254" t="s">
        <v>512</v>
      </c>
      <c r="D254" s="24">
        <v>1</v>
      </c>
      <c r="E254" s="24">
        <v>0</v>
      </c>
      <c r="F254" s="24">
        <v>0</v>
      </c>
      <c r="G254" s="24">
        <v>0</v>
      </c>
      <c r="H254" s="25">
        <v>27.98</v>
      </c>
      <c r="I254">
        <v>3</v>
      </c>
      <c r="J254" s="26">
        <v>0</v>
      </c>
      <c r="K254" s="26">
        <v>0</v>
      </c>
      <c r="L254" s="26">
        <v>0</v>
      </c>
      <c r="M254">
        <v>3</v>
      </c>
      <c r="N254">
        <v>0</v>
      </c>
      <c r="O254">
        <v>3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5</v>
      </c>
      <c r="AK254">
        <v>6</v>
      </c>
      <c r="AL254">
        <v>3</v>
      </c>
      <c r="AM254">
        <v>3</v>
      </c>
      <c r="AN254" s="18">
        <v>0.2</v>
      </c>
      <c r="AO254" s="18">
        <v>0</v>
      </c>
      <c r="AP254" s="18">
        <v>0</v>
      </c>
      <c r="AQ254" s="18">
        <v>0</v>
      </c>
      <c r="AR254" s="29">
        <v>0.142857142857143</v>
      </c>
      <c r="AS254" s="29">
        <v>8.57142857142857</v>
      </c>
      <c r="AT254" s="29">
        <v>-5.57142857142857</v>
      </c>
      <c r="AU254" s="24">
        <f t="shared" si="4"/>
        <v>21</v>
      </c>
      <c r="AV254" s="31">
        <f>IFERROR(时间!$B$4+AU254,"上周无销量")</f>
        <v>43339</v>
      </c>
    </row>
    <row r="255" spans="1:48">
      <c r="A255" s="16" t="s">
        <v>548</v>
      </c>
      <c r="B255" t="s">
        <v>549</v>
      </c>
      <c r="C255" t="s">
        <v>512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10</v>
      </c>
      <c r="J255" s="26">
        <v>0</v>
      </c>
      <c r="K255" s="26">
        <v>0</v>
      </c>
      <c r="L255" s="26">
        <v>0</v>
      </c>
      <c r="M255">
        <v>10</v>
      </c>
      <c r="N255">
        <v>0</v>
      </c>
      <c r="O255">
        <v>4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2</v>
      </c>
      <c r="AK255">
        <v>5</v>
      </c>
      <c r="AL255">
        <v>4</v>
      </c>
      <c r="AM255">
        <v>4</v>
      </c>
      <c r="AN255" s="18">
        <v>0</v>
      </c>
      <c r="AO255" s="18">
        <v>0</v>
      </c>
      <c r="AP255" s="18">
        <v>0</v>
      </c>
      <c r="AQ255" s="18">
        <v>0</v>
      </c>
      <c r="AR255" s="29">
        <v>0</v>
      </c>
      <c r="AS255" s="29">
        <v>0</v>
      </c>
      <c r="AT255" s="29">
        <v>10</v>
      </c>
      <c r="AU255" s="24" t="str">
        <f t="shared" si="4"/>
        <v>库存为10</v>
      </c>
      <c r="AV255" s="31" t="str">
        <f>IFERROR(时间!$B$4+AU255,"上周无销量")</f>
        <v>上周无销量</v>
      </c>
    </row>
    <row r="256" spans="1:48">
      <c r="A256" s="16" t="s">
        <v>550</v>
      </c>
      <c r="B256" t="s">
        <v>551</v>
      </c>
      <c r="C256" t="s">
        <v>512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10</v>
      </c>
      <c r="J256" s="26">
        <v>0</v>
      </c>
      <c r="K256" s="26">
        <v>0</v>
      </c>
      <c r="L256" s="26">
        <v>0</v>
      </c>
      <c r="M256">
        <v>10</v>
      </c>
      <c r="N256">
        <v>0</v>
      </c>
      <c r="O256">
        <v>4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6</v>
      </c>
      <c r="AK256">
        <v>3</v>
      </c>
      <c r="AL256">
        <v>3</v>
      </c>
      <c r="AM256">
        <v>6</v>
      </c>
      <c r="AN256" s="18">
        <v>0</v>
      </c>
      <c r="AO256" s="18">
        <v>0</v>
      </c>
      <c r="AP256" s="18">
        <v>0</v>
      </c>
      <c r="AQ256" s="18">
        <v>0</v>
      </c>
      <c r="AR256" s="29">
        <v>0</v>
      </c>
      <c r="AS256" s="29">
        <v>0</v>
      </c>
      <c r="AT256" s="29">
        <v>10</v>
      </c>
      <c r="AU256" s="24" t="str">
        <f t="shared" si="4"/>
        <v>库存为10</v>
      </c>
      <c r="AV256" s="31" t="str">
        <f>IFERROR(时间!$B$4+AU256,"上周无销量")</f>
        <v>上周无销量</v>
      </c>
    </row>
    <row r="257" spans="1:48">
      <c r="A257" s="16" t="s">
        <v>552</v>
      </c>
      <c r="B257" t="s">
        <v>553</v>
      </c>
      <c r="C257" t="s">
        <v>512</v>
      </c>
      <c r="D257" s="24">
        <v>0</v>
      </c>
      <c r="E257" s="24">
        <v>0</v>
      </c>
      <c r="F257" s="24">
        <v>1</v>
      </c>
      <c r="G257" s="24">
        <v>0</v>
      </c>
      <c r="H257" s="25">
        <v>27.98</v>
      </c>
      <c r="I257">
        <v>10</v>
      </c>
      <c r="J257" s="26">
        <v>0</v>
      </c>
      <c r="K257" s="26">
        <v>0</v>
      </c>
      <c r="L257" s="26">
        <v>0</v>
      </c>
      <c r="M257">
        <v>10</v>
      </c>
      <c r="N257">
        <v>0</v>
      </c>
      <c r="O257">
        <v>5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10</v>
      </c>
      <c r="AK257">
        <v>9</v>
      </c>
      <c r="AL257">
        <v>7</v>
      </c>
      <c r="AM257">
        <v>3</v>
      </c>
      <c r="AN257" s="18">
        <v>0</v>
      </c>
      <c r="AO257" s="18">
        <v>0</v>
      </c>
      <c r="AP257" s="18">
        <v>0.142857142857143</v>
      </c>
      <c r="AQ257" s="18">
        <v>0</v>
      </c>
      <c r="AR257" s="29">
        <v>0</v>
      </c>
      <c r="AS257" s="29">
        <v>0</v>
      </c>
      <c r="AT257" s="29">
        <v>10</v>
      </c>
      <c r="AU257" s="24" t="str">
        <f t="shared" si="4"/>
        <v>库存为10</v>
      </c>
      <c r="AV257" s="31" t="str">
        <f>IFERROR(时间!$B$4+AU257,"上周无销量")</f>
        <v>上周无销量</v>
      </c>
    </row>
    <row r="258" spans="1:48">
      <c r="A258" s="16" t="s">
        <v>554</v>
      </c>
      <c r="B258" t="s">
        <v>555</v>
      </c>
      <c r="C258" t="s">
        <v>512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7</v>
      </c>
      <c r="J258" s="26">
        <v>0</v>
      </c>
      <c r="K258" s="26">
        <v>0</v>
      </c>
      <c r="L258" s="26">
        <v>0</v>
      </c>
      <c r="M258">
        <v>7</v>
      </c>
      <c r="N258">
        <v>0</v>
      </c>
      <c r="O258">
        <v>7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0</v>
      </c>
      <c r="AK258">
        <v>4</v>
      </c>
      <c r="AL258">
        <v>5</v>
      </c>
      <c r="AM258">
        <v>2</v>
      </c>
      <c r="AN258" s="18" t="s">
        <v>52</v>
      </c>
      <c r="AO258" s="18">
        <v>0</v>
      </c>
      <c r="AP258" s="18">
        <v>0</v>
      </c>
      <c r="AQ258" s="18">
        <v>0</v>
      </c>
      <c r="AR258" s="29">
        <v>0</v>
      </c>
      <c r="AS258" s="29">
        <v>0</v>
      </c>
      <c r="AT258" s="29">
        <v>7</v>
      </c>
      <c r="AU258" s="24" t="str">
        <f t="shared" si="4"/>
        <v>库存为7</v>
      </c>
      <c r="AV258" s="31" t="str">
        <f>IFERROR(时间!$B$4+AU258,"上周无销量")</f>
        <v>上周无销量</v>
      </c>
    </row>
    <row r="259" spans="1:48">
      <c r="A259" s="16" t="s">
        <v>556</v>
      </c>
      <c r="B259" t="s">
        <v>557</v>
      </c>
      <c r="C259" t="s">
        <v>512</v>
      </c>
      <c r="D259" s="24">
        <v>2</v>
      </c>
      <c r="E259" s="24">
        <v>2</v>
      </c>
      <c r="F259" s="24">
        <v>1</v>
      </c>
      <c r="G259" s="24">
        <v>2</v>
      </c>
      <c r="H259" s="25">
        <v>27.1228571428571</v>
      </c>
      <c r="I259">
        <v>2</v>
      </c>
      <c r="J259" s="26">
        <v>0</v>
      </c>
      <c r="K259" s="26">
        <v>0</v>
      </c>
      <c r="L259" s="26">
        <v>0</v>
      </c>
      <c r="M259">
        <v>2</v>
      </c>
      <c r="N259">
        <v>0</v>
      </c>
      <c r="O259">
        <v>0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5</v>
      </c>
      <c r="AK259">
        <v>8</v>
      </c>
      <c r="AL259">
        <v>4</v>
      </c>
      <c r="AM259">
        <v>5</v>
      </c>
      <c r="AN259" s="18">
        <v>0.4</v>
      </c>
      <c r="AO259" s="18">
        <v>0.25</v>
      </c>
      <c r="AP259" s="18">
        <v>0.25</v>
      </c>
      <c r="AQ259" s="18">
        <v>0.4</v>
      </c>
      <c r="AR259" s="29">
        <v>0.285714285714286</v>
      </c>
      <c r="AS259" s="29">
        <v>17.1428571428571</v>
      </c>
      <c r="AT259" s="29">
        <v>-15.1428571428571</v>
      </c>
      <c r="AU259" s="24">
        <f t="shared" si="4"/>
        <v>7</v>
      </c>
      <c r="AV259" s="31">
        <f>IFERROR(时间!$B$4+AU259,"上周无销量")</f>
        <v>43325</v>
      </c>
    </row>
    <row r="260" spans="1:48">
      <c r="A260" s="16" t="s">
        <v>558</v>
      </c>
      <c r="B260" t="s">
        <v>559</v>
      </c>
      <c r="C260" t="s">
        <v>512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10</v>
      </c>
      <c r="J260" s="26">
        <v>0</v>
      </c>
      <c r="K260" s="26">
        <v>0</v>
      </c>
      <c r="L260" s="26">
        <v>0</v>
      </c>
      <c r="M260">
        <v>10</v>
      </c>
      <c r="N260">
        <v>0</v>
      </c>
      <c r="O260">
        <v>1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8</v>
      </c>
      <c r="AK260">
        <v>4</v>
      </c>
      <c r="AL260">
        <v>4</v>
      </c>
      <c r="AM260">
        <v>4</v>
      </c>
      <c r="AN260" s="18">
        <v>0</v>
      </c>
      <c r="AO260" s="18">
        <v>0</v>
      </c>
      <c r="AP260" s="18">
        <v>0</v>
      </c>
      <c r="AQ260" s="18">
        <v>0</v>
      </c>
      <c r="AR260" s="29">
        <v>0</v>
      </c>
      <c r="AS260" s="29">
        <v>0</v>
      </c>
      <c r="AT260" s="29">
        <v>10</v>
      </c>
      <c r="AU260" s="24" t="str">
        <f t="shared" si="4"/>
        <v>库存为10</v>
      </c>
      <c r="AV260" s="31" t="str">
        <f>IFERROR(时间!$B$4+AU260,"上周无销量")</f>
        <v>上周无销量</v>
      </c>
    </row>
    <row r="261" spans="1:48">
      <c r="A261" s="16" t="s">
        <v>560</v>
      </c>
      <c r="B261" t="s">
        <v>561</v>
      </c>
      <c r="C261" t="s">
        <v>512</v>
      </c>
      <c r="D261" s="24">
        <v>0</v>
      </c>
      <c r="E261" s="24">
        <v>0</v>
      </c>
      <c r="F261" s="24">
        <v>0</v>
      </c>
      <c r="G261" s="24">
        <v>1</v>
      </c>
      <c r="H261" s="25">
        <v>27.98</v>
      </c>
      <c r="I261">
        <v>9</v>
      </c>
      <c r="J261" s="26">
        <v>0</v>
      </c>
      <c r="K261" s="26">
        <v>0</v>
      </c>
      <c r="L261" s="26">
        <v>0</v>
      </c>
      <c r="M261">
        <v>9</v>
      </c>
      <c r="N261">
        <v>0</v>
      </c>
      <c r="O261">
        <v>0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15</v>
      </c>
      <c r="AK261">
        <v>11</v>
      </c>
      <c r="AL261">
        <v>7</v>
      </c>
      <c r="AM261">
        <v>17</v>
      </c>
      <c r="AN261" s="18">
        <v>0</v>
      </c>
      <c r="AO261" s="18">
        <v>0</v>
      </c>
      <c r="AP261" s="18">
        <v>0</v>
      </c>
      <c r="AQ261" s="18">
        <v>0.0588235294117647</v>
      </c>
      <c r="AR261" s="29">
        <v>0</v>
      </c>
      <c r="AS261" s="29">
        <v>0</v>
      </c>
      <c r="AT261" s="29">
        <v>9</v>
      </c>
      <c r="AU261" s="24" t="str">
        <f t="shared" si="4"/>
        <v>库存为9</v>
      </c>
      <c r="AV261" s="31" t="str">
        <f>IFERROR(时间!$B$4+AU261,"上周无销量")</f>
        <v>上周无销量</v>
      </c>
    </row>
    <row r="262" spans="1:48">
      <c r="A262" s="16" t="s">
        <v>562</v>
      </c>
      <c r="B262" t="s">
        <v>563</v>
      </c>
      <c r="C262" t="s">
        <v>512</v>
      </c>
      <c r="D262" s="24">
        <v>0</v>
      </c>
      <c r="E262" s="24">
        <v>1</v>
      </c>
      <c r="F262" s="24">
        <v>1</v>
      </c>
      <c r="G262" s="24">
        <v>0</v>
      </c>
      <c r="H262" s="25">
        <v>27.98</v>
      </c>
      <c r="I262">
        <v>6</v>
      </c>
      <c r="J262" s="26">
        <v>0</v>
      </c>
      <c r="K262" s="26">
        <v>0</v>
      </c>
      <c r="L262" s="26">
        <v>0</v>
      </c>
      <c r="M262">
        <v>6</v>
      </c>
      <c r="N262">
        <v>0</v>
      </c>
      <c r="O262">
        <v>0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10</v>
      </c>
      <c r="AK262">
        <v>8</v>
      </c>
      <c r="AL262">
        <v>10</v>
      </c>
      <c r="AM262">
        <v>5</v>
      </c>
      <c r="AN262" s="18">
        <v>0</v>
      </c>
      <c r="AO262" s="18">
        <v>0.125</v>
      </c>
      <c r="AP262" s="18">
        <v>0.1</v>
      </c>
      <c r="AQ262" s="18">
        <v>0</v>
      </c>
      <c r="AR262" s="29">
        <v>0</v>
      </c>
      <c r="AS262" s="29">
        <v>0</v>
      </c>
      <c r="AT262" s="29">
        <v>6</v>
      </c>
      <c r="AU262" s="24" t="str">
        <f t="shared" ref="AU262:AU325" si="5">IF(AR262="","库存为"&amp;M262,IF(AS262=0,"库存为"&amp;M262,INT(M262/AR262)))</f>
        <v>库存为6</v>
      </c>
      <c r="AV262" s="31" t="str">
        <f>IFERROR(时间!$B$4+AU262,"上周无销量")</f>
        <v>上周无销量</v>
      </c>
    </row>
    <row r="263" spans="1:48">
      <c r="A263" s="16" t="s">
        <v>564</v>
      </c>
      <c r="B263" t="s">
        <v>565</v>
      </c>
      <c r="C263" t="s">
        <v>512</v>
      </c>
      <c r="D263" s="24">
        <v>0</v>
      </c>
      <c r="E263" s="24">
        <v>0</v>
      </c>
      <c r="F263" s="24">
        <v>0</v>
      </c>
      <c r="G263" s="24">
        <v>0</v>
      </c>
      <c r="H263" s="25">
        <v>0</v>
      </c>
      <c r="I263">
        <v>10</v>
      </c>
      <c r="J263" s="26">
        <v>0</v>
      </c>
      <c r="K263" s="26">
        <v>0</v>
      </c>
      <c r="L263" s="26">
        <v>0</v>
      </c>
      <c r="M263">
        <v>10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4</v>
      </c>
      <c r="AK263">
        <v>2</v>
      </c>
      <c r="AL263">
        <v>0</v>
      </c>
      <c r="AM263">
        <v>4</v>
      </c>
      <c r="AN263" s="18">
        <v>0</v>
      </c>
      <c r="AO263" s="18">
        <v>0</v>
      </c>
      <c r="AP263" s="18" t="s">
        <v>52</v>
      </c>
      <c r="AQ263" s="18">
        <v>0</v>
      </c>
      <c r="AR263" s="29">
        <v>0</v>
      </c>
      <c r="AS263" s="29">
        <v>0</v>
      </c>
      <c r="AT263" s="29">
        <v>10</v>
      </c>
      <c r="AU263" s="24" t="str">
        <f t="shared" si="5"/>
        <v>库存为10</v>
      </c>
      <c r="AV263" s="31" t="str">
        <f>IFERROR(时间!$B$4+AU263,"上周无销量")</f>
        <v>上周无销量</v>
      </c>
    </row>
    <row r="264" spans="1:48">
      <c r="A264" s="16" t="s">
        <v>566</v>
      </c>
      <c r="B264" t="s">
        <v>567</v>
      </c>
      <c r="C264" t="s">
        <v>512</v>
      </c>
      <c r="D264" s="24">
        <v>0</v>
      </c>
      <c r="E264" s="24">
        <v>0</v>
      </c>
      <c r="F264" s="24">
        <v>0</v>
      </c>
      <c r="G264" s="24">
        <v>0</v>
      </c>
      <c r="H264" s="25">
        <v>0</v>
      </c>
      <c r="I264">
        <v>3</v>
      </c>
      <c r="J264" s="26">
        <v>0</v>
      </c>
      <c r="K264" s="26">
        <v>0</v>
      </c>
      <c r="L264" s="26">
        <v>0</v>
      </c>
      <c r="M264">
        <v>3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3</v>
      </c>
      <c r="AK264">
        <v>6</v>
      </c>
      <c r="AL264">
        <v>3</v>
      </c>
      <c r="AM264">
        <v>3</v>
      </c>
      <c r="AN264" s="18">
        <v>0</v>
      </c>
      <c r="AO264" s="18">
        <v>0</v>
      </c>
      <c r="AP264" s="18">
        <v>0</v>
      </c>
      <c r="AQ264" s="18">
        <v>0</v>
      </c>
      <c r="AR264" s="29">
        <v>0</v>
      </c>
      <c r="AS264" s="29">
        <v>0</v>
      </c>
      <c r="AT264" s="29">
        <v>3</v>
      </c>
      <c r="AU264" s="24" t="str">
        <f t="shared" si="5"/>
        <v>库存为3</v>
      </c>
      <c r="AV264" s="31" t="str">
        <f>IFERROR(时间!$B$4+AU264,"上周无销量")</f>
        <v>上周无销量</v>
      </c>
    </row>
    <row r="265" spans="1:48">
      <c r="A265" s="16" t="s">
        <v>568</v>
      </c>
      <c r="B265" t="s">
        <v>569</v>
      </c>
      <c r="C265" t="s">
        <v>512</v>
      </c>
      <c r="D265" s="24">
        <v>4</v>
      </c>
      <c r="E265" s="24">
        <v>1</v>
      </c>
      <c r="F265" s="24">
        <v>1</v>
      </c>
      <c r="G265" s="24">
        <v>0</v>
      </c>
      <c r="H265" s="25">
        <v>27.98</v>
      </c>
      <c r="I265">
        <v>0</v>
      </c>
      <c r="J265" s="26">
        <v>0</v>
      </c>
      <c r="K265" s="26">
        <v>0</v>
      </c>
      <c r="L265" s="26">
        <v>0</v>
      </c>
      <c r="M265">
        <v>0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10</v>
      </c>
      <c r="AK265">
        <v>17</v>
      </c>
      <c r="AL265">
        <v>7</v>
      </c>
      <c r="AM265">
        <v>10</v>
      </c>
      <c r="AN265" s="18">
        <v>0.4</v>
      </c>
      <c r="AO265" s="18">
        <v>0.0588235294117647</v>
      </c>
      <c r="AP265" s="18">
        <v>0.142857142857143</v>
      </c>
      <c r="AQ265" s="18">
        <v>0</v>
      </c>
      <c r="AR265" s="29">
        <v>0.571428571428571</v>
      </c>
      <c r="AS265" s="29">
        <v>34.2857142857143</v>
      </c>
      <c r="AT265" s="29">
        <v>-34.2857142857143</v>
      </c>
      <c r="AU265" s="24">
        <f t="shared" si="5"/>
        <v>0</v>
      </c>
      <c r="AV265" s="31">
        <f>IFERROR(时间!$B$4+AU265,"上周无销量")</f>
        <v>43318</v>
      </c>
    </row>
    <row r="266" spans="1:48">
      <c r="A266" s="16" t="s">
        <v>570</v>
      </c>
      <c r="B266" t="s">
        <v>571</v>
      </c>
      <c r="C266" t="s">
        <v>512</v>
      </c>
      <c r="D266" s="24">
        <v>0</v>
      </c>
      <c r="E266" s="24">
        <v>0</v>
      </c>
      <c r="F266" s="24">
        <v>0</v>
      </c>
      <c r="G266" s="24">
        <v>0</v>
      </c>
      <c r="H266" s="25">
        <v>0</v>
      </c>
      <c r="I266">
        <v>0</v>
      </c>
      <c r="J266" s="26">
        <v>0</v>
      </c>
      <c r="K266" s="26">
        <v>0</v>
      </c>
      <c r="L266" s="26">
        <v>0</v>
      </c>
      <c r="M266">
        <v>0</v>
      </c>
      <c r="N266">
        <v>0</v>
      </c>
      <c r="O266">
        <v>0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0</v>
      </c>
      <c r="AK266">
        <v>0</v>
      </c>
      <c r="AL266">
        <v>0</v>
      </c>
      <c r="AM266">
        <v>0</v>
      </c>
      <c r="AN266" s="18" t="s">
        <v>52</v>
      </c>
      <c r="AO266" s="18" t="s">
        <v>52</v>
      </c>
      <c r="AP266" s="18" t="s">
        <v>52</v>
      </c>
      <c r="AQ266" s="18" t="s">
        <v>52</v>
      </c>
      <c r="AR266" s="29">
        <v>0</v>
      </c>
      <c r="AS266" s="29">
        <v>0</v>
      </c>
      <c r="AT266" s="29">
        <v>0</v>
      </c>
      <c r="AU266" s="24" t="str">
        <f t="shared" si="5"/>
        <v>库存为0</v>
      </c>
      <c r="AV266" s="31" t="str">
        <f>IFERROR(时间!$B$4+AU266,"上周无销量")</f>
        <v>上周无销量</v>
      </c>
    </row>
    <row r="267" spans="1:48">
      <c r="A267" s="16" t="s">
        <v>572</v>
      </c>
      <c r="B267" t="s">
        <v>573</v>
      </c>
      <c r="C267" t="s">
        <v>512</v>
      </c>
      <c r="D267" s="24">
        <v>0</v>
      </c>
      <c r="E267" s="24">
        <v>0</v>
      </c>
      <c r="F267" s="24">
        <v>0</v>
      </c>
      <c r="G267" s="24">
        <v>0</v>
      </c>
      <c r="H267" s="25">
        <v>0</v>
      </c>
      <c r="I267">
        <v>0</v>
      </c>
      <c r="J267" s="26">
        <v>0</v>
      </c>
      <c r="K267" s="26">
        <v>0</v>
      </c>
      <c r="L267" s="26">
        <v>0</v>
      </c>
      <c r="M267">
        <v>0</v>
      </c>
      <c r="N267">
        <v>0</v>
      </c>
      <c r="O267">
        <v>0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9</v>
      </c>
      <c r="AK267">
        <v>9</v>
      </c>
      <c r="AL267">
        <v>8</v>
      </c>
      <c r="AM267">
        <v>4</v>
      </c>
      <c r="AN267" s="18">
        <v>0</v>
      </c>
      <c r="AO267" s="18">
        <v>0</v>
      </c>
      <c r="AP267" s="18">
        <v>0</v>
      </c>
      <c r="AQ267" s="18">
        <v>0</v>
      </c>
      <c r="AR267" s="29">
        <v>0</v>
      </c>
      <c r="AS267" s="29">
        <v>0</v>
      </c>
      <c r="AT267" s="29">
        <v>0</v>
      </c>
      <c r="AU267" s="24" t="str">
        <f t="shared" si="5"/>
        <v>库存为0</v>
      </c>
      <c r="AV267" s="31" t="str">
        <f>IFERROR(时间!$B$4+AU267,"上周无销量")</f>
        <v>上周无销量</v>
      </c>
    </row>
    <row r="268" spans="1:48">
      <c r="A268" s="16" t="s">
        <v>574</v>
      </c>
      <c r="B268" t="s">
        <v>575</v>
      </c>
      <c r="C268" t="s">
        <v>512</v>
      </c>
      <c r="D268" s="24">
        <v>1</v>
      </c>
      <c r="E268" s="24">
        <v>0</v>
      </c>
      <c r="F268" s="24">
        <v>0</v>
      </c>
      <c r="G268" s="24">
        <v>0</v>
      </c>
      <c r="H268" s="25">
        <v>27.98</v>
      </c>
      <c r="I268">
        <v>1</v>
      </c>
      <c r="J268" s="26">
        <v>0</v>
      </c>
      <c r="K268" s="26">
        <v>0</v>
      </c>
      <c r="L268" s="26">
        <v>0</v>
      </c>
      <c r="M268">
        <v>1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5</v>
      </c>
      <c r="AK268">
        <v>5</v>
      </c>
      <c r="AL268">
        <v>8</v>
      </c>
      <c r="AM268">
        <v>5</v>
      </c>
      <c r="AN268" s="18">
        <v>0.2</v>
      </c>
      <c r="AO268" s="18">
        <v>0</v>
      </c>
      <c r="AP268" s="18">
        <v>0</v>
      </c>
      <c r="AQ268" s="18">
        <v>0</v>
      </c>
      <c r="AR268" s="29">
        <v>0.142857142857143</v>
      </c>
      <c r="AS268" s="29">
        <v>8.57142857142857</v>
      </c>
      <c r="AT268" s="29">
        <v>-7.57142857142857</v>
      </c>
      <c r="AU268" s="24">
        <f t="shared" si="5"/>
        <v>7</v>
      </c>
      <c r="AV268" s="31">
        <f>IFERROR(时间!$B$4+AU268,"上周无销量")</f>
        <v>43325</v>
      </c>
    </row>
    <row r="269" spans="1:48">
      <c r="A269" s="16" t="s">
        <v>576</v>
      </c>
      <c r="B269" t="s">
        <v>577</v>
      </c>
      <c r="C269" t="s">
        <v>512</v>
      </c>
      <c r="D269" s="24">
        <v>0</v>
      </c>
      <c r="E269" s="24">
        <v>0</v>
      </c>
      <c r="F269" s="24">
        <v>0</v>
      </c>
      <c r="G269" s="24">
        <v>0</v>
      </c>
      <c r="H269" s="25">
        <v>0</v>
      </c>
      <c r="I269">
        <v>9</v>
      </c>
      <c r="J269" s="26">
        <v>0</v>
      </c>
      <c r="K269" s="26">
        <v>0</v>
      </c>
      <c r="L269" s="26">
        <v>0</v>
      </c>
      <c r="M269">
        <v>9</v>
      </c>
      <c r="N269">
        <v>0</v>
      </c>
      <c r="O269">
        <v>2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5</v>
      </c>
      <c r="AK269">
        <v>9</v>
      </c>
      <c r="AL269">
        <v>6</v>
      </c>
      <c r="AM269">
        <v>4</v>
      </c>
      <c r="AN269" s="18">
        <v>0</v>
      </c>
      <c r="AO269" s="18">
        <v>0</v>
      </c>
      <c r="AP269" s="18">
        <v>0</v>
      </c>
      <c r="AQ269" s="18">
        <v>0</v>
      </c>
      <c r="AR269" s="29">
        <v>0</v>
      </c>
      <c r="AS269" s="29">
        <v>0</v>
      </c>
      <c r="AT269" s="29">
        <v>9</v>
      </c>
      <c r="AU269" s="24" t="str">
        <f t="shared" si="5"/>
        <v>库存为9</v>
      </c>
      <c r="AV269" s="31" t="str">
        <f>IFERROR(时间!$B$4+AU269,"上周无销量")</f>
        <v>上周无销量</v>
      </c>
    </row>
    <row r="270" spans="1:48">
      <c r="A270" s="16" t="s">
        <v>578</v>
      </c>
      <c r="B270" t="s">
        <v>579</v>
      </c>
      <c r="C270" t="s">
        <v>512</v>
      </c>
      <c r="D270" s="24">
        <v>0</v>
      </c>
      <c r="E270" s="24">
        <v>0</v>
      </c>
      <c r="F270" s="24">
        <v>0</v>
      </c>
      <c r="G270" s="24">
        <v>0</v>
      </c>
      <c r="H270" s="25">
        <v>0</v>
      </c>
      <c r="I270">
        <v>8</v>
      </c>
      <c r="J270" s="26">
        <v>0</v>
      </c>
      <c r="K270" s="26">
        <v>0</v>
      </c>
      <c r="L270" s="26">
        <v>0</v>
      </c>
      <c r="M270">
        <v>8</v>
      </c>
      <c r="N270">
        <v>0</v>
      </c>
      <c r="O270">
        <v>0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3</v>
      </c>
      <c r="AK270">
        <v>3</v>
      </c>
      <c r="AL270">
        <v>3</v>
      </c>
      <c r="AM270">
        <v>2</v>
      </c>
      <c r="AN270" s="18">
        <v>0</v>
      </c>
      <c r="AO270" s="18">
        <v>0</v>
      </c>
      <c r="AP270" s="18">
        <v>0</v>
      </c>
      <c r="AQ270" s="18">
        <v>0</v>
      </c>
      <c r="AR270" s="29">
        <v>0</v>
      </c>
      <c r="AS270" s="29">
        <v>0</v>
      </c>
      <c r="AT270" s="29">
        <v>8</v>
      </c>
      <c r="AU270" s="24" t="str">
        <f t="shared" si="5"/>
        <v>库存为8</v>
      </c>
      <c r="AV270" s="31" t="str">
        <f>IFERROR(时间!$B$4+AU270,"上周无销量")</f>
        <v>上周无销量</v>
      </c>
    </row>
    <row r="271" spans="1:48">
      <c r="A271" s="16" t="s">
        <v>580</v>
      </c>
      <c r="B271" t="s">
        <v>581</v>
      </c>
      <c r="C271" t="s">
        <v>512</v>
      </c>
      <c r="D271" s="24">
        <v>0</v>
      </c>
      <c r="E271" s="24">
        <v>0</v>
      </c>
      <c r="F271" s="24">
        <v>0</v>
      </c>
      <c r="G271" s="24">
        <v>0</v>
      </c>
      <c r="H271" s="25">
        <v>0</v>
      </c>
      <c r="I271">
        <v>9</v>
      </c>
      <c r="J271" s="26">
        <v>0</v>
      </c>
      <c r="K271" s="26">
        <v>0</v>
      </c>
      <c r="L271" s="26">
        <v>0</v>
      </c>
      <c r="M271">
        <v>9</v>
      </c>
      <c r="N271">
        <v>0</v>
      </c>
      <c r="O271">
        <v>2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8</v>
      </c>
      <c r="AK271">
        <v>7</v>
      </c>
      <c r="AL271">
        <v>6</v>
      </c>
      <c r="AM271">
        <v>5</v>
      </c>
      <c r="AN271" s="18">
        <v>0</v>
      </c>
      <c r="AO271" s="18">
        <v>0</v>
      </c>
      <c r="AP271" s="18">
        <v>0</v>
      </c>
      <c r="AQ271" s="18">
        <v>0</v>
      </c>
      <c r="AR271" s="29">
        <v>0</v>
      </c>
      <c r="AS271" s="29">
        <v>0</v>
      </c>
      <c r="AT271" s="29">
        <v>9</v>
      </c>
      <c r="AU271" s="24" t="str">
        <f t="shared" si="5"/>
        <v>库存为9</v>
      </c>
      <c r="AV271" s="31" t="str">
        <f>IFERROR(时间!$B$4+AU271,"上周无销量")</f>
        <v>上周无销量</v>
      </c>
    </row>
    <row r="272" spans="1:48">
      <c r="A272" s="16" t="s">
        <v>582</v>
      </c>
      <c r="B272" t="s">
        <v>583</v>
      </c>
      <c r="C272" t="s">
        <v>512</v>
      </c>
      <c r="D272" s="24">
        <v>0</v>
      </c>
      <c r="E272" s="24">
        <v>3</v>
      </c>
      <c r="F272" s="24">
        <v>0</v>
      </c>
      <c r="G272" s="24">
        <v>1</v>
      </c>
      <c r="H272" s="25">
        <v>27.23</v>
      </c>
      <c r="I272">
        <v>6</v>
      </c>
      <c r="J272" s="26">
        <v>0</v>
      </c>
      <c r="K272" s="26">
        <v>0</v>
      </c>
      <c r="L272" s="26">
        <v>0</v>
      </c>
      <c r="M272">
        <v>6</v>
      </c>
      <c r="N272">
        <v>0</v>
      </c>
      <c r="O272">
        <v>0</v>
      </c>
      <c r="P272">
        <v>6129</v>
      </c>
      <c r="Q272">
        <v>2659</v>
      </c>
      <c r="R272">
        <v>0</v>
      </c>
      <c r="S272">
        <v>0</v>
      </c>
      <c r="T272">
        <v>14</v>
      </c>
      <c r="U272">
        <v>6</v>
      </c>
      <c r="V272">
        <v>0</v>
      </c>
      <c r="W272">
        <v>0</v>
      </c>
      <c r="X272" s="18">
        <v>0.00228422254853973</v>
      </c>
      <c r="Y272" s="18">
        <v>0.00225648740127868</v>
      </c>
      <c r="Z272" s="18" t="s">
        <v>52</v>
      </c>
      <c r="AA272" s="18" t="s">
        <v>52</v>
      </c>
      <c r="AB272">
        <v>8.84</v>
      </c>
      <c r="AC272">
        <v>1.75</v>
      </c>
      <c r="AD272">
        <v>0</v>
      </c>
      <c r="AE272">
        <v>0</v>
      </c>
      <c r="AF272" s="18" t="s">
        <v>584</v>
      </c>
      <c r="AG272" s="18">
        <v>0.0214224507283633</v>
      </c>
      <c r="AH272" s="18" t="s">
        <v>52</v>
      </c>
      <c r="AI272" s="18" t="s">
        <v>52</v>
      </c>
      <c r="AJ272">
        <v>6</v>
      </c>
      <c r="AK272">
        <v>11</v>
      </c>
      <c r="AL272">
        <v>6</v>
      </c>
      <c r="AM272">
        <v>6</v>
      </c>
      <c r="AN272" s="18">
        <v>0</v>
      </c>
      <c r="AO272" s="18">
        <v>0.272727272727273</v>
      </c>
      <c r="AP272" s="18">
        <v>0</v>
      </c>
      <c r="AQ272" s="18">
        <v>0.166666666666667</v>
      </c>
      <c r="AR272" s="29">
        <v>0</v>
      </c>
      <c r="AS272" s="29">
        <v>0</v>
      </c>
      <c r="AT272" s="29">
        <v>6</v>
      </c>
      <c r="AU272" s="24" t="str">
        <f t="shared" si="5"/>
        <v>库存为6</v>
      </c>
      <c r="AV272" s="31" t="str">
        <f>IFERROR(时间!$B$4+AU272,"上周无销量")</f>
        <v>上周无销量</v>
      </c>
    </row>
    <row r="273" spans="1:48">
      <c r="A273" s="16" t="s">
        <v>585</v>
      </c>
      <c r="B273" t="s">
        <v>586</v>
      </c>
      <c r="C273" t="s">
        <v>512</v>
      </c>
      <c r="D273" s="24">
        <v>0</v>
      </c>
      <c r="E273" s="24">
        <v>0</v>
      </c>
      <c r="F273" s="24">
        <v>0</v>
      </c>
      <c r="G273" s="24">
        <v>0</v>
      </c>
      <c r="H273" s="25">
        <v>0</v>
      </c>
      <c r="I273">
        <v>3</v>
      </c>
      <c r="J273" s="26">
        <v>0</v>
      </c>
      <c r="K273" s="26">
        <v>0</v>
      </c>
      <c r="L273" s="26">
        <v>0</v>
      </c>
      <c r="M273">
        <v>3</v>
      </c>
      <c r="N273">
        <v>0</v>
      </c>
      <c r="O273">
        <v>3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3</v>
      </c>
      <c r="AK273">
        <v>4</v>
      </c>
      <c r="AL273">
        <v>8</v>
      </c>
      <c r="AM273">
        <v>4</v>
      </c>
      <c r="AN273" s="18">
        <v>0</v>
      </c>
      <c r="AO273" s="18">
        <v>0</v>
      </c>
      <c r="AP273" s="18">
        <v>0</v>
      </c>
      <c r="AQ273" s="18">
        <v>0</v>
      </c>
      <c r="AR273" s="29">
        <v>0</v>
      </c>
      <c r="AS273" s="29">
        <v>0</v>
      </c>
      <c r="AT273" s="29">
        <v>3</v>
      </c>
      <c r="AU273" s="24" t="str">
        <f t="shared" si="5"/>
        <v>库存为3</v>
      </c>
      <c r="AV273" s="31" t="str">
        <f>IFERROR(时间!$B$4+AU273,"上周无销量")</f>
        <v>上周无销量</v>
      </c>
    </row>
    <row r="274" spans="1:48">
      <c r="A274" s="16" t="s">
        <v>587</v>
      </c>
      <c r="B274" t="s">
        <v>511</v>
      </c>
      <c r="C274" t="s">
        <v>512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0</v>
      </c>
      <c r="J274" s="26">
        <v>20</v>
      </c>
      <c r="K274" s="26">
        <v>0</v>
      </c>
      <c r="L274" s="26">
        <v>0</v>
      </c>
      <c r="M274">
        <v>20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5</v>
      </c>
      <c r="AK274">
        <v>0</v>
      </c>
      <c r="AL274">
        <v>0</v>
      </c>
      <c r="AM274">
        <v>3</v>
      </c>
      <c r="AN274" s="18">
        <v>0</v>
      </c>
      <c r="AO274" s="18" t="s">
        <v>52</v>
      </c>
      <c r="AP274" s="18" t="s">
        <v>52</v>
      </c>
      <c r="AQ274" s="18">
        <v>0</v>
      </c>
      <c r="AR274" s="29">
        <v>0</v>
      </c>
      <c r="AS274" s="29">
        <v>0</v>
      </c>
      <c r="AT274" s="29">
        <v>20</v>
      </c>
      <c r="AU274" s="24" t="str">
        <f t="shared" si="5"/>
        <v>库存为20</v>
      </c>
      <c r="AV274" s="31" t="str">
        <f>IFERROR(时间!$B$4+AU274,"上周无销量")</f>
        <v>上周无销量</v>
      </c>
    </row>
    <row r="275" spans="1:48">
      <c r="A275" s="16" t="s">
        <v>588</v>
      </c>
      <c r="B275" t="s">
        <v>514</v>
      </c>
      <c r="C275" t="s">
        <v>512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0</v>
      </c>
      <c r="J275" s="26">
        <v>10</v>
      </c>
      <c r="K275" s="26">
        <v>0</v>
      </c>
      <c r="L275" s="26">
        <v>0</v>
      </c>
      <c r="M275">
        <v>10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6</v>
      </c>
      <c r="AK275">
        <v>4</v>
      </c>
      <c r="AL275">
        <v>3</v>
      </c>
      <c r="AM275">
        <v>3</v>
      </c>
      <c r="AN275" s="18">
        <v>0</v>
      </c>
      <c r="AO275" s="18">
        <v>0</v>
      </c>
      <c r="AP275" s="18">
        <v>0</v>
      </c>
      <c r="AQ275" s="18">
        <v>0</v>
      </c>
      <c r="AR275" s="29">
        <v>0</v>
      </c>
      <c r="AS275" s="29">
        <v>0</v>
      </c>
      <c r="AT275" s="29">
        <v>10</v>
      </c>
      <c r="AU275" s="24" t="str">
        <f t="shared" si="5"/>
        <v>库存为10</v>
      </c>
      <c r="AV275" s="31" t="str">
        <f>IFERROR(时间!$B$4+AU275,"上周无销量")</f>
        <v>上周无销量</v>
      </c>
    </row>
    <row r="276" spans="1:48">
      <c r="A276" s="16" t="s">
        <v>589</v>
      </c>
      <c r="B276" t="s">
        <v>519</v>
      </c>
      <c r="C276" t="s">
        <v>512</v>
      </c>
      <c r="D276" s="24">
        <v>0</v>
      </c>
      <c r="E276" s="24">
        <v>0</v>
      </c>
      <c r="F276" s="24">
        <v>0</v>
      </c>
      <c r="G276" s="24">
        <v>0</v>
      </c>
      <c r="H276" s="25">
        <v>0</v>
      </c>
      <c r="I276">
        <v>0</v>
      </c>
      <c r="J276" s="26">
        <v>5</v>
      </c>
      <c r="K276" s="26">
        <v>0</v>
      </c>
      <c r="L276" s="26">
        <v>0</v>
      </c>
      <c r="M276">
        <v>5</v>
      </c>
      <c r="N276">
        <v>0</v>
      </c>
      <c r="O276">
        <v>0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7</v>
      </c>
      <c r="AK276">
        <v>7</v>
      </c>
      <c r="AL276">
        <v>2</v>
      </c>
      <c r="AM276">
        <v>2</v>
      </c>
      <c r="AN276" s="18">
        <v>0</v>
      </c>
      <c r="AO276" s="18">
        <v>0</v>
      </c>
      <c r="AP276" s="18">
        <v>0</v>
      </c>
      <c r="AQ276" s="18">
        <v>0</v>
      </c>
      <c r="AR276" s="29">
        <v>0</v>
      </c>
      <c r="AS276" s="29">
        <v>0</v>
      </c>
      <c r="AT276" s="29">
        <v>5</v>
      </c>
      <c r="AU276" s="24" t="str">
        <f t="shared" si="5"/>
        <v>库存为5</v>
      </c>
      <c r="AV276" s="31" t="str">
        <f>IFERROR(时间!$B$4+AU276,"上周无销量")</f>
        <v>上周无销量</v>
      </c>
    </row>
    <row r="277" spans="1:48">
      <c r="A277" s="16" t="s">
        <v>590</v>
      </c>
      <c r="B277" t="s">
        <v>521</v>
      </c>
      <c r="C277" t="s">
        <v>512</v>
      </c>
      <c r="D277" s="24">
        <v>0</v>
      </c>
      <c r="E277" s="24">
        <v>0</v>
      </c>
      <c r="F277" s="24">
        <v>0</v>
      </c>
      <c r="G277" s="24">
        <v>0</v>
      </c>
      <c r="H277" s="25">
        <v>0</v>
      </c>
      <c r="I277">
        <v>0</v>
      </c>
      <c r="J277" s="26">
        <v>25</v>
      </c>
      <c r="K277" s="26">
        <v>0</v>
      </c>
      <c r="L277" s="26">
        <v>0</v>
      </c>
      <c r="M277">
        <v>25</v>
      </c>
      <c r="N277">
        <v>0</v>
      </c>
      <c r="O277">
        <v>0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7</v>
      </c>
      <c r="AK277">
        <v>7</v>
      </c>
      <c r="AL277">
        <v>4</v>
      </c>
      <c r="AM277">
        <v>4</v>
      </c>
      <c r="AN277" s="18">
        <v>0</v>
      </c>
      <c r="AO277" s="18">
        <v>0</v>
      </c>
      <c r="AP277" s="18">
        <v>0</v>
      </c>
      <c r="AQ277" s="18">
        <v>0</v>
      </c>
      <c r="AR277" s="29">
        <v>0</v>
      </c>
      <c r="AS277" s="29">
        <v>0</v>
      </c>
      <c r="AT277" s="29">
        <v>25</v>
      </c>
      <c r="AU277" s="24" t="str">
        <f t="shared" si="5"/>
        <v>库存为25</v>
      </c>
      <c r="AV277" s="31" t="str">
        <f>IFERROR(时间!$B$4+AU277,"上周无销量")</f>
        <v>上周无销量</v>
      </c>
    </row>
    <row r="278" spans="1:48">
      <c r="A278" s="16" t="s">
        <v>591</v>
      </c>
      <c r="B278" t="s">
        <v>523</v>
      </c>
      <c r="C278" t="s">
        <v>512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1</v>
      </c>
      <c r="J278" s="26">
        <v>14</v>
      </c>
      <c r="K278" s="26">
        <v>0</v>
      </c>
      <c r="L278" s="26">
        <v>0</v>
      </c>
      <c r="M278">
        <v>15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3</v>
      </c>
      <c r="AK278">
        <v>4</v>
      </c>
      <c r="AL278">
        <v>4</v>
      </c>
      <c r="AM278">
        <v>5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15</v>
      </c>
      <c r="AU278" s="24" t="str">
        <f t="shared" si="5"/>
        <v>库存为15</v>
      </c>
      <c r="AV278" s="31" t="str">
        <f>IFERROR(时间!$B$4+AU278,"上周无销量")</f>
        <v>上周无销量</v>
      </c>
    </row>
    <row r="279" spans="1:48">
      <c r="A279" s="16" t="s">
        <v>592</v>
      </c>
      <c r="B279" t="s">
        <v>525</v>
      </c>
      <c r="C279" t="s">
        <v>512</v>
      </c>
      <c r="D279" s="24">
        <v>0</v>
      </c>
      <c r="E279" s="24">
        <v>1</v>
      </c>
      <c r="F279" s="24">
        <v>0</v>
      </c>
      <c r="G279" s="24">
        <v>0</v>
      </c>
      <c r="H279" s="25">
        <v>27.98</v>
      </c>
      <c r="I279">
        <v>3</v>
      </c>
      <c r="J279" s="26">
        <v>0</v>
      </c>
      <c r="K279" s="26">
        <v>0</v>
      </c>
      <c r="L279" s="26">
        <v>0</v>
      </c>
      <c r="M279">
        <v>3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5</v>
      </c>
      <c r="AK279">
        <v>8</v>
      </c>
      <c r="AL279">
        <v>0</v>
      </c>
      <c r="AM279">
        <v>1</v>
      </c>
      <c r="AN279" s="18">
        <v>0</v>
      </c>
      <c r="AO279" s="18">
        <v>0.125</v>
      </c>
      <c r="AP279" s="18" t="s">
        <v>52</v>
      </c>
      <c r="AQ279" s="18">
        <v>0</v>
      </c>
      <c r="AR279" s="29">
        <v>0</v>
      </c>
      <c r="AS279" s="29">
        <v>0</v>
      </c>
      <c r="AT279" s="29">
        <v>3</v>
      </c>
      <c r="AU279" s="24" t="str">
        <f t="shared" si="5"/>
        <v>库存为3</v>
      </c>
      <c r="AV279" s="31" t="str">
        <f>IFERROR(时间!$B$4+AU279,"上周无销量")</f>
        <v>上周无销量</v>
      </c>
    </row>
    <row r="280" spans="1:48">
      <c r="A280" s="16" t="s">
        <v>593</v>
      </c>
      <c r="B280" t="s">
        <v>527</v>
      </c>
      <c r="C280" t="s">
        <v>512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0</v>
      </c>
      <c r="J280" s="26">
        <v>8</v>
      </c>
      <c r="K280" s="26">
        <v>0</v>
      </c>
      <c r="L280" s="26">
        <v>0</v>
      </c>
      <c r="M280">
        <v>8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6</v>
      </c>
      <c r="AK280">
        <v>5</v>
      </c>
      <c r="AL280">
        <v>7</v>
      </c>
      <c r="AM280">
        <v>4</v>
      </c>
      <c r="AN280" s="18">
        <v>0</v>
      </c>
      <c r="AO280" s="18">
        <v>0</v>
      </c>
      <c r="AP280" s="18">
        <v>0</v>
      </c>
      <c r="AQ280" s="18">
        <v>0</v>
      </c>
      <c r="AR280" s="29">
        <v>0</v>
      </c>
      <c r="AS280" s="29">
        <v>0</v>
      </c>
      <c r="AT280" s="29">
        <v>8</v>
      </c>
      <c r="AU280" s="24" t="str">
        <f t="shared" si="5"/>
        <v>库存为8</v>
      </c>
      <c r="AV280" s="31" t="str">
        <f>IFERROR(时间!$B$4+AU280,"上周无销量")</f>
        <v>上周无销量</v>
      </c>
    </row>
    <row r="281" spans="1:48">
      <c r="A281" s="16" t="s">
        <v>594</v>
      </c>
      <c r="B281" t="s">
        <v>529</v>
      </c>
      <c r="C281" t="s">
        <v>512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0</v>
      </c>
      <c r="J281" s="26">
        <v>0</v>
      </c>
      <c r="K281" s="26">
        <v>0</v>
      </c>
      <c r="L281" s="26">
        <v>0</v>
      </c>
      <c r="M281">
        <v>0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13</v>
      </c>
      <c r="AK281">
        <v>5</v>
      </c>
      <c r="AL281">
        <v>4</v>
      </c>
      <c r="AM281">
        <v>4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0</v>
      </c>
      <c r="AU281" s="24" t="str">
        <f t="shared" si="5"/>
        <v>库存为0</v>
      </c>
      <c r="AV281" s="31" t="str">
        <f>IFERROR(时间!$B$4+AU281,"上周无销量")</f>
        <v>上周无销量</v>
      </c>
    </row>
    <row r="282" spans="1:48">
      <c r="A282" s="16" t="s">
        <v>595</v>
      </c>
      <c r="B282" t="s">
        <v>531</v>
      </c>
      <c r="C282" t="s">
        <v>512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4</v>
      </c>
      <c r="J282" s="26">
        <v>1</v>
      </c>
      <c r="K282" s="26">
        <v>0</v>
      </c>
      <c r="L282" s="26">
        <v>0</v>
      </c>
      <c r="M282">
        <v>5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59</v>
      </c>
      <c r="AK282">
        <v>43</v>
      </c>
      <c r="AL282">
        <v>16</v>
      </c>
      <c r="AM282">
        <v>4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5</v>
      </c>
      <c r="AU282" s="24" t="str">
        <f t="shared" si="5"/>
        <v>库存为5</v>
      </c>
      <c r="AV282" s="31" t="str">
        <f>IFERROR(时间!$B$4+AU282,"上周无销量")</f>
        <v>上周无销量</v>
      </c>
    </row>
    <row r="283" spans="1:48">
      <c r="A283" s="16" t="s">
        <v>596</v>
      </c>
      <c r="B283" t="s">
        <v>534</v>
      </c>
      <c r="C283" t="s">
        <v>512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5</v>
      </c>
      <c r="J283" s="26">
        <v>9</v>
      </c>
      <c r="K283" s="26">
        <v>0</v>
      </c>
      <c r="L283" s="26">
        <v>0</v>
      </c>
      <c r="M283">
        <v>14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16</v>
      </c>
      <c r="AK283">
        <v>8</v>
      </c>
      <c r="AL283">
        <v>5</v>
      </c>
      <c r="AM283">
        <v>1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14</v>
      </c>
      <c r="AU283" s="24" t="str">
        <f t="shared" si="5"/>
        <v>库存为14</v>
      </c>
      <c r="AV283" s="31" t="str">
        <f>IFERROR(时间!$B$4+AU283,"上周无销量")</f>
        <v>上周无销量</v>
      </c>
    </row>
    <row r="284" spans="1:48">
      <c r="A284" s="16" t="s">
        <v>597</v>
      </c>
      <c r="B284" t="s">
        <v>537</v>
      </c>
      <c r="C284" t="s">
        <v>512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0</v>
      </c>
      <c r="J284" s="26">
        <v>10</v>
      </c>
      <c r="K284" s="26">
        <v>0</v>
      </c>
      <c r="L284" s="26">
        <v>0</v>
      </c>
      <c r="M284">
        <v>10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4</v>
      </c>
      <c r="AK284">
        <v>6</v>
      </c>
      <c r="AL284">
        <v>3</v>
      </c>
      <c r="AM284">
        <v>4</v>
      </c>
      <c r="AN284" s="18">
        <v>0</v>
      </c>
      <c r="AO284" s="18">
        <v>0</v>
      </c>
      <c r="AP284" s="18">
        <v>0</v>
      </c>
      <c r="AQ284" s="18">
        <v>0</v>
      </c>
      <c r="AR284" s="29">
        <v>0</v>
      </c>
      <c r="AS284" s="29">
        <v>0</v>
      </c>
      <c r="AT284" s="29">
        <v>10</v>
      </c>
      <c r="AU284" s="24" t="str">
        <f t="shared" si="5"/>
        <v>库存为10</v>
      </c>
      <c r="AV284" s="31" t="str">
        <f>IFERROR(时间!$B$4+AU284,"上周无销量")</f>
        <v>上周无销量</v>
      </c>
    </row>
    <row r="285" spans="1:48">
      <c r="A285" s="16" t="s">
        <v>598</v>
      </c>
      <c r="B285" t="s">
        <v>539</v>
      </c>
      <c r="C285" t="s">
        <v>512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10</v>
      </c>
      <c r="K285" s="26">
        <v>0</v>
      </c>
      <c r="L285" s="26">
        <v>0</v>
      </c>
      <c r="M285">
        <v>10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3</v>
      </c>
      <c r="AK285">
        <v>5</v>
      </c>
      <c r="AL285">
        <v>7</v>
      </c>
      <c r="AM285">
        <v>3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10</v>
      </c>
      <c r="AU285" s="24" t="str">
        <f t="shared" si="5"/>
        <v>库存为10</v>
      </c>
      <c r="AV285" s="31" t="str">
        <f>IFERROR(时间!$B$4+AU285,"上周无销量")</f>
        <v>上周无销量</v>
      </c>
    </row>
    <row r="286" spans="1:48">
      <c r="A286" s="16" t="s">
        <v>599</v>
      </c>
      <c r="B286" t="s">
        <v>541</v>
      </c>
      <c r="C286" t="s">
        <v>512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5</v>
      </c>
      <c r="K286" s="26">
        <v>0</v>
      </c>
      <c r="L286" s="26">
        <v>0</v>
      </c>
      <c r="M286">
        <v>5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4</v>
      </c>
      <c r="AK286">
        <v>7</v>
      </c>
      <c r="AL286">
        <v>2</v>
      </c>
      <c r="AM286">
        <v>2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5</v>
      </c>
      <c r="AU286" s="24" t="str">
        <f t="shared" si="5"/>
        <v>库存为5</v>
      </c>
      <c r="AV286" s="31" t="str">
        <f>IFERROR(时间!$B$4+AU286,"上周无销量")</f>
        <v>上周无销量</v>
      </c>
    </row>
    <row r="287" spans="1:48">
      <c r="A287" s="16" t="s">
        <v>600</v>
      </c>
      <c r="B287" t="s">
        <v>543</v>
      </c>
      <c r="C287" t="s">
        <v>512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0</v>
      </c>
      <c r="J287" s="26">
        <v>10</v>
      </c>
      <c r="K287" s="26">
        <v>0</v>
      </c>
      <c r="L287" s="26">
        <v>0</v>
      </c>
      <c r="M287">
        <v>10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3</v>
      </c>
      <c r="AK287">
        <v>7</v>
      </c>
      <c r="AL287">
        <v>2</v>
      </c>
      <c r="AM287">
        <v>3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10</v>
      </c>
      <c r="AU287" s="24" t="str">
        <f t="shared" si="5"/>
        <v>库存为10</v>
      </c>
      <c r="AV287" s="31" t="str">
        <f>IFERROR(时间!$B$4+AU287,"上周无销量")</f>
        <v>上周无销量</v>
      </c>
    </row>
    <row r="288" spans="1:48">
      <c r="A288" s="16" t="s">
        <v>601</v>
      </c>
      <c r="B288" t="s">
        <v>545</v>
      </c>
      <c r="C288" t="s">
        <v>512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0</v>
      </c>
      <c r="J288" s="26">
        <v>10</v>
      </c>
      <c r="K288" s="26">
        <v>0</v>
      </c>
      <c r="L288" s="26">
        <v>0</v>
      </c>
      <c r="M288">
        <v>10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3</v>
      </c>
      <c r="AK288">
        <v>2</v>
      </c>
      <c r="AL288">
        <v>4</v>
      </c>
      <c r="AM288">
        <v>3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10</v>
      </c>
      <c r="AU288" s="24" t="str">
        <f t="shared" si="5"/>
        <v>库存为10</v>
      </c>
      <c r="AV288" s="31" t="str">
        <f>IFERROR(时间!$B$4+AU288,"上周无销量")</f>
        <v>上周无销量</v>
      </c>
    </row>
    <row r="289" spans="1:48">
      <c r="A289" s="16" t="s">
        <v>602</v>
      </c>
      <c r="B289" t="s">
        <v>547</v>
      </c>
      <c r="C289" t="s">
        <v>512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20</v>
      </c>
      <c r="K289" s="26">
        <v>0</v>
      </c>
      <c r="L289" s="26">
        <v>0</v>
      </c>
      <c r="M289">
        <v>20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5</v>
      </c>
      <c r="AK289">
        <v>6</v>
      </c>
      <c r="AL289">
        <v>3</v>
      </c>
      <c r="AM289">
        <v>3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20</v>
      </c>
      <c r="AU289" s="24" t="str">
        <f t="shared" si="5"/>
        <v>库存为20</v>
      </c>
      <c r="AV289" s="31" t="str">
        <f>IFERROR(时间!$B$4+AU289,"上周无销量")</f>
        <v>上周无销量</v>
      </c>
    </row>
    <row r="290" spans="1:48">
      <c r="A290" s="16" t="s">
        <v>603</v>
      </c>
      <c r="B290" t="s">
        <v>549</v>
      </c>
      <c r="C290" t="s">
        <v>512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10</v>
      </c>
      <c r="K290" s="26">
        <v>0</v>
      </c>
      <c r="L290" s="26">
        <v>0</v>
      </c>
      <c r="M290">
        <v>10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2</v>
      </c>
      <c r="AK290">
        <v>5</v>
      </c>
      <c r="AL290">
        <v>4</v>
      </c>
      <c r="AM290">
        <v>4</v>
      </c>
      <c r="AN290" s="18">
        <v>0</v>
      </c>
      <c r="AO290" s="18">
        <v>0</v>
      </c>
      <c r="AP290" s="18">
        <v>0</v>
      </c>
      <c r="AQ290" s="18">
        <v>0</v>
      </c>
      <c r="AR290" s="29">
        <v>0</v>
      </c>
      <c r="AS290" s="29">
        <v>0</v>
      </c>
      <c r="AT290" s="29">
        <v>10</v>
      </c>
      <c r="AU290" s="24" t="str">
        <f t="shared" si="5"/>
        <v>库存为10</v>
      </c>
      <c r="AV290" s="31" t="str">
        <f>IFERROR(时间!$B$4+AU290,"上周无销量")</f>
        <v>上周无销量</v>
      </c>
    </row>
    <row r="291" spans="1:48">
      <c r="A291" s="16" t="s">
        <v>604</v>
      </c>
      <c r="B291" t="s">
        <v>551</v>
      </c>
      <c r="C291" t="s">
        <v>512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0</v>
      </c>
      <c r="J291" s="26">
        <v>2</v>
      </c>
      <c r="K291" s="26">
        <v>0</v>
      </c>
      <c r="L291" s="26">
        <v>0</v>
      </c>
      <c r="M291">
        <v>2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6</v>
      </c>
      <c r="AK291">
        <v>3</v>
      </c>
      <c r="AL291">
        <v>3</v>
      </c>
      <c r="AM291">
        <v>6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2</v>
      </c>
      <c r="AU291" s="24" t="str">
        <f t="shared" si="5"/>
        <v>库存为2</v>
      </c>
      <c r="AV291" s="31" t="str">
        <f>IFERROR(时间!$B$4+AU291,"上周无销量")</f>
        <v>上周无销量</v>
      </c>
    </row>
    <row r="292" spans="1:48">
      <c r="A292" s="16" t="s">
        <v>605</v>
      </c>
      <c r="B292" t="s">
        <v>553</v>
      </c>
      <c r="C292" t="s">
        <v>512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20</v>
      </c>
      <c r="K292" s="26">
        <v>0</v>
      </c>
      <c r="L292" s="26">
        <v>0</v>
      </c>
      <c r="M292">
        <v>20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10</v>
      </c>
      <c r="AK292">
        <v>9</v>
      </c>
      <c r="AL292">
        <v>7</v>
      </c>
      <c r="AM292">
        <v>3</v>
      </c>
      <c r="AN292" s="18">
        <v>0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20</v>
      </c>
      <c r="AU292" s="24" t="str">
        <f t="shared" si="5"/>
        <v>库存为20</v>
      </c>
      <c r="AV292" s="31" t="str">
        <f>IFERROR(时间!$B$4+AU292,"上周无销量")</f>
        <v>上周无销量</v>
      </c>
    </row>
    <row r="293" spans="1:48">
      <c r="A293" s="16" t="s">
        <v>606</v>
      </c>
      <c r="B293" t="s">
        <v>555</v>
      </c>
      <c r="C293" t="s">
        <v>512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15</v>
      </c>
      <c r="K293" s="26">
        <v>0</v>
      </c>
      <c r="L293" s="26">
        <v>0</v>
      </c>
      <c r="M293">
        <v>15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0</v>
      </c>
      <c r="AK293">
        <v>4</v>
      </c>
      <c r="AL293">
        <v>5</v>
      </c>
      <c r="AM293">
        <v>2</v>
      </c>
      <c r="AN293" s="18" t="s">
        <v>52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15</v>
      </c>
      <c r="AU293" s="24" t="str">
        <f t="shared" si="5"/>
        <v>库存为15</v>
      </c>
      <c r="AV293" s="31" t="str">
        <f>IFERROR(时间!$B$4+AU293,"上周无销量")</f>
        <v>上周无销量</v>
      </c>
    </row>
    <row r="294" spans="1:48">
      <c r="A294" s="16" t="s">
        <v>607</v>
      </c>
      <c r="B294" t="s">
        <v>557</v>
      </c>
      <c r="C294" t="s">
        <v>512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15</v>
      </c>
      <c r="K294" s="26">
        <v>0</v>
      </c>
      <c r="L294" s="26">
        <v>0</v>
      </c>
      <c r="M294">
        <v>15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5</v>
      </c>
      <c r="AK294">
        <v>8</v>
      </c>
      <c r="AL294">
        <v>4</v>
      </c>
      <c r="AM294">
        <v>5</v>
      </c>
      <c r="AN294" s="18">
        <v>0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15</v>
      </c>
      <c r="AU294" s="24" t="str">
        <f t="shared" si="5"/>
        <v>库存为15</v>
      </c>
      <c r="AV294" s="31" t="str">
        <f>IFERROR(时间!$B$4+AU294,"上周无销量")</f>
        <v>上周无销量</v>
      </c>
    </row>
    <row r="295" spans="1:48">
      <c r="A295" s="16" t="s">
        <v>608</v>
      </c>
      <c r="B295" t="s">
        <v>559</v>
      </c>
      <c r="C295" t="s">
        <v>512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10</v>
      </c>
      <c r="K295" s="26">
        <v>0</v>
      </c>
      <c r="L295" s="26">
        <v>0</v>
      </c>
      <c r="M295">
        <v>10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8</v>
      </c>
      <c r="AK295">
        <v>4</v>
      </c>
      <c r="AL295">
        <v>4</v>
      </c>
      <c r="AM295">
        <v>4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10</v>
      </c>
      <c r="AU295" s="24" t="str">
        <f t="shared" si="5"/>
        <v>库存为10</v>
      </c>
      <c r="AV295" s="31" t="str">
        <f>IFERROR(时间!$B$4+AU295,"上周无销量")</f>
        <v>上周无销量</v>
      </c>
    </row>
    <row r="296" spans="1:48">
      <c r="A296" s="16" t="s">
        <v>609</v>
      </c>
      <c r="B296" t="s">
        <v>561</v>
      </c>
      <c r="C296" t="s">
        <v>512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0</v>
      </c>
      <c r="K296" s="26">
        <v>0</v>
      </c>
      <c r="L296" s="26">
        <v>0</v>
      </c>
      <c r="M296">
        <v>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15</v>
      </c>
      <c r="AK296">
        <v>11</v>
      </c>
      <c r="AL296">
        <v>7</v>
      </c>
      <c r="AM296">
        <v>17</v>
      </c>
      <c r="AN296" s="18">
        <v>0</v>
      </c>
      <c r="AO296" s="18">
        <v>0</v>
      </c>
      <c r="AP296" s="18">
        <v>0</v>
      </c>
      <c r="AQ296" s="18">
        <v>0</v>
      </c>
      <c r="AR296" s="29">
        <v>0</v>
      </c>
      <c r="AS296" s="29">
        <v>0</v>
      </c>
      <c r="AT296" s="29">
        <v>0</v>
      </c>
      <c r="AU296" s="24" t="str">
        <f t="shared" si="5"/>
        <v>库存为0</v>
      </c>
      <c r="AV296" s="31" t="str">
        <f>IFERROR(时间!$B$4+AU296,"上周无销量")</f>
        <v>上周无销量</v>
      </c>
    </row>
    <row r="297" spans="1:48">
      <c r="A297" s="16" t="s">
        <v>610</v>
      </c>
      <c r="B297" t="s">
        <v>563</v>
      </c>
      <c r="C297" t="s">
        <v>512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10</v>
      </c>
      <c r="K297" s="26">
        <v>0</v>
      </c>
      <c r="L297" s="26">
        <v>0</v>
      </c>
      <c r="M297">
        <v>10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10</v>
      </c>
      <c r="AK297">
        <v>8</v>
      </c>
      <c r="AL297">
        <v>10</v>
      </c>
      <c r="AM297">
        <v>5</v>
      </c>
      <c r="AN297" s="18">
        <v>0</v>
      </c>
      <c r="AO297" s="18">
        <v>0</v>
      </c>
      <c r="AP297" s="18">
        <v>0</v>
      </c>
      <c r="AQ297" s="18">
        <v>0</v>
      </c>
      <c r="AR297" s="29">
        <v>0</v>
      </c>
      <c r="AS297" s="29">
        <v>0</v>
      </c>
      <c r="AT297" s="29">
        <v>10</v>
      </c>
      <c r="AU297" s="24" t="str">
        <f t="shared" si="5"/>
        <v>库存为10</v>
      </c>
      <c r="AV297" s="31" t="str">
        <f>IFERROR(时间!$B$4+AU297,"上周无销量")</f>
        <v>上周无销量</v>
      </c>
    </row>
    <row r="298" spans="1:48">
      <c r="A298" s="16" t="s">
        <v>611</v>
      </c>
      <c r="B298" t="s">
        <v>565</v>
      </c>
      <c r="C298" t="s">
        <v>512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10</v>
      </c>
      <c r="K298" s="26">
        <v>0</v>
      </c>
      <c r="L298" s="26">
        <v>0</v>
      </c>
      <c r="M298">
        <v>10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4</v>
      </c>
      <c r="AK298">
        <v>2</v>
      </c>
      <c r="AL298">
        <v>0</v>
      </c>
      <c r="AM298">
        <v>4</v>
      </c>
      <c r="AN298" s="18">
        <v>0</v>
      </c>
      <c r="AO298" s="18">
        <v>0</v>
      </c>
      <c r="AP298" s="18" t="s">
        <v>52</v>
      </c>
      <c r="AQ298" s="18">
        <v>0</v>
      </c>
      <c r="AR298" s="29">
        <v>0</v>
      </c>
      <c r="AS298" s="29">
        <v>0</v>
      </c>
      <c r="AT298" s="29">
        <v>10</v>
      </c>
      <c r="AU298" s="24" t="str">
        <f t="shared" si="5"/>
        <v>库存为10</v>
      </c>
      <c r="AV298" s="31" t="str">
        <f>IFERROR(时间!$B$4+AU298,"上周无销量")</f>
        <v>上周无销量</v>
      </c>
    </row>
    <row r="299" spans="1:48">
      <c r="A299" s="16" t="s">
        <v>612</v>
      </c>
      <c r="B299" t="s">
        <v>567</v>
      </c>
      <c r="C299" t="s">
        <v>512</v>
      </c>
      <c r="D299" s="24">
        <v>4</v>
      </c>
      <c r="E299" s="24">
        <v>0</v>
      </c>
      <c r="F299" s="24">
        <v>1</v>
      </c>
      <c r="G299" s="24">
        <v>0</v>
      </c>
      <c r="H299" s="25">
        <v>27.98</v>
      </c>
      <c r="I299">
        <v>0</v>
      </c>
      <c r="J299" s="26">
        <v>12</v>
      </c>
      <c r="K299" s="26">
        <v>0</v>
      </c>
      <c r="L299" s="26">
        <v>0</v>
      </c>
      <c r="M299">
        <v>12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3</v>
      </c>
      <c r="AK299">
        <v>6</v>
      </c>
      <c r="AL299">
        <v>3</v>
      </c>
      <c r="AM299">
        <v>3</v>
      </c>
      <c r="AN299" s="18">
        <v>1.33333333333333</v>
      </c>
      <c r="AO299" s="18">
        <v>0</v>
      </c>
      <c r="AP299" s="18">
        <v>0.333333333333333</v>
      </c>
      <c r="AQ299" s="18">
        <v>0</v>
      </c>
      <c r="AR299" s="29">
        <v>0.571428571428571</v>
      </c>
      <c r="AS299" s="29">
        <v>34.2857142857143</v>
      </c>
      <c r="AT299" s="29">
        <v>-22.2857142857143</v>
      </c>
      <c r="AU299" s="24">
        <f t="shared" si="5"/>
        <v>21</v>
      </c>
      <c r="AV299" s="31">
        <f>IFERROR(时间!$B$4+AU299,"上周无销量")</f>
        <v>43339</v>
      </c>
    </row>
    <row r="300" spans="1:48">
      <c r="A300" s="16" t="s">
        <v>613</v>
      </c>
      <c r="B300" t="s">
        <v>569</v>
      </c>
      <c r="C300" t="s">
        <v>512</v>
      </c>
      <c r="D300" s="24">
        <v>0</v>
      </c>
      <c r="E300" s="24">
        <v>0</v>
      </c>
      <c r="F300" s="24">
        <v>0</v>
      </c>
      <c r="G300" s="24">
        <v>2</v>
      </c>
      <c r="H300" s="25">
        <v>24.98</v>
      </c>
      <c r="I300">
        <v>2</v>
      </c>
      <c r="J300" s="26">
        <v>0</v>
      </c>
      <c r="K300" s="26">
        <v>0</v>
      </c>
      <c r="L300" s="26">
        <v>0</v>
      </c>
      <c r="M300">
        <v>2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10</v>
      </c>
      <c r="AK300">
        <v>17</v>
      </c>
      <c r="AL300">
        <v>7</v>
      </c>
      <c r="AM300">
        <v>10</v>
      </c>
      <c r="AN300" s="18">
        <v>0</v>
      </c>
      <c r="AO300" s="18">
        <v>0</v>
      </c>
      <c r="AP300" s="18">
        <v>0</v>
      </c>
      <c r="AQ300" s="18">
        <v>0.2</v>
      </c>
      <c r="AR300" s="29">
        <v>0</v>
      </c>
      <c r="AS300" s="29">
        <v>0</v>
      </c>
      <c r="AT300" s="29">
        <v>2</v>
      </c>
      <c r="AU300" s="24" t="str">
        <f t="shared" si="5"/>
        <v>库存为2</v>
      </c>
      <c r="AV300" s="31" t="str">
        <f>IFERROR(时间!$B$4+AU300,"上周无销量")</f>
        <v>上周无销量</v>
      </c>
    </row>
    <row r="301" spans="1:48">
      <c r="A301" s="16" t="s">
        <v>614</v>
      </c>
      <c r="B301" t="s">
        <v>615</v>
      </c>
      <c r="C301" t="s">
        <v>512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0</v>
      </c>
      <c r="J301" s="26">
        <v>0</v>
      </c>
      <c r="K301" s="26">
        <v>0</v>
      </c>
      <c r="L301" s="26">
        <v>0</v>
      </c>
      <c r="M301">
        <v>0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0</v>
      </c>
      <c r="AK301">
        <v>0</v>
      </c>
      <c r="AL301">
        <v>0</v>
      </c>
      <c r="AM301">
        <v>0</v>
      </c>
      <c r="AN301" s="18" t="s">
        <v>52</v>
      </c>
      <c r="AO301" s="18" t="s">
        <v>52</v>
      </c>
      <c r="AP301" s="18" t="s">
        <v>52</v>
      </c>
      <c r="AQ301" s="18" t="s">
        <v>52</v>
      </c>
      <c r="AR301" s="29">
        <v>0</v>
      </c>
      <c r="AS301" s="29">
        <v>0</v>
      </c>
      <c r="AT301" s="29">
        <v>0</v>
      </c>
      <c r="AU301" s="24" t="str">
        <f t="shared" si="5"/>
        <v>库存为0</v>
      </c>
      <c r="AV301" s="31" t="str">
        <f>IFERROR(时间!$B$4+AU301,"上周无销量")</f>
        <v>上周无销量</v>
      </c>
    </row>
    <row r="302" spans="1:48">
      <c r="A302" s="16" t="s">
        <v>616</v>
      </c>
      <c r="B302" t="s">
        <v>573</v>
      </c>
      <c r="C302" t="s">
        <v>512</v>
      </c>
      <c r="D302" s="24">
        <v>0</v>
      </c>
      <c r="E302" s="24">
        <v>0</v>
      </c>
      <c r="F302" s="24">
        <v>1</v>
      </c>
      <c r="G302" s="24">
        <v>0</v>
      </c>
      <c r="H302" s="25">
        <v>27.98</v>
      </c>
      <c r="I302">
        <v>27</v>
      </c>
      <c r="J302" s="26">
        <v>0</v>
      </c>
      <c r="K302" s="26">
        <v>0</v>
      </c>
      <c r="L302" s="26">
        <v>0</v>
      </c>
      <c r="M302">
        <v>27</v>
      </c>
      <c r="N302">
        <v>0</v>
      </c>
      <c r="O302">
        <v>0</v>
      </c>
      <c r="P302">
        <v>436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 s="18">
        <v>0.00229357798165138</v>
      </c>
      <c r="Y302" s="18" t="s">
        <v>52</v>
      </c>
      <c r="Z302" s="18" t="s">
        <v>52</v>
      </c>
      <c r="AA302" s="18" t="s">
        <v>52</v>
      </c>
      <c r="AB302">
        <v>0.18</v>
      </c>
      <c r="AC302">
        <v>0</v>
      </c>
      <c r="AD302">
        <v>0</v>
      </c>
      <c r="AE302">
        <v>0</v>
      </c>
      <c r="AF302" s="18" t="s">
        <v>617</v>
      </c>
      <c r="AG302" s="18" t="s">
        <v>52</v>
      </c>
      <c r="AH302" s="18" t="s">
        <v>52</v>
      </c>
      <c r="AI302" s="18" t="s">
        <v>52</v>
      </c>
      <c r="AJ302">
        <v>9</v>
      </c>
      <c r="AK302">
        <v>9</v>
      </c>
      <c r="AL302">
        <v>8</v>
      </c>
      <c r="AM302">
        <v>4</v>
      </c>
      <c r="AN302" s="18">
        <v>0</v>
      </c>
      <c r="AO302" s="18">
        <v>0</v>
      </c>
      <c r="AP302" s="18">
        <v>0.125</v>
      </c>
      <c r="AQ302" s="18">
        <v>0</v>
      </c>
      <c r="AR302" s="29">
        <v>0</v>
      </c>
      <c r="AS302" s="29">
        <v>0</v>
      </c>
      <c r="AT302" s="29">
        <v>27</v>
      </c>
      <c r="AU302" s="24" t="str">
        <f t="shared" si="5"/>
        <v>库存为27</v>
      </c>
      <c r="AV302" s="31" t="str">
        <f>IFERROR(时间!$B$4+AU302,"上周无销量")</f>
        <v>上周无销量</v>
      </c>
    </row>
    <row r="303" spans="1:48">
      <c r="A303" s="16" t="s">
        <v>618</v>
      </c>
      <c r="B303" t="s">
        <v>575</v>
      </c>
      <c r="C303" t="s">
        <v>512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10</v>
      </c>
      <c r="J303" s="26">
        <v>6</v>
      </c>
      <c r="K303" s="26">
        <v>0</v>
      </c>
      <c r="L303" s="26">
        <v>0</v>
      </c>
      <c r="M303">
        <v>16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5</v>
      </c>
      <c r="AK303">
        <v>5</v>
      </c>
      <c r="AL303">
        <v>8</v>
      </c>
      <c r="AM303">
        <v>5</v>
      </c>
      <c r="AN303" s="18">
        <v>0</v>
      </c>
      <c r="AO303" s="18">
        <v>0</v>
      </c>
      <c r="AP303" s="18">
        <v>0</v>
      </c>
      <c r="AQ303" s="18">
        <v>0</v>
      </c>
      <c r="AR303" s="29">
        <v>0</v>
      </c>
      <c r="AS303" s="29">
        <v>0</v>
      </c>
      <c r="AT303" s="29">
        <v>16</v>
      </c>
      <c r="AU303" s="24" t="str">
        <f t="shared" si="5"/>
        <v>库存为16</v>
      </c>
      <c r="AV303" s="31" t="str">
        <f>IFERROR(时间!$B$4+AU303,"上周无销量")</f>
        <v>上周无销量</v>
      </c>
    </row>
    <row r="304" spans="1:48">
      <c r="A304" s="16" t="s">
        <v>619</v>
      </c>
      <c r="B304" t="s">
        <v>577</v>
      </c>
      <c r="C304" t="s">
        <v>512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0</v>
      </c>
      <c r="J304" s="26">
        <v>10</v>
      </c>
      <c r="K304" s="26">
        <v>0</v>
      </c>
      <c r="L304" s="26">
        <v>0</v>
      </c>
      <c r="M304">
        <v>10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5</v>
      </c>
      <c r="AK304">
        <v>9</v>
      </c>
      <c r="AL304">
        <v>6</v>
      </c>
      <c r="AM304">
        <v>4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10</v>
      </c>
      <c r="AU304" s="24" t="str">
        <f t="shared" si="5"/>
        <v>库存为10</v>
      </c>
      <c r="AV304" s="31" t="str">
        <f>IFERROR(时间!$B$4+AU304,"上周无销量")</f>
        <v>上周无销量</v>
      </c>
    </row>
    <row r="305" spans="1:48">
      <c r="A305" s="16" t="s">
        <v>620</v>
      </c>
      <c r="B305" t="s">
        <v>579</v>
      </c>
      <c r="C305" t="s">
        <v>512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10</v>
      </c>
      <c r="K305" s="26">
        <v>0</v>
      </c>
      <c r="L305" s="26">
        <v>0</v>
      </c>
      <c r="M305">
        <v>10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3</v>
      </c>
      <c r="AK305">
        <v>3</v>
      </c>
      <c r="AL305">
        <v>3</v>
      </c>
      <c r="AM305">
        <v>2</v>
      </c>
      <c r="AN305" s="18">
        <v>0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10</v>
      </c>
      <c r="AU305" s="24" t="str">
        <f t="shared" si="5"/>
        <v>库存为10</v>
      </c>
      <c r="AV305" s="31" t="str">
        <f>IFERROR(时间!$B$4+AU305,"上周无销量")</f>
        <v>上周无销量</v>
      </c>
    </row>
    <row r="306" spans="1:48">
      <c r="A306" s="16" t="s">
        <v>621</v>
      </c>
      <c r="B306" t="s">
        <v>581</v>
      </c>
      <c r="C306" t="s">
        <v>512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5</v>
      </c>
      <c r="K306" s="26">
        <v>0</v>
      </c>
      <c r="L306" s="26">
        <v>0</v>
      </c>
      <c r="M306">
        <v>5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8</v>
      </c>
      <c r="AK306">
        <v>7</v>
      </c>
      <c r="AL306">
        <v>6</v>
      </c>
      <c r="AM306">
        <v>5</v>
      </c>
      <c r="AN306" s="18">
        <v>0</v>
      </c>
      <c r="AO306" s="18">
        <v>0</v>
      </c>
      <c r="AP306" s="18">
        <v>0</v>
      </c>
      <c r="AQ306" s="18">
        <v>0</v>
      </c>
      <c r="AR306" s="29">
        <v>0</v>
      </c>
      <c r="AS306" s="29">
        <v>0</v>
      </c>
      <c r="AT306" s="29">
        <v>5</v>
      </c>
      <c r="AU306" s="24" t="str">
        <f t="shared" si="5"/>
        <v>库存为5</v>
      </c>
      <c r="AV306" s="31" t="str">
        <f>IFERROR(时间!$B$4+AU306,"上周无销量")</f>
        <v>上周无销量</v>
      </c>
    </row>
    <row r="307" spans="1:48">
      <c r="A307" s="16" t="s">
        <v>622</v>
      </c>
      <c r="B307" t="s">
        <v>583</v>
      </c>
      <c r="C307" t="s">
        <v>512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10</v>
      </c>
      <c r="K307" s="26">
        <v>0</v>
      </c>
      <c r="L307" s="26">
        <v>0</v>
      </c>
      <c r="M307">
        <v>10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6</v>
      </c>
      <c r="AK307">
        <v>11</v>
      </c>
      <c r="AL307">
        <v>6</v>
      </c>
      <c r="AM307">
        <v>6</v>
      </c>
      <c r="AN307" s="18">
        <v>0</v>
      </c>
      <c r="AO307" s="18">
        <v>0</v>
      </c>
      <c r="AP307" s="18">
        <v>0</v>
      </c>
      <c r="AQ307" s="18">
        <v>0</v>
      </c>
      <c r="AR307" s="29">
        <v>0</v>
      </c>
      <c r="AS307" s="29">
        <v>0</v>
      </c>
      <c r="AT307" s="29">
        <v>10</v>
      </c>
      <c r="AU307" s="24" t="str">
        <f t="shared" si="5"/>
        <v>库存为10</v>
      </c>
      <c r="AV307" s="31" t="str">
        <f>IFERROR(时间!$B$4+AU307,"上周无销量")</f>
        <v>上周无销量</v>
      </c>
    </row>
    <row r="308" spans="1:48">
      <c r="A308" s="16" t="s">
        <v>623</v>
      </c>
      <c r="B308" t="s">
        <v>586</v>
      </c>
      <c r="C308" t="s">
        <v>512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0</v>
      </c>
      <c r="J308" s="26">
        <v>10</v>
      </c>
      <c r="K308" s="26">
        <v>0</v>
      </c>
      <c r="L308" s="26">
        <v>0</v>
      </c>
      <c r="M308">
        <v>10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3</v>
      </c>
      <c r="AK308">
        <v>4</v>
      </c>
      <c r="AL308">
        <v>8</v>
      </c>
      <c r="AM308">
        <v>4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10</v>
      </c>
      <c r="AU308" s="24" t="str">
        <f t="shared" si="5"/>
        <v>库存为10</v>
      </c>
      <c r="AV308" s="31" t="str">
        <f>IFERROR(时间!$B$4+AU308,"上周无销量")</f>
        <v>上周无销量</v>
      </c>
    </row>
    <row r="309" spans="1:48">
      <c r="A309" s="16" t="s">
        <v>624</v>
      </c>
      <c r="B309" t="s">
        <v>447</v>
      </c>
      <c r="C309" t="s">
        <v>625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0</v>
      </c>
      <c r="J309" s="26">
        <v>0</v>
      </c>
      <c r="K309" s="26">
        <v>0</v>
      </c>
      <c r="L309" s="26">
        <v>0</v>
      </c>
      <c r="M309">
        <v>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114</v>
      </c>
      <c r="AK309">
        <v>59</v>
      </c>
      <c r="AL309">
        <v>10</v>
      </c>
      <c r="AM309">
        <v>4</v>
      </c>
      <c r="AN309" s="18">
        <v>0</v>
      </c>
      <c r="AO309" s="18">
        <v>0</v>
      </c>
      <c r="AP309" s="18">
        <v>0</v>
      </c>
      <c r="AQ309" s="18">
        <v>0</v>
      </c>
      <c r="AR309" s="29">
        <v>0</v>
      </c>
      <c r="AS309" s="29">
        <v>0</v>
      </c>
      <c r="AT309" s="29">
        <v>0</v>
      </c>
      <c r="AU309" s="24" t="str">
        <f t="shared" si="5"/>
        <v>库存为0</v>
      </c>
      <c r="AV309" s="31" t="str">
        <f>IFERROR(时间!$B$4+AU309,"上周无销量")</f>
        <v>上周无销量</v>
      </c>
    </row>
    <row r="310" spans="1:48">
      <c r="A310" s="16" t="s">
        <v>626</v>
      </c>
      <c r="B310" t="s">
        <v>450</v>
      </c>
      <c r="C310" t="s">
        <v>625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15</v>
      </c>
      <c r="AK310">
        <v>10</v>
      </c>
      <c r="AL310">
        <v>9</v>
      </c>
      <c r="AM310">
        <v>13</v>
      </c>
      <c r="AN310" s="18">
        <v>0</v>
      </c>
      <c r="AO310" s="18">
        <v>0</v>
      </c>
      <c r="AP310" s="18">
        <v>0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627</v>
      </c>
      <c r="B311" t="s">
        <v>452</v>
      </c>
      <c r="C311" t="s">
        <v>625</v>
      </c>
      <c r="D311" s="24">
        <v>0</v>
      </c>
      <c r="E311" s="24">
        <v>0</v>
      </c>
      <c r="F311" s="24">
        <v>1</v>
      </c>
      <c r="G311" s="24">
        <v>0</v>
      </c>
      <c r="H311" s="25">
        <v>22.98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9196</v>
      </c>
      <c r="S311">
        <v>29014</v>
      </c>
      <c r="T311">
        <v>0</v>
      </c>
      <c r="U311">
        <v>0</v>
      </c>
      <c r="V311">
        <v>45</v>
      </c>
      <c r="W311">
        <v>141</v>
      </c>
      <c r="X311" s="18" t="s">
        <v>52</v>
      </c>
      <c r="Y311" s="18" t="s">
        <v>52</v>
      </c>
      <c r="Z311" s="18">
        <v>0.00489343192692475</v>
      </c>
      <c r="AA311" s="18">
        <v>0.00485972289239677</v>
      </c>
      <c r="AB311">
        <v>0</v>
      </c>
      <c r="AC311">
        <v>0</v>
      </c>
      <c r="AD311">
        <v>22.13</v>
      </c>
      <c r="AE311">
        <v>85.29</v>
      </c>
      <c r="AF311" s="18" t="s">
        <v>52</v>
      </c>
      <c r="AG311" s="18" t="s">
        <v>52</v>
      </c>
      <c r="AH311" s="18">
        <v>0.963011314186249</v>
      </c>
      <c r="AI311" s="18" t="s">
        <v>628</v>
      </c>
      <c r="AJ311">
        <v>26</v>
      </c>
      <c r="AK311">
        <v>37</v>
      </c>
      <c r="AL311">
        <v>36</v>
      </c>
      <c r="AM311">
        <v>48</v>
      </c>
      <c r="AN311" s="18">
        <v>0</v>
      </c>
      <c r="AO311" s="18">
        <v>0</v>
      </c>
      <c r="AP311" s="18">
        <v>0.0277777777777778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629</v>
      </c>
      <c r="B312" t="s">
        <v>454</v>
      </c>
      <c r="C312" t="s">
        <v>625</v>
      </c>
      <c r="D312" s="24">
        <v>0</v>
      </c>
      <c r="E312" s="24">
        <v>0</v>
      </c>
      <c r="F312" s="24">
        <v>1</v>
      </c>
      <c r="G312" s="24">
        <v>1</v>
      </c>
      <c r="H312" s="25">
        <v>22.98</v>
      </c>
      <c r="I312">
        <v>0</v>
      </c>
      <c r="J312" s="26">
        <v>0</v>
      </c>
      <c r="K312" s="26">
        <v>0</v>
      </c>
      <c r="L312" s="26">
        <v>0</v>
      </c>
      <c r="M312">
        <v>0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8</v>
      </c>
      <c r="AK312">
        <v>4</v>
      </c>
      <c r="AL312">
        <v>7</v>
      </c>
      <c r="AM312">
        <v>12</v>
      </c>
      <c r="AN312" s="18">
        <v>0</v>
      </c>
      <c r="AO312" s="18">
        <v>0</v>
      </c>
      <c r="AP312" s="18">
        <v>0.142857142857143</v>
      </c>
      <c r="AQ312" s="18">
        <v>0.0833333333333333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630</v>
      </c>
      <c r="B313" t="s">
        <v>456</v>
      </c>
      <c r="C313" t="s">
        <v>625</v>
      </c>
      <c r="D313" s="24">
        <v>0</v>
      </c>
      <c r="E313" s="24">
        <v>0</v>
      </c>
      <c r="F313" s="24">
        <v>0</v>
      </c>
      <c r="G313" s="24">
        <v>0</v>
      </c>
      <c r="H313" s="25">
        <v>0</v>
      </c>
      <c r="I313">
        <v>0</v>
      </c>
      <c r="J313" s="26">
        <v>0</v>
      </c>
      <c r="K313" s="26">
        <v>0</v>
      </c>
      <c r="L313" s="26">
        <v>0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16</v>
      </c>
      <c r="AK313">
        <v>10</v>
      </c>
      <c r="AL313">
        <v>11</v>
      </c>
      <c r="AM313">
        <v>10</v>
      </c>
      <c r="AN313" s="18">
        <v>0</v>
      </c>
      <c r="AO313" s="18">
        <v>0</v>
      </c>
      <c r="AP313" s="18">
        <v>0</v>
      </c>
      <c r="AQ313" s="18">
        <v>0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631</v>
      </c>
      <c r="B314" t="s">
        <v>458</v>
      </c>
      <c r="C314" t="s">
        <v>625</v>
      </c>
      <c r="D314" s="24">
        <v>1</v>
      </c>
      <c r="E314" s="24">
        <v>0</v>
      </c>
      <c r="F314" s="24">
        <v>0</v>
      </c>
      <c r="G314" s="24">
        <v>4</v>
      </c>
      <c r="H314" s="25">
        <v>22.98</v>
      </c>
      <c r="I314">
        <v>1</v>
      </c>
      <c r="J314" s="26">
        <v>0</v>
      </c>
      <c r="K314" s="26">
        <v>0</v>
      </c>
      <c r="L314" s="26">
        <v>0</v>
      </c>
      <c r="M314">
        <v>1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32</v>
      </c>
      <c r="AK314">
        <v>24</v>
      </c>
      <c r="AL314">
        <v>11</v>
      </c>
      <c r="AM314">
        <v>14</v>
      </c>
      <c r="AN314" s="18">
        <v>0.03125</v>
      </c>
      <c r="AO314" s="18">
        <v>0</v>
      </c>
      <c r="AP314" s="18">
        <v>0</v>
      </c>
      <c r="AQ314" s="18">
        <v>0.285714285714286</v>
      </c>
      <c r="AR314" s="29">
        <v>0.142857142857143</v>
      </c>
      <c r="AS314" s="29">
        <v>8.57142857142857</v>
      </c>
      <c r="AT314" s="29">
        <v>-7.57142857142857</v>
      </c>
      <c r="AU314" s="24">
        <f t="shared" si="5"/>
        <v>7</v>
      </c>
      <c r="AV314" s="31">
        <f>IFERROR(时间!$B$4+AU314,"上周无销量")</f>
        <v>43325</v>
      </c>
    </row>
    <row r="315" spans="1:48">
      <c r="A315" s="16" t="s">
        <v>632</v>
      </c>
      <c r="B315" t="s">
        <v>460</v>
      </c>
      <c r="C315" t="s">
        <v>625</v>
      </c>
      <c r="D315" s="24">
        <v>3</v>
      </c>
      <c r="E315" s="24">
        <v>0</v>
      </c>
      <c r="F315" s="24">
        <v>0</v>
      </c>
      <c r="G315" s="24">
        <v>0</v>
      </c>
      <c r="H315" s="25">
        <v>22.98</v>
      </c>
      <c r="I315">
        <v>0</v>
      </c>
      <c r="J315" s="26">
        <v>0</v>
      </c>
      <c r="K315" s="26">
        <v>0</v>
      </c>
      <c r="L315" s="26">
        <v>0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17</v>
      </c>
      <c r="AK315">
        <v>15</v>
      </c>
      <c r="AL315">
        <v>9</v>
      </c>
      <c r="AM315">
        <v>14</v>
      </c>
      <c r="AN315" s="18">
        <v>0.176470588235294</v>
      </c>
      <c r="AO315" s="18">
        <v>0</v>
      </c>
      <c r="AP315" s="18">
        <v>0</v>
      </c>
      <c r="AQ315" s="18">
        <v>0</v>
      </c>
      <c r="AR315" s="29">
        <v>0.428571428571429</v>
      </c>
      <c r="AS315" s="29">
        <v>25.7142857142857</v>
      </c>
      <c r="AT315" s="29">
        <v>-25.7142857142857</v>
      </c>
      <c r="AU315" s="24">
        <f t="shared" si="5"/>
        <v>0</v>
      </c>
      <c r="AV315" s="31">
        <f>IFERROR(时间!$B$4+AU315,"上周无销量")</f>
        <v>43318</v>
      </c>
    </row>
    <row r="316" spans="1:48">
      <c r="A316" s="16" t="s">
        <v>633</v>
      </c>
      <c r="B316" t="s">
        <v>462</v>
      </c>
      <c r="C316" t="s">
        <v>625</v>
      </c>
      <c r="D316" s="24">
        <v>0</v>
      </c>
      <c r="E316" s="24">
        <v>0</v>
      </c>
      <c r="F316" s="24">
        <v>0</v>
      </c>
      <c r="G316" s="24">
        <v>0</v>
      </c>
      <c r="H316" s="25">
        <v>0</v>
      </c>
      <c r="I316">
        <v>0</v>
      </c>
      <c r="J316" s="26">
        <v>0</v>
      </c>
      <c r="K316" s="26">
        <v>0</v>
      </c>
      <c r="L316" s="26">
        <v>0</v>
      </c>
      <c r="M316">
        <v>0</v>
      </c>
      <c r="N316">
        <v>0</v>
      </c>
      <c r="O316">
        <v>0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9</v>
      </c>
      <c r="AK316">
        <v>5</v>
      </c>
      <c r="AL316">
        <v>7</v>
      </c>
      <c r="AM316">
        <v>17</v>
      </c>
      <c r="AN316" s="18">
        <v>0</v>
      </c>
      <c r="AO316" s="18">
        <v>0</v>
      </c>
      <c r="AP316" s="18">
        <v>0</v>
      </c>
      <c r="AQ316" s="18">
        <v>0</v>
      </c>
      <c r="AR316" s="29">
        <v>0</v>
      </c>
      <c r="AS316" s="29">
        <v>0</v>
      </c>
      <c r="AT316" s="29">
        <v>0</v>
      </c>
      <c r="AU316" s="24" t="str">
        <f t="shared" si="5"/>
        <v>库存为0</v>
      </c>
      <c r="AV316" s="31" t="str">
        <f>IFERROR(时间!$B$4+AU316,"上周无销量")</f>
        <v>上周无销量</v>
      </c>
    </row>
    <row r="317" spans="1:48">
      <c r="A317" s="16" t="s">
        <v>634</v>
      </c>
      <c r="B317" t="s">
        <v>464</v>
      </c>
      <c r="C317" t="s">
        <v>625</v>
      </c>
      <c r="D317" s="24">
        <v>1</v>
      </c>
      <c r="E317" s="24">
        <v>1</v>
      </c>
      <c r="F317" s="24">
        <v>0</v>
      </c>
      <c r="G317" s="24">
        <v>0</v>
      </c>
      <c r="H317" s="25">
        <v>22.98</v>
      </c>
      <c r="I317">
        <v>2</v>
      </c>
      <c r="J317" s="26">
        <v>0</v>
      </c>
      <c r="K317" s="26">
        <v>0</v>
      </c>
      <c r="L317" s="26">
        <v>0</v>
      </c>
      <c r="M317">
        <v>2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21</v>
      </c>
      <c r="AK317">
        <v>14</v>
      </c>
      <c r="AL317">
        <v>5</v>
      </c>
      <c r="AM317">
        <v>6</v>
      </c>
      <c r="AN317" s="18">
        <v>0.0476190476190476</v>
      </c>
      <c r="AO317" s="18">
        <v>0.0714285714285714</v>
      </c>
      <c r="AP317" s="18">
        <v>0</v>
      </c>
      <c r="AQ317" s="18">
        <v>0</v>
      </c>
      <c r="AR317" s="29">
        <v>0.142857142857143</v>
      </c>
      <c r="AS317" s="29">
        <v>8.57142857142857</v>
      </c>
      <c r="AT317" s="29">
        <v>-6.57142857142857</v>
      </c>
      <c r="AU317" s="24">
        <f t="shared" si="5"/>
        <v>14</v>
      </c>
      <c r="AV317" s="31">
        <f>IFERROR(时间!$B$4+AU317,"上周无销量")</f>
        <v>43332</v>
      </c>
    </row>
    <row r="318" spans="1:48">
      <c r="A318" s="16" t="s">
        <v>635</v>
      </c>
      <c r="B318" t="s">
        <v>466</v>
      </c>
      <c r="C318" t="s">
        <v>625</v>
      </c>
      <c r="D318" s="24">
        <v>1</v>
      </c>
      <c r="E318" s="24">
        <v>0</v>
      </c>
      <c r="F318" s="24">
        <v>0</v>
      </c>
      <c r="G318" s="24">
        <v>0</v>
      </c>
      <c r="H318" s="25">
        <v>22.98</v>
      </c>
      <c r="I318">
        <v>1</v>
      </c>
      <c r="J318" s="26">
        <v>0</v>
      </c>
      <c r="K318" s="26">
        <v>0</v>
      </c>
      <c r="L318" s="26">
        <v>0</v>
      </c>
      <c r="M318">
        <v>1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8</v>
      </c>
      <c r="AK318">
        <v>8</v>
      </c>
      <c r="AL318">
        <v>7</v>
      </c>
      <c r="AM318">
        <v>5</v>
      </c>
      <c r="AN318" s="18">
        <v>0.125</v>
      </c>
      <c r="AO318" s="18">
        <v>0</v>
      </c>
      <c r="AP318" s="18">
        <v>0</v>
      </c>
      <c r="AQ318" s="18">
        <v>0</v>
      </c>
      <c r="AR318" s="29">
        <v>0.142857142857143</v>
      </c>
      <c r="AS318" s="29">
        <v>8.57142857142857</v>
      </c>
      <c r="AT318" s="29">
        <v>-7.57142857142857</v>
      </c>
      <c r="AU318" s="24">
        <f t="shared" si="5"/>
        <v>7</v>
      </c>
      <c r="AV318" s="31">
        <f>IFERROR(时间!$B$4+AU318,"上周无销量")</f>
        <v>43325</v>
      </c>
    </row>
    <row r="319" spans="1:48">
      <c r="A319" s="16" t="s">
        <v>636</v>
      </c>
      <c r="B319" t="s">
        <v>468</v>
      </c>
      <c r="C319" t="s">
        <v>625</v>
      </c>
      <c r="D319" s="24">
        <v>3</v>
      </c>
      <c r="E319" s="24">
        <v>2</v>
      </c>
      <c r="F319" s="24">
        <v>0</v>
      </c>
      <c r="G319" s="24">
        <v>0</v>
      </c>
      <c r="H319" s="25">
        <v>22.98</v>
      </c>
      <c r="I319">
        <v>2</v>
      </c>
      <c r="J319" s="26">
        <v>0</v>
      </c>
      <c r="K319" s="26">
        <v>0</v>
      </c>
      <c r="L319" s="26">
        <v>1</v>
      </c>
      <c r="M319">
        <v>3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18</v>
      </c>
      <c r="AK319">
        <v>13</v>
      </c>
      <c r="AL319">
        <v>6</v>
      </c>
      <c r="AM319">
        <v>3</v>
      </c>
      <c r="AN319" s="18">
        <v>0.166666666666667</v>
      </c>
      <c r="AO319" s="18">
        <v>0.153846153846154</v>
      </c>
      <c r="AP319" s="18">
        <v>0</v>
      </c>
      <c r="AQ319" s="18">
        <v>0</v>
      </c>
      <c r="AR319" s="29">
        <v>0.428571428571429</v>
      </c>
      <c r="AS319" s="29">
        <v>25.7142857142857</v>
      </c>
      <c r="AT319" s="29">
        <v>-22.7142857142857</v>
      </c>
      <c r="AU319" s="24">
        <f t="shared" si="5"/>
        <v>7</v>
      </c>
      <c r="AV319" s="31">
        <f>IFERROR(时间!$B$4+AU319,"上周无销量")</f>
        <v>43325</v>
      </c>
    </row>
    <row r="320" spans="1:48">
      <c r="A320" s="16" t="s">
        <v>637</v>
      </c>
      <c r="B320" t="s">
        <v>470</v>
      </c>
      <c r="C320" t="s">
        <v>625</v>
      </c>
      <c r="D320" s="24">
        <v>0</v>
      </c>
      <c r="E320" s="24">
        <v>0</v>
      </c>
      <c r="F320" s="24">
        <v>0</v>
      </c>
      <c r="G320" s="24">
        <v>0</v>
      </c>
      <c r="H320" s="25">
        <v>0</v>
      </c>
      <c r="I320">
        <v>0</v>
      </c>
      <c r="J320" s="26">
        <v>0</v>
      </c>
      <c r="K320" s="26">
        <v>0</v>
      </c>
      <c r="L320" s="26">
        <v>0</v>
      </c>
      <c r="M320">
        <v>0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6</v>
      </c>
      <c r="AK320">
        <v>5</v>
      </c>
      <c r="AL320">
        <v>6</v>
      </c>
      <c r="AM320">
        <v>2</v>
      </c>
      <c r="AN320" s="18">
        <v>0</v>
      </c>
      <c r="AO320" s="18">
        <v>0</v>
      </c>
      <c r="AP320" s="18">
        <v>0</v>
      </c>
      <c r="AQ320" s="18">
        <v>0</v>
      </c>
      <c r="AR320" s="29">
        <v>0</v>
      </c>
      <c r="AS320" s="29">
        <v>0</v>
      </c>
      <c r="AT320" s="29">
        <v>0</v>
      </c>
      <c r="AU320" s="24" t="str">
        <f t="shared" si="5"/>
        <v>库存为0</v>
      </c>
      <c r="AV320" s="31" t="str">
        <f>IFERROR(时间!$B$4+AU320,"上周无销量")</f>
        <v>上周无销量</v>
      </c>
    </row>
    <row r="321" spans="1:48">
      <c r="A321" s="16" t="s">
        <v>638</v>
      </c>
      <c r="B321" t="s">
        <v>472</v>
      </c>
      <c r="C321" t="s">
        <v>625</v>
      </c>
      <c r="D321" s="24">
        <v>0</v>
      </c>
      <c r="E321" s="24">
        <v>0</v>
      </c>
      <c r="F321" s="24">
        <v>0</v>
      </c>
      <c r="G321" s="24">
        <v>0</v>
      </c>
      <c r="H321" s="25">
        <v>0</v>
      </c>
      <c r="I321">
        <v>0</v>
      </c>
      <c r="J321" s="26">
        <v>0</v>
      </c>
      <c r="K321" s="26">
        <v>0</v>
      </c>
      <c r="L321" s="26">
        <v>0</v>
      </c>
      <c r="M321">
        <v>0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10</v>
      </c>
      <c r="AK321">
        <v>8</v>
      </c>
      <c r="AL321">
        <v>6</v>
      </c>
      <c r="AM321">
        <v>5</v>
      </c>
      <c r="AN321" s="18">
        <v>0</v>
      </c>
      <c r="AO321" s="18">
        <v>0</v>
      </c>
      <c r="AP321" s="18">
        <v>0</v>
      </c>
      <c r="AQ321" s="18">
        <v>0</v>
      </c>
      <c r="AR321" s="29">
        <v>0</v>
      </c>
      <c r="AS321" s="29">
        <v>0</v>
      </c>
      <c r="AT321" s="29">
        <v>0</v>
      </c>
      <c r="AU321" s="24" t="str">
        <f t="shared" si="5"/>
        <v>库存为0</v>
      </c>
      <c r="AV321" s="31" t="str">
        <f>IFERROR(时间!$B$4+AU321,"上周无销量")</f>
        <v>上周无销量</v>
      </c>
    </row>
    <row r="322" spans="1:48">
      <c r="A322" s="16" t="s">
        <v>639</v>
      </c>
      <c r="B322" t="s">
        <v>474</v>
      </c>
      <c r="C322" t="s">
        <v>625</v>
      </c>
      <c r="D322" s="24">
        <v>0</v>
      </c>
      <c r="E322" s="24">
        <v>0</v>
      </c>
      <c r="F322" s="24">
        <v>0</v>
      </c>
      <c r="G322" s="24">
        <v>0</v>
      </c>
      <c r="H322" s="25">
        <v>0</v>
      </c>
      <c r="I322">
        <v>2</v>
      </c>
      <c r="J322" s="26">
        <v>0</v>
      </c>
      <c r="K322" s="26">
        <v>0</v>
      </c>
      <c r="L322" s="26">
        <v>0</v>
      </c>
      <c r="M322">
        <v>2</v>
      </c>
      <c r="N322">
        <v>0</v>
      </c>
      <c r="O322">
        <v>2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28</v>
      </c>
      <c r="AK322">
        <v>32</v>
      </c>
      <c r="AL322">
        <v>10</v>
      </c>
      <c r="AM322">
        <v>4</v>
      </c>
      <c r="AN322" s="18">
        <v>0</v>
      </c>
      <c r="AO322" s="18">
        <v>0</v>
      </c>
      <c r="AP322" s="18">
        <v>0</v>
      </c>
      <c r="AQ322" s="18">
        <v>0</v>
      </c>
      <c r="AR322" s="29">
        <v>0</v>
      </c>
      <c r="AS322" s="29">
        <v>0</v>
      </c>
      <c r="AT322" s="29">
        <v>2</v>
      </c>
      <c r="AU322" s="24" t="str">
        <f t="shared" si="5"/>
        <v>库存为2</v>
      </c>
      <c r="AV322" s="31" t="str">
        <f>IFERROR(时间!$B$4+AU322,"上周无销量")</f>
        <v>上周无销量</v>
      </c>
    </row>
    <row r="323" spans="1:48">
      <c r="A323" s="16" t="s">
        <v>640</v>
      </c>
      <c r="B323" t="s">
        <v>476</v>
      </c>
      <c r="C323" t="s">
        <v>625</v>
      </c>
      <c r="D323" s="24">
        <v>2</v>
      </c>
      <c r="E323" s="24">
        <v>0</v>
      </c>
      <c r="F323" s="24">
        <v>1</v>
      </c>
      <c r="G323" s="24">
        <v>0</v>
      </c>
      <c r="H323" s="25">
        <v>22.98</v>
      </c>
      <c r="I323">
        <v>2</v>
      </c>
      <c r="J323" s="26">
        <v>0</v>
      </c>
      <c r="K323" s="26">
        <v>0</v>
      </c>
      <c r="L323" s="26">
        <v>0</v>
      </c>
      <c r="M323">
        <v>2</v>
      </c>
      <c r="N323">
        <v>0</v>
      </c>
      <c r="O323">
        <v>1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9</v>
      </c>
      <c r="AK323">
        <v>6</v>
      </c>
      <c r="AL323">
        <v>5</v>
      </c>
      <c r="AM323">
        <v>5</v>
      </c>
      <c r="AN323" s="18">
        <v>0.222222222222222</v>
      </c>
      <c r="AO323" s="18">
        <v>0</v>
      </c>
      <c r="AP323" s="18">
        <v>0.2</v>
      </c>
      <c r="AQ323" s="18">
        <v>0</v>
      </c>
      <c r="AR323" s="29">
        <v>0.285714285714286</v>
      </c>
      <c r="AS323" s="29">
        <v>17.1428571428571</v>
      </c>
      <c r="AT323" s="29">
        <v>-15.1428571428571</v>
      </c>
      <c r="AU323" s="24">
        <f t="shared" si="5"/>
        <v>7</v>
      </c>
      <c r="AV323" s="31">
        <f>IFERROR(时间!$B$4+AU323,"上周无销量")</f>
        <v>43325</v>
      </c>
    </row>
    <row r="324" spans="1:48">
      <c r="A324" s="16" t="s">
        <v>641</v>
      </c>
      <c r="B324" t="s">
        <v>478</v>
      </c>
      <c r="C324" t="s">
        <v>625</v>
      </c>
      <c r="D324" s="24">
        <v>0</v>
      </c>
      <c r="E324" s="24">
        <v>0</v>
      </c>
      <c r="F324" s="24">
        <v>0</v>
      </c>
      <c r="G324" s="24">
        <v>0</v>
      </c>
      <c r="H324" s="25">
        <v>0</v>
      </c>
      <c r="I324">
        <v>6</v>
      </c>
      <c r="J324" s="26">
        <v>0</v>
      </c>
      <c r="K324" s="26">
        <v>0</v>
      </c>
      <c r="L324" s="26">
        <v>0</v>
      </c>
      <c r="M324">
        <v>6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28</v>
      </c>
      <c r="AK324">
        <v>22</v>
      </c>
      <c r="AL324">
        <v>11</v>
      </c>
      <c r="AM324">
        <v>8</v>
      </c>
      <c r="AN324" s="18">
        <v>0</v>
      </c>
      <c r="AO324" s="18">
        <v>0</v>
      </c>
      <c r="AP324" s="18">
        <v>0</v>
      </c>
      <c r="AQ324" s="18">
        <v>0</v>
      </c>
      <c r="AR324" s="29">
        <v>0</v>
      </c>
      <c r="AS324" s="29">
        <v>0</v>
      </c>
      <c r="AT324" s="29">
        <v>6</v>
      </c>
      <c r="AU324" s="24" t="str">
        <f t="shared" si="5"/>
        <v>库存为6</v>
      </c>
      <c r="AV324" s="31" t="str">
        <f>IFERROR(时间!$B$4+AU324,"上周无销量")</f>
        <v>上周无销量</v>
      </c>
    </row>
    <row r="325" spans="1:48">
      <c r="A325" s="16" t="s">
        <v>642</v>
      </c>
      <c r="B325" t="s">
        <v>480</v>
      </c>
      <c r="C325" t="s">
        <v>625</v>
      </c>
      <c r="D325" s="24">
        <v>1</v>
      </c>
      <c r="E325" s="24">
        <v>0</v>
      </c>
      <c r="F325" s="24">
        <v>0</v>
      </c>
      <c r="G325" s="24">
        <v>0</v>
      </c>
      <c r="H325" s="25">
        <v>22.98</v>
      </c>
      <c r="I325">
        <v>1</v>
      </c>
      <c r="J325" s="26">
        <v>0</v>
      </c>
      <c r="K325" s="26">
        <v>0</v>
      </c>
      <c r="L325" s="26">
        <v>0</v>
      </c>
      <c r="M325">
        <v>1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12</v>
      </c>
      <c r="AK325">
        <v>13</v>
      </c>
      <c r="AL325">
        <v>6</v>
      </c>
      <c r="AM325">
        <v>6</v>
      </c>
      <c r="AN325" s="18">
        <v>0.0833333333333333</v>
      </c>
      <c r="AO325" s="18">
        <v>0</v>
      </c>
      <c r="AP325" s="18">
        <v>0</v>
      </c>
      <c r="AQ325" s="18">
        <v>0</v>
      </c>
      <c r="AR325" s="29">
        <v>0.142857142857143</v>
      </c>
      <c r="AS325" s="29">
        <v>8.57142857142857</v>
      </c>
      <c r="AT325" s="29">
        <v>-7.57142857142857</v>
      </c>
      <c r="AU325" s="24">
        <f t="shared" si="5"/>
        <v>7</v>
      </c>
      <c r="AV325" s="31">
        <f>IFERROR(时间!$B$4+AU325,"上周无销量")</f>
        <v>43325</v>
      </c>
    </row>
    <row r="326" spans="1:49">
      <c r="A326" s="16" t="s">
        <v>643</v>
      </c>
      <c r="B326" t="s">
        <v>482</v>
      </c>
      <c r="C326" t="s">
        <v>625</v>
      </c>
      <c r="D326" s="24">
        <v>0</v>
      </c>
      <c r="E326" s="24">
        <v>0</v>
      </c>
      <c r="F326" s="24">
        <v>0</v>
      </c>
      <c r="G326" s="24">
        <v>0</v>
      </c>
      <c r="H326" s="25">
        <v>0</v>
      </c>
      <c r="I326">
        <v>0</v>
      </c>
      <c r="J326" s="26">
        <v>0</v>
      </c>
      <c r="K326" s="26">
        <v>0</v>
      </c>
      <c r="L326" s="26">
        <v>0</v>
      </c>
      <c r="M326">
        <v>0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9</v>
      </c>
      <c r="AK326">
        <v>8</v>
      </c>
      <c r="AL326">
        <v>7</v>
      </c>
      <c r="AM326">
        <v>7</v>
      </c>
      <c r="AN326" s="18">
        <v>0</v>
      </c>
      <c r="AO326" s="18">
        <v>0</v>
      </c>
      <c r="AP326" s="18">
        <v>0</v>
      </c>
      <c r="AQ326" s="18">
        <v>0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644</v>
      </c>
      <c r="B327" t="s">
        <v>484</v>
      </c>
      <c r="C327" t="s">
        <v>625</v>
      </c>
      <c r="D327" s="24">
        <v>0</v>
      </c>
      <c r="E327" s="24">
        <v>0</v>
      </c>
      <c r="F327" s="24">
        <v>1</v>
      </c>
      <c r="G327" s="24">
        <v>0</v>
      </c>
      <c r="H327" s="25">
        <v>22.98</v>
      </c>
      <c r="I327">
        <v>10</v>
      </c>
      <c r="J327" s="26">
        <v>0</v>
      </c>
      <c r="K327" s="26">
        <v>0</v>
      </c>
      <c r="L327" s="26">
        <v>0</v>
      </c>
      <c r="M327">
        <v>10</v>
      </c>
      <c r="N327">
        <v>0</v>
      </c>
      <c r="O327">
        <v>1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10</v>
      </c>
      <c r="AK327">
        <v>10</v>
      </c>
      <c r="AL327">
        <v>8</v>
      </c>
      <c r="AM327">
        <v>4</v>
      </c>
      <c r="AN327" s="18">
        <v>0</v>
      </c>
      <c r="AO327" s="18">
        <v>0</v>
      </c>
      <c r="AP327" s="18">
        <v>0.125</v>
      </c>
      <c r="AQ327" s="18">
        <v>0</v>
      </c>
      <c r="AR327" s="29">
        <v>0</v>
      </c>
      <c r="AS327" s="29">
        <v>0</v>
      </c>
      <c r="AT327" s="29">
        <v>10</v>
      </c>
      <c r="AU327" s="24" t="str">
        <f t="shared" si="6"/>
        <v>库存为10</v>
      </c>
      <c r="AV327" s="31" t="str">
        <f>IFERROR(时间!$B$4+AU327,"上周无销量")</f>
        <v>上周无销量</v>
      </c>
    </row>
    <row r="328" spans="1:48">
      <c r="A328" s="16" t="s">
        <v>645</v>
      </c>
      <c r="B328" t="s">
        <v>486</v>
      </c>
      <c r="C328" t="s">
        <v>625</v>
      </c>
      <c r="D328" s="24">
        <v>0</v>
      </c>
      <c r="E328" s="24">
        <v>0</v>
      </c>
      <c r="F328" s="24">
        <v>0</v>
      </c>
      <c r="G328" s="24">
        <v>0</v>
      </c>
      <c r="H328" s="25">
        <v>0</v>
      </c>
      <c r="I328">
        <v>6</v>
      </c>
      <c r="J328" s="26">
        <v>0</v>
      </c>
      <c r="K328" s="26">
        <v>0</v>
      </c>
      <c r="L328" s="26">
        <v>0</v>
      </c>
      <c r="M328">
        <v>6</v>
      </c>
      <c r="N328">
        <v>0</v>
      </c>
      <c r="O328">
        <v>4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3</v>
      </c>
      <c r="AK328">
        <v>5</v>
      </c>
      <c r="AL328">
        <v>7</v>
      </c>
      <c r="AM328">
        <v>1</v>
      </c>
      <c r="AN328" s="18">
        <v>0</v>
      </c>
      <c r="AO328" s="18">
        <v>0</v>
      </c>
      <c r="AP328" s="18">
        <v>0</v>
      </c>
      <c r="AQ328" s="18">
        <v>0</v>
      </c>
      <c r="AR328" s="29">
        <v>0</v>
      </c>
      <c r="AS328" s="29">
        <v>0</v>
      </c>
      <c r="AT328" s="29">
        <v>6</v>
      </c>
      <c r="AU328" s="24" t="str">
        <f t="shared" si="6"/>
        <v>库存为6</v>
      </c>
      <c r="AV328" s="31" t="str">
        <f>IFERROR(时间!$B$4+AU328,"上周无销量")</f>
        <v>上周无销量</v>
      </c>
    </row>
    <row r="329" spans="1:48">
      <c r="A329" s="16" t="s">
        <v>646</v>
      </c>
      <c r="B329" t="s">
        <v>488</v>
      </c>
      <c r="C329" t="s">
        <v>625</v>
      </c>
      <c r="D329" s="24">
        <v>0</v>
      </c>
      <c r="E329" s="24">
        <v>1</v>
      </c>
      <c r="F329" s="24">
        <v>1</v>
      </c>
      <c r="G329" s="24">
        <v>1</v>
      </c>
      <c r="H329" s="25">
        <v>22.98</v>
      </c>
      <c r="I329">
        <v>1</v>
      </c>
      <c r="J329" s="26">
        <v>0</v>
      </c>
      <c r="K329" s="26">
        <v>0</v>
      </c>
      <c r="L329" s="26">
        <v>0</v>
      </c>
      <c r="M329">
        <v>1</v>
      </c>
      <c r="N329">
        <v>0</v>
      </c>
      <c r="O329">
        <v>1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17</v>
      </c>
      <c r="AK329">
        <v>16</v>
      </c>
      <c r="AL329">
        <v>8</v>
      </c>
      <c r="AM329">
        <v>8</v>
      </c>
      <c r="AN329" s="18">
        <v>0</v>
      </c>
      <c r="AO329" s="18">
        <v>0.0625</v>
      </c>
      <c r="AP329" s="18">
        <v>0.125</v>
      </c>
      <c r="AQ329" s="18">
        <v>0.125</v>
      </c>
      <c r="AR329" s="29">
        <v>0</v>
      </c>
      <c r="AS329" s="29">
        <v>0</v>
      </c>
      <c r="AT329" s="29">
        <v>1</v>
      </c>
      <c r="AU329" s="24" t="str">
        <f t="shared" si="6"/>
        <v>库存为1</v>
      </c>
      <c r="AV329" s="31" t="str">
        <f>IFERROR(时间!$B$4+AU329,"上周无销量")</f>
        <v>上周无销量</v>
      </c>
    </row>
    <row r="330" spans="1:48">
      <c r="A330" s="16" t="s">
        <v>647</v>
      </c>
      <c r="B330" t="s">
        <v>490</v>
      </c>
      <c r="C330" t="s">
        <v>625</v>
      </c>
      <c r="D330" s="24">
        <v>1</v>
      </c>
      <c r="E330" s="24">
        <v>0</v>
      </c>
      <c r="F330" s="24">
        <v>1</v>
      </c>
      <c r="G330" s="24">
        <v>0</v>
      </c>
      <c r="H330" s="25">
        <v>22.98</v>
      </c>
      <c r="I330">
        <v>0</v>
      </c>
      <c r="J330" s="26">
        <v>0</v>
      </c>
      <c r="K330" s="26">
        <v>0</v>
      </c>
      <c r="L330" s="26">
        <v>0</v>
      </c>
      <c r="M330">
        <v>0</v>
      </c>
      <c r="N330">
        <v>0</v>
      </c>
      <c r="O330">
        <v>1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6</v>
      </c>
      <c r="AK330">
        <v>15</v>
      </c>
      <c r="AL330">
        <v>9</v>
      </c>
      <c r="AM330">
        <v>12</v>
      </c>
      <c r="AN330" s="18">
        <v>0.166666666666667</v>
      </c>
      <c r="AO330" s="18">
        <v>0</v>
      </c>
      <c r="AP330" s="18">
        <v>0.111111111111111</v>
      </c>
      <c r="AQ330" s="18">
        <v>0</v>
      </c>
      <c r="AR330" s="29">
        <v>0.142857142857143</v>
      </c>
      <c r="AS330" s="29">
        <v>8.57142857142857</v>
      </c>
      <c r="AT330" s="29">
        <v>-8.57142857142857</v>
      </c>
      <c r="AU330" s="24">
        <f t="shared" si="6"/>
        <v>0</v>
      </c>
      <c r="AV330" s="31">
        <f>IFERROR(时间!$B$4+AU330,"上周无销量")</f>
        <v>43318</v>
      </c>
    </row>
    <row r="331" spans="1:48">
      <c r="A331" s="16" t="s">
        <v>648</v>
      </c>
      <c r="B331" t="s">
        <v>492</v>
      </c>
      <c r="C331" t="s">
        <v>625</v>
      </c>
      <c r="D331" s="24">
        <v>1</v>
      </c>
      <c r="E331" s="24">
        <v>0</v>
      </c>
      <c r="F331" s="24">
        <v>0</v>
      </c>
      <c r="G331" s="24">
        <v>0</v>
      </c>
      <c r="H331" s="25">
        <v>19.98</v>
      </c>
      <c r="I331">
        <v>0</v>
      </c>
      <c r="J331" s="26">
        <v>0</v>
      </c>
      <c r="K331" s="26">
        <v>0</v>
      </c>
      <c r="L331" s="26">
        <v>0</v>
      </c>
      <c r="M331">
        <v>0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9</v>
      </c>
      <c r="AK331">
        <v>6</v>
      </c>
      <c r="AL331">
        <v>6</v>
      </c>
      <c r="AM331">
        <v>5</v>
      </c>
      <c r="AN331" s="18">
        <v>0.111111111111111</v>
      </c>
      <c r="AO331" s="18">
        <v>0</v>
      </c>
      <c r="AP331" s="18">
        <v>0</v>
      </c>
      <c r="AQ331" s="18">
        <v>0</v>
      </c>
      <c r="AR331" s="29">
        <v>0.142857142857143</v>
      </c>
      <c r="AS331" s="29">
        <v>8.57142857142857</v>
      </c>
      <c r="AT331" s="29">
        <v>-8.57142857142857</v>
      </c>
      <c r="AU331" s="24">
        <f t="shared" si="6"/>
        <v>0</v>
      </c>
      <c r="AV331" s="31">
        <f>IFERROR(时间!$B$4+AU331,"上周无销量")</f>
        <v>43318</v>
      </c>
    </row>
    <row r="332" spans="1:48">
      <c r="A332" s="16" t="s">
        <v>649</v>
      </c>
      <c r="B332" t="s">
        <v>494</v>
      </c>
      <c r="C332" t="s">
        <v>625</v>
      </c>
      <c r="D332" s="24">
        <v>0</v>
      </c>
      <c r="E332" s="24">
        <v>0</v>
      </c>
      <c r="F332" s="24">
        <v>1</v>
      </c>
      <c r="G332" s="24">
        <v>2</v>
      </c>
      <c r="H332" s="25">
        <v>22.98</v>
      </c>
      <c r="I332">
        <v>1</v>
      </c>
      <c r="J332" s="26">
        <v>0</v>
      </c>
      <c r="K332" s="26">
        <v>0</v>
      </c>
      <c r="L332" s="26">
        <v>1</v>
      </c>
      <c r="M332">
        <v>2</v>
      </c>
      <c r="N332">
        <v>0</v>
      </c>
      <c r="O332">
        <v>3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7</v>
      </c>
      <c r="AK332">
        <v>10</v>
      </c>
      <c r="AL332">
        <v>11</v>
      </c>
      <c r="AM332">
        <v>7</v>
      </c>
      <c r="AN332" s="18">
        <v>0</v>
      </c>
      <c r="AO332" s="18">
        <v>0</v>
      </c>
      <c r="AP332" s="18">
        <v>0.0909090909090909</v>
      </c>
      <c r="AQ332" s="18">
        <v>0.285714285714286</v>
      </c>
      <c r="AR332" s="29">
        <v>0</v>
      </c>
      <c r="AS332" s="29">
        <v>0</v>
      </c>
      <c r="AT332" s="29">
        <v>2</v>
      </c>
      <c r="AU332" s="24" t="str">
        <f t="shared" si="6"/>
        <v>库存为2</v>
      </c>
      <c r="AV332" s="31" t="str">
        <f>IFERROR(时间!$B$4+AU332,"上周无销量")</f>
        <v>上周无销量</v>
      </c>
    </row>
    <row r="333" spans="1:48">
      <c r="A333" s="16" t="s">
        <v>650</v>
      </c>
      <c r="B333" t="s">
        <v>496</v>
      </c>
      <c r="C333" t="s">
        <v>625</v>
      </c>
      <c r="D333" s="24">
        <v>2</v>
      </c>
      <c r="E333" s="24">
        <v>1</v>
      </c>
      <c r="F333" s="24">
        <v>1</v>
      </c>
      <c r="G333" s="24">
        <v>0</v>
      </c>
      <c r="H333" s="25">
        <v>22.98</v>
      </c>
      <c r="I333">
        <v>2</v>
      </c>
      <c r="J333" s="26">
        <v>0</v>
      </c>
      <c r="K333" s="26">
        <v>0</v>
      </c>
      <c r="L333" s="26">
        <v>0</v>
      </c>
      <c r="M333">
        <v>2</v>
      </c>
      <c r="N333">
        <v>0</v>
      </c>
      <c r="O333">
        <v>1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8</v>
      </c>
      <c r="AK333">
        <v>5</v>
      </c>
      <c r="AL333">
        <v>7</v>
      </c>
      <c r="AM333">
        <v>11</v>
      </c>
      <c r="AN333" s="18">
        <v>0.25</v>
      </c>
      <c r="AO333" s="18">
        <v>0.2</v>
      </c>
      <c r="AP333" s="18">
        <v>0.142857142857143</v>
      </c>
      <c r="AQ333" s="18">
        <v>0</v>
      </c>
      <c r="AR333" s="29">
        <v>0.285714285714286</v>
      </c>
      <c r="AS333" s="29">
        <v>17.1428571428571</v>
      </c>
      <c r="AT333" s="29">
        <v>-15.1428571428571</v>
      </c>
      <c r="AU333" s="24">
        <f t="shared" si="6"/>
        <v>7</v>
      </c>
      <c r="AV333" s="31">
        <f>IFERROR(时间!$B$4+AU333,"上周无销量")</f>
        <v>43325</v>
      </c>
    </row>
    <row r="334" spans="1:48">
      <c r="A334" s="16" t="s">
        <v>651</v>
      </c>
      <c r="B334" t="s">
        <v>498</v>
      </c>
      <c r="C334" t="s">
        <v>625</v>
      </c>
      <c r="D334" s="24">
        <v>0</v>
      </c>
      <c r="E334" s="24">
        <v>0</v>
      </c>
      <c r="F334" s="24">
        <v>3</v>
      </c>
      <c r="G334" s="24">
        <v>1</v>
      </c>
      <c r="H334" s="25">
        <v>22.98</v>
      </c>
      <c r="I334">
        <v>1</v>
      </c>
      <c r="J334" s="26">
        <v>0</v>
      </c>
      <c r="K334" s="26">
        <v>0</v>
      </c>
      <c r="L334" s="26">
        <v>0</v>
      </c>
      <c r="M334">
        <v>1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19</v>
      </c>
      <c r="AK334">
        <v>17</v>
      </c>
      <c r="AL334">
        <v>12</v>
      </c>
      <c r="AM334">
        <v>14</v>
      </c>
      <c r="AN334" s="18">
        <v>0</v>
      </c>
      <c r="AO334" s="18">
        <v>0</v>
      </c>
      <c r="AP334" s="18">
        <v>0.25</v>
      </c>
      <c r="AQ334" s="18">
        <v>0.0714285714285714</v>
      </c>
      <c r="AR334" s="29">
        <v>0</v>
      </c>
      <c r="AS334" s="29">
        <v>0</v>
      </c>
      <c r="AT334" s="29">
        <v>1</v>
      </c>
      <c r="AU334" s="24" t="str">
        <f t="shared" si="6"/>
        <v>库存为1</v>
      </c>
      <c r="AV334" s="31" t="str">
        <f>IFERROR(时间!$B$4+AU334,"上周无销量")</f>
        <v>上周无销量</v>
      </c>
    </row>
    <row r="335" spans="1:48">
      <c r="A335" s="16" t="s">
        <v>652</v>
      </c>
      <c r="B335" t="s">
        <v>500</v>
      </c>
      <c r="C335" t="s">
        <v>625</v>
      </c>
      <c r="D335" s="24">
        <v>1</v>
      </c>
      <c r="E335" s="24">
        <v>0</v>
      </c>
      <c r="F335" s="24">
        <v>0</v>
      </c>
      <c r="G335" s="24">
        <v>1</v>
      </c>
      <c r="H335" s="25">
        <v>22.98</v>
      </c>
      <c r="I335">
        <v>0</v>
      </c>
      <c r="J335" s="26">
        <v>0</v>
      </c>
      <c r="K335" s="26">
        <v>0</v>
      </c>
      <c r="L335" s="26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6828</v>
      </c>
      <c r="S335">
        <v>58782</v>
      </c>
      <c r="T335">
        <v>0</v>
      </c>
      <c r="U335">
        <v>0</v>
      </c>
      <c r="V335">
        <v>31</v>
      </c>
      <c r="W335">
        <v>170</v>
      </c>
      <c r="X335" s="18" t="s">
        <v>52</v>
      </c>
      <c r="Y335" s="18" t="s">
        <v>52</v>
      </c>
      <c r="Z335" s="18">
        <v>0.00454012888107791</v>
      </c>
      <c r="AA335" s="18">
        <v>0.00289204178149774</v>
      </c>
      <c r="AB335">
        <v>0</v>
      </c>
      <c r="AC335">
        <v>0</v>
      </c>
      <c r="AD335">
        <v>17.71</v>
      </c>
      <c r="AE335">
        <v>111.15</v>
      </c>
      <c r="AF335" s="18" t="s">
        <v>52</v>
      </c>
      <c r="AG335" s="18" t="s">
        <v>52</v>
      </c>
      <c r="AH335" s="18" t="s">
        <v>653</v>
      </c>
      <c r="AI335" s="18">
        <v>4.83681462140992</v>
      </c>
      <c r="AJ335">
        <v>17</v>
      </c>
      <c r="AK335">
        <v>4</v>
      </c>
      <c r="AL335">
        <v>0</v>
      </c>
      <c r="AM335">
        <v>25</v>
      </c>
      <c r="AN335" s="18">
        <v>0.0588235294117647</v>
      </c>
      <c r="AO335" s="18">
        <v>0</v>
      </c>
      <c r="AP335" s="18" t="s">
        <v>52</v>
      </c>
      <c r="AQ335" s="18">
        <v>0.04</v>
      </c>
      <c r="AR335" s="29">
        <v>0.142857142857143</v>
      </c>
      <c r="AS335" s="29">
        <v>8.57142857142857</v>
      </c>
      <c r="AT335" s="29">
        <v>-8.57142857142857</v>
      </c>
      <c r="AU335" s="24">
        <f t="shared" si="6"/>
        <v>0</v>
      </c>
      <c r="AV335" s="31">
        <f>IFERROR(时间!$B$4+AU335,"上周无销量")</f>
        <v>43318</v>
      </c>
    </row>
    <row r="336" spans="1:48">
      <c r="A336" s="16" t="s">
        <v>654</v>
      </c>
      <c r="B336" t="s">
        <v>502</v>
      </c>
      <c r="C336" t="s">
        <v>625</v>
      </c>
      <c r="D336" s="24">
        <v>0</v>
      </c>
      <c r="E336" s="24">
        <v>0</v>
      </c>
      <c r="F336" s="24">
        <v>1</v>
      </c>
      <c r="G336" s="24">
        <v>0</v>
      </c>
      <c r="H336" s="25">
        <v>19.98</v>
      </c>
      <c r="I336">
        <v>0</v>
      </c>
      <c r="J336" s="26">
        <v>0</v>
      </c>
      <c r="K336" s="26">
        <v>0</v>
      </c>
      <c r="L336" s="26">
        <v>0</v>
      </c>
      <c r="M336">
        <v>0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0</v>
      </c>
      <c r="AK336">
        <v>2</v>
      </c>
      <c r="AL336">
        <v>18</v>
      </c>
      <c r="AM336">
        <v>11</v>
      </c>
      <c r="AN336" s="18" t="s">
        <v>52</v>
      </c>
      <c r="AO336" s="18">
        <v>0</v>
      </c>
      <c r="AP336" s="18">
        <v>0.0555555555555556</v>
      </c>
      <c r="AQ336" s="18">
        <v>0</v>
      </c>
      <c r="AR336" s="29">
        <v>0</v>
      </c>
      <c r="AS336" s="29">
        <v>0</v>
      </c>
      <c r="AT336" s="29">
        <v>0</v>
      </c>
      <c r="AU336" s="24" t="str">
        <f t="shared" si="6"/>
        <v>库存为0</v>
      </c>
      <c r="AV336" s="31" t="str">
        <f>IFERROR(时间!$B$4+AU336,"上周无销量")</f>
        <v>上周无销量</v>
      </c>
    </row>
    <row r="337" spans="1:48">
      <c r="A337" s="16" t="s">
        <v>655</v>
      </c>
      <c r="B337" t="s">
        <v>504</v>
      </c>
      <c r="C337" t="s">
        <v>625</v>
      </c>
      <c r="D337" s="24">
        <v>0</v>
      </c>
      <c r="E337" s="24">
        <v>0</v>
      </c>
      <c r="F337" s="24">
        <v>2</v>
      </c>
      <c r="G337" s="24">
        <v>0</v>
      </c>
      <c r="H337" s="25">
        <v>22.98</v>
      </c>
      <c r="I337">
        <v>0</v>
      </c>
      <c r="J337" s="26">
        <v>0</v>
      </c>
      <c r="K337" s="26">
        <v>0</v>
      </c>
      <c r="L337" s="26">
        <v>0</v>
      </c>
      <c r="M337">
        <v>0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16</v>
      </c>
      <c r="AK337">
        <v>11</v>
      </c>
      <c r="AL337">
        <v>5</v>
      </c>
      <c r="AM337">
        <v>2</v>
      </c>
      <c r="AN337" s="18">
        <v>0</v>
      </c>
      <c r="AO337" s="18">
        <v>0</v>
      </c>
      <c r="AP337" s="18">
        <v>0.4</v>
      </c>
      <c r="AQ337" s="18">
        <v>0</v>
      </c>
      <c r="AR337" s="29">
        <v>0</v>
      </c>
      <c r="AS337" s="29">
        <v>0</v>
      </c>
      <c r="AT337" s="29">
        <v>0</v>
      </c>
      <c r="AU337" s="24" t="str">
        <f t="shared" si="6"/>
        <v>库存为0</v>
      </c>
      <c r="AV337" s="31" t="str">
        <f>IFERROR(时间!$B$4+AU337,"上周无销量")</f>
        <v>上周无销量</v>
      </c>
    </row>
    <row r="338" spans="1:48">
      <c r="A338" s="16" t="s">
        <v>656</v>
      </c>
      <c r="B338" t="s">
        <v>506</v>
      </c>
      <c r="C338" t="s">
        <v>625</v>
      </c>
      <c r="D338" s="24">
        <v>1</v>
      </c>
      <c r="E338" s="24">
        <v>0</v>
      </c>
      <c r="F338" s="24">
        <v>0</v>
      </c>
      <c r="G338" s="24">
        <v>1</v>
      </c>
      <c r="H338" s="25">
        <v>22.98</v>
      </c>
      <c r="I338">
        <v>0</v>
      </c>
      <c r="J338" s="26">
        <v>0</v>
      </c>
      <c r="K338" s="26">
        <v>0</v>
      </c>
      <c r="L338" s="26">
        <v>0</v>
      </c>
      <c r="M338">
        <v>0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5</v>
      </c>
      <c r="AK338">
        <v>7</v>
      </c>
      <c r="AL338">
        <v>10</v>
      </c>
      <c r="AM338">
        <v>9</v>
      </c>
      <c r="AN338" s="18">
        <v>0.2</v>
      </c>
      <c r="AO338" s="18">
        <v>0</v>
      </c>
      <c r="AP338" s="18">
        <v>0</v>
      </c>
      <c r="AQ338" s="18">
        <v>0.111111111111111</v>
      </c>
      <c r="AR338" s="29">
        <v>0.142857142857143</v>
      </c>
      <c r="AS338" s="29">
        <v>8.57142857142857</v>
      </c>
      <c r="AT338" s="29">
        <v>-8.57142857142857</v>
      </c>
      <c r="AU338" s="24">
        <f t="shared" si="6"/>
        <v>0</v>
      </c>
      <c r="AV338" s="31">
        <f>IFERROR(时间!$B$4+AU338,"上周无销量")</f>
        <v>43318</v>
      </c>
    </row>
    <row r="339" spans="1:48">
      <c r="A339" s="16" t="s">
        <v>657</v>
      </c>
      <c r="B339" t="s">
        <v>658</v>
      </c>
      <c r="C339" t="s">
        <v>659</v>
      </c>
      <c r="D339" s="24">
        <v>0</v>
      </c>
      <c r="E339" s="24">
        <v>0</v>
      </c>
      <c r="F339" s="24">
        <v>0</v>
      </c>
      <c r="G339" s="24">
        <v>0</v>
      </c>
      <c r="H339" s="25">
        <v>0</v>
      </c>
      <c r="I339">
        <v>0</v>
      </c>
      <c r="J339" s="26">
        <v>0</v>
      </c>
      <c r="K339" s="26">
        <v>0</v>
      </c>
      <c r="L339" s="26">
        <v>0</v>
      </c>
      <c r="M339">
        <v>0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0</v>
      </c>
      <c r="AK339">
        <v>0</v>
      </c>
      <c r="AL339">
        <v>0</v>
      </c>
      <c r="AM339">
        <v>0</v>
      </c>
      <c r="AN339" s="18" t="s">
        <v>52</v>
      </c>
      <c r="AO339" s="18" t="s">
        <v>52</v>
      </c>
      <c r="AP339" s="18" t="s">
        <v>52</v>
      </c>
      <c r="AQ339" s="18" t="s">
        <v>52</v>
      </c>
      <c r="AR339" s="29">
        <v>0</v>
      </c>
      <c r="AS339" s="29">
        <v>0</v>
      </c>
      <c r="AT339" s="29">
        <v>0</v>
      </c>
      <c r="AU339" s="24" t="str">
        <f t="shared" si="6"/>
        <v>库存为0</v>
      </c>
      <c r="AV339" s="31" t="str">
        <f>IFERROR(时间!$B$4+AU339,"上周无销量")</f>
        <v>上周无销量</v>
      </c>
    </row>
    <row r="340" spans="1:48">
      <c r="A340" s="16" t="s">
        <v>660</v>
      </c>
      <c r="B340" t="s">
        <v>661</v>
      </c>
      <c r="C340" t="s">
        <v>659</v>
      </c>
      <c r="D340" s="24">
        <v>0</v>
      </c>
      <c r="E340" s="24">
        <v>0</v>
      </c>
      <c r="F340" s="24">
        <v>0</v>
      </c>
      <c r="G340" s="24">
        <v>0</v>
      </c>
      <c r="H340" s="25">
        <v>0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0</v>
      </c>
      <c r="AK340">
        <v>0</v>
      </c>
      <c r="AL340">
        <v>0</v>
      </c>
      <c r="AM340">
        <v>0</v>
      </c>
      <c r="AN340" s="18" t="s">
        <v>52</v>
      </c>
      <c r="AO340" s="18" t="s">
        <v>52</v>
      </c>
      <c r="AP340" s="18" t="s">
        <v>52</v>
      </c>
      <c r="AQ340" s="18" t="s">
        <v>52</v>
      </c>
      <c r="AR340" s="29">
        <v>0</v>
      </c>
      <c r="AS340" s="29">
        <v>0</v>
      </c>
      <c r="AT340" s="29">
        <v>0</v>
      </c>
      <c r="AU340" s="24" t="str">
        <f t="shared" si="6"/>
        <v>库存为0</v>
      </c>
      <c r="AV340" s="31" t="str">
        <f>IFERROR(时间!$B$4+AU340,"上周无销量")</f>
        <v>上周无销量</v>
      </c>
    </row>
    <row r="341" spans="1:48">
      <c r="A341" s="16" t="s">
        <v>662</v>
      </c>
      <c r="B341" t="s">
        <v>663</v>
      </c>
      <c r="C341" t="s">
        <v>659</v>
      </c>
      <c r="D341" s="24">
        <v>0</v>
      </c>
      <c r="E341" s="24">
        <v>0</v>
      </c>
      <c r="F341" s="24">
        <v>0</v>
      </c>
      <c r="G341" s="24">
        <v>0</v>
      </c>
      <c r="H341" s="25">
        <v>0</v>
      </c>
      <c r="I341">
        <v>0</v>
      </c>
      <c r="J341" s="26">
        <v>0</v>
      </c>
      <c r="K341" s="26">
        <v>0</v>
      </c>
      <c r="L341" s="26">
        <v>0</v>
      </c>
      <c r="M341">
        <v>0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0</v>
      </c>
      <c r="AK341">
        <v>0</v>
      </c>
      <c r="AL341">
        <v>0</v>
      </c>
      <c r="AM341">
        <v>0</v>
      </c>
      <c r="AN341" s="18" t="s">
        <v>52</v>
      </c>
      <c r="AO341" s="18" t="s">
        <v>52</v>
      </c>
      <c r="AP341" s="18" t="s">
        <v>52</v>
      </c>
      <c r="AQ341" s="18" t="s">
        <v>52</v>
      </c>
      <c r="AR341" s="29">
        <v>0</v>
      </c>
      <c r="AS341" s="29">
        <v>0</v>
      </c>
      <c r="AT341" s="29">
        <v>0</v>
      </c>
      <c r="AU341" s="24" t="str">
        <f t="shared" si="6"/>
        <v>库存为0</v>
      </c>
      <c r="AV341" s="31" t="str">
        <f>IFERROR(时间!$B$4+AU341,"上周无销量")</f>
        <v>上周无销量</v>
      </c>
    </row>
    <row r="342" spans="1:48">
      <c r="A342" s="16" t="s">
        <v>664</v>
      </c>
      <c r="B342" t="s">
        <v>665</v>
      </c>
      <c r="C342" t="s">
        <v>659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0</v>
      </c>
      <c r="J342" s="26">
        <v>0</v>
      </c>
      <c r="K342" s="26">
        <v>0</v>
      </c>
      <c r="L342" s="26">
        <v>0</v>
      </c>
      <c r="M342">
        <v>0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0</v>
      </c>
      <c r="AK342">
        <v>0</v>
      </c>
      <c r="AL342">
        <v>0</v>
      </c>
      <c r="AM342">
        <v>0</v>
      </c>
      <c r="AN342" s="18" t="s">
        <v>52</v>
      </c>
      <c r="AO342" s="18" t="s">
        <v>52</v>
      </c>
      <c r="AP342" s="18" t="s">
        <v>52</v>
      </c>
      <c r="AQ342" s="18" t="s">
        <v>52</v>
      </c>
      <c r="AR342" s="29">
        <v>0</v>
      </c>
      <c r="AS342" s="29">
        <v>0</v>
      </c>
      <c r="AT342" s="29">
        <v>0</v>
      </c>
      <c r="AU342" s="24" t="str">
        <f t="shared" si="6"/>
        <v>库存为0</v>
      </c>
      <c r="AV342" s="31" t="str">
        <f>IFERROR(时间!$B$4+AU342,"上周无销量")</f>
        <v>上周无销量</v>
      </c>
    </row>
    <row r="343" spans="1:48">
      <c r="A343" s="16" t="s">
        <v>666</v>
      </c>
      <c r="B343" t="s">
        <v>667</v>
      </c>
      <c r="C343" t="s">
        <v>659</v>
      </c>
      <c r="D343" s="24">
        <v>0</v>
      </c>
      <c r="E343" s="24">
        <v>0</v>
      </c>
      <c r="F343" s="24">
        <v>0</v>
      </c>
      <c r="G343" s="24">
        <v>0</v>
      </c>
      <c r="H343" s="25">
        <v>0</v>
      </c>
      <c r="I343">
        <v>0</v>
      </c>
      <c r="J343" s="26">
        <v>0</v>
      </c>
      <c r="K343" s="26">
        <v>0</v>
      </c>
      <c r="L343" s="26">
        <v>0</v>
      </c>
      <c r="M343">
        <v>0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0</v>
      </c>
      <c r="AK343">
        <v>0</v>
      </c>
      <c r="AL343">
        <v>0</v>
      </c>
      <c r="AM343">
        <v>0</v>
      </c>
      <c r="AN343" s="18" t="s">
        <v>52</v>
      </c>
      <c r="AO343" s="18" t="s">
        <v>52</v>
      </c>
      <c r="AP343" s="18" t="s">
        <v>52</v>
      </c>
      <c r="AQ343" s="18" t="s">
        <v>52</v>
      </c>
      <c r="AR343" s="29">
        <v>0</v>
      </c>
      <c r="AS343" s="29">
        <v>0</v>
      </c>
      <c r="AT343" s="29">
        <v>0</v>
      </c>
      <c r="AU343" s="24" t="str">
        <f t="shared" si="6"/>
        <v>库存为0</v>
      </c>
      <c r="AV343" s="31" t="str">
        <f>IFERROR(时间!$B$4+AU343,"上周无销量")</f>
        <v>上周无销量</v>
      </c>
    </row>
    <row r="344" spans="1:48">
      <c r="A344" s="16" t="s">
        <v>668</v>
      </c>
      <c r="B344" t="s">
        <v>669</v>
      </c>
      <c r="C344" t="s">
        <v>659</v>
      </c>
      <c r="D344" s="24">
        <v>0</v>
      </c>
      <c r="E344" s="24">
        <v>0</v>
      </c>
      <c r="F344" s="24">
        <v>0</v>
      </c>
      <c r="G344" s="24">
        <v>0</v>
      </c>
      <c r="H344" s="25">
        <v>0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670</v>
      </c>
      <c r="B345" t="s">
        <v>671</v>
      </c>
      <c r="C345" t="s">
        <v>659</v>
      </c>
      <c r="D345" s="24">
        <v>0</v>
      </c>
      <c r="E345" s="24">
        <v>0</v>
      </c>
      <c r="F345" s="24">
        <v>0</v>
      </c>
      <c r="G345" s="24">
        <v>0</v>
      </c>
      <c r="H345" s="25">
        <v>0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672</v>
      </c>
      <c r="B346" t="s">
        <v>673</v>
      </c>
      <c r="C346" t="s">
        <v>659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674</v>
      </c>
      <c r="B347" t="s">
        <v>675</v>
      </c>
      <c r="C347" t="s">
        <v>659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676</v>
      </c>
      <c r="B348" t="s">
        <v>677</v>
      </c>
      <c r="C348" t="s">
        <v>659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678</v>
      </c>
      <c r="B349" t="s">
        <v>679</v>
      </c>
      <c r="C349" t="s">
        <v>659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680</v>
      </c>
      <c r="B350" t="s">
        <v>681</v>
      </c>
      <c r="C350" t="s">
        <v>659</v>
      </c>
      <c r="D350" s="24">
        <v>0</v>
      </c>
      <c r="E350" s="24">
        <v>0</v>
      </c>
      <c r="F350" s="24">
        <v>0</v>
      </c>
      <c r="G350" s="24">
        <v>0</v>
      </c>
      <c r="H350" s="25">
        <v>0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682</v>
      </c>
      <c r="B351" t="s">
        <v>683</v>
      </c>
      <c r="C351" t="s">
        <v>659</v>
      </c>
      <c r="D351" s="24">
        <v>0</v>
      </c>
      <c r="E351" s="24">
        <v>0</v>
      </c>
      <c r="F351" s="24">
        <v>0</v>
      </c>
      <c r="G351" s="24">
        <v>0</v>
      </c>
      <c r="H351" s="25">
        <v>0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</v>
      </c>
      <c r="AS351" s="29">
        <v>0</v>
      </c>
      <c r="AT351" s="29">
        <v>0</v>
      </c>
      <c r="AU351" s="24" t="str">
        <f t="shared" si="6"/>
        <v>库存为0</v>
      </c>
      <c r="AV351" s="31" t="str">
        <f>IFERROR(时间!$B$4+AU351,"上周无销量")</f>
        <v>上周无销量</v>
      </c>
    </row>
    <row r="352" spans="1:48">
      <c r="A352" s="16" t="s">
        <v>684</v>
      </c>
      <c r="B352" t="s">
        <v>685</v>
      </c>
      <c r="C352" t="s">
        <v>659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686</v>
      </c>
      <c r="B353" t="s">
        <v>687</v>
      </c>
      <c r="C353" t="s">
        <v>659</v>
      </c>
      <c r="D353" s="24">
        <v>0</v>
      </c>
      <c r="E353" s="24">
        <v>0</v>
      </c>
      <c r="F353" s="24">
        <v>0</v>
      </c>
      <c r="G353" s="24">
        <v>0</v>
      </c>
      <c r="H353" s="25">
        <v>0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688</v>
      </c>
      <c r="B354" t="s">
        <v>689</v>
      </c>
      <c r="C354" t="s">
        <v>659</v>
      </c>
      <c r="D354" s="24">
        <v>0</v>
      </c>
      <c r="E354" s="24">
        <v>0</v>
      </c>
      <c r="F354" s="24">
        <v>0</v>
      </c>
      <c r="G354" s="24">
        <v>0</v>
      </c>
      <c r="H354" s="25">
        <v>0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690</v>
      </c>
      <c r="B355" t="s">
        <v>691</v>
      </c>
      <c r="C355" t="s">
        <v>659</v>
      </c>
      <c r="D355" s="24">
        <v>0</v>
      </c>
      <c r="E355" s="24">
        <v>0</v>
      </c>
      <c r="F355" s="24">
        <v>0</v>
      </c>
      <c r="G355" s="24">
        <v>0</v>
      </c>
      <c r="H355" s="25">
        <v>0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</v>
      </c>
      <c r="AS355" s="29">
        <v>0</v>
      </c>
      <c r="AT355" s="29">
        <v>0</v>
      </c>
      <c r="AU355" s="24" t="str">
        <f t="shared" si="6"/>
        <v>库存为0</v>
      </c>
      <c r="AV355" s="31" t="str">
        <f>IFERROR(时间!$B$4+AU355,"上周无销量")</f>
        <v>上周无销量</v>
      </c>
    </row>
    <row r="356" spans="1:48">
      <c r="A356" s="16" t="s">
        <v>692</v>
      </c>
      <c r="B356" t="s">
        <v>693</v>
      </c>
      <c r="C356" t="s">
        <v>659</v>
      </c>
      <c r="D356" s="24">
        <v>0</v>
      </c>
      <c r="E356" s="24">
        <v>0</v>
      </c>
      <c r="F356" s="24">
        <v>0</v>
      </c>
      <c r="G356" s="24">
        <v>0</v>
      </c>
      <c r="H356" s="25">
        <v>0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694</v>
      </c>
      <c r="B357" t="s">
        <v>695</v>
      </c>
      <c r="C357" t="s">
        <v>659</v>
      </c>
      <c r="D357" s="24">
        <v>0</v>
      </c>
      <c r="E357" s="24">
        <v>0</v>
      </c>
      <c r="F357" s="24">
        <v>0</v>
      </c>
      <c r="G357" s="24">
        <v>0</v>
      </c>
      <c r="H357" s="25">
        <v>0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696</v>
      </c>
      <c r="B358" t="s">
        <v>697</v>
      </c>
      <c r="C358" t="s">
        <v>659</v>
      </c>
      <c r="D358" s="24">
        <v>0</v>
      </c>
      <c r="E358" s="24">
        <v>0</v>
      </c>
      <c r="F358" s="24">
        <v>0</v>
      </c>
      <c r="G358" s="24">
        <v>0</v>
      </c>
      <c r="H358" s="25">
        <v>0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</v>
      </c>
      <c r="AS358" s="29">
        <v>0</v>
      </c>
      <c r="AT358" s="29">
        <v>0</v>
      </c>
      <c r="AU358" s="24" t="str">
        <f t="shared" si="6"/>
        <v>库存为0</v>
      </c>
      <c r="AV358" s="31" t="str">
        <f>IFERROR(时间!$B$4+AU358,"上周无销量")</f>
        <v>上周无销量</v>
      </c>
    </row>
    <row r="359" spans="1:48">
      <c r="A359" s="16" t="s">
        <v>698</v>
      </c>
      <c r="B359" t="s">
        <v>699</v>
      </c>
      <c r="C359" t="s">
        <v>659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700</v>
      </c>
      <c r="B360" t="s">
        <v>701</v>
      </c>
      <c r="C360" t="s">
        <v>659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702</v>
      </c>
      <c r="B361" t="s">
        <v>703</v>
      </c>
      <c r="C361" t="s">
        <v>659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704</v>
      </c>
      <c r="B362" t="s">
        <v>705</v>
      </c>
      <c r="C362" t="s">
        <v>659</v>
      </c>
      <c r="D362" s="24">
        <v>0</v>
      </c>
      <c r="E362" s="24">
        <v>0</v>
      </c>
      <c r="F362" s="24">
        <v>0</v>
      </c>
      <c r="G362" s="24">
        <v>0</v>
      </c>
      <c r="H362" s="25">
        <v>0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706</v>
      </c>
      <c r="B363" t="s">
        <v>707</v>
      </c>
      <c r="C363" t="s">
        <v>659</v>
      </c>
      <c r="D363" s="24">
        <v>0</v>
      </c>
      <c r="E363" s="24">
        <v>0</v>
      </c>
      <c r="F363" s="24">
        <v>0</v>
      </c>
      <c r="G363" s="24">
        <v>0</v>
      </c>
      <c r="H363" s="25">
        <v>0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708</v>
      </c>
      <c r="B364" t="s">
        <v>709</v>
      </c>
      <c r="C364" t="s">
        <v>659</v>
      </c>
      <c r="D364" s="24">
        <v>0</v>
      </c>
      <c r="E364" s="24">
        <v>0</v>
      </c>
      <c r="F364" s="24">
        <v>0</v>
      </c>
      <c r="G364" s="24">
        <v>0</v>
      </c>
      <c r="H364" s="25">
        <v>0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710</v>
      </c>
      <c r="B365" t="s">
        <v>711</v>
      </c>
      <c r="C365" t="s">
        <v>659</v>
      </c>
      <c r="D365" s="24">
        <v>0</v>
      </c>
      <c r="E365" s="24">
        <v>0</v>
      </c>
      <c r="F365" s="24">
        <v>0</v>
      </c>
      <c r="G365" s="24">
        <v>0</v>
      </c>
      <c r="H365" s="25">
        <v>0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712</v>
      </c>
      <c r="B366" t="s">
        <v>713</v>
      </c>
      <c r="C366" t="s">
        <v>659</v>
      </c>
      <c r="D366" s="24">
        <v>0</v>
      </c>
      <c r="E366" s="24">
        <v>0</v>
      </c>
      <c r="F366" s="24">
        <v>0</v>
      </c>
      <c r="G366" s="24">
        <v>0</v>
      </c>
      <c r="H366" s="25">
        <v>0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714</v>
      </c>
      <c r="B367" t="s">
        <v>715</v>
      </c>
      <c r="C367" t="s">
        <v>659</v>
      </c>
      <c r="D367" s="24">
        <v>0</v>
      </c>
      <c r="E367" s="24">
        <v>0</v>
      </c>
      <c r="F367" s="24">
        <v>0</v>
      </c>
      <c r="G367" s="24">
        <v>0</v>
      </c>
      <c r="H367" s="25">
        <v>0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716</v>
      </c>
      <c r="B368" t="s">
        <v>717</v>
      </c>
      <c r="C368" t="s">
        <v>659</v>
      </c>
      <c r="D368" s="24">
        <v>0</v>
      </c>
      <c r="E368" s="24">
        <v>0</v>
      </c>
      <c r="F368" s="24">
        <v>0</v>
      </c>
      <c r="G368" s="24">
        <v>0</v>
      </c>
      <c r="H368" s="25">
        <v>0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718</v>
      </c>
      <c r="B369" t="s">
        <v>719</v>
      </c>
      <c r="C369" t="s">
        <v>659</v>
      </c>
      <c r="D369" s="24">
        <v>0</v>
      </c>
      <c r="E369" s="24">
        <v>0</v>
      </c>
      <c r="F369" s="24">
        <v>0</v>
      </c>
      <c r="G369" s="24">
        <v>0</v>
      </c>
      <c r="H369" s="25">
        <v>0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720</v>
      </c>
      <c r="B370" t="s">
        <v>721</v>
      </c>
      <c r="C370" t="s">
        <v>659</v>
      </c>
      <c r="D370" s="24">
        <v>0</v>
      </c>
      <c r="E370" s="24">
        <v>0</v>
      </c>
      <c r="F370" s="24">
        <v>0</v>
      </c>
      <c r="G370" s="24">
        <v>0</v>
      </c>
      <c r="H370" s="25">
        <v>0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722</v>
      </c>
      <c r="B371" t="s">
        <v>723</v>
      </c>
      <c r="C371" t="s">
        <v>659</v>
      </c>
      <c r="D371" s="24">
        <v>0</v>
      </c>
      <c r="E371" s="24">
        <v>0</v>
      </c>
      <c r="F371" s="24">
        <v>0</v>
      </c>
      <c r="G371" s="24">
        <v>0</v>
      </c>
      <c r="H371" s="25">
        <v>0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724</v>
      </c>
      <c r="B372" t="s">
        <v>725</v>
      </c>
      <c r="C372" t="s">
        <v>659</v>
      </c>
      <c r="D372" s="24">
        <v>0</v>
      </c>
      <c r="E372" s="24">
        <v>0</v>
      </c>
      <c r="F372" s="24">
        <v>0</v>
      </c>
      <c r="G372" s="24">
        <v>0</v>
      </c>
      <c r="H372" s="25">
        <v>0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726</v>
      </c>
      <c r="B373" t="s">
        <v>727</v>
      </c>
      <c r="C373" t="s">
        <v>659</v>
      </c>
      <c r="D373" s="24">
        <v>0</v>
      </c>
      <c r="E373" s="24">
        <v>0</v>
      </c>
      <c r="F373" s="24">
        <v>0</v>
      </c>
      <c r="G373" s="24">
        <v>0</v>
      </c>
      <c r="H373" s="25">
        <v>0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728</v>
      </c>
      <c r="B374" t="s">
        <v>729</v>
      </c>
      <c r="C374" t="s">
        <v>730</v>
      </c>
      <c r="D374" s="24">
        <v>0</v>
      </c>
      <c r="E374" s="24">
        <v>1</v>
      </c>
      <c r="F374" s="24">
        <v>1</v>
      </c>
      <c r="G374" s="24">
        <v>0</v>
      </c>
      <c r="H374" s="25">
        <v>35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731</v>
      </c>
      <c r="B375" t="s">
        <v>732</v>
      </c>
      <c r="C375" t="s">
        <v>730</v>
      </c>
      <c r="D375" s="24">
        <v>0</v>
      </c>
      <c r="E375" s="24">
        <v>0</v>
      </c>
      <c r="F375" s="24">
        <v>1</v>
      </c>
      <c r="G375" s="24">
        <v>0</v>
      </c>
      <c r="H375" s="25">
        <v>35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</v>
      </c>
      <c r="AS375" s="29">
        <v>0</v>
      </c>
      <c r="AT375" s="29">
        <v>0</v>
      </c>
      <c r="AU375" s="24" t="str">
        <f t="shared" si="6"/>
        <v>库存为0</v>
      </c>
      <c r="AV375" s="31" t="str">
        <f>IFERROR(时间!$B$4+AU375,"上周无销量")</f>
        <v>上周无销量</v>
      </c>
    </row>
    <row r="376" spans="1:48">
      <c r="A376" s="16" t="s">
        <v>733</v>
      </c>
      <c r="B376" t="s">
        <v>734</v>
      </c>
      <c r="C376" t="s">
        <v>730</v>
      </c>
      <c r="D376" s="24">
        <v>0</v>
      </c>
      <c r="E376" s="24">
        <v>0</v>
      </c>
      <c r="F376" s="24">
        <v>0</v>
      </c>
      <c r="G376" s="24">
        <v>0</v>
      </c>
      <c r="H376" s="25">
        <v>0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</v>
      </c>
      <c r="AS376" s="29">
        <v>0</v>
      </c>
      <c r="AT376" s="29">
        <v>0</v>
      </c>
      <c r="AU376" s="24" t="str">
        <f t="shared" si="6"/>
        <v>库存为0</v>
      </c>
      <c r="AV376" s="31" t="str">
        <f>IFERROR(时间!$B$4+AU376,"上周无销量")</f>
        <v>上周无销量</v>
      </c>
    </row>
    <row r="377" spans="1:48">
      <c r="A377" s="16" t="s">
        <v>735</v>
      </c>
      <c r="B377" t="s">
        <v>736</v>
      </c>
      <c r="C377" t="s">
        <v>730</v>
      </c>
      <c r="D377" s="24">
        <v>1</v>
      </c>
      <c r="E377" s="24">
        <v>1</v>
      </c>
      <c r="F377" s="24">
        <v>3</v>
      </c>
      <c r="G377" s="24">
        <v>0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0.142857142857143</v>
      </c>
      <c r="AS377" s="29">
        <v>8.57142857142857</v>
      </c>
      <c r="AT377" s="29">
        <v>-8.57142857142857</v>
      </c>
      <c r="AU377" s="24">
        <f t="shared" si="6"/>
        <v>0</v>
      </c>
      <c r="AV377" s="31">
        <f>IFERROR(时间!$B$4+AU377,"上周无销量")</f>
        <v>43318</v>
      </c>
    </row>
    <row r="378" spans="1:48">
      <c r="A378" s="16" t="s">
        <v>737</v>
      </c>
      <c r="B378" t="s">
        <v>738</v>
      </c>
      <c r="C378" t="s">
        <v>730</v>
      </c>
      <c r="D378" s="24">
        <v>1</v>
      </c>
      <c r="E378" s="24">
        <v>0</v>
      </c>
      <c r="F378" s="24">
        <v>4</v>
      </c>
      <c r="G378" s="24">
        <v>0</v>
      </c>
      <c r="H378" s="25">
        <v>35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0.142857142857143</v>
      </c>
      <c r="AS378" s="29">
        <v>8.57142857142857</v>
      </c>
      <c r="AT378" s="29">
        <v>-8.57142857142857</v>
      </c>
      <c r="AU378" s="24">
        <f t="shared" si="6"/>
        <v>0</v>
      </c>
      <c r="AV378" s="31">
        <f>IFERROR(时间!$B$4+AU378,"上周无销量")</f>
        <v>43318</v>
      </c>
    </row>
    <row r="379" spans="1:48">
      <c r="A379" s="16" t="s">
        <v>739</v>
      </c>
      <c r="B379" t="s">
        <v>740</v>
      </c>
      <c r="C379" t="s">
        <v>730</v>
      </c>
      <c r="D379" s="24">
        <v>1</v>
      </c>
      <c r="E379" s="24">
        <v>0</v>
      </c>
      <c r="F379" s="24">
        <v>1</v>
      </c>
      <c r="G379" s="24">
        <v>0</v>
      </c>
      <c r="H379" s="25">
        <v>35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0.142857142857143</v>
      </c>
      <c r="AS379" s="29">
        <v>8.57142857142857</v>
      </c>
      <c r="AT379" s="29">
        <v>-8.57142857142857</v>
      </c>
      <c r="AU379" s="24">
        <f t="shared" si="6"/>
        <v>0</v>
      </c>
      <c r="AV379" s="31">
        <f>IFERROR(时间!$B$4+AU379,"上周无销量")</f>
        <v>43318</v>
      </c>
    </row>
    <row r="380" spans="1:48">
      <c r="A380" s="16" t="s">
        <v>741</v>
      </c>
      <c r="B380" t="s">
        <v>742</v>
      </c>
      <c r="C380" t="s">
        <v>730</v>
      </c>
      <c r="D380" s="24">
        <v>0</v>
      </c>
      <c r="E380" s="24">
        <v>0</v>
      </c>
      <c r="F380" s="24">
        <v>2</v>
      </c>
      <c r="G380" s="24">
        <v>0</v>
      </c>
      <c r="H380" s="25">
        <v>35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</v>
      </c>
      <c r="AS380" s="29">
        <v>0</v>
      </c>
      <c r="AT380" s="29">
        <v>0</v>
      </c>
      <c r="AU380" s="24" t="str">
        <f t="shared" si="6"/>
        <v>库存为0</v>
      </c>
      <c r="AV380" s="31" t="str">
        <f>IFERROR(时间!$B$4+AU380,"上周无销量")</f>
        <v>上周无销量</v>
      </c>
    </row>
    <row r="381" spans="1:48">
      <c r="A381" s="16" t="s">
        <v>743</v>
      </c>
      <c r="B381" t="s">
        <v>744</v>
      </c>
      <c r="C381" t="s">
        <v>730</v>
      </c>
      <c r="D381" s="24">
        <v>0</v>
      </c>
      <c r="E381" s="24">
        <v>0</v>
      </c>
      <c r="F381" s="24">
        <v>0</v>
      </c>
      <c r="G381" s="24">
        <v>0</v>
      </c>
      <c r="H381" s="25">
        <v>0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</v>
      </c>
      <c r="AS381" s="29">
        <v>0</v>
      </c>
      <c r="AT381" s="29">
        <v>0</v>
      </c>
      <c r="AU381" s="24" t="str">
        <f t="shared" si="6"/>
        <v>库存为0</v>
      </c>
      <c r="AV381" s="31" t="str">
        <f>IFERROR(时间!$B$4+AU381,"上周无销量")</f>
        <v>上周无销量</v>
      </c>
    </row>
    <row r="382" spans="1:48">
      <c r="A382" s="16" t="s">
        <v>745</v>
      </c>
      <c r="B382" t="s">
        <v>746</v>
      </c>
      <c r="C382" t="s">
        <v>730</v>
      </c>
      <c r="D382" s="24">
        <v>1</v>
      </c>
      <c r="E382" s="24">
        <v>1</v>
      </c>
      <c r="F382" s="24">
        <v>1</v>
      </c>
      <c r="G382" s="24">
        <v>0</v>
      </c>
      <c r="H382" s="25">
        <v>35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0.142857142857143</v>
      </c>
      <c r="AS382" s="29">
        <v>8.57142857142857</v>
      </c>
      <c r="AT382" s="29">
        <v>-8.57142857142857</v>
      </c>
      <c r="AU382" s="24">
        <f t="shared" si="6"/>
        <v>0</v>
      </c>
      <c r="AV382" s="31">
        <f>IFERROR(时间!$B$4+AU382,"上周无销量")</f>
        <v>43318</v>
      </c>
    </row>
    <row r="383" spans="1:48">
      <c r="A383" s="16" t="s">
        <v>747</v>
      </c>
      <c r="B383" t="s">
        <v>748</v>
      </c>
      <c r="C383" t="s">
        <v>730</v>
      </c>
      <c r="D383" s="24">
        <v>0</v>
      </c>
      <c r="E383" s="24">
        <v>0</v>
      </c>
      <c r="F383" s="24">
        <v>1</v>
      </c>
      <c r="G383" s="24">
        <v>1</v>
      </c>
      <c r="H383" s="25">
        <v>35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</v>
      </c>
      <c r="AS383" s="29">
        <v>0</v>
      </c>
      <c r="AT383" s="29">
        <v>0</v>
      </c>
      <c r="AU383" s="24" t="str">
        <f t="shared" si="6"/>
        <v>库存为0</v>
      </c>
      <c r="AV383" s="31" t="str">
        <f>IFERROR(时间!$B$4+AU383,"上周无销量")</f>
        <v>上周无销量</v>
      </c>
    </row>
    <row r="384" spans="1:48">
      <c r="A384" s="16" t="s">
        <v>749</v>
      </c>
      <c r="B384" t="s">
        <v>750</v>
      </c>
      <c r="C384" t="s">
        <v>730</v>
      </c>
      <c r="D384" s="24">
        <v>1</v>
      </c>
      <c r="E384" s="24">
        <v>1</v>
      </c>
      <c r="F384" s="24">
        <v>2</v>
      </c>
      <c r="G384" s="24">
        <v>0</v>
      </c>
      <c r="H384" s="25">
        <v>35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0.142857142857143</v>
      </c>
      <c r="AS384" s="29">
        <v>8.57142857142857</v>
      </c>
      <c r="AT384" s="29">
        <v>-8.57142857142857</v>
      </c>
      <c r="AU384" s="24">
        <f t="shared" si="6"/>
        <v>0</v>
      </c>
      <c r="AV384" s="31">
        <f>IFERROR(时间!$B$4+AU384,"上周无销量")</f>
        <v>43318</v>
      </c>
    </row>
    <row r="385" spans="1:48">
      <c r="A385" s="16" t="s">
        <v>751</v>
      </c>
      <c r="B385" t="s">
        <v>752</v>
      </c>
      <c r="C385" t="s">
        <v>730</v>
      </c>
      <c r="D385" s="24">
        <v>0</v>
      </c>
      <c r="E385" s="24">
        <v>1</v>
      </c>
      <c r="F385" s="24">
        <v>6</v>
      </c>
      <c r="G385" s="24">
        <v>1</v>
      </c>
      <c r="H385" s="25">
        <v>35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753</v>
      </c>
      <c r="B386" t="s">
        <v>754</v>
      </c>
      <c r="C386" t="s">
        <v>730</v>
      </c>
      <c r="D386" s="24">
        <v>0</v>
      </c>
      <c r="E386" s="24">
        <v>0</v>
      </c>
      <c r="F386" s="24">
        <v>0</v>
      </c>
      <c r="G386" s="24">
        <v>0</v>
      </c>
      <c r="H386" s="25">
        <v>0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755</v>
      </c>
      <c r="B387" t="s">
        <v>756</v>
      </c>
      <c r="C387" t="s">
        <v>730</v>
      </c>
      <c r="D387" s="24">
        <v>1</v>
      </c>
      <c r="E387" s="24">
        <v>0</v>
      </c>
      <c r="F387" s="24">
        <v>2</v>
      </c>
      <c r="G387" s="24">
        <v>2</v>
      </c>
      <c r="H387" s="25">
        <v>35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0.142857142857143</v>
      </c>
      <c r="AS387" s="29">
        <v>8.57142857142857</v>
      </c>
      <c r="AT387" s="29">
        <v>-8.57142857142857</v>
      </c>
      <c r="AU387" s="24">
        <f t="shared" si="6"/>
        <v>0</v>
      </c>
      <c r="AV387" s="31">
        <f>IFERROR(时间!$B$4+AU387,"上周无销量")</f>
        <v>43318</v>
      </c>
    </row>
    <row r="388" spans="1:48">
      <c r="A388" s="16" t="s">
        <v>757</v>
      </c>
      <c r="B388" t="s">
        <v>758</v>
      </c>
      <c r="C388" t="s">
        <v>730</v>
      </c>
      <c r="D388" s="24">
        <v>0</v>
      </c>
      <c r="E388" s="24">
        <v>0</v>
      </c>
      <c r="F388" s="24">
        <v>3</v>
      </c>
      <c r="G388" s="24">
        <v>2</v>
      </c>
      <c r="H388" s="25">
        <v>35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759</v>
      </c>
      <c r="B389" t="s">
        <v>760</v>
      </c>
      <c r="C389" t="s">
        <v>730</v>
      </c>
      <c r="D389" s="24">
        <v>1</v>
      </c>
      <c r="E389" s="24">
        <v>0</v>
      </c>
      <c r="F389" s="24">
        <v>0</v>
      </c>
      <c r="G389" s="24">
        <v>0</v>
      </c>
      <c r="H389" s="25">
        <v>35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0.142857142857143</v>
      </c>
      <c r="AS389" s="29">
        <v>8.57142857142857</v>
      </c>
      <c r="AT389" s="29">
        <v>-8.57142857142857</v>
      </c>
      <c r="AU389" s="24">
        <f t="shared" si="6"/>
        <v>0</v>
      </c>
      <c r="AV389" s="31">
        <f>IFERROR(时间!$B$4+AU389,"上周无销量")</f>
        <v>43318</v>
      </c>
    </row>
    <row r="390" spans="1:48">
      <c r="A390" s="16" t="s">
        <v>761</v>
      </c>
      <c r="B390" t="s">
        <v>762</v>
      </c>
      <c r="C390" t="s">
        <v>730</v>
      </c>
      <c r="D390" s="24">
        <v>0</v>
      </c>
      <c r="E390" s="24">
        <v>0</v>
      </c>
      <c r="F390" s="24">
        <v>2</v>
      </c>
      <c r="G390" s="24">
        <v>0</v>
      </c>
      <c r="H390" s="25">
        <v>35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763</v>
      </c>
      <c r="B391" t="s">
        <v>764</v>
      </c>
      <c r="C391" t="s">
        <v>730</v>
      </c>
      <c r="D391" s="24">
        <v>0</v>
      </c>
      <c r="E391" s="24">
        <v>0</v>
      </c>
      <c r="F391" s="24">
        <v>0</v>
      </c>
      <c r="G391" s="24">
        <v>0</v>
      </c>
      <c r="H391" s="25">
        <v>0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765</v>
      </c>
      <c r="B392" t="s">
        <v>766</v>
      </c>
      <c r="C392" t="s">
        <v>730</v>
      </c>
      <c r="D392" s="24">
        <v>3</v>
      </c>
      <c r="E392" s="24">
        <v>0</v>
      </c>
      <c r="F392" s="24">
        <v>3</v>
      </c>
      <c r="G392" s="24">
        <v>1</v>
      </c>
      <c r="H392" s="25">
        <v>35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0.428571428571429</v>
      </c>
      <c r="AS392" s="29">
        <v>25.7142857142857</v>
      </c>
      <c r="AT392" s="29">
        <v>-25.7142857142857</v>
      </c>
      <c r="AU392" s="24">
        <f t="shared" si="7"/>
        <v>0</v>
      </c>
      <c r="AV392" s="31">
        <f>IFERROR(时间!$B$4+AU392,"上周无销量")</f>
        <v>43318</v>
      </c>
    </row>
    <row r="393" spans="1:48">
      <c r="A393" s="16" t="s">
        <v>767</v>
      </c>
      <c r="B393" t="s">
        <v>768</v>
      </c>
      <c r="C393" t="s">
        <v>730</v>
      </c>
      <c r="D393" s="24">
        <v>0</v>
      </c>
      <c r="E393" s="24">
        <v>1</v>
      </c>
      <c r="F393" s="24">
        <v>1</v>
      </c>
      <c r="G393" s="24">
        <v>0</v>
      </c>
      <c r="H393" s="25">
        <v>35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</v>
      </c>
      <c r="AS393" s="29">
        <v>0</v>
      </c>
      <c r="AT393" s="29">
        <v>0</v>
      </c>
      <c r="AU393" s="24" t="str">
        <f t="shared" si="7"/>
        <v>库存为0</v>
      </c>
      <c r="AV393" s="31" t="str">
        <f>IFERROR(时间!$B$4+AU393,"上周无销量")</f>
        <v>上周无销量</v>
      </c>
    </row>
    <row r="394" spans="1:48">
      <c r="A394" s="16" t="s">
        <v>769</v>
      </c>
      <c r="B394" t="s">
        <v>770</v>
      </c>
      <c r="C394" t="s">
        <v>730</v>
      </c>
      <c r="D394" s="24">
        <v>0</v>
      </c>
      <c r="E394" s="24">
        <v>1</v>
      </c>
      <c r="F394" s="24">
        <v>4</v>
      </c>
      <c r="G394" s="24">
        <v>0</v>
      </c>
      <c r="H394" s="25">
        <v>35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771</v>
      </c>
      <c r="B395" t="s">
        <v>772</v>
      </c>
      <c r="C395" t="s">
        <v>730</v>
      </c>
      <c r="D395" s="24">
        <v>1</v>
      </c>
      <c r="E395" s="24">
        <v>0</v>
      </c>
      <c r="F395" s="24">
        <v>1</v>
      </c>
      <c r="G395" s="24">
        <v>0</v>
      </c>
      <c r="H395" s="25">
        <v>35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0.142857142857143</v>
      </c>
      <c r="AS395" s="29">
        <v>8.57142857142857</v>
      </c>
      <c r="AT395" s="29">
        <v>-8.57142857142857</v>
      </c>
      <c r="AU395" s="24">
        <f t="shared" si="7"/>
        <v>0</v>
      </c>
      <c r="AV395" s="31">
        <f>IFERROR(时间!$B$4+AU395,"上周无销量")</f>
        <v>43318</v>
      </c>
    </row>
    <row r="396" spans="1:48">
      <c r="A396" s="16" t="s">
        <v>773</v>
      </c>
      <c r="B396" t="s">
        <v>774</v>
      </c>
      <c r="C396" t="s">
        <v>730</v>
      </c>
      <c r="D396" s="24">
        <v>0</v>
      </c>
      <c r="E396" s="24">
        <v>0</v>
      </c>
      <c r="F396" s="24">
        <v>1</v>
      </c>
      <c r="G396" s="24">
        <v>0</v>
      </c>
      <c r="H396" s="25">
        <v>35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775</v>
      </c>
      <c r="B397" t="s">
        <v>776</v>
      </c>
      <c r="C397" t="s">
        <v>730</v>
      </c>
      <c r="D397" s="24">
        <v>2</v>
      </c>
      <c r="E397" s="24">
        <v>0</v>
      </c>
      <c r="F397" s="24">
        <v>2</v>
      </c>
      <c r="G397" s="24">
        <v>0</v>
      </c>
      <c r="H397" s="25">
        <v>35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0.285714285714286</v>
      </c>
      <c r="AS397" s="29">
        <v>17.1428571428571</v>
      </c>
      <c r="AT397" s="29">
        <v>-17.1428571428571</v>
      </c>
      <c r="AU397" s="24">
        <f t="shared" si="7"/>
        <v>0</v>
      </c>
      <c r="AV397" s="31">
        <f>IFERROR(时间!$B$4+AU397,"上周无销量")</f>
        <v>43318</v>
      </c>
    </row>
    <row r="398" spans="1:48">
      <c r="A398" s="16" t="s">
        <v>777</v>
      </c>
      <c r="B398" t="s">
        <v>778</v>
      </c>
      <c r="C398" t="s">
        <v>730</v>
      </c>
      <c r="D398" s="24">
        <v>0</v>
      </c>
      <c r="E398" s="24">
        <v>3</v>
      </c>
      <c r="F398" s="24">
        <v>0</v>
      </c>
      <c r="G398" s="24">
        <v>0</v>
      </c>
      <c r="H398" s="25">
        <v>35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779</v>
      </c>
      <c r="B399" t="s">
        <v>780</v>
      </c>
      <c r="C399" t="s">
        <v>730</v>
      </c>
      <c r="D399" s="24">
        <v>0</v>
      </c>
      <c r="E399" s="24">
        <v>2</v>
      </c>
      <c r="F399" s="24">
        <v>0</v>
      </c>
      <c r="G399" s="24">
        <v>0</v>
      </c>
      <c r="H399" s="25">
        <v>35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781</v>
      </c>
      <c r="B400" t="s">
        <v>782</v>
      </c>
      <c r="C400" t="s">
        <v>730</v>
      </c>
      <c r="D400" s="24">
        <v>0</v>
      </c>
      <c r="E400" s="24">
        <v>0</v>
      </c>
      <c r="F400" s="24">
        <v>3</v>
      </c>
      <c r="G400" s="24">
        <v>0</v>
      </c>
      <c r="H400" s="25">
        <v>35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783</v>
      </c>
      <c r="B401" t="s">
        <v>784</v>
      </c>
      <c r="C401" t="s">
        <v>730</v>
      </c>
      <c r="D401" s="24">
        <v>0</v>
      </c>
      <c r="E401" s="24">
        <v>0</v>
      </c>
      <c r="F401" s="24">
        <v>0</v>
      </c>
      <c r="G401" s="24">
        <v>0</v>
      </c>
      <c r="H401" s="25">
        <v>0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785</v>
      </c>
      <c r="B402" t="s">
        <v>786</v>
      </c>
      <c r="C402" t="s">
        <v>730</v>
      </c>
      <c r="D402" s="24">
        <v>4</v>
      </c>
      <c r="E402" s="24">
        <v>0</v>
      </c>
      <c r="F402" s="24">
        <v>1</v>
      </c>
      <c r="G402" s="24">
        <v>0</v>
      </c>
      <c r="H402" s="25">
        <v>35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0.571428571428571</v>
      </c>
      <c r="AS402" s="29">
        <v>34.2857142857143</v>
      </c>
      <c r="AT402" s="29">
        <v>-34.2857142857143</v>
      </c>
      <c r="AU402" s="24">
        <f t="shared" si="7"/>
        <v>0</v>
      </c>
      <c r="AV402" s="31">
        <f>IFERROR(时间!$B$4+AU402,"上周无销量")</f>
        <v>43318</v>
      </c>
    </row>
    <row r="403" spans="1:48">
      <c r="A403" s="16" t="s">
        <v>787</v>
      </c>
      <c r="B403" t="s">
        <v>788</v>
      </c>
      <c r="C403" t="s">
        <v>730</v>
      </c>
      <c r="D403" s="24">
        <v>2</v>
      </c>
      <c r="E403" s="24">
        <v>1</v>
      </c>
      <c r="F403" s="24">
        <v>1</v>
      </c>
      <c r="G403" s="24">
        <v>0</v>
      </c>
      <c r="H403" s="25">
        <v>35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0.285714285714286</v>
      </c>
      <c r="AS403" s="29">
        <v>17.1428571428571</v>
      </c>
      <c r="AT403" s="29">
        <v>-17.1428571428571</v>
      </c>
      <c r="AU403" s="24">
        <f t="shared" si="7"/>
        <v>0</v>
      </c>
      <c r="AV403" s="31">
        <f>IFERROR(时间!$B$4+AU403,"上周无销量")</f>
        <v>43318</v>
      </c>
    </row>
    <row r="404" spans="1:48">
      <c r="A404" s="16" t="s">
        <v>789</v>
      </c>
      <c r="B404" t="s">
        <v>790</v>
      </c>
      <c r="C404" t="s">
        <v>730</v>
      </c>
      <c r="D404" s="24">
        <v>0</v>
      </c>
      <c r="E404" s="24">
        <v>2</v>
      </c>
      <c r="F404" s="24">
        <v>2</v>
      </c>
      <c r="G404" s="24">
        <v>0</v>
      </c>
      <c r="H404" s="25">
        <v>35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791</v>
      </c>
      <c r="B405" t="s">
        <v>792</v>
      </c>
      <c r="C405" t="s">
        <v>730</v>
      </c>
      <c r="D405" s="24">
        <v>0</v>
      </c>
      <c r="E405" s="24">
        <v>0</v>
      </c>
      <c r="F405" s="24">
        <v>4</v>
      </c>
      <c r="G405" s="24">
        <v>0</v>
      </c>
      <c r="H405" s="25">
        <v>35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793</v>
      </c>
      <c r="B406" t="s">
        <v>794</v>
      </c>
      <c r="C406" t="s">
        <v>730</v>
      </c>
      <c r="D406" s="24">
        <v>0</v>
      </c>
      <c r="E406" s="24">
        <v>0</v>
      </c>
      <c r="F406" s="24">
        <v>1</v>
      </c>
      <c r="G406" s="24">
        <v>0</v>
      </c>
      <c r="H406" s="25">
        <v>35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</v>
      </c>
      <c r="AS406" s="29">
        <v>0</v>
      </c>
      <c r="AT406" s="29">
        <v>0</v>
      </c>
      <c r="AU406" s="24" t="str">
        <f t="shared" si="7"/>
        <v>库存为0</v>
      </c>
      <c r="AV406" s="31" t="str">
        <f>IFERROR(时间!$B$4+AU406,"上周无销量")</f>
        <v>上周无销量</v>
      </c>
    </row>
    <row r="407" spans="1:48">
      <c r="A407" s="16" t="s">
        <v>795</v>
      </c>
      <c r="B407" t="s">
        <v>796</v>
      </c>
      <c r="C407" t="s">
        <v>730</v>
      </c>
      <c r="D407" s="24">
        <v>1</v>
      </c>
      <c r="E407" s="24">
        <v>0</v>
      </c>
      <c r="F407" s="24">
        <v>2</v>
      </c>
      <c r="G407" s="24">
        <v>2</v>
      </c>
      <c r="H407" s="25">
        <v>35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0.142857142857143</v>
      </c>
      <c r="AS407" s="29">
        <v>8.57142857142857</v>
      </c>
      <c r="AT407" s="29">
        <v>-8.57142857142857</v>
      </c>
      <c r="AU407" s="24">
        <f t="shared" si="7"/>
        <v>0</v>
      </c>
      <c r="AV407" s="31">
        <f>IFERROR(时间!$B$4+AU407,"上周无销量")</f>
        <v>43318</v>
      </c>
    </row>
    <row r="408" spans="1:48">
      <c r="A408" s="16" t="s">
        <v>797</v>
      </c>
      <c r="B408" t="s">
        <v>798</v>
      </c>
      <c r="C408" t="s">
        <v>730</v>
      </c>
      <c r="D408" s="24">
        <v>1</v>
      </c>
      <c r="E408" s="24">
        <v>0</v>
      </c>
      <c r="F408" s="24">
        <v>2</v>
      </c>
      <c r="G408" s="24">
        <v>3</v>
      </c>
      <c r="H408" s="25">
        <v>35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0</v>
      </c>
      <c r="AK408">
        <v>0</v>
      </c>
      <c r="AL408">
        <v>0</v>
      </c>
      <c r="AM408">
        <v>0</v>
      </c>
      <c r="AN408" s="18" t="s">
        <v>52</v>
      </c>
      <c r="AO408" s="18" t="s">
        <v>52</v>
      </c>
      <c r="AP408" s="18" t="s">
        <v>52</v>
      </c>
      <c r="AQ408" s="18" t="s">
        <v>52</v>
      </c>
      <c r="AR408" s="29">
        <v>0.142857142857143</v>
      </c>
      <c r="AS408" s="29">
        <v>8.57142857142857</v>
      </c>
      <c r="AT408" s="29">
        <v>-8.57142857142857</v>
      </c>
      <c r="AU408" s="24">
        <f t="shared" si="7"/>
        <v>0</v>
      </c>
      <c r="AV408" s="31">
        <f>IFERROR(时间!$B$4+AU408,"上周无销量")</f>
        <v>43318</v>
      </c>
    </row>
    <row r="409" spans="1:48">
      <c r="A409" s="16" t="s">
        <v>799</v>
      </c>
      <c r="B409" t="s">
        <v>800</v>
      </c>
      <c r="C409" t="s">
        <v>730</v>
      </c>
      <c r="D409" s="24">
        <v>3</v>
      </c>
      <c r="E409" s="24">
        <v>2</v>
      </c>
      <c r="F409" s="24">
        <v>5</v>
      </c>
      <c r="G409" s="24">
        <v>1</v>
      </c>
      <c r="H409" s="25">
        <v>35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0</v>
      </c>
      <c r="AK409">
        <v>0</v>
      </c>
      <c r="AL409">
        <v>0</v>
      </c>
      <c r="AM409">
        <v>0</v>
      </c>
      <c r="AN409" s="18" t="s">
        <v>52</v>
      </c>
      <c r="AO409" s="18" t="s">
        <v>52</v>
      </c>
      <c r="AP409" s="18" t="s">
        <v>52</v>
      </c>
      <c r="AQ409" s="18" t="s">
        <v>52</v>
      </c>
      <c r="AR409" s="29">
        <v>0.428571428571429</v>
      </c>
      <c r="AS409" s="29">
        <v>25.7142857142857</v>
      </c>
      <c r="AT409" s="29">
        <v>-25.7142857142857</v>
      </c>
      <c r="AU409" s="24">
        <f t="shared" si="7"/>
        <v>0</v>
      </c>
      <c r="AV409" s="31">
        <f>IFERROR(时间!$B$4+AU409,"上周无销量")</f>
        <v>43318</v>
      </c>
    </row>
    <row r="410" spans="1:48">
      <c r="A410" s="16" t="s">
        <v>801</v>
      </c>
      <c r="B410" t="s">
        <v>802</v>
      </c>
      <c r="C410" t="s">
        <v>730</v>
      </c>
      <c r="D410" s="24">
        <v>3</v>
      </c>
      <c r="E410" s="24">
        <v>0</v>
      </c>
      <c r="F410" s="24">
        <v>4</v>
      </c>
      <c r="G410" s="24">
        <v>0</v>
      </c>
      <c r="H410" s="25">
        <v>35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0.428571428571429</v>
      </c>
      <c r="AS410" s="29">
        <v>25.7142857142857</v>
      </c>
      <c r="AT410" s="29">
        <v>-25.7142857142857</v>
      </c>
      <c r="AU410" s="24">
        <f t="shared" si="7"/>
        <v>0</v>
      </c>
      <c r="AV410" s="31">
        <f>IFERROR(时间!$B$4+AU410,"上周无销量")</f>
        <v>43318</v>
      </c>
    </row>
    <row r="411" spans="1:48">
      <c r="A411" s="16" t="s">
        <v>803</v>
      </c>
      <c r="B411" t="s">
        <v>804</v>
      </c>
      <c r="C411" t="s">
        <v>730</v>
      </c>
      <c r="D411" s="24">
        <v>0</v>
      </c>
      <c r="E411" s="24">
        <v>0</v>
      </c>
      <c r="F411" s="24">
        <v>1</v>
      </c>
      <c r="G411" s="24">
        <v>0</v>
      </c>
      <c r="H411" s="25">
        <v>35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0</v>
      </c>
      <c r="AK411">
        <v>0</v>
      </c>
      <c r="AL411">
        <v>0</v>
      </c>
      <c r="AM411">
        <v>0</v>
      </c>
      <c r="AN411" s="18" t="s">
        <v>52</v>
      </c>
      <c r="AO411" s="18" t="s">
        <v>52</v>
      </c>
      <c r="AP411" s="18" t="s">
        <v>52</v>
      </c>
      <c r="AQ411" s="18" t="s">
        <v>52</v>
      </c>
      <c r="AR411" s="29">
        <v>0</v>
      </c>
      <c r="AS411" s="29">
        <v>0</v>
      </c>
      <c r="AT411" s="29">
        <v>0</v>
      </c>
      <c r="AU411" s="24" t="str">
        <f t="shared" si="7"/>
        <v>库存为0</v>
      </c>
      <c r="AV411" s="31" t="str">
        <f>IFERROR(时间!$B$4+AU411,"上周无销量")</f>
        <v>上周无销量</v>
      </c>
    </row>
    <row r="412" spans="1:48">
      <c r="A412" s="16" t="s">
        <v>805</v>
      </c>
      <c r="B412" t="s">
        <v>806</v>
      </c>
      <c r="C412" t="s">
        <v>730</v>
      </c>
      <c r="D412" s="24">
        <v>0</v>
      </c>
      <c r="E412" s="24">
        <v>2</v>
      </c>
      <c r="F412" s="24">
        <v>9</v>
      </c>
      <c r="G412" s="24">
        <v>1</v>
      </c>
      <c r="H412" s="25">
        <v>35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807</v>
      </c>
      <c r="B413" t="s">
        <v>808</v>
      </c>
      <c r="C413" t="s">
        <v>730</v>
      </c>
      <c r="D413" s="24">
        <v>0</v>
      </c>
      <c r="E413" s="24">
        <v>2</v>
      </c>
      <c r="F413" s="24">
        <v>2</v>
      </c>
      <c r="G413" s="24">
        <v>1</v>
      </c>
      <c r="H413" s="25">
        <v>35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</v>
      </c>
      <c r="AS413" s="29">
        <v>0</v>
      </c>
      <c r="AT413" s="29">
        <v>0</v>
      </c>
      <c r="AU413" s="24" t="str">
        <f t="shared" si="7"/>
        <v>库存为0</v>
      </c>
      <c r="AV413" s="31" t="str">
        <f>IFERROR(时间!$B$4+AU413,"上周无销量")</f>
        <v>上周无销量</v>
      </c>
    </row>
    <row r="414" spans="1:48">
      <c r="A414" s="16" t="s">
        <v>809</v>
      </c>
      <c r="B414" t="s">
        <v>810</v>
      </c>
      <c r="C414" t="s">
        <v>811</v>
      </c>
      <c r="D414" s="24">
        <v>0</v>
      </c>
      <c r="E414" s="24">
        <v>0</v>
      </c>
      <c r="F414" s="24">
        <v>0</v>
      </c>
      <c r="G414" s="24">
        <v>0</v>
      </c>
      <c r="H414" s="25">
        <v>0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812</v>
      </c>
      <c r="B415" t="s">
        <v>813</v>
      </c>
      <c r="C415" t="s">
        <v>811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0</v>
      </c>
      <c r="AK415">
        <v>0</v>
      </c>
      <c r="AL415">
        <v>0</v>
      </c>
      <c r="AM415">
        <v>0</v>
      </c>
      <c r="AN415" s="18" t="s">
        <v>52</v>
      </c>
      <c r="AO415" s="18" t="s">
        <v>52</v>
      </c>
      <c r="AP415" s="18" t="s">
        <v>52</v>
      </c>
      <c r="AQ415" s="18" t="s">
        <v>52</v>
      </c>
      <c r="AR415" s="29">
        <v>0</v>
      </c>
      <c r="AS415" s="29">
        <v>0</v>
      </c>
      <c r="AT415" s="29">
        <v>0</v>
      </c>
      <c r="AU415" s="24" t="str">
        <f t="shared" si="7"/>
        <v>库存为0</v>
      </c>
      <c r="AV415" s="31" t="str">
        <f>IFERROR(时间!$B$4+AU415,"上周无销量")</f>
        <v>上周无销量</v>
      </c>
    </row>
    <row r="416" spans="1:49">
      <c r="A416" s="16" t="s">
        <v>814</v>
      </c>
      <c r="B416" t="s">
        <v>815</v>
      </c>
      <c r="C416" t="s">
        <v>811</v>
      </c>
      <c r="D416" s="24">
        <v>1</v>
      </c>
      <c r="E416" s="24">
        <v>0</v>
      </c>
      <c r="F416" s="24">
        <v>0</v>
      </c>
      <c r="G416" s="24">
        <v>0</v>
      </c>
      <c r="H416" s="25">
        <v>35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0</v>
      </c>
      <c r="AN416" s="18" t="s">
        <v>52</v>
      </c>
      <c r="AO416" s="18" t="s">
        <v>52</v>
      </c>
      <c r="AP416" s="18" t="s">
        <v>52</v>
      </c>
      <c r="AQ416" s="18" t="s">
        <v>52</v>
      </c>
      <c r="AR416" s="29">
        <v>0.142857142857143</v>
      </c>
      <c r="AS416" s="29">
        <v>8.57142857142857</v>
      </c>
      <c r="AT416" s="29">
        <v>-8.57142857142857</v>
      </c>
      <c r="AU416" s="24">
        <f t="shared" si="7"/>
        <v>0</v>
      </c>
      <c r="AV416" s="31">
        <f>IFERROR(时间!$B$4+AU416,"上周无销量")</f>
        <v>43318</v>
      </c>
      <c r="AW416" s="31"/>
    </row>
    <row r="417" spans="1:48">
      <c r="A417" s="16" t="s">
        <v>816</v>
      </c>
      <c r="B417" t="s">
        <v>817</v>
      </c>
      <c r="C417" t="s">
        <v>811</v>
      </c>
      <c r="D417" s="24">
        <v>0</v>
      </c>
      <c r="E417" s="24">
        <v>0</v>
      </c>
      <c r="F417" s="24">
        <v>0</v>
      </c>
      <c r="G417" s="24">
        <v>0</v>
      </c>
      <c r="H417" s="25">
        <v>0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0</v>
      </c>
      <c r="AK417">
        <v>0</v>
      </c>
      <c r="AL417">
        <v>0</v>
      </c>
      <c r="AM417">
        <v>0</v>
      </c>
      <c r="AN417" s="18" t="s">
        <v>52</v>
      </c>
      <c r="AO417" s="18" t="s">
        <v>52</v>
      </c>
      <c r="AP417" s="18" t="s">
        <v>52</v>
      </c>
      <c r="AQ417" s="18" t="s">
        <v>52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818</v>
      </c>
      <c r="B418" t="s">
        <v>819</v>
      </c>
      <c r="C418" t="s">
        <v>811</v>
      </c>
      <c r="D418" s="24">
        <v>2</v>
      </c>
      <c r="E418" s="24">
        <v>0</v>
      </c>
      <c r="F418" s="24">
        <v>2</v>
      </c>
      <c r="G418" s="24">
        <v>0</v>
      </c>
      <c r="H418" s="25">
        <v>35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0</v>
      </c>
      <c r="AK418">
        <v>0</v>
      </c>
      <c r="AL418">
        <v>0</v>
      </c>
      <c r="AM418">
        <v>0</v>
      </c>
      <c r="AN418" s="18" t="s">
        <v>52</v>
      </c>
      <c r="AO418" s="18" t="s">
        <v>52</v>
      </c>
      <c r="AP418" s="18" t="s">
        <v>52</v>
      </c>
      <c r="AQ418" s="18" t="s">
        <v>52</v>
      </c>
      <c r="AR418" s="29">
        <v>0.285714285714286</v>
      </c>
      <c r="AS418" s="29">
        <v>17.1428571428571</v>
      </c>
      <c r="AT418" s="29">
        <v>-17.1428571428571</v>
      </c>
      <c r="AU418" s="24">
        <f t="shared" si="7"/>
        <v>0</v>
      </c>
      <c r="AV418" s="31">
        <f>IFERROR(时间!$B$4+AU418,"上周无销量")</f>
        <v>43318</v>
      </c>
    </row>
    <row r="419" spans="1:48">
      <c r="A419" s="16" t="s">
        <v>820</v>
      </c>
      <c r="B419" t="s">
        <v>821</v>
      </c>
      <c r="C419" t="s">
        <v>811</v>
      </c>
      <c r="D419" s="24">
        <v>1</v>
      </c>
      <c r="E419" s="24">
        <v>0</v>
      </c>
      <c r="F419" s="24">
        <v>1</v>
      </c>
      <c r="G419" s="24">
        <v>0</v>
      </c>
      <c r="H419" s="25">
        <v>35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0</v>
      </c>
      <c r="AK419">
        <v>0</v>
      </c>
      <c r="AL419">
        <v>0</v>
      </c>
      <c r="AM419">
        <v>0</v>
      </c>
      <c r="AN419" s="18" t="s">
        <v>52</v>
      </c>
      <c r="AO419" s="18" t="s">
        <v>52</v>
      </c>
      <c r="AP419" s="18" t="s">
        <v>52</v>
      </c>
      <c r="AQ419" s="18" t="s">
        <v>52</v>
      </c>
      <c r="AR419" s="29">
        <v>0.142857142857143</v>
      </c>
      <c r="AS419" s="29">
        <v>8.57142857142857</v>
      </c>
      <c r="AT419" s="29">
        <v>-8.57142857142857</v>
      </c>
      <c r="AU419" s="24">
        <f t="shared" si="7"/>
        <v>0</v>
      </c>
      <c r="AV419" s="31">
        <f>IFERROR(时间!$B$4+AU419,"上周无销量")</f>
        <v>43318</v>
      </c>
    </row>
    <row r="420" spans="1:48">
      <c r="A420" s="16" t="s">
        <v>822</v>
      </c>
      <c r="B420" t="s">
        <v>823</v>
      </c>
      <c r="C420" t="s">
        <v>811</v>
      </c>
      <c r="D420" s="24">
        <v>0</v>
      </c>
      <c r="E420" s="24">
        <v>0</v>
      </c>
      <c r="F420" s="24">
        <v>1</v>
      </c>
      <c r="G420" s="24">
        <v>0</v>
      </c>
      <c r="H420" s="25">
        <v>35</v>
      </c>
      <c r="I420">
        <v>0</v>
      </c>
      <c r="J420" s="26">
        <v>0</v>
      </c>
      <c r="K420" s="26">
        <v>0</v>
      </c>
      <c r="L420" s="26">
        <v>0</v>
      </c>
      <c r="M420">
        <v>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0</v>
      </c>
      <c r="AK420">
        <v>0</v>
      </c>
      <c r="AL420">
        <v>0</v>
      </c>
      <c r="AM420">
        <v>0</v>
      </c>
      <c r="AN420" s="18" t="s">
        <v>52</v>
      </c>
      <c r="AO420" s="18" t="s">
        <v>52</v>
      </c>
      <c r="AP420" s="18" t="s">
        <v>52</v>
      </c>
      <c r="AQ420" s="18" t="s">
        <v>52</v>
      </c>
      <c r="AR420" s="29">
        <v>0</v>
      </c>
      <c r="AS420" s="29">
        <v>0</v>
      </c>
      <c r="AT420" s="29">
        <v>0</v>
      </c>
      <c r="AU420" s="24" t="str">
        <f t="shared" si="7"/>
        <v>库存为0</v>
      </c>
      <c r="AV420" s="31" t="str">
        <f>IFERROR(时间!$B$4+AU420,"上周无销量")</f>
        <v>上周无销量</v>
      </c>
    </row>
    <row r="421" spans="1:48">
      <c r="A421" s="16" t="s">
        <v>824</v>
      </c>
      <c r="B421" t="s">
        <v>825</v>
      </c>
      <c r="C421" t="s">
        <v>811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0</v>
      </c>
      <c r="K421" s="26">
        <v>0</v>
      </c>
      <c r="L421" s="26">
        <v>0</v>
      </c>
      <c r="M421">
        <v>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0</v>
      </c>
      <c r="AK421">
        <v>0</v>
      </c>
      <c r="AL421">
        <v>0</v>
      </c>
      <c r="AM421">
        <v>0</v>
      </c>
      <c r="AN421" s="18" t="s">
        <v>52</v>
      </c>
      <c r="AO421" s="18" t="s">
        <v>52</v>
      </c>
      <c r="AP421" s="18" t="s">
        <v>52</v>
      </c>
      <c r="AQ421" s="18" t="s">
        <v>52</v>
      </c>
      <c r="AR421" s="29">
        <v>0</v>
      </c>
      <c r="AS421" s="29">
        <v>0</v>
      </c>
      <c r="AT421" s="29">
        <v>0</v>
      </c>
      <c r="AU421" s="24" t="str">
        <f t="shared" si="7"/>
        <v>库存为0</v>
      </c>
      <c r="AV421" s="31" t="str">
        <f>IFERROR(时间!$B$4+AU421,"上周无销量")</f>
        <v>上周无销量</v>
      </c>
    </row>
    <row r="422" spans="1:48">
      <c r="A422" s="16" t="s">
        <v>826</v>
      </c>
      <c r="B422" t="s">
        <v>827</v>
      </c>
      <c r="C422" t="s">
        <v>811</v>
      </c>
      <c r="D422" s="24">
        <v>0</v>
      </c>
      <c r="E422" s="24">
        <v>1</v>
      </c>
      <c r="F422" s="24">
        <v>1</v>
      </c>
      <c r="G422" s="24">
        <v>0</v>
      </c>
      <c r="H422" s="25">
        <v>35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0</v>
      </c>
      <c r="AK422">
        <v>0</v>
      </c>
      <c r="AL422">
        <v>0</v>
      </c>
      <c r="AM422">
        <v>0</v>
      </c>
      <c r="AN422" s="18" t="s">
        <v>52</v>
      </c>
      <c r="AO422" s="18" t="s">
        <v>52</v>
      </c>
      <c r="AP422" s="18" t="s">
        <v>52</v>
      </c>
      <c r="AQ422" s="18" t="s">
        <v>52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828</v>
      </c>
      <c r="B423" t="s">
        <v>829</v>
      </c>
      <c r="C423" t="s">
        <v>811</v>
      </c>
      <c r="D423" s="24">
        <v>0</v>
      </c>
      <c r="E423" s="24">
        <v>0</v>
      </c>
      <c r="F423" s="24">
        <v>1</v>
      </c>
      <c r="G423" s="24">
        <v>0</v>
      </c>
      <c r="H423" s="25">
        <v>35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0</v>
      </c>
      <c r="AK423">
        <v>0</v>
      </c>
      <c r="AL423">
        <v>0</v>
      </c>
      <c r="AM423">
        <v>0</v>
      </c>
      <c r="AN423" s="18" t="s">
        <v>52</v>
      </c>
      <c r="AO423" s="18" t="s">
        <v>52</v>
      </c>
      <c r="AP423" s="18" t="s">
        <v>52</v>
      </c>
      <c r="AQ423" s="18" t="s">
        <v>52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830</v>
      </c>
      <c r="B424" t="s">
        <v>831</v>
      </c>
      <c r="C424" t="s">
        <v>811</v>
      </c>
      <c r="D424" s="24">
        <v>0</v>
      </c>
      <c r="E424" s="24">
        <v>0</v>
      </c>
      <c r="F424" s="24">
        <v>0</v>
      </c>
      <c r="G424" s="24">
        <v>0</v>
      </c>
      <c r="H424" s="25">
        <v>0</v>
      </c>
      <c r="I424">
        <v>0</v>
      </c>
      <c r="J424" s="26">
        <v>0</v>
      </c>
      <c r="K424" s="26">
        <v>0</v>
      </c>
      <c r="L424" s="26">
        <v>0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0</v>
      </c>
      <c r="AK424">
        <v>0</v>
      </c>
      <c r="AL424">
        <v>0</v>
      </c>
      <c r="AM424">
        <v>0</v>
      </c>
      <c r="AN424" s="18" t="s">
        <v>52</v>
      </c>
      <c r="AO424" s="18" t="s">
        <v>52</v>
      </c>
      <c r="AP424" s="18" t="s">
        <v>52</v>
      </c>
      <c r="AQ424" s="18" t="s">
        <v>52</v>
      </c>
      <c r="AR424" s="29">
        <v>0</v>
      </c>
      <c r="AS424" s="29">
        <v>0</v>
      </c>
      <c r="AT424" s="29">
        <v>0</v>
      </c>
      <c r="AU424" s="24" t="str">
        <f t="shared" si="7"/>
        <v>库存为0</v>
      </c>
      <c r="AV424" s="31" t="str">
        <f>IFERROR(时间!$B$4+AU424,"上周无销量")</f>
        <v>上周无销量</v>
      </c>
    </row>
    <row r="425" spans="1:48">
      <c r="A425" s="16" t="s">
        <v>832</v>
      </c>
      <c r="B425" t="s">
        <v>833</v>
      </c>
      <c r="C425" t="s">
        <v>811</v>
      </c>
      <c r="D425" s="24">
        <v>0</v>
      </c>
      <c r="E425" s="24">
        <v>0</v>
      </c>
      <c r="F425" s="24">
        <v>0</v>
      </c>
      <c r="G425" s="24">
        <v>0</v>
      </c>
      <c r="H425" s="25">
        <v>0</v>
      </c>
      <c r="I425">
        <v>0</v>
      </c>
      <c r="J425" s="26">
        <v>0</v>
      </c>
      <c r="K425" s="26">
        <v>0</v>
      </c>
      <c r="L425" s="26">
        <v>0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0</v>
      </c>
      <c r="AK425">
        <v>0</v>
      </c>
      <c r="AL425">
        <v>0</v>
      </c>
      <c r="AM425">
        <v>0</v>
      </c>
      <c r="AN425" s="18" t="s">
        <v>52</v>
      </c>
      <c r="AO425" s="18" t="s">
        <v>52</v>
      </c>
      <c r="AP425" s="18" t="s">
        <v>52</v>
      </c>
      <c r="AQ425" s="18" t="s">
        <v>52</v>
      </c>
      <c r="AR425" s="29">
        <v>0</v>
      </c>
      <c r="AS425" s="29">
        <v>0</v>
      </c>
      <c r="AT425" s="29">
        <v>0</v>
      </c>
      <c r="AU425" s="24" t="str">
        <f t="shared" si="7"/>
        <v>库存为0</v>
      </c>
      <c r="AV425" s="31" t="str">
        <f>IFERROR(时间!$B$4+AU425,"上周无销量")</f>
        <v>上周无销量</v>
      </c>
    </row>
    <row r="426" spans="1:48">
      <c r="A426" s="16" t="s">
        <v>834</v>
      </c>
      <c r="B426" t="s">
        <v>835</v>
      </c>
      <c r="C426" t="s">
        <v>811</v>
      </c>
      <c r="D426" s="24">
        <v>1</v>
      </c>
      <c r="E426" s="24">
        <v>0</v>
      </c>
      <c r="F426" s="24">
        <v>0</v>
      </c>
      <c r="G426" s="24">
        <v>0</v>
      </c>
      <c r="H426" s="25">
        <v>35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0</v>
      </c>
      <c r="AK426">
        <v>0</v>
      </c>
      <c r="AL426">
        <v>0</v>
      </c>
      <c r="AM426">
        <v>0</v>
      </c>
      <c r="AN426" s="18" t="s">
        <v>52</v>
      </c>
      <c r="AO426" s="18" t="s">
        <v>52</v>
      </c>
      <c r="AP426" s="18" t="s">
        <v>52</v>
      </c>
      <c r="AQ426" s="18" t="s">
        <v>52</v>
      </c>
      <c r="AR426" s="29">
        <v>0.142857142857143</v>
      </c>
      <c r="AS426" s="29">
        <v>8.57142857142857</v>
      </c>
      <c r="AT426" s="29">
        <v>-8.57142857142857</v>
      </c>
      <c r="AU426" s="24">
        <f t="shared" si="7"/>
        <v>0</v>
      </c>
      <c r="AV426" s="31">
        <f>IFERROR(时间!$B$4+AU426,"上周无销量")</f>
        <v>43318</v>
      </c>
    </row>
    <row r="427" spans="1:48">
      <c r="A427" s="16" t="s">
        <v>836</v>
      </c>
      <c r="B427" t="s">
        <v>837</v>
      </c>
      <c r="C427" t="s">
        <v>811</v>
      </c>
      <c r="D427" s="24">
        <v>0</v>
      </c>
      <c r="E427" s="24">
        <v>3</v>
      </c>
      <c r="F427" s="24">
        <v>0</v>
      </c>
      <c r="G427" s="24">
        <v>0</v>
      </c>
      <c r="H427" s="25">
        <v>35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0</v>
      </c>
      <c r="AK427">
        <v>0</v>
      </c>
      <c r="AL427">
        <v>0</v>
      </c>
      <c r="AM427">
        <v>0</v>
      </c>
      <c r="AN427" s="18" t="s">
        <v>52</v>
      </c>
      <c r="AO427" s="18" t="s">
        <v>52</v>
      </c>
      <c r="AP427" s="18" t="s">
        <v>52</v>
      </c>
      <c r="AQ427" s="18" t="s">
        <v>52</v>
      </c>
      <c r="AR427" s="29">
        <v>0</v>
      </c>
      <c r="AS427" s="29">
        <v>0</v>
      </c>
      <c r="AT427" s="29">
        <v>0</v>
      </c>
      <c r="AU427" s="24" t="str">
        <f t="shared" si="7"/>
        <v>库存为0</v>
      </c>
      <c r="AV427" s="31" t="str">
        <f>IFERROR(时间!$B$4+AU427,"上周无销量")</f>
        <v>上周无销量</v>
      </c>
    </row>
    <row r="428" spans="1:48">
      <c r="A428" s="16" t="s">
        <v>838</v>
      </c>
      <c r="B428" t="s">
        <v>839</v>
      </c>
      <c r="C428" t="s">
        <v>811</v>
      </c>
      <c r="D428" s="24">
        <v>0</v>
      </c>
      <c r="E428" s="24">
        <v>0</v>
      </c>
      <c r="F428" s="24">
        <v>1</v>
      </c>
      <c r="G428" s="24">
        <v>0</v>
      </c>
      <c r="H428" s="25">
        <v>35</v>
      </c>
      <c r="I428">
        <v>0</v>
      </c>
      <c r="J428" s="26">
        <v>0</v>
      </c>
      <c r="K428" s="26">
        <v>0</v>
      </c>
      <c r="L428" s="26">
        <v>0</v>
      </c>
      <c r="M428">
        <v>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0</v>
      </c>
      <c r="AK428">
        <v>0</v>
      </c>
      <c r="AL428">
        <v>0</v>
      </c>
      <c r="AM428">
        <v>0</v>
      </c>
      <c r="AN428" s="18" t="s">
        <v>52</v>
      </c>
      <c r="AO428" s="18" t="s">
        <v>52</v>
      </c>
      <c r="AP428" s="18" t="s">
        <v>52</v>
      </c>
      <c r="AQ428" s="18" t="s">
        <v>52</v>
      </c>
      <c r="AR428" s="29">
        <v>0</v>
      </c>
      <c r="AS428" s="29">
        <v>0</v>
      </c>
      <c r="AT428" s="29">
        <v>0</v>
      </c>
      <c r="AU428" s="24" t="str">
        <f t="shared" si="7"/>
        <v>库存为0</v>
      </c>
      <c r="AV428" s="31" t="str">
        <f>IFERROR(时间!$B$4+AU428,"上周无销量")</f>
        <v>上周无销量</v>
      </c>
    </row>
    <row r="429" spans="1:48">
      <c r="A429" s="16" t="s">
        <v>840</v>
      </c>
      <c r="B429" t="s">
        <v>841</v>
      </c>
      <c r="C429" t="s">
        <v>811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0</v>
      </c>
      <c r="J429" s="26">
        <v>0</v>
      </c>
      <c r="K429" s="26">
        <v>0</v>
      </c>
      <c r="L429" s="26">
        <v>0</v>
      </c>
      <c r="M429">
        <v>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0</v>
      </c>
      <c r="AK429">
        <v>0</v>
      </c>
      <c r="AL429">
        <v>0</v>
      </c>
      <c r="AM429">
        <v>0</v>
      </c>
      <c r="AN429" s="18" t="s">
        <v>52</v>
      </c>
      <c r="AO429" s="18" t="s">
        <v>52</v>
      </c>
      <c r="AP429" s="18" t="s">
        <v>52</v>
      </c>
      <c r="AQ429" s="18" t="s">
        <v>52</v>
      </c>
      <c r="AR429" s="29">
        <v>0</v>
      </c>
      <c r="AS429" s="29">
        <v>0</v>
      </c>
      <c r="AT429" s="29">
        <v>0</v>
      </c>
      <c r="AU429" s="24" t="str">
        <f t="shared" si="7"/>
        <v>库存为0</v>
      </c>
      <c r="AV429" s="31" t="str">
        <f>IFERROR(时间!$B$4+AU429,"上周无销量")</f>
        <v>上周无销量</v>
      </c>
    </row>
    <row r="430" spans="1:48">
      <c r="A430" s="16" t="s">
        <v>842</v>
      </c>
      <c r="B430" t="s">
        <v>843</v>
      </c>
      <c r="C430" t="s">
        <v>811</v>
      </c>
      <c r="D430" s="24">
        <v>0</v>
      </c>
      <c r="E430" s="24">
        <v>0</v>
      </c>
      <c r="F430" s="24">
        <v>1</v>
      </c>
      <c r="G430" s="24">
        <v>0</v>
      </c>
      <c r="H430" s="25">
        <v>35</v>
      </c>
      <c r="I430">
        <v>0</v>
      </c>
      <c r="J430" s="26">
        <v>0</v>
      </c>
      <c r="K430" s="26">
        <v>0</v>
      </c>
      <c r="L430" s="26">
        <v>0</v>
      </c>
      <c r="M430">
        <v>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0</v>
      </c>
      <c r="AK430">
        <v>0</v>
      </c>
      <c r="AL430">
        <v>0</v>
      </c>
      <c r="AM430">
        <v>0</v>
      </c>
      <c r="AN430" s="18" t="s">
        <v>52</v>
      </c>
      <c r="AO430" s="18" t="s">
        <v>52</v>
      </c>
      <c r="AP430" s="18" t="s">
        <v>52</v>
      </c>
      <c r="AQ430" s="18" t="s">
        <v>52</v>
      </c>
      <c r="AR430" s="29">
        <v>0</v>
      </c>
      <c r="AS430" s="29">
        <v>0</v>
      </c>
      <c r="AT430" s="29">
        <v>0</v>
      </c>
      <c r="AU430" s="24" t="str">
        <f t="shared" si="7"/>
        <v>库存为0</v>
      </c>
      <c r="AV430" s="31" t="str">
        <f>IFERROR(时间!$B$4+AU430,"上周无销量")</f>
        <v>上周无销量</v>
      </c>
    </row>
    <row r="431" spans="1:48">
      <c r="A431" s="16" t="s">
        <v>844</v>
      </c>
      <c r="B431" t="s">
        <v>845</v>
      </c>
      <c r="C431" t="s">
        <v>811</v>
      </c>
      <c r="D431" s="24">
        <v>0</v>
      </c>
      <c r="E431" s="24">
        <v>0</v>
      </c>
      <c r="F431" s="24">
        <v>0</v>
      </c>
      <c r="G431" s="24">
        <v>0</v>
      </c>
      <c r="H431" s="25">
        <v>0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0</v>
      </c>
      <c r="AK431">
        <v>0</v>
      </c>
      <c r="AL431">
        <v>0</v>
      </c>
      <c r="AM431">
        <v>0</v>
      </c>
      <c r="AN431" s="18" t="s">
        <v>52</v>
      </c>
      <c r="AO431" s="18" t="s">
        <v>52</v>
      </c>
      <c r="AP431" s="18" t="s">
        <v>52</v>
      </c>
      <c r="AQ431" s="18" t="s">
        <v>52</v>
      </c>
      <c r="AR431" s="29">
        <v>0</v>
      </c>
      <c r="AS431" s="29">
        <v>0</v>
      </c>
      <c r="AT431" s="29">
        <v>0</v>
      </c>
      <c r="AU431" s="24" t="str">
        <f t="shared" si="7"/>
        <v>库存为0</v>
      </c>
      <c r="AV431" s="31" t="str">
        <f>IFERROR(时间!$B$4+AU431,"上周无销量")</f>
        <v>上周无销量</v>
      </c>
    </row>
    <row r="432" spans="1:48">
      <c r="A432" s="16" t="s">
        <v>846</v>
      </c>
      <c r="B432" t="s">
        <v>847</v>
      </c>
      <c r="C432" t="s">
        <v>811</v>
      </c>
      <c r="D432" s="24">
        <v>1</v>
      </c>
      <c r="E432" s="24">
        <v>0</v>
      </c>
      <c r="F432" s="24">
        <v>1</v>
      </c>
      <c r="G432" s="24">
        <v>0</v>
      </c>
      <c r="H432" s="25">
        <v>35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0</v>
      </c>
      <c r="AK432">
        <v>0</v>
      </c>
      <c r="AL432">
        <v>0</v>
      </c>
      <c r="AM432">
        <v>0</v>
      </c>
      <c r="AN432" s="18" t="s">
        <v>52</v>
      </c>
      <c r="AO432" s="18" t="s">
        <v>52</v>
      </c>
      <c r="AP432" s="18" t="s">
        <v>52</v>
      </c>
      <c r="AQ432" s="18" t="s">
        <v>52</v>
      </c>
      <c r="AR432" s="29">
        <v>0.142857142857143</v>
      </c>
      <c r="AS432" s="29">
        <v>8.57142857142857</v>
      </c>
      <c r="AT432" s="29">
        <v>-8.57142857142857</v>
      </c>
      <c r="AU432" s="24">
        <f t="shared" si="7"/>
        <v>0</v>
      </c>
      <c r="AV432" s="31">
        <f>IFERROR(时间!$B$4+AU432,"上周无销量")</f>
        <v>43318</v>
      </c>
    </row>
    <row r="433" spans="1:48">
      <c r="A433" s="16" t="s">
        <v>848</v>
      </c>
      <c r="B433" t="s">
        <v>849</v>
      </c>
      <c r="C433" t="s">
        <v>811</v>
      </c>
      <c r="D433" s="24">
        <v>0</v>
      </c>
      <c r="E433" s="24">
        <v>0</v>
      </c>
      <c r="F433" s="24">
        <v>0</v>
      </c>
      <c r="G433" s="24">
        <v>1</v>
      </c>
      <c r="H433" s="25">
        <v>35</v>
      </c>
      <c r="I433">
        <v>0</v>
      </c>
      <c r="J433" s="26">
        <v>0</v>
      </c>
      <c r="K433" s="26">
        <v>0</v>
      </c>
      <c r="L433" s="26">
        <v>0</v>
      </c>
      <c r="M433">
        <v>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0</v>
      </c>
      <c r="AK433">
        <v>0</v>
      </c>
      <c r="AL433">
        <v>0</v>
      </c>
      <c r="AM433">
        <v>0</v>
      </c>
      <c r="AN433" s="18" t="s">
        <v>52</v>
      </c>
      <c r="AO433" s="18" t="s">
        <v>52</v>
      </c>
      <c r="AP433" s="18" t="s">
        <v>52</v>
      </c>
      <c r="AQ433" s="18" t="s">
        <v>52</v>
      </c>
      <c r="AR433" s="29">
        <v>0</v>
      </c>
      <c r="AS433" s="29">
        <v>0</v>
      </c>
      <c r="AT433" s="29">
        <v>0</v>
      </c>
      <c r="AU433" s="24" t="str">
        <f t="shared" si="7"/>
        <v>库存为0</v>
      </c>
      <c r="AV433" s="31" t="str">
        <f>IFERROR(时间!$B$4+AU433,"上周无销量")</f>
        <v>上周无销量</v>
      </c>
    </row>
    <row r="434" spans="1:48">
      <c r="A434" s="16" t="s">
        <v>850</v>
      </c>
      <c r="B434" t="s">
        <v>851</v>
      </c>
      <c r="C434" t="s">
        <v>811</v>
      </c>
      <c r="D434" s="24">
        <v>0</v>
      </c>
      <c r="E434" s="24">
        <v>0</v>
      </c>
      <c r="F434" s="24">
        <v>0</v>
      </c>
      <c r="G434" s="24">
        <v>1</v>
      </c>
      <c r="H434" s="25">
        <v>35</v>
      </c>
      <c r="I434">
        <v>0</v>
      </c>
      <c r="J434" s="26">
        <v>0</v>
      </c>
      <c r="K434" s="26">
        <v>0</v>
      </c>
      <c r="L434" s="26">
        <v>0</v>
      </c>
      <c r="M434">
        <v>0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0</v>
      </c>
      <c r="AK434">
        <v>0</v>
      </c>
      <c r="AL434">
        <v>0</v>
      </c>
      <c r="AM434">
        <v>0</v>
      </c>
      <c r="AN434" s="18" t="s">
        <v>52</v>
      </c>
      <c r="AO434" s="18" t="s">
        <v>52</v>
      </c>
      <c r="AP434" s="18" t="s">
        <v>52</v>
      </c>
      <c r="AQ434" s="18" t="s">
        <v>52</v>
      </c>
      <c r="AR434" s="29">
        <v>0</v>
      </c>
      <c r="AS434" s="29">
        <v>0</v>
      </c>
      <c r="AT434" s="29">
        <v>0</v>
      </c>
      <c r="AU434" s="24" t="str">
        <f t="shared" si="7"/>
        <v>库存为0</v>
      </c>
      <c r="AV434" s="31" t="str">
        <f>IFERROR(时间!$B$4+AU434,"上周无销量")</f>
        <v>上周无销量</v>
      </c>
    </row>
    <row r="435" spans="1:48">
      <c r="A435" s="16" t="s">
        <v>852</v>
      </c>
      <c r="B435" t="s">
        <v>853</v>
      </c>
      <c r="C435" t="s">
        <v>811</v>
      </c>
      <c r="D435" s="24">
        <v>0</v>
      </c>
      <c r="E435" s="24">
        <v>0</v>
      </c>
      <c r="F435" s="24">
        <v>2</v>
      </c>
      <c r="G435" s="24">
        <v>0</v>
      </c>
      <c r="H435" s="25">
        <v>35</v>
      </c>
      <c r="I435">
        <v>0</v>
      </c>
      <c r="J435" s="26">
        <v>0</v>
      </c>
      <c r="K435" s="26">
        <v>0</v>
      </c>
      <c r="L435" s="26">
        <v>0</v>
      </c>
      <c r="M435">
        <v>0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0</v>
      </c>
      <c r="AK435">
        <v>0</v>
      </c>
      <c r="AL435">
        <v>0</v>
      </c>
      <c r="AM435">
        <v>0</v>
      </c>
      <c r="AN435" s="18" t="s">
        <v>52</v>
      </c>
      <c r="AO435" s="18" t="s">
        <v>52</v>
      </c>
      <c r="AP435" s="18" t="s">
        <v>52</v>
      </c>
      <c r="AQ435" s="18" t="s">
        <v>52</v>
      </c>
      <c r="AR435" s="29">
        <v>0</v>
      </c>
      <c r="AS435" s="29">
        <v>0</v>
      </c>
      <c r="AT435" s="29">
        <v>0</v>
      </c>
      <c r="AU435" s="24" t="str">
        <f t="shared" si="7"/>
        <v>库存为0</v>
      </c>
      <c r="AV435" s="31" t="str">
        <f>IFERROR(时间!$B$4+AU435,"上周无销量")</f>
        <v>上周无销量</v>
      </c>
    </row>
    <row r="436" spans="1:48">
      <c r="A436" s="16" t="s">
        <v>854</v>
      </c>
      <c r="B436" t="s">
        <v>855</v>
      </c>
      <c r="C436" t="s">
        <v>856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0</v>
      </c>
      <c r="AK436">
        <v>0</v>
      </c>
      <c r="AL436">
        <v>0</v>
      </c>
      <c r="AM436">
        <v>0</v>
      </c>
      <c r="AN436" s="18" t="s">
        <v>52</v>
      </c>
      <c r="AO436" s="18" t="s">
        <v>52</v>
      </c>
      <c r="AP436" s="18" t="s">
        <v>52</v>
      </c>
      <c r="AQ436" s="18" t="s">
        <v>52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857</v>
      </c>
      <c r="B437" t="s">
        <v>858</v>
      </c>
      <c r="C437" t="s">
        <v>856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4</v>
      </c>
      <c r="K437" s="26">
        <v>0</v>
      </c>
      <c r="L437" s="26">
        <v>0</v>
      </c>
      <c r="M437">
        <v>4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6</v>
      </c>
      <c r="AK437">
        <v>1</v>
      </c>
      <c r="AL437">
        <v>7</v>
      </c>
      <c r="AM437">
        <v>3</v>
      </c>
      <c r="AN437" s="18">
        <v>0</v>
      </c>
      <c r="AO437" s="18">
        <v>0</v>
      </c>
      <c r="AP437" s="18">
        <v>0</v>
      </c>
      <c r="AQ437" s="18">
        <v>0</v>
      </c>
      <c r="AR437" s="29">
        <v>0</v>
      </c>
      <c r="AS437" s="29">
        <v>0</v>
      </c>
      <c r="AT437" s="29">
        <v>4</v>
      </c>
      <c r="AU437" s="24" t="str">
        <f t="shared" si="7"/>
        <v>库存为4</v>
      </c>
      <c r="AV437" s="31" t="str">
        <f>IFERROR(时间!$B$4+AU437,"上周无销量")</f>
        <v>上周无销量</v>
      </c>
    </row>
    <row r="438" spans="1:48">
      <c r="A438" s="16" t="s">
        <v>859</v>
      </c>
      <c r="B438" t="s">
        <v>860</v>
      </c>
      <c r="C438" t="s">
        <v>856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0</v>
      </c>
      <c r="K438" s="26">
        <v>0</v>
      </c>
      <c r="L438" s="26">
        <v>0</v>
      </c>
      <c r="M438">
        <v>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3</v>
      </c>
      <c r="AK438">
        <v>1</v>
      </c>
      <c r="AL438">
        <v>6</v>
      </c>
      <c r="AM438">
        <v>0</v>
      </c>
      <c r="AN438" s="18">
        <v>0</v>
      </c>
      <c r="AO438" s="18">
        <v>0</v>
      </c>
      <c r="AP438" s="18">
        <v>0</v>
      </c>
      <c r="AQ438" s="18" t="s">
        <v>52</v>
      </c>
      <c r="AR438" s="29">
        <v>0</v>
      </c>
      <c r="AS438" s="29">
        <v>0</v>
      </c>
      <c r="AT438" s="29">
        <v>0</v>
      </c>
      <c r="AU438" s="24" t="str">
        <f t="shared" si="7"/>
        <v>库存为0</v>
      </c>
      <c r="AV438" s="31" t="str">
        <f>IFERROR(时间!$B$4+AU438,"上周无销量")</f>
        <v>上周无销量</v>
      </c>
    </row>
    <row r="439" spans="1:48">
      <c r="A439" s="16" t="s">
        <v>861</v>
      </c>
      <c r="B439" t="s">
        <v>862</v>
      </c>
      <c r="C439" t="s">
        <v>856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0</v>
      </c>
      <c r="J439" s="26">
        <v>0</v>
      </c>
      <c r="K439" s="26">
        <v>0</v>
      </c>
      <c r="L439" s="26">
        <v>0</v>
      </c>
      <c r="M439">
        <v>0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1</v>
      </c>
      <c r="AK439">
        <v>2</v>
      </c>
      <c r="AL439">
        <v>10</v>
      </c>
      <c r="AM439">
        <v>6</v>
      </c>
      <c r="AN439" s="18">
        <v>0</v>
      </c>
      <c r="AO439" s="18">
        <v>0</v>
      </c>
      <c r="AP439" s="18">
        <v>0</v>
      </c>
      <c r="AQ439" s="18">
        <v>0</v>
      </c>
      <c r="AR439" s="29">
        <v>0</v>
      </c>
      <c r="AS439" s="29">
        <v>0</v>
      </c>
      <c r="AT439" s="29">
        <v>0</v>
      </c>
      <c r="AU439" s="24" t="str">
        <f t="shared" si="7"/>
        <v>库存为0</v>
      </c>
      <c r="AV439" s="31" t="str">
        <f>IFERROR(时间!$B$4+AU439,"上周无销量")</f>
        <v>上周无销量</v>
      </c>
    </row>
    <row r="440" spans="1:48">
      <c r="A440" s="16" t="s">
        <v>863</v>
      </c>
      <c r="B440" t="s">
        <v>864</v>
      </c>
      <c r="C440" t="s">
        <v>856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0</v>
      </c>
      <c r="K440" s="26">
        <v>0</v>
      </c>
      <c r="L440" s="26">
        <v>0</v>
      </c>
      <c r="M440">
        <v>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0</v>
      </c>
      <c r="AK440">
        <v>0</v>
      </c>
      <c r="AL440">
        <v>0</v>
      </c>
      <c r="AM440">
        <v>0</v>
      </c>
      <c r="AN440" s="18" t="s">
        <v>52</v>
      </c>
      <c r="AO440" s="18" t="s">
        <v>52</v>
      </c>
      <c r="AP440" s="18" t="s">
        <v>52</v>
      </c>
      <c r="AQ440" s="18" t="s">
        <v>52</v>
      </c>
      <c r="AR440" s="29">
        <v>0</v>
      </c>
      <c r="AS440" s="29">
        <v>0</v>
      </c>
      <c r="AT440" s="29">
        <v>0</v>
      </c>
      <c r="AU440" s="24" t="str">
        <f t="shared" si="7"/>
        <v>库存为0</v>
      </c>
      <c r="AV440" s="31" t="str">
        <f>IFERROR(时间!$B$4+AU440,"上周无销量")</f>
        <v>上周无销量</v>
      </c>
    </row>
    <row r="441" spans="1:48">
      <c r="A441" s="16" t="s">
        <v>865</v>
      </c>
      <c r="B441" t="s">
        <v>866</v>
      </c>
      <c r="C441" t="s">
        <v>856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0</v>
      </c>
      <c r="K441" s="26">
        <v>0</v>
      </c>
      <c r="L441" s="26">
        <v>0</v>
      </c>
      <c r="M441">
        <v>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0</v>
      </c>
      <c r="AK441">
        <v>0</v>
      </c>
      <c r="AL441">
        <v>0</v>
      </c>
      <c r="AM441">
        <v>0</v>
      </c>
      <c r="AN441" s="18" t="s">
        <v>52</v>
      </c>
      <c r="AO441" s="18" t="s">
        <v>52</v>
      </c>
      <c r="AP441" s="18" t="s">
        <v>52</v>
      </c>
      <c r="AQ441" s="18" t="s">
        <v>52</v>
      </c>
      <c r="AR441" s="29">
        <v>0</v>
      </c>
      <c r="AS441" s="29">
        <v>0</v>
      </c>
      <c r="AT441" s="29">
        <v>0</v>
      </c>
      <c r="AU441" s="24" t="str">
        <f t="shared" si="7"/>
        <v>库存为0</v>
      </c>
      <c r="AV441" s="31" t="str">
        <f>IFERROR(时间!$B$4+AU441,"上周无销量")</f>
        <v>上周无销量</v>
      </c>
    </row>
    <row r="442" spans="1:48">
      <c r="A442" s="16" t="s">
        <v>867</v>
      </c>
      <c r="B442" t="s">
        <v>868</v>
      </c>
      <c r="C442" t="s">
        <v>856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0</v>
      </c>
      <c r="J442" s="26">
        <v>0</v>
      </c>
      <c r="K442" s="26">
        <v>0</v>
      </c>
      <c r="L442" s="26">
        <v>0</v>
      </c>
      <c r="M442">
        <v>0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10</v>
      </c>
      <c r="AK442">
        <v>3</v>
      </c>
      <c r="AL442">
        <v>6</v>
      </c>
      <c r="AM442">
        <v>6</v>
      </c>
      <c r="AN442" s="18">
        <v>0</v>
      </c>
      <c r="AO442" s="18">
        <v>0</v>
      </c>
      <c r="AP442" s="18">
        <v>0</v>
      </c>
      <c r="AQ442" s="18">
        <v>0</v>
      </c>
      <c r="AR442" s="29">
        <v>0</v>
      </c>
      <c r="AS442" s="29">
        <v>0</v>
      </c>
      <c r="AT442" s="29">
        <v>0</v>
      </c>
      <c r="AU442" s="24" t="str">
        <f t="shared" si="7"/>
        <v>库存为0</v>
      </c>
      <c r="AV442" s="31" t="str">
        <f>IFERROR(时间!$B$4+AU442,"上周无销量")</f>
        <v>上周无销量</v>
      </c>
    </row>
    <row r="443" spans="1:48">
      <c r="A443" s="16" t="s">
        <v>869</v>
      </c>
      <c r="B443" t="s">
        <v>870</v>
      </c>
      <c r="C443" t="s">
        <v>856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0</v>
      </c>
      <c r="J443" s="26">
        <v>0</v>
      </c>
      <c r="K443" s="26">
        <v>0</v>
      </c>
      <c r="L443" s="26">
        <v>0</v>
      </c>
      <c r="M443">
        <v>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7</v>
      </c>
      <c r="AK443">
        <v>7</v>
      </c>
      <c r="AL443">
        <v>14</v>
      </c>
      <c r="AM443">
        <v>8</v>
      </c>
      <c r="AN443" s="18">
        <v>0</v>
      </c>
      <c r="AO443" s="18">
        <v>0</v>
      </c>
      <c r="AP443" s="18">
        <v>0</v>
      </c>
      <c r="AQ443" s="18">
        <v>0</v>
      </c>
      <c r="AR443" s="29">
        <v>0</v>
      </c>
      <c r="AS443" s="29">
        <v>0</v>
      </c>
      <c r="AT443" s="29">
        <v>0</v>
      </c>
      <c r="AU443" s="24" t="str">
        <f t="shared" si="7"/>
        <v>库存为0</v>
      </c>
      <c r="AV443" s="31" t="str">
        <f>IFERROR(时间!$B$4+AU443,"上周无销量")</f>
        <v>上周无销量</v>
      </c>
    </row>
    <row r="444" spans="1:48">
      <c r="A444" s="16" t="s">
        <v>871</v>
      </c>
      <c r="B444" t="s">
        <v>872</v>
      </c>
      <c r="C444" t="s">
        <v>856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0</v>
      </c>
      <c r="J444" s="26">
        <v>0</v>
      </c>
      <c r="K444" s="26">
        <v>0</v>
      </c>
      <c r="L444" s="26">
        <v>0</v>
      </c>
      <c r="M444">
        <v>0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0</v>
      </c>
      <c r="AK444">
        <v>0</v>
      </c>
      <c r="AL444">
        <v>0</v>
      </c>
      <c r="AM444">
        <v>0</v>
      </c>
      <c r="AN444" s="18" t="s">
        <v>52</v>
      </c>
      <c r="AO444" s="18" t="s">
        <v>52</v>
      </c>
      <c r="AP444" s="18" t="s">
        <v>52</v>
      </c>
      <c r="AQ444" s="18" t="s">
        <v>52</v>
      </c>
      <c r="AR444" s="29">
        <v>0</v>
      </c>
      <c r="AS444" s="29">
        <v>0</v>
      </c>
      <c r="AT444" s="29">
        <v>0</v>
      </c>
      <c r="AU444" s="24" t="str">
        <f t="shared" si="7"/>
        <v>库存为0</v>
      </c>
      <c r="AV444" s="31" t="str">
        <f>IFERROR(时间!$B$4+AU444,"上周无销量")</f>
        <v>上周无销量</v>
      </c>
    </row>
    <row r="445" spans="1:48">
      <c r="A445" s="16" t="s">
        <v>873</v>
      </c>
      <c r="B445" t="s">
        <v>874</v>
      </c>
      <c r="C445" t="s">
        <v>856</v>
      </c>
      <c r="D445" s="24">
        <v>0</v>
      </c>
      <c r="E445" s="24">
        <v>0</v>
      </c>
      <c r="F445" s="24">
        <v>0</v>
      </c>
      <c r="G445" s="24">
        <v>0</v>
      </c>
      <c r="H445" s="25">
        <v>0</v>
      </c>
      <c r="I445">
        <v>0</v>
      </c>
      <c r="J445" s="26">
        <v>0</v>
      </c>
      <c r="K445" s="26">
        <v>0</v>
      </c>
      <c r="L445" s="26">
        <v>0</v>
      </c>
      <c r="M445">
        <v>0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3</v>
      </c>
      <c r="AK445">
        <v>1</v>
      </c>
      <c r="AL445">
        <v>5</v>
      </c>
      <c r="AM445">
        <v>10</v>
      </c>
      <c r="AN445" s="18">
        <v>0</v>
      </c>
      <c r="AO445" s="18">
        <v>0</v>
      </c>
      <c r="AP445" s="18">
        <v>0</v>
      </c>
      <c r="AQ445" s="18">
        <v>0</v>
      </c>
      <c r="AR445" s="29">
        <v>0</v>
      </c>
      <c r="AS445" s="29">
        <v>0</v>
      </c>
      <c r="AT445" s="29">
        <v>0</v>
      </c>
      <c r="AU445" s="24" t="str">
        <f t="shared" si="7"/>
        <v>库存为0</v>
      </c>
      <c r="AV445" s="31" t="str">
        <f>IFERROR(时间!$B$4+AU445,"上周无销量")</f>
        <v>上周无销量</v>
      </c>
    </row>
    <row r="446" spans="1:48">
      <c r="A446" s="16" t="s">
        <v>875</v>
      </c>
      <c r="B446" t="s">
        <v>876</v>
      </c>
      <c r="C446" t="s">
        <v>856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0</v>
      </c>
      <c r="J446" s="26">
        <v>0</v>
      </c>
      <c r="K446" s="26">
        <v>0</v>
      </c>
      <c r="L446" s="26">
        <v>0</v>
      </c>
      <c r="M446">
        <v>0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0</v>
      </c>
      <c r="AK446">
        <v>0</v>
      </c>
      <c r="AL446">
        <v>0</v>
      </c>
      <c r="AM446">
        <v>0</v>
      </c>
      <c r="AN446" s="18" t="s">
        <v>52</v>
      </c>
      <c r="AO446" s="18" t="s">
        <v>52</v>
      </c>
      <c r="AP446" s="18" t="s">
        <v>52</v>
      </c>
      <c r="AQ446" s="18" t="s">
        <v>52</v>
      </c>
      <c r="AR446" s="29">
        <v>0</v>
      </c>
      <c r="AS446" s="29">
        <v>0</v>
      </c>
      <c r="AT446" s="29">
        <v>0</v>
      </c>
      <c r="AU446" s="24" t="str">
        <f t="shared" si="7"/>
        <v>库存为0</v>
      </c>
      <c r="AV446" s="31" t="str">
        <f>IFERROR(时间!$B$4+AU446,"上周无销量")</f>
        <v>上周无销量</v>
      </c>
    </row>
    <row r="447" spans="1:48">
      <c r="A447" s="16" t="s">
        <v>877</v>
      </c>
      <c r="B447" t="s">
        <v>878</v>
      </c>
      <c r="C447" t="s">
        <v>856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6</v>
      </c>
      <c r="AK447">
        <v>2</v>
      </c>
      <c r="AL447">
        <v>4</v>
      </c>
      <c r="AM447">
        <v>3</v>
      </c>
      <c r="AN447" s="18">
        <v>0</v>
      </c>
      <c r="AO447" s="18">
        <v>0</v>
      </c>
      <c r="AP447" s="18">
        <v>0</v>
      </c>
      <c r="AQ447" s="18">
        <v>0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879</v>
      </c>
      <c r="B448" t="s">
        <v>880</v>
      </c>
      <c r="C448" t="s">
        <v>856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0</v>
      </c>
      <c r="K448" s="26">
        <v>0</v>
      </c>
      <c r="L448" s="26">
        <v>0</v>
      </c>
      <c r="M448">
        <v>0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3</v>
      </c>
      <c r="AK448">
        <v>1</v>
      </c>
      <c r="AL448">
        <v>3</v>
      </c>
      <c r="AM448">
        <v>3</v>
      </c>
      <c r="AN448" s="18">
        <v>0</v>
      </c>
      <c r="AO448" s="18">
        <v>0</v>
      </c>
      <c r="AP448" s="18">
        <v>0</v>
      </c>
      <c r="AQ448" s="18">
        <v>0</v>
      </c>
      <c r="AR448" s="29">
        <v>0</v>
      </c>
      <c r="AS448" s="29">
        <v>0</v>
      </c>
      <c r="AT448" s="29">
        <v>0</v>
      </c>
      <c r="AU448" s="24" t="str">
        <f t="shared" si="7"/>
        <v>库存为0</v>
      </c>
      <c r="AV448" s="31" t="str">
        <f>IFERROR(时间!$B$4+AU448,"上周无销量")</f>
        <v>上周无销量</v>
      </c>
    </row>
    <row r="449" spans="1:48">
      <c r="A449" s="16" t="s">
        <v>881</v>
      </c>
      <c r="B449" t="s">
        <v>882</v>
      </c>
      <c r="C449" t="s">
        <v>856</v>
      </c>
      <c r="D449" s="24">
        <v>0</v>
      </c>
      <c r="E449" s="24">
        <v>0</v>
      </c>
      <c r="F449" s="24">
        <v>0</v>
      </c>
      <c r="G449" s="24">
        <v>0</v>
      </c>
      <c r="H449" s="25">
        <v>0</v>
      </c>
      <c r="I449">
        <v>0</v>
      </c>
      <c r="J449" s="26">
        <v>0</v>
      </c>
      <c r="K449" s="26">
        <v>0</v>
      </c>
      <c r="L449" s="26">
        <v>0</v>
      </c>
      <c r="M449">
        <v>0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2</v>
      </c>
      <c r="AK449">
        <v>2</v>
      </c>
      <c r="AL449">
        <v>13</v>
      </c>
      <c r="AM449">
        <v>4</v>
      </c>
      <c r="AN449" s="18">
        <v>0</v>
      </c>
      <c r="AO449" s="18">
        <v>0</v>
      </c>
      <c r="AP449" s="18">
        <v>0</v>
      </c>
      <c r="AQ449" s="18">
        <v>0</v>
      </c>
      <c r="AR449" s="29">
        <v>0</v>
      </c>
      <c r="AS449" s="29">
        <v>0</v>
      </c>
      <c r="AT449" s="29">
        <v>0</v>
      </c>
      <c r="AU449" s="24" t="str">
        <f t="shared" si="7"/>
        <v>库存为0</v>
      </c>
      <c r="AV449" s="31" t="str">
        <f>IFERROR(时间!$B$4+AU449,"上周无销量")</f>
        <v>上周无销量</v>
      </c>
    </row>
    <row r="450" spans="1:48">
      <c r="A450" s="16" t="s">
        <v>883</v>
      </c>
      <c r="B450" t="s">
        <v>884</v>
      </c>
      <c r="C450" t="s">
        <v>856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0</v>
      </c>
      <c r="AK450">
        <v>0</v>
      </c>
      <c r="AL450">
        <v>0</v>
      </c>
      <c r="AM450">
        <v>0</v>
      </c>
      <c r="AN450" s="18" t="s">
        <v>52</v>
      </c>
      <c r="AO450" s="18" t="s">
        <v>52</v>
      </c>
      <c r="AP450" s="18" t="s">
        <v>52</v>
      </c>
      <c r="AQ450" s="18" t="s">
        <v>52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885</v>
      </c>
      <c r="B451" t="s">
        <v>886</v>
      </c>
      <c r="C451" t="s">
        <v>856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>
        <v>0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6</v>
      </c>
      <c r="AK451">
        <v>1</v>
      </c>
      <c r="AL451">
        <v>4</v>
      </c>
      <c r="AM451">
        <v>6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887</v>
      </c>
      <c r="B452" t="s">
        <v>888</v>
      </c>
      <c r="C452" t="s">
        <v>856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>
        <v>0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9</v>
      </c>
      <c r="AK452">
        <v>2</v>
      </c>
      <c r="AL452">
        <v>6</v>
      </c>
      <c r="AM452">
        <v>5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889</v>
      </c>
      <c r="B453" t="s">
        <v>890</v>
      </c>
      <c r="C453" t="s">
        <v>856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7</v>
      </c>
      <c r="AK453">
        <v>2</v>
      </c>
      <c r="AL453">
        <v>11</v>
      </c>
      <c r="AM453">
        <v>5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891</v>
      </c>
      <c r="B454" t="s">
        <v>892</v>
      </c>
      <c r="C454" t="s">
        <v>856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>
        <v>0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1</v>
      </c>
      <c r="AK454">
        <v>5</v>
      </c>
      <c r="AL454">
        <v>9</v>
      </c>
      <c r="AM454">
        <v>7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893</v>
      </c>
      <c r="B455" t="s">
        <v>894</v>
      </c>
      <c r="C455" t="s">
        <v>856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9</v>
      </c>
      <c r="AK455">
        <v>1</v>
      </c>
      <c r="AL455">
        <v>17</v>
      </c>
      <c r="AM455">
        <v>4</v>
      </c>
      <c r="AN455" s="18">
        <v>0</v>
      </c>
      <c r="AO455" s="18">
        <v>0</v>
      </c>
      <c r="AP455" s="18">
        <v>0</v>
      </c>
      <c r="AQ455" s="18">
        <v>0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895</v>
      </c>
      <c r="B456" t="s">
        <v>896</v>
      </c>
      <c r="C456" t="s">
        <v>856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7</v>
      </c>
      <c r="AK456">
        <v>3</v>
      </c>
      <c r="AL456">
        <v>9</v>
      </c>
      <c r="AM456">
        <v>5</v>
      </c>
      <c r="AN456" s="18">
        <v>0</v>
      </c>
      <c r="AO456" s="18">
        <v>0</v>
      </c>
      <c r="AP456" s="18">
        <v>0</v>
      </c>
      <c r="AQ456" s="18">
        <v>0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897</v>
      </c>
      <c r="B457" t="s">
        <v>898</v>
      </c>
      <c r="C457" t="s">
        <v>856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6</v>
      </c>
      <c r="AK457">
        <v>3</v>
      </c>
      <c r="AL457">
        <v>4</v>
      </c>
      <c r="AM457">
        <v>4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899</v>
      </c>
      <c r="B458" t="s">
        <v>900</v>
      </c>
      <c r="C458" t="s">
        <v>856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>
        <v>0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2</v>
      </c>
      <c r="AK458">
        <v>2</v>
      </c>
      <c r="AL458">
        <v>5</v>
      </c>
      <c r="AM458">
        <v>3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901</v>
      </c>
      <c r="B459" t="s">
        <v>902</v>
      </c>
      <c r="C459" t="s">
        <v>856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>
        <v>0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0</v>
      </c>
      <c r="AK459">
        <v>3</v>
      </c>
      <c r="AL459">
        <v>9</v>
      </c>
      <c r="AM459">
        <v>4</v>
      </c>
      <c r="AN459" s="18" t="s">
        <v>52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903</v>
      </c>
      <c r="B460" t="s">
        <v>904</v>
      </c>
      <c r="C460" t="s">
        <v>856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>
        <v>0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3</v>
      </c>
      <c r="AK460">
        <v>2</v>
      </c>
      <c r="AL460">
        <v>5</v>
      </c>
      <c r="AM460">
        <v>3</v>
      </c>
      <c r="AN460" s="18">
        <v>0</v>
      </c>
      <c r="AO460" s="18">
        <v>0</v>
      </c>
      <c r="AP460" s="18">
        <v>0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905</v>
      </c>
      <c r="B461" t="s">
        <v>906</v>
      </c>
      <c r="C461" t="s">
        <v>856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3</v>
      </c>
      <c r="AK461">
        <v>1</v>
      </c>
      <c r="AL461">
        <v>7</v>
      </c>
      <c r="AM461">
        <v>3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907</v>
      </c>
      <c r="B462" t="s">
        <v>908</v>
      </c>
      <c r="C462" t="s">
        <v>856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0</v>
      </c>
      <c r="J462" s="26">
        <v>0</v>
      </c>
      <c r="K462" s="26">
        <v>0</v>
      </c>
      <c r="L462" s="26">
        <v>0</v>
      </c>
      <c r="M462">
        <v>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7</v>
      </c>
      <c r="AK462">
        <v>3</v>
      </c>
      <c r="AL462">
        <v>9</v>
      </c>
      <c r="AM462">
        <v>9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0</v>
      </c>
      <c r="AU462" s="24" t="str">
        <f t="shared" si="8"/>
        <v>库存为0</v>
      </c>
      <c r="AV462" s="31" t="str">
        <f>IFERROR(时间!$B$4+AU462,"上周无销量")</f>
        <v>上周无销量</v>
      </c>
    </row>
    <row r="463" spans="1:48">
      <c r="A463" s="16" t="s">
        <v>909</v>
      </c>
      <c r="B463" t="s">
        <v>910</v>
      </c>
      <c r="C463" t="s">
        <v>856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0</v>
      </c>
      <c r="J463" s="26">
        <v>0</v>
      </c>
      <c r="K463" s="26">
        <v>0</v>
      </c>
      <c r="L463" s="26">
        <v>0</v>
      </c>
      <c r="M463">
        <v>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3</v>
      </c>
      <c r="AK463">
        <v>2</v>
      </c>
      <c r="AL463">
        <v>3</v>
      </c>
      <c r="AM463">
        <v>8</v>
      </c>
      <c r="AN463" s="18">
        <v>0</v>
      </c>
      <c r="AO463" s="18">
        <v>0</v>
      </c>
      <c r="AP463" s="18">
        <v>0</v>
      </c>
      <c r="AQ463" s="18">
        <v>0</v>
      </c>
      <c r="AR463" s="29">
        <v>0</v>
      </c>
      <c r="AS463" s="29">
        <v>0</v>
      </c>
      <c r="AT463" s="29">
        <v>0</v>
      </c>
      <c r="AU463" s="24" t="str">
        <f t="shared" si="8"/>
        <v>库存为0</v>
      </c>
      <c r="AV463" s="31" t="str">
        <f>IFERROR(时间!$B$4+AU463,"上周无销量")</f>
        <v>上周无销量</v>
      </c>
    </row>
    <row r="464" spans="1:48">
      <c r="A464" s="16" t="s">
        <v>911</v>
      </c>
      <c r="B464" t="s">
        <v>912</v>
      </c>
      <c r="C464" t="s">
        <v>856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>
        <v>0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4</v>
      </c>
      <c r="AK464">
        <v>1</v>
      </c>
      <c r="AL464">
        <v>6</v>
      </c>
      <c r="AM464">
        <v>1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913</v>
      </c>
      <c r="B465" t="s">
        <v>914</v>
      </c>
      <c r="C465" t="s">
        <v>856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8</v>
      </c>
      <c r="AK465">
        <v>1</v>
      </c>
      <c r="AL465">
        <v>10</v>
      </c>
      <c r="AM465">
        <v>2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915</v>
      </c>
      <c r="B466" t="s">
        <v>916</v>
      </c>
      <c r="C466" t="s">
        <v>856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4</v>
      </c>
      <c r="AK466">
        <v>0</v>
      </c>
      <c r="AL466">
        <v>12</v>
      </c>
      <c r="AM466">
        <v>6</v>
      </c>
      <c r="AN466" s="18">
        <v>0</v>
      </c>
      <c r="AO466" s="18" t="s">
        <v>52</v>
      </c>
      <c r="AP466" s="18">
        <v>0</v>
      </c>
      <c r="AQ466" s="18">
        <v>0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917</v>
      </c>
      <c r="B467" t="s">
        <v>918</v>
      </c>
      <c r="C467" t="s">
        <v>856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5</v>
      </c>
      <c r="AK467">
        <v>1</v>
      </c>
      <c r="AL467">
        <v>7</v>
      </c>
      <c r="AM467">
        <v>4</v>
      </c>
      <c r="AN467" s="18">
        <v>0</v>
      </c>
      <c r="AO467" s="18">
        <v>0</v>
      </c>
      <c r="AP467" s="18">
        <v>0</v>
      </c>
      <c r="AQ467" s="18">
        <v>0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919</v>
      </c>
      <c r="B468" t="s">
        <v>920</v>
      </c>
      <c r="C468" t="s">
        <v>856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0</v>
      </c>
      <c r="J468" s="26">
        <v>0</v>
      </c>
      <c r="K468" s="26">
        <v>0</v>
      </c>
      <c r="L468" s="26">
        <v>0</v>
      </c>
      <c r="M468">
        <v>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2</v>
      </c>
      <c r="AK468">
        <v>1</v>
      </c>
      <c r="AL468">
        <v>6</v>
      </c>
      <c r="AM468">
        <v>3</v>
      </c>
      <c r="AN468" s="18">
        <v>0</v>
      </c>
      <c r="AO468" s="18">
        <v>0</v>
      </c>
      <c r="AP468" s="18">
        <v>0</v>
      </c>
      <c r="AQ468" s="18">
        <v>0</v>
      </c>
      <c r="AR468" s="29">
        <v>0</v>
      </c>
      <c r="AS468" s="29">
        <v>0</v>
      </c>
      <c r="AT468" s="29">
        <v>0</v>
      </c>
      <c r="AU468" s="24" t="str">
        <f t="shared" si="8"/>
        <v>库存为0</v>
      </c>
      <c r="AV468" s="31" t="str">
        <f>IFERROR(时间!$B$4+AU468,"上周无销量")</f>
        <v>上周无销量</v>
      </c>
    </row>
    <row r="469" spans="1:48">
      <c r="A469" s="16" t="s">
        <v>921</v>
      </c>
      <c r="B469" t="s">
        <v>922</v>
      </c>
      <c r="C469" t="s">
        <v>856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0</v>
      </c>
      <c r="J469" s="26">
        <v>0</v>
      </c>
      <c r="K469" s="26">
        <v>0</v>
      </c>
      <c r="L469" s="26">
        <v>0</v>
      </c>
      <c r="M469">
        <v>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2</v>
      </c>
      <c r="AK469">
        <v>1</v>
      </c>
      <c r="AL469">
        <v>8</v>
      </c>
      <c r="AM469">
        <v>4</v>
      </c>
      <c r="AN469" s="18">
        <v>0</v>
      </c>
      <c r="AO469" s="18">
        <v>0</v>
      </c>
      <c r="AP469" s="18">
        <v>0</v>
      </c>
      <c r="AQ469" s="18">
        <v>0</v>
      </c>
      <c r="AR469" s="29">
        <v>0</v>
      </c>
      <c r="AS469" s="29">
        <v>0</v>
      </c>
      <c r="AT469" s="29">
        <v>0</v>
      </c>
      <c r="AU469" s="24" t="str">
        <f t="shared" si="8"/>
        <v>库存为0</v>
      </c>
      <c r="AV469" s="31" t="str">
        <f>IFERROR(时间!$B$4+AU469,"上周无销量")</f>
        <v>上周无销量</v>
      </c>
    </row>
    <row r="470" spans="1:48">
      <c r="A470" s="16" t="s">
        <v>923</v>
      </c>
      <c r="B470" t="s">
        <v>924</v>
      </c>
      <c r="C470" t="s">
        <v>856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0</v>
      </c>
      <c r="K470" s="26">
        <v>0</v>
      </c>
      <c r="L470" s="26">
        <v>0</v>
      </c>
      <c r="M470">
        <v>0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4</v>
      </c>
      <c r="AK470">
        <v>4</v>
      </c>
      <c r="AL470">
        <v>6</v>
      </c>
      <c r="AM470">
        <v>4</v>
      </c>
      <c r="AN470" s="18">
        <v>0</v>
      </c>
      <c r="AO470" s="18">
        <v>0</v>
      </c>
      <c r="AP470" s="18">
        <v>0</v>
      </c>
      <c r="AQ470" s="18">
        <v>0</v>
      </c>
      <c r="AR470" s="29">
        <v>0</v>
      </c>
      <c r="AS470" s="29">
        <v>0</v>
      </c>
      <c r="AT470" s="29">
        <v>0</v>
      </c>
      <c r="AU470" s="24" t="str">
        <f t="shared" si="8"/>
        <v>库存为0</v>
      </c>
      <c r="AV470" s="31" t="str">
        <f>IFERROR(时间!$B$4+AU470,"上周无销量")</f>
        <v>上周无销量</v>
      </c>
    </row>
    <row r="471" spans="1:48">
      <c r="A471" s="16" t="s">
        <v>925</v>
      </c>
      <c r="B471" t="s">
        <v>926</v>
      </c>
      <c r="C471" t="s">
        <v>927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0</v>
      </c>
      <c r="AK471">
        <v>0</v>
      </c>
      <c r="AL471">
        <v>0</v>
      </c>
      <c r="AM471">
        <v>0</v>
      </c>
      <c r="AN471" s="18" t="s">
        <v>52</v>
      </c>
      <c r="AO471" s="18" t="s">
        <v>52</v>
      </c>
      <c r="AP471" s="18" t="s">
        <v>52</v>
      </c>
      <c r="AQ471" s="18" t="s">
        <v>52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928</v>
      </c>
      <c r="B472" t="s">
        <v>929</v>
      </c>
      <c r="C472" t="s">
        <v>927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0</v>
      </c>
      <c r="AK472">
        <v>0</v>
      </c>
      <c r="AL472">
        <v>0</v>
      </c>
      <c r="AM472">
        <v>0</v>
      </c>
      <c r="AN472" s="18" t="s">
        <v>52</v>
      </c>
      <c r="AO472" s="18" t="s">
        <v>52</v>
      </c>
      <c r="AP472" s="18" t="s">
        <v>52</v>
      </c>
      <c r="AQ472" s="18" t="s">
        <v>52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930</v>
      </c>
      <c r="B473" t="s">
        <v>931</v>
      </c>
      <c r="C473" t="s">
        <v>927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0</v>
      </c>
      <c r="J473" s="26">
        <v>0</v>
      </c>
      <c r="K473" s="26">
        <v>0</v>
      </c>
      <c r="L473" s="26">
        <v>0</v>
      </c>
      <c r="M473">
        <v>0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0</v>
      </c>
      <c r="AK473">
        <v>0</v>
      </c>
      <c r="AL473">
        <v>0</v>
      </c>
      <c r="AM473">
        <v>0</v>
      </c>
      <c r="AN473" s="18" t="s">
        <v>52</v>
      </c>
      <c r="AO473" s="18" t="s">
        <v>52</v>
      </c>
      <c r="AP473" s="18" t="s">
        <v>52</v>
      </c>
      <c r="AQ473" s="18" t="s">
        <v>52</v>
      </c>
      <c r="AR473" s="29">
        <v>0</v>
      </c>
      <c r="AS473" s="29">
        <v>0</v>
      </c>
      <c r="AT473" s="29">
        <v>0</v>
      </c>
      <c r="AU473" s="24" t="str">
        <f t="shared" si="8"/>
        <v>库存为0</v>
      </c>
      <c r="AV473" s="31" t="str">
        <f>IFERROR(时间!$B$4+AU473,"上周无销量")</f>
        <v>上周无销量</v>
      </c>
    </row>
    <row r="474" spans="1:48">
      <c r="A474" s="16" t="s">
        <v>932</v>
      </c>
      <c r="B474" t="s">
        <v>288</v>
      </c>
      <c r="C474" t="s">
        <v>927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0</v>
      </c>
      <c r="J474" s="26">
        <v>0</v>
      </c>
      <c r="K474" s="26">
        <v>0</v>
      </c>
      <c r="L474" s="26">
        <v>0</v>
      </c>
      <c r="M474">
        <v>0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7</v>
      </c>
      <c r="AK474">
        <v>13</v>
      </c>
      <c r="AL474">
        <v>11</v>
      </c>
      <c r="AM474">
        <v>11</v>
      </c>
      <c r="AN474" s="18">
        <v>0</v>
      </c>
      <c r="AO474" s="18">
        <v>0</v>
      </c>
      <c r="AP474" s="18">
        <v>0</v>
      </c>
      <c r="AQ474" s="18">
        <v>0</v>
      </c>
      <c r="AR474" s="29">
        <v>0</v>
      </c>
      <c r="AS474" s="29">
        <v>0</v>
      </c>
      <c r="AT474" s="29">
        <v>0</v>
      </c>
      <c r="AU474" s="24" t="str">
        <f t="shared" si="8"/>
        <v>库存为0</v>
      </c>
      <c r="AV474" s="31" t="str">
        <f>IFERROR(时间!$B$4+AU474,"上周无销量")</f>
        <v>上周无销量</v>
      </c>
    </row>
    <row r="475" spans="1:48">
      <c r="A475" s="16" t="s">
        <v>933</v>
      </c>
      <c r="B475" t="s">
        <v>291</v>
      </c>
      <c r="C475" t="s">
        <v>927</v>
      </c>
      <c r="D475" s="24">
        <v>0</v>
      </c>
      <c r="E475" s="24">
        <v>0</v>
      </c>
      <c r="F475" s="24">
        <v>0</v>
      </c>
      <c r="G475" s="24">
        <v>0</v>
      </c>
      <c r="H475" s="25">
        <v>0</v>
      </c>
      <c r="I475">
        <v>0</v>
      </c>
      <c r="J475" s="26">
        <v>0</v>
      </c>
      <c r="K475" s="26">
        <v>0</v>
      </c>
      <c r="L475" s="26">
        <v>0</v>
      </c>
      <c r="M475">
        <v>0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9</v>
      </c>
      <c r="AK475">
        <v>22</v>
      </c>
      <c r="AL475">
        <v>22</v>
      </c>
      <c r="AM475">
        <v>17</v>
      </c>
      <c r="AN475" s="18">
        <v>0</v>
      </c>
      <c r="AO475" s="18">
        <v>0</v>
      </c>
      <c r="AP475" s="18">
        <v>0</v>
      </c>
      <c r="AQ475" s="18">
        <v>0</v>
      </c>
      <c r="AR475" s="29">
        <v>0</v>
      </c>
      <c r="AS475" s="29">
        <v>0</v>
      </c>
      <c r="AT475" s="29">
        <v>0</v>
      </c>
      <c r="AU475" s="24" t="str">
        <f t="shared" si="8"/>
        <v>库存为0</v>
      </c>
      <c r="AV475" s="31" t="str">
        <f>IFERROR(时间!$B$4+AU475,"上周无销量")</f>
        <v>上周无销量</v>
      </c>
    </row>
    <row r="476" spans="1:48">
      <c r="A476" s="16" t="s">
        <v>934</v>
      </c>
      <c r="B476" t="s">
        <v>293</v>
      </c>
      <c r="C476" t="s">
        <v>927</v>
      </c>
      <c r="D476" s="24">
        <v>0</v>
      </c>
      <c r="E476" s="24">
        <v>0</v>
      </c>
      <c r="F476" s="24">
        <v>0</v>
      </c>
      <c r="G476" s="24">
        <v>1</v>
      </c>
      <c r="H476" s="25">
        <v>24.98</v>
      </c>
      <c r="I476">
        <v>22</v>
      </c>
      <c r="J476" s="26">
        <v>0</v>
      </c>
      <c r="K476" s="26">
        <v>0</v>
      </c>
      <c r="L476" s="26">
        <v>0</v>
      </c>
      <c r="M476">
        <v>22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14</v>
      </c>
      <c r="AK476">
        <v>18</v>
      </c>
      <c r="AL476">
        <v>21</v>
      </c>
      <c r="AM476">
        <v>28</v>
      </c>
      <c r="AN476" s="18">
        <v>0</v>
      </c>
      <c r="AO476" s="18">
        <v>0</v>
      </c>
      <c r="AP476" s="18">
        <v>0</v>
      </c>
      <c r="AQ476" s="18">
        <v>0.0357142857142857</v>
      </c>
      <c r="AR476" s="29">
        <v>0</v>
      </c>
      <c r="AS476" s="29">
        <v>0</v>
      </c>
      <c r="AT476" s="29">
        <v>22</v>
      </c>
      <c r="AU476" s="24" t="str">
        <f t="shared" si="8"/>
        <v>库存为22</v>
      </c>
      <c r="AV476" s="31" t="str">
        <f>IFERROR(时间!$B$4+AU476,"上周无销量")</f>
        <v>上周无销量</v>
      </c>
    </row>
    <row r="477" spans="1:48">
      <c r="A477" s="16" t="s">
        <v>935</v>
      </c>
      <c r="B477" t="s">
        <v>295</v>
      </c>
      <c r="C477" t="s">
        <v>927</v>
      </c>
      <c r="D477" s="24">
        <v>0</v>
      </c>
      <c r="E477" s="24">
        <v>1</v>
      </c>
      <c r="F477" s="24">
        <v>2</v>
      </c>
      <c r="G477" s="24">
        <v>0</v>
      </c>
      <c r="H477" s="25">
        <v>24.98</v>
      </c>
      <c r="I477">
        <v>17</v>
      </c>
      <c r="J477" s="26">
        <v>0</v>
      </c>
      <c r="K477" s="26">
        <v>0</v>
      </c>
      <c r="L477" s="26">
        <v>0</v>
      </c>
      <c r="M477">
        <v>17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14</v>
      </c>
      <c r="AK477">
        <v>17</v>
      </c>
      <c r="AL477">
        <v>15</v>
      </c>
      <c r="AM477">
        <v>23</v>
      </c>
      <c r="AN477" s="18">
        <v>0</v>
      </c>
      <c r="AO477" s="18">
        <v>0.0588235294117647</v>
      </c>
      <c r="AP477" s="18">
        <v>0.133333333333333</v>
      </c>
      <c r="AQ477" s="18">
        <v>0</v>
      </c>
      <c r="AR477" s="29">
        <v>0</v>
      </c>
      <c r="AS477" s="29">
        <v>0</v>
      </c>
      <c r="AT477" s="29">
        <v>17</v>
      </c>
      <c r="AU477" s="24" t="str">
        <f t="shared" si="8"/>
        <v>库存为17</v>
      </c>
      <c r="AV477" s="31" t="str">
        <f>IFERROR(时间!$B$4+AU477,"上周无销量")</f>
        <v>上周无销量</v>
      </c>
    </row>
    <row r="478" spans="1:48">
      <c r="A478" s="16" t="s">
        <v>936</v>
      </c>
      <c r="B478" t="s">
        <v>937</v>
      </c>
      <c r="C478" t="s">
        <v>927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10</v>
      </c>
      <c r="J478" s="26">
        <v>0</v>
      </c>
      <c r="K478" s="26">
        <v>0</v>
      </c>
      <c r="L478" s="26">
        <v>0</v>
      </c>
      <c r="M478">
        <v>10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39</v>
      </c>
      <c r="AK478">
        <v>53</v>
      </c>
      <c r="AL478">
        <v>50</v>
      </c>
      <c r="AM478">
        <v>28</v>
      </c>
      <c r="AN478" s="18">
        <v>0</v>
      </c>
      <c r="AO478" s="18">
        <v>0</v>
      </c>
      <c r="AP478" s="18">
        <v>0</v>
      </c>
      <c r="AQ478" s="18">
        <v>0</v>
      </c>
      <c r="AR478" s="29">
        <v>0</v>
      </c>
      <c r="AS478" s="29">
        <v>0</v>
      </c>
      <c r="AT478" s="29">
        <v>10</v>
      </c>
      <c r="AU478" s="24" t="str">
        <f t="shared" si="8"/>
        <v>库存为10</v>
      </c>
      <c r="AV478" s="31" t="str">
        <f>IFERROR(时间!$B$4+AU478,"上周无销量")</f>
        <v>上周无销量</v>
      </c>
    </row>
    <row r="479" spans="1:48">
      <c r="A479" s="16" t="s">
        <v>938</v>
      </c>
      <c r="B479" t="s">
        <v>297</v>
      </c>
      <c r="C479" t="s">
        <v>927</v>
      </c>
      <c r="D479" s="24">
        <v>0</v>
      </c>
      <c r="E479" s="24">
        <v>1</v>
      </c>
      <c r="F479" s="24">
        <v>0</v>
      </c>
      <c r="G479" s="24">
        <v>0</v>
      </c>
      <c r="H479" s="25">
        <v>24.98</v>
      </c>
      <c r="I479">
        <v>22</v>
      </c>
      <c r="J479" s="26">
        <v>0</v>
      </c>
      <c r="K479" s="26">
        <v>0</v>
      </c>
      <c r="L479" s="26">
        <v>0</v>
      </c>
      <c r="M479">
        <v>22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13</v>
      </c>
      <c r="AK479">
        <v>23</v>
      </c>
      <c r="AL479">
        <v>20</v>
      </c>
      <c r="AM479">
        <v>27</v>
      </c>
      <c r="AN479" s="18">
        <v>0</v>
      </c>
      <c r="AO479" s="18">
        <v>0.0434782608695652</v>
      </c>
      <c r="AP479" s="18">
        <v>0</v>
      </c>
      <c r="AQ479" s="18">
        <v>0</v>
      </c>
      <c r="AR479" s="29">
        <v>0</v>
      </c>
      <c r="AS479" s="29">
        <v>0</v>
      </c>
      <c r="AT479" s="29">
        <v>22</v>
      </c>
      <c r="AU479" s="24" t="str">
        <f t="shared" si="8"/>
        <v>库存为22</v>
      </c>
      <c r="AV479" s="31" t="str">
        <f>IFERROR(时间!$B$4+AU479,"上周无销量")</f>
        <v>上周无销量</v>
      </c>
    </row>
    <row r="480" spans="1:48">
      <c r="A480" s="16" t="s">
        <v>939</v>
      </c>
      <c r="B480" t="s">
        <v>940</v>
      </c>
      <c r="C480" t="s">
        <v>927</v>
      </c>
      <c r="D480" s="24">
        <v>0</v>
      </c>
      <c r="E480" s="24">
        <v>0</v>
      </c>
      <c r="F480" s="24">
        <v>0</v>
      </c>
      <c r="G480" s="24">
        <v>1</v>
      </c>
      <c r="H480" s="25">
        <v>23.98</v>
      </c>
      <c r="I480">
        <v>22</v>
      </c>
      <c r="J480" s="26">
        <v>0</v>
      </c>
      <c r="K480" s="26">
        <v>0</v>
      </c>
      <c r="L480" s="26">
        <v>0</v>
      </c>
      <c r="M480">
        <v>22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5</v>
      </c>
      <c r="AK480">
        <v>14</v>
      </c>
      <c r="AL480">
        <v>12</v>
      </c>
      <c r="AM480">
        <v>10</v>
      </c>
      <c r="AN480" s="18">
        <v>0</v>
      </c>
      <c r="AO480" s="18">
        <v>0</v>
      </c>
      <c r="AP480" s="18">
        <v>0</v>
      </c>
      <c r="AQ480" s="18">
        <v>0.1</v>
      </c>
      <c r="AR480" s="29">
        <v>0</v>
      </c>
      <c r="AS480" s="29">
        <v>0</v>
      </c>
      <c r="AT480" s="29">
        <v>22</v>
      </c>
      <c r="AU480" s="24" t="str">
        <f t="shared" si="8"/>
        <v>库存为22</v>
      </c>
      <c r="AV480" s="31" t="str">
        <f>IFERROR(时间!$B$4+AU480,"上周无销量")</f>
        <v>上周无销量</v>
      </c>
    </row>
    <row r="481" spans="1:48">
      <c r="A481" s="16" t="s">
        <v>941</v>
      </c>
      <c r="B481" t="s">
        <v>309</v>
      </c>
      <c r="C481" t="s">
        <v>927</v>
      </c>
      <c r="D481" s="24">
        <v>0</v>
      </c>
      <c r="E481" s="24">
        <v>0</v>
      </c>
      <c r="F481" s="24">
        <v>0</v>
      </c>
      <c r="G481" s="24">
        <v>0</v>
      </c>
      <c r="H481" s="25">
        <v>0</v>
      </c>
      <c r="I481">
        <v>0</v>
      </c>
      <c r="J481" s="26">
        <v>0</v>
      </c>
      <c r="K481" s="26">
        <v>0</v>
      </c>
      <c r="L481" s="26">
        <v>0</v>
      </c>
      <c r="M481">
        <v>0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20</v>
      </c>
      <c r="AK481">
        <v>27</v>
      </c>
      <c r="AL481">
        <v>30</v>
      </c>
      <c r="AM481">
        <v>18</v>
      </c>
      <c r="AN481" s="18">
        <v>0</v>
      </c>
      <c r="AO481" s="18">
        <v>0</v>
      </c>
      <c r="AP481" s="18">
        <v>0</v>
      </c>
      <c r="AQ481" s="18">
        <v>0</v>
      </c>
      <c r="AR481" s="29">
        <v>0</v>
      </c>
      <c r="AS481" s="29">
        <v>0</v>
      </c>
      <c r="AT481" s="29">
        <v>0</v>
      </c>
      <c r="AU481" s="24" t="str">
        <f t="shared" si="8"/>
        <v>库存为0</v>
      </c>
      <c r="AV481" s="31" t="str">
        <f>IFERROR(时间!$B$4+AU481,"上周无销量")</f>
        <v>上周无销量</v>
      </c>
    </row>
    <row r="482" spans="1:48">
      <c r="A482" s="16" t="s">
        <v>942</v>
      </c>
      <c r="B482" t="s">
        <v>301</v>
      </c>
      <c r="C482" t="s">
        <v>927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0</v>
      </c>
      <c r="J482" s="26">
        <v>0</v>
      </c>
      <c r="K482" s="26">
        <v>0</v>
      </c>
      <c r="L482" s="26">
        <v>0</v>
      </c>
      <c r="M482">
        <v>0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0</v>
      </c>
      <c r="AK482">
        <v>100</v>
      </c>
      <c r="AL482">
        <v>164</v>
      </c>
      <c r="AM482">
        <v>168</v>
      </c>
      <c r="AN482" s="18" t="s">
        <v>52</v>
      </c>
      <c r="AO482" s="18">
        <v>0</v>
      </c>
      <c r="AP482" s="18">
        <v>0</v>
      </c>
      <c r="AQ482" s="18">
        <v>0</v>
      </c>
      <c r="AR482" s="29">
        <v>0</v>
      </c>
      <c r="AS482" s="29">
        <v>0</v>
      </c>
      <c r="AT482" s="29">
        <v>0</v>
      </c>
      <c r="AU482" s="24" t="str">
        <f t="shared" si="8"/>
        <v>库存为0</v>
      </c>
      <c r="AV482" s="31" t="str">
        <f>IFERROR(时间!$B$4+AU482,"上周无销量")</f>
        <v>上周无销量</v>
      </c>
    </row>
    <row r="483" spans="1:48">
      <c r="A483" s="16" t="s">
        <v>943</v>
      </c>
      <c r="B483" t="s">
        <v>303</v>
      </c>
      <c r="C483" t="s">
        <v>927</v>
      </c>
      <c r="D483" s="24">
        <v>4</v>
      </c>
      <c r="E483" s="24">
        <v>4</v>
      </c>
      <c r="F483" s="24">
        <v>4</v>
      </c>
      <c r="G483" s="24">
        <v>2</v>
      </c>
      <c r="H483" s="25">
        <v>24.98</v>
      </c>
      <c r="I483">
        <v>25</v>
      </c>
      <c r="J483" s="26">
        <v>7</v>
      </c>
      <c r="K483" s="26">
        <v>0</v>
      </c>
      <c r="L483" s="26">
        <v>1</v>
      </c>
      <c r="M483">
        <v>33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40</v>
      </c>
      <c r="AK483">
        <v>37</v>
      </c>
      <c r="AL483">
        <v>37</v>
      </c>
      <c r="AM483">
        <v>36</v>
      </c>
      <c r="AN483" s="18">
        <v>0.1</v>
      </c>
      <c r="AO483" s="18">
        <v>0.108108108108108</v>
      </c>
      <c r="AP483" s="18">
        <v>0.108108108108108</v>
      </c>
      <c r="AQ483" s="18">
        <v>0.0555555555555556</v>
      </c>
      <c r="AR483" s="29">
        <v>0.571428571428571</v>
      </c>
      <c r="AS483" s="29">
        <v>34.2857142857143</v>
      </c>
      <c r="AT483" s="29">
        <v>-1.28571428571428</v>
      </c>
      <c r="AU483" s="24">
        <f t="shared" si="8"/>
        <v>57</v>
      </c>
      <c r="AV483" s="31">
        <f>IFERROR(时间!$B$4+AU483,"上周无销量")</f>
        <v>43375</v>
      </c>
    </row>
    <row r="484" spans="1:48">
      <c r="A484" s="16" t="s">
        <v>944</v>
      </c>
      <c r="B484" t="s">
        <v>945</v>
      </c>
      <c r="C484" t="s">
        <v>927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5</v>
      </c>
      <c r="J484" s="26">
        <v>0</v>
      </c>
      <c r="K484" s="26">
        <v>0</v>
      </c>
      <c r="L484" s="26">
        <v>0</v>
      </c>
      <c r="M484">
        <v>5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2</v>
      </c>
      <c r="AK484">
        <v>0</v>
      </c>
      <c r="AL484">
        <v>0</v>
      </c>
      <c r="AM484">
        <v>0</v>
      </c>
      <c r="AN484" s="18">
        <v>0</v>
      </c>
      <c r="AO484" s="18" t="s">
        <v>52</v>
      </c>
      <c r="AP484" s="18" t="s">
        <v>52</v>
      </c>
      <c r="AQ484" s="18" t="s">
        <v>52</v>
      </c>
      <c r="AR484" s="29">
        <v>0</v>
      </c>
      <c r="AS484" s="29">
        <v>0</v>
      </c>
      <c r="AT484" s="29">
        <v>5</v>
      </c>
      <c r="AU484" s="24" t="str">
        <f t="shared" si="8"/>
        <v>库存为5</v>
      </c>
      <c r="AV484" s="31" t="str">
        <f>IFERROR(时间!$B$4+AU484,"上周无销量")</f>
        <v>上周无销量</v>
      </c>
    </row>
    <row r="485" spans="1:48">
      <c r="A485" s="16" t="s">
        <v>946</v>
      </c>
      <c r="B485" t="s">
        <v>307</v>
      </c>
      <c r="C485" t="s">
        <v>927</v>
      </c>
      <c r="D485" s="24">
        <v>2</v>
      </c>
      <c r="E485" s="24">
        <v>4</v>
      </c>
      <c r="F485" s="24">
        <v>9</v>
      </c>
      <c r="G485" s="24">
        <v>4</v>
      </c>
      <c r="H485" s="25">
        <v>24.98</v>
      </c>
      <c r="I485">
        <v>9</v>
      </c>
      <c r="J485" s="26">
        <v>0</v>
      </c>
      <c r="K485" s="26">
        <v>0</v>
      </c>
      <c r="L485" s="26">
        <v>20</v>
      </c>
      <c r="M485">
        <v>29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21</v>
      </c>
      <c r="AK485">
        <v>39</v>
      </c>
      <c r="AL485">
        <v>32</v>
      </c>
      <c r="AM485">
        <v>21</v>
      </c>
      <c r="AN485" s="18">
        <v>0.0952380952380952</v>
      </c>
      <c r="AO485" s="18">
        <v>0.102564102564103</v>
      </c>
      <c r="AP485" s="18">
        <v>0.28125</v>
      </c>
      <c r="AQ485" s="18">
        <v>0.19047619047619</v>
      </c>
      <c r="AR485" s="29">
        <v>0.285714285714286</v>
      </c>
      <c r="AS485" s="29">
        <v>17.1428571428571</v>
      </c>
      <c r="AT485" s="29">
        <v>11.8571428571429</v>
      </c>
      <c r="AU485" s="24">
        <f t="shared" si="8"/>
        <v>101</v>
      </c>
      <c r="AV485" s="31">
        <f>IFERROR(时间!$B$4+AU485,"上周无销量")</f>
        <v>43419</v>
      </c>
    </row>
    <row r="486" spans="1:48">
      <c r="A486" s="16" t="s">
        <v>947</v>
      </c>
      <c r="B486" t="s">
        <v>309</v>
      </c>
      <c r="C486" t="s">
        <v>927</v>
      </c>
      <c r="D486" s="24">
        <v>0</v>
      </c>
      <c r="E486" s="24">
        <v>0</v>
      </c>
      <c r="F486" s="24">
        <v>0</v>
      </c>
      <c r="G486" s="24">
        <v>0</v>
      </c>
      <c r="H486" s="25">
        <v>0</v>
      </c>
      <c r="I486">
        <v>0</v>
      </c>
      <c r="J486" s="26">
        <v>0</v>
      </c>
      <c r="K486" s="26">
        <v>0</v>
      </c>
      <c r="L486" s="26">
        <v>0</v>
      </c>
      <c r="M486">
        <v>0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20</v>
      </c>
      <c r="AK486">
        <v>27</v>
      </c>
      <c r="AL486">
        <v>30</v>
      </c>
      <c r="AM486">
        <v>18</v>
      </c>
      <c r="AN486" s="18">
        <v>0</v>
      </c>
      <c r="AO486" s="18">
        <v>0</v>
      </c>
      <c r="AP486" s="18">
        <v>0</v>
      </c>
      <c r="AQ486" s="18">
        <v>0</v>
      </c>
      <c r="AR486" s="29">
        <v>0</v>
      </c>
      <c r="AS486" s="29">
        <v>0</v>
      </c>
      <c r="AT486" s="29">
        <v>0</v>
      </c>
      <c r="AU486" s="24" t="str">
        <f t="shared" si="8"/>
        <v>库存为0</v>
      </c>
      <c r="AV486" s="31" t="str">
        <f>IFERROR(时间!$B$4+AU486,"上周无销量")</f>
        <v>上周无销量</v>
      </c>
    </row>
    <row r="487" spans="1:48">
      <c r="A487" s="16" t="s">
        <v>948</v>
      </c>
      <c r="B487" t="s">
        <v>311</v>
      </c>
      <c r="C487" t="s">
        <v>927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0</v>
      </c>
      <c r="J487" s="26">
        <v>0</v>
      </c>
      <c r="K487" s="26">
        <v>0</v>
      </c>
      <c r="L487" s="26">
        <v>0</v>
      </c>
      <c r="M487">
        <v>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7</v>
      </c>
      <c r="AK487">
        <v>5</v>
      </c>
      <c r="AL487">
        <v>5</v>
      </c>
      <c r="AM487">
        <v>5</v>
      </c>
      <c r="AN487" s="18">
        <v>0</v>
      </c>
      <c r="AO487" s="18">
        <v>0</v>
      </c>
      <c r="AP487" s="18">
        <v>0</v>
      </c>
      <c r="AQ487" s="18">
        <v>0</v>
      </c>
      <c r="AR487" s="29">
        <v>0</v>
      </c>
      <c r="AS487" s="29">
        <v>0</v>
      </c>
      <c r="AT487" s="29">
        <v>0</v>
      </c>
      <c r="AU487" s="24" t="str">
        <f t="shared" si="8"/>
        <v>库存为0</v>
      </c>
      <c r="AV487" s="31" t="str">
        <f>IFERROR(时间!$B$4+AU487,"上周无销量")</f>
        <v>上周无销量</v>
      </c>
    </row>
    <row r="488" spans="1:48">
      <c r="A488" s="16" t="s">
        <v>949</v>
      </c>
      <c r="B488" t="s">
        <v>313</v>
      </c>
      <c r="C488" t="s">
        <v>927</v>
      </c>
      <c r="D488" s="24">
        <v>0</v>
      </c>
      <c r="E488" s="24">
        <v>0</v>
      </c>
      <c r="F488" s="24">
        <v>0</v>
      </c>
      <c r="G488" s="24">
        <v>0</v>
      </c>
      <c r="H488" s="25">
        <v>0</v>
      </c>
      <c r="I488">
        <v>0</v>
      </c>
      <c r="J488" s="26">
        <v>0</v>
      </c>
      <c r="K488" s="26">
        <v>0</v>
      </c>
      <c r="L488" s="26">
        <v>0</v>
      </c>
      <c r="M488">
        <v>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4</v>
      </c>
      <c r="AK488">
        <v>8</v>
      </c>
      <c r="AL488">
        <v>4</v>
      </c>
      <c r="AM488">
        <v>6</v>
      </c>
      <c r="AN488" s="18">
        <v>0</v>
      </c>
      <c r="AO488" s="18">
        <v>0</v>
      </c>
      <c r="AP488" s="18">
        <v>0</v>
      </c>
      <c r="AQ488" s="18">
        <v>0</v>
      </c>
      <c r="AR488" s="29">
        <v>0</v>
      </c>
      <c r="AS488" s="29">
        <v>0</v>
      </c>
      <c r="AT488" s="29">
        <v>0</v>
      </c>
      <c r="AU488" s="24" t="str">
        <f t="shared" si="8"/>
        <v>库存为0</v>
      </c>
      <c r="AV488" s="31" t="str">
        <f>IFERROR(时间!$B$4+AU488,"上周无销量")</f>
        <v>上周无销量</v>
      </c>
    </row>
    <row r="489" spans="1:48">
      <c r="A489" s="16" t="s">
        <v>950</v>
      </c>
      <c r="B489" t="s">
        <v>951</v>
      </c>
      <c r="C489" t="s">
        <v>927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0</v>
      </c>
      <c r="AK489">
        <v>0</v>
      </c>
      <c r="AL489">
        <v>0</v>
      </c>
      <c r="AM489">
        <v>0</v>
      </c>
      <c r="AN489" s="18" t="s">
        <v>52</v>
      </c>
      <c r="AO489" s="18" t="s">
        <v>52</v>
      </c>
      <c r="AP489" s="18" t="s">
        <v>52</v>
      </c>
      <c r="AQ489" s="18" t="s">
        <v>52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952</v>
      </c>
      <c r="B490" t="s">
        <v>953</v>
      </c>
      <c r="C490" t="s">
        <v>927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>
        <v>0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0</v>
      </c>
      <c r="AK490">
        <v>0</v>
      </c>
      <c r="AL490">
        <v>0</v>
      </c>
      <c r="AM490">
        <v>0</v>
      </c>
      <c r="AN490" s="18" t="s">
        <v>52</v>
      </c>
      <c r="AO490" s="18" t="s">
        <v>52</v>
      </c>
      <c r="AP490" s="18" t="s">
        <v>52</v>
      </c>
      <c r="AQ490" s="18" t="s">
        <v>52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954</v>
      </c>
      <c r="B491" t="s">
        <v>317</v>
      </c>
      <c r="C491" t="s">
        <v>927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0</v>
      </c>
      <c r="J491" s="26">
        <v>0</v>
      </c>
      <c r="K491" s="26">
        <v>0</v>
      </c>
      <c r="L491" s="26">
        <v>0</v>
      </c>
      <c r="M491">
        <v>0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9</v>
      </c>
      <c r="AK491">
        <v>5</v>
      </c>
      <c r="AL491">
        <v>7</v>
      </c>
      <c r="AM491">
        <v>4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0</v>
      </c>
      <c r="AU491" s="24" t="str">
        <f t="shared" si="8"/>
        <v>库存为0</v>
      </c>
      <c r="AV491" s="31" t="str">
        <f>IFERROR(时间!$B$4+AU491,"上周无销量")</f>
        <v>上周无销量</v>
      </c>
    </row>
    <row r="492" spans="1:48">
      <c r="A492" s="16" t="s">
        <v>955</v>
      </c>
      <c r="B492" t="s">
        <v>956</v>
      </c>
      <c r="C492" t="s">
        <v>957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0</v>
      </c>
      <c r="J492" s="26">
        <v>0</v>
      </c>
      <c r="K492" s="26">
        <v>0</v>
      </c>
      <c r="L492" s="26">
        <v>0</v>
      </c>
      <c r="M492">
        <v>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4</v>
      </c>
      <c r="AK492">
        <v>8</v>
      </c>
      <c r="AL492">
        <v>7</v>
      </c>
      <c r="AM492">
        <v>3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0</v>
      </c>
      <c r="AU492" s="24" t="str">
        <f t="shared" si="8"/>
        <v>库存为0</v>
      </c>
      <c r="AV492" s="31" t="str">
        <f>IFERROR(时间!$B$4+AU492,"上周无销量")</f>
        <v>上周无销量</v>
      </c>
    </row>
    <row r="493" spans="1:48">
      <c r="A493" s="16" t="s">
        <v>958</v>
      </c>
      <c r="B493" t="s">
        <v>959</v>
      </c>
      <c r="C493" t="s">
        <v>957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0</v>
      </c>
      <c r="J493" s="26">
        <v>0</v>
      </c>
      <c r="K493" s="26">
        <v>0</v>
      </c>
      <c r="L493" s="26">
        <v>0</v>
      </c>
      <c r="M493">
        <v>0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11</v>
      </c>
      <c r="AK493">
        <v>5</v>
      </c>
      <c r="AL493">
        <v>7</v>
      </c>
      <c r="AM493">
        <v>5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0</v>
      </c>
      <c r="AU493" s="24" t="str">
        <f t="shared" si="8"/>
        <v>库存为0</v>
      </c>
      <c r="AV493" s="31" t="str">
        <f>IFERROR(时间!$B$4+AU493,"上周无销量")</f>
        <v>上周无销量</v>
      </c>
    </row>
    <row r="494" spans="1:48">
      <c r="A494" s="16" t="s">
        <v>960</v>
      </c>
      <c r="B494" t="s">
        <v>961</v>
      </c>
      <c r="C494" t="s">
        <v>957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6</v>
      </c>
      <c r="AK494">
        <v>7</v>
      </c>
      <c r="AL494">
        <v>3</v>
      </c>
      <c r="AM494">
        <v>3</v>
      </c>
      <c r="AN494" s="18">
        <v>0</v>
      </c>
      <c r="AO494" s="18">
        <v>0</v>
      </c>
      <c r="AP494" s="18">
        <v>0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962</v>
      </c>
      <c r="B495" t="s">
        <v>963</v>
      </c>
      <c r="C495" t="s">
        <v>957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>
        <v>0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19</v>
      </c>
      <c r="AK495">
        <v>16</v>
      </c>
      <c r="AL495">
        <v>10</v>
      </c>
      <c r="AM495">
        <v>9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964</v>
      </c>
      <c r="B496" t="s">
        <v>965</v>
      </c>
      <c r="C496" t="s">
        <v>957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0</v>
      </c>
      <c r="J496" s="26">
        <v>0</v>
      </c>
      <c r="K496" s="26">
        <v>0</v>
      </c>
      <c r="L496" s="26">
        <v>0</v>
      </c>
      <c r="M496">
        <v>0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5</v>
      </c>
      <c r="AK496">
        <v>6</v>
      </c>
      <c r="AL496">
        <v>9</v>
      </c>
      <c r="AM496">
        <v>6</v>
      </c>
      <c r="AN496" s="18">
        <v>0</v>
      </c>
      <c r="AO496" s="18">
        <v>0</v>
      </c>
      <c r="AP496" s="18">
        <v>0</v>
      </c>
      <c r="AQ496" s="18">
        <v>0</v>
      </c>
      <c r="AR496" s="29">
        <v>0</v>
      </c>
      <c r="AS496" s="29">
        <v>0</v>
      </c>
      <c r="AT496" s="29">
        <v>0</v>
      </c>
      <c r="AU496" s="24" t="str">
        <f t="shared" si="8"/>
        <v>库存为0</v>
      </c>
      <c r="AV496" s="31" t="str">
        <f>IFERROR(时间!$B$4+AU496,"上周无销量")</f>
        <v>上周无销量</v>
      </c>
    </row>
    <row r="497" spans="1:48">
      <c r="A497" s="16" t="s">
        <v>966</v>
      </c>
      <c r="B497" t="s">
        <v>967</v>
      </c>
      <c r="C497" t="s">
        <v>957</v>
      </c>
      <c r="D497" s="24">
        <v>0</v>
      </c>
      <c r="E497" s="24">
        <v>0</v>
      </c>
      <c r="F497" s="24">
        <v>0</v>
      </c>
      <c r="G497" s="24">
        <v>0</v>
      </c>
      <c r="H497" s="25">
        <v>0</v>
      </c>
      <c r="I497">
        <v>0</v>
      </c>
      <c r="J497" s="26">
        <v>0</v>
      </c>
      <c r="K497" s="26">
        <v>0</v>
      </c>
      <c r="L497" s="26">
        <v>0</v>
      </c>
      <c r="M497">
        <v>0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3</v>
      </c>
      <c r="AK497">
        <v>1</v>
      </c>
      <c r="AL497">
        <v>2</v>
      </c>
      <c r="AM497">
        <v>5</v>
      </c>
      <c r="AN497" s="18">
        <v>0</v>
      </c>
      <c r="AO497" s="18">
        <v>0</v>
      </c>
      <c r="AP497" s="18">
        <v>0</v>
      </c>
      <c r="AQ497" s="18">
        <v>0</v>
      </c>
      <c r="AR497" s="29">
        <v>0</v>
      </c>
      <c r="AS497" s="29">
        <v>0</v>
      </c>
      <c r="AT497" s="29">
        <v>0</v>
      </c>
      <c r="AU497" s="24" t="str">
        <f t="shared" si="8"/>
        <v>库存为0</v>
      </c>
      <c r="AV497" s="31" t="str">
        <f>IFERROR(时间!$B$4+AU497,"上周无销量")</f>
        <v>上周无销量</v>
      </c>
    </row>
    <row r="498" spans="1:48">
      <c r="A498" s="16" t="s">
        <v>968</v>
      </c>
      <c r="B498" t="s">
        <v>969</v>
      </c>
      <c r="C498" t="s">
        <v>957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4</v>
      </c>
      <c r="AK498">
        <v>7</v>
      </c>
      <c r="AL498">
        <v>2</v>
      </c>
      <c r="AM498">
        <v>3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970</v>
      </c>
      <c r="B499" t="s">
        <v>971</v>
      </c>
      <c r="C499" t="s">
        <v>957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4</v>
      </c>
      <c r="AK499">
        <v>4</v>
      </c>
      <c r="AL499">
        <v>2</v>
      </c>
      <c r="AM499">
        <v>6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972</v>
      </c>
      <c r="B500" t="s">
        <v>973</v>
      </c>
      <c r="C500" t="s">
        <v>957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2</v>
      </c>
      <c r="AK500">
        <v>4</v>
      </c>
      <c r="AL500">
        <v>7</v>
      </c>
      <c r="AM500">
        <v>4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974</v>
      </c>
      <c r="B501" t="s">
        <v>975</v>
      </c>
      <c r="C501" t="s">
        <v>957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8</v>
      </c>
      <c r="AK501">
        <v>9</v>
      </c>
      <c r="AL501">
        <v>8</v>
      </c>
      <c r="AM501">
        <v>7</v>
      </c>
      <c r="AN501" s="18">
        <v>0</v>
      </c>
      <c r="AO501" s="18">
        <v>0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976</v>
      </c>
      <c r="B502" t="s">
        <v>977</v>
      </c>
      <c r="C502" t="s">
        <v>957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4</v>
      </c>
      <c r="AK502">
        <v>3</v>
      </c>
      <c r="AL502">
        <v>3</v>
      </c>
      <c r="AM502">
        <v>3</v>
      </c>
      <c r="AN502" s="18">
        <v>0</v>
      </c>
      <c r="AO502" s="18">
        <v>0</v>
      </c>
      <c r="AP502" s="18">
        <v>0</v>
      </c>
      <c r="AQ502" s="18">
        <v>0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978</v>
      </c>
      <c r="B503" t="s">
        <v>979</v>
      </c>
      <c r="C503" t="s">
        <v>957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29</v>
      </c>
      <c r="AK503">
        <v>6</v>
      </c>
      <c r="AL503">
        <v>9</v>
      </c>
      <c r="AM503">
        <v>6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980</v>
      </c>
      <c r="B504" t="s">
        <v>981</v>
      </c>
      <c r="C504" t="s">
        <v>957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8</v>
      </c>
      <c r="AK504">
        <v>10</v>
      </c>
      <c r="AL504">
        <v>5</v>
      </c>
      <c r="AM504">
        <v>4</v>
      </c>
      <c r="AN504" s="18">
        <v>0</v>
      </c>
      <c r="AO504" s="18">
        <v>0</v>
      </c>
      <c r="AP504" s="18">
        <v>0</v>
      </c>
      <c r="AQ504" s="18">
        <v>0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982</v>
      </c>
      <c r="B505" t="s">
        <v>983</v>
      </c>
      <c r="C505" t="s">
        <v>957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7</v>
      </c>
      <c r="AK505">
        <v>11</v>
      </c>
      <c r="AL505">
        <v>8</v>
      </c>
      <c r="AM505">
        <v>4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984</v>
      </c>
      <c r="B506" t="s">
        <v>985</v>
      </c>
      <c r="C506" t="s">
        <v>957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9</v>
      </c>
      <c r="AK506">
        <v>2</v>
      </c>
      <c r="AL506">
        <v>7</v>
      </c>
      <c r="AM506">
        <v>0</v>
      </c>
      <c r="AN506" s="18">
        <v>0</v>
      </c>
      <c r="AO506" s="18">
        <v>0</v>
      </c>
      <c r="AP506" s="18">
        <v>0</v>
      </c>
      <c r="AQ506" s="18" t="s">
        <v>52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986</v>
      </c>
      <c r="B507" t="s">
        <v>987</v>
      </c>
      <c r="C507" t="s">
        <v>957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1</v>
      </c>
      <c r="AK507">
        <v>0</v>
      </c>
      <c r="AL507">
        <v>2</v>
      </c>
      <c r="AM507">
        <v>1</v>
      </c>
      <c r="AN507" s="18">
        <v>0</v>
      </c>
      <c r="AO507" s="18" t="s">
        <v>52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988</v>
      </c>
      <c r="B508" t="s">
        <v>989</v>
      </c>
      <c r="C508" t="s">
        <v>957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7</v>
      </c>
      <c r="AK508">
        <v>6</v>
      </c>
      <c r="AL508">
        <v>6</v>
      </c>
      <c r="AM508">
        <v>3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990</v>
      </c>
      <c r="B509" t="s">
        <v>991</v>
      </c>
      <c r="C509" t="s">
        <v>957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6</v>
      </c>
      <c r="AK509">
        <v>8</v>
      </c>
      <c r="AL509">
        <v>7</v>
      </c>
      <c r="AM509">
        <v>3</v>
      </c>
      <c r="AN509" s="18">
        <v>0</v>
      </c>
      <c r="AO509" s="18">
        <v>0</v>
      </c>
      <c r="AP509" s="18">
        <v>0</v>
      </c>
      <c r="AQ509" s="18">
        <v>0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992</v>
      </c>
      <c r="B510" t="s">
        <v>993</v>
      </c>
      <c r="C510" t="s">
        <v>957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4</v>
      </c>
      <c r="AK510">
        <v>3</v>
      </c>
      <c r="AL510">
        <v>6</v>
      </c>
      <c r="AM510">
        <v>1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994</v>
      </c>
      <c r="B511" t="s">
        <v>995</v>
      </c>
      <c r="C511" t="s">
        <v>957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5</v>
      </c>
      <c r="AK511">
        <v>11</v>
      </c>
      <c r="AL511">
        <v>5</v>
      </c>
      <c r="AM511">
        <v>5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996</v>
      </c>
      <c r="B512" t="s">
        <v>997</v>
      </c>
      <c r="C512" t="s">
        <v>957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0</v>
      </c>
      <c r="AK512">
        <v>0</v>
      </c>
      <c r="AL512">
        <v>0</v>
      </c>
      <c r="AM512">
        <v>0</v>
      </c>
      <c r="AN512" s="18" t="s">
        <v>52</v>
      </c>
      <c r="AO512" s="18" t="s">
        <v>52</v>
      </c>
      <c r="AP512" s="18" t="s">
        <v>52</v>
      </c>
      <c r="AQ512" s="18" t="s">
        <v>52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998</v>
      </c>
      <c r="B513" t="s">
        <v>999</v>
      </c>
      <c r="C513" t="s">
        <v>957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4</v>
      </c>
      <c r="AK513">
        <v>5</v>
      </c>
      <c r="AL513">
        <v>6</v>
      </c>
      <c r="AM513">
        <v>5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1000</v>
      </c>
      <c r="B514" t="s">
        <v>1001</v>
      </c>
      <c r="C514" t="s">
        <v>957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5</v>
      </c>
      <c r="AK514">
        <v>1</v>
      </c>
      <c r="AL514">
        <v>4</v>
      </c>
      <c r="AM514">
        <v>1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1002</v>
      </c>
      <c r="B515" t="s">
        <v>1003</v>
      </c>
      <c r="C515" t="s">
        <v>957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8</v>
      </c>
      <c r="AK515">
        <v>6</v>
      </c>
      <c r="AL515">
        <v>8</v>
      </c>
      <c r="AM515">
        <v>6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1004</v>
      </c>
      <c r="B516" t="s">
        <v>1005</v>
      </c>
      <c r="C516" t="s">
        <v>957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3</v>
      </c>
      <c r="AK516">
        <v>4</v>
      </c>
      <c r="AL516">
        <v>5</v>
      </c>
      <c r="AM516">
        <v>4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1006</v>
      </c>
      <c r="B517" t="s">
        <v>1007</v>
      </c>
      <c r="C517" t="s">
        <v>957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2</v>
      </c>
      <c r="AK517">
        <v>7</v>
      </c>
      <c r="AL517">
        <v>8</v>
      </c>
      <c r="AM517">
        <v>5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1008</v>
      </c>
      <c r="B518" t="s">
        <v>1009</v>
      </c>
      <c r="C518" t="s">
        <v>957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5</v>
      </c>
      <c r="AK518">
        <v>2</v>
      </c>
      <c r="AL518">
        <v>5</v>
      </c>
      <c r="AM518">
        <v>3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1010</v>
      </c>
      <c r="B519" t="s">
        <v>1011</v>
      </c>
      <c r="C519" t="s">
        <v>957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9</v>
      </c>
      <c r="AK519">
        <v>6</v>
      </c>
      <c r="AL519">
        <v>6</v>
      </c>
      <c r="AM519">
        <v>2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1012</v>
      </c>
      <c r="B520" t="s">
        <v>1013</v>
      </c>
      <c r="C520" t="s">
        <v>957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2</v>
      </c>
      <c r="AK520">
        <v>6</v>
      </c>
      <c r="AL520">
        <v>3</v>
      </c>
      <c r="AM520">
        <v>4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1014</v>
      </c>
      <c r="B521" t="s">
        <v>1015</v>
      </c>
      <c r="C521" t="s">
        <v>957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4</v>
      </c>
      <c r="AK521">
        <v>3</v>
      </c>
      <c r="AL521">
        <v>5</v>
      </c>
      <c r="AM521">
        <v>1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1016</v>
      </c>
      <c r="B522" t="s">
        <v>1017</v>
      </c>
      <c r="C522" t="s">
        <v>957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0</v>
      </c>
      <c r="AK522">
        <v>0</v>
      </c>
      <c r="AL522">
        <v>0</v>
      </c>
      <c r="AM522">
        <v>0</v>
      </c>
      <c r="AN522" s="18" t="s">
        <v>52</v>
      </c>
      <c r="AO522" s="18" t="s">
        <v>52</v>
      </c>
      <c r="AP522" s="18" t="s">
        <v>52</v>
      </c>
      <c r="AQ522" s="18" t="s">
        <v>52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1018</v>
      </c>
      <c r="B523" t="s">
        <v>1019</v>
      </c>
      <c r="C523" t="s">
        <v>957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30</v>
      </c>
      <c r="AK523">
        <v>12</v>
      </c>
      <c r="AL523">
        <v>6</v>
      </c>
      <c r="AM523">
        <v>4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1020</v>
      </c>
      <c r="B524" t="s">
        <v>1021</v>
      </c>
      <c r="C524" t="s">
        <v>957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15</v>
      </c>
      <c r="AK524">
        <v>5</v>
      </c>
      <c r="AL524">
        <v>7</v>
      </c>
      <c r="AM524">
        <v>5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1022</v>
      </c>
      <c r="B525" t="s">
        <v>1023</v>
      </c>
      <c r="C525" t="s">
        <v>957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6</v>
      </c>
      <c r="AK525">
        <v>1</v>
      </c>
      <c r="AL525">
        <v>6</v>
      </c>
      <c r="AM525">
        <v>2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1024</v>
      </c>
      <c r="B526" t="s">
        <v>1025</v>
      </c>
      <c r="C526" t="s">
        <v>957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9</v>
      </c>
      <c r="AK526">
        <v>7</v>
      </c>
      <c r="AL526">
        <v>11</v>
      </c>
      <c r="AM526">
        <v>5</v>
      </c>
      <c r="AN526" s="18">
        <v>0</v>
      </c>
      <c r="AO526" s="18">
        <v>0</v>
      </c>
      <c r="AP526" s="18">
        <v>0</v>
      </c>
      <c r="AQ526" s="18">
        <v>0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1026</v>
      </c>
      <c r="B527" t="s">
        <v>1027</v>
      </c>
      <c r="C527" t="s">
        <v>1028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7</v>
      </c>
      <c r="AK527">
        <v>12</v>
      </c>
      <c r="AL527">
        <v>7</v>
      </c>
      <c r="AM527">
        <v>8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1029</v>
      </c>
      <c r="B528" t="s">
        <v>1030</v>
      </c>
      <c r="C528" t="s">
        <v>1028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4</v>
      </c>
      <c r="AK528">
        <v>12</v>
      </c>
      <c r="AL528">
        <v>14</v>
      </c>
      <c r="AM528">
        <v>5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1031</v>
      </c>
      <c r="B529" t="s">
        <v>1032</v>
      </c>
      <c r="C529" t="s">
        <v>1028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7</v>
      </c>
      <c r="AK529">
        <v>5</v>
      </c>
      <c r="AL529">
        <v>7</v>
      </c>
      <c r="AM529">
        <v>8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1033</v>
      </c>
      <c r="B530" t="s">
        <v>1034</v>
      </c>
      <c r="C530" t="s">
        <v>1028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5</v>
      </c>
      <c r="AK530">
        <v>5</v>
      </c>
      <c r="AL530">
        <v>10</v>
      </c>
      <c r="AM530">
        <v>5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1035</v>
      </c>
      <c r="B531" t="s">
        <v>1036</v>
      </c>
      <c r="C531" t="s">
        <v>1028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2</v>
      </c>
      <c r="AK531">
        <v>8</v>
      </c>
      <c r="AL531">
        <v>9</v>
      </c>
      <c r="AM531">
        <v>5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1037</v>
      </c>
      <c r="B532" t="s">
        <v>1038</v>
      </c>
      <c r="C532" t="s">
        <v>1028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5</v>
      </c>
      <c r="AK532">
        <v>4</v>
      </c>
      <c r="AL532">
        <v>9</v>
      </c>
      <c r="AM532">
        <v>8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1039</v>
      </c>
      <c r="B533" t="s">
        <v>1040</v>
      </c>
      <c r="C533" t="s">
        <v>1028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8</v>
      </c>
      <c r="AK533">
        <v>10</v>
      </c>
      <c r="AL533">
        <v>9</v>
      </c>
      <c r="AM533">
        <v>11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1041</v>
      </c>
      <c r="B534" t="s">
        <v>1042</v>
      </c>
      <c r="C534" t="s">
        <v>1028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6</v>
      </c>
      <c r="AK534">
        <v>5</v>
      </c>
      <c r="AL534">
        <v>8</v>
      </c>
      <c r="AM534">
        <v>6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1043</v>
      </c>
      <c r="B535" t="s">
        <v>1044</v>
      </c>
      <c r="C535" t="s">
        <v>1028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7</v>
      </c>
      <c r="AK535">
        <v>8</v>
      </c>
      <c r="AL535">
        <v>9</v>
      </c>
      <c r="AM535">
        <v>6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1045</v>
      </c>
      <c r="B536" t="s">
        <v>1046</v>
      </c>
      <c r="C536" t="s">
        <v>1028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1</v>
      </c>
      <c r="AK536">
        <v>6</v>
      </c>
      <c r="AL536">
        <v>2</v>
      </c>
      <c r="AM536">
        <v>6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1047</v>
      </c>
      <c r="B537" t="s">
        <v>1048</v>
      </c>
      <c r="C537" t="s">
        <v>1028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9</v>
      </c>
      <c r="AK537">
        <v>6</v>
      </c>
      <c r="AL537">
        <v>8</v>
      </c>
      <c r="AM537">
        <v>5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1049</v>
      </c>
      <c r="B538" t="s">
        <v>1050</v>
      </c>
      <c r="C538" t="s">
        <v>1028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8</v>
      </c>
      <c r="AK538">
        <v>9</v>
      </c>
      <c r="AL538">
        <v>8</v>
      </c>
      <c r="AM538">
        <v>13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1051</v>
      </c>
      <c r="B539" t="s">
        <v>1052</v>
      </c>
      <c r="C539" t="s">
        <v>1028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1</v>
      </c>
      <c r="AK539">
        <v>6</v>
      </c>
      <c r="AL539">
        <v>5</v>
      </c>
      <c r="AM539">
        <v>5</v>
      </c>
      <c r="AN539" s="18">
        <v>0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1053</v>
      </c>
      <c r="B540" t="s">
        <v>1054</v>
      </c>
      <c r="C540" t="s">
        <v>1028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8</v>
      </c>
      <c r="AK540">
        <v>9</v>
      </c>
      <c r="AL540">
        <v>8</v>
      </c>
      <c r="AM540">
        <v>8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1055</v>
      </c>
      <c r="B541" t="s">
        <v>1056</v>
      </c>
      <c r="C541" t="s">
        <v>1028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18</v>
      </c>
      <c r="AK541">
        <v>7</v>
      </c>
      <c r="AL541">
        <v>9</v>
      </c>
      <c r="AM541">
        <v>7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1057</v>
      </c>
      <c r="B542" t="s">
        <v>1058</v>
      </c>
      <c r="C542" t="s">
        <v>1028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5</v>
      </c>
      <c r="AK542">
        <v>7</v>
      </c>
      <c r="AL542">
        <v>6</v>
      </c>
      <c r="AM542">
        <v>9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1059</v>
      </c>
      <c r="B543" t="s">
        <v>1060</v>
      </c>
      <c r="C543" t="s">
        <v>1028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6</v>
      </c>
      <c r="AK543">
        <v>4</v>
      </c>
      <c r="AL543">
        <v>8</v>
      </c>
      <c r="AM543">
        <v>8</v>
      </c>
      <c r="AN543" s="18">
        <v>0</v>
      </c>
      <c r="AO543" s="18">
        <v>0</v>
      </c>
      <c r="AP543" s="18">
        <v>0</v>
      </c>
      <c r="AQ543" s="18">
        <v>0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1061</v>
      </c>
      <c r="B544" t="s">
        <v>1062</v>
      </c>
      <c r="C544" t="s">
        <v>1028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5</v>
      </c>
      <c r="AK544">
        <v>4</v>
      </c>
      <c r="AL544">
        <v>7</v>
      </c>
      <c r="AM544">
        <v>7</v>
      </c>
      <c r="AN544" s="18">
        <v>0</v>
      </c>
      <c r="AO544" s="18">
        <v>0</v>
      </c>
      <c r="AP544" s="18">
        <v>0</v>
      </c>
      <c r="AQ544" s="18">
        <v>0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1063</v>
      </c>
      <c r="B545" t="s">
        <v>1064</v>
      </c>
      <c r="C545" t="s">
        <v>1028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16</v>
      </c>
      <c r="AK545">
        <v>4</v>
      </c>
      <c r="AL545">
        <v>13</v>
      </c>
      <c r="AM545">
        <v>7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1065</v>
      </c>
      <c r="B546" t="s">
        <v>1066</v>
      </c>
      <c r="C546" t="s">
        <v>1028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0</v>
      </c>
      <c r="AK546">
        <v>0</v>
      </c>
      <c r="AL546">
        <v>0</v>
      </c>
      <c r="AM546">
        <v>0</v>
      </c>
      <c r="AN546" s="18" t="s">
        <v>52</v>
      </c>
      <c r="AO546" s="18" t="s">
        <v>52</v>
      </c>
      <c r="AP546" s="18" t="s">
        <v>52</v>
      </c>
      <c r="AQ546" s="18" t="s">
        <v>52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1067</v>
      </c>
      <c r="B547" t="s">
        <v>1068</v>
      </c>
      <c r="C547" t="s">
        <v>1028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0</v>
      </c>
      <c r="AK547">
        <v>0</v>
      </c>
      <c r="AL547">
        <v>0</v>
      </c>
      <c r="AM547">
        <v>0</v>
      </c>
      <c r="AN547" s="18" t="s">
        <v>52</v>
      </c>
      <c r="AO547" s="18" t="s">
        <v>52</v>
      </c>
      <c r="AP547" s="18" t="s">
        <v>52</v>
      </c>
      <c r="AQ547" s="18" t="s">
        <v>52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1069</v>
      </c>
      <c r="B548" t="s">
        <v>319</v>
      </c>
      <c r="C548" t="s">
        <v>1028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10</v>
      </c>
      <c r="AK548">
        <v>9</v>
      </c>
      <c r="AL548">
        <v>9</v>
      </c>
      <c r="AM548">
        <v>9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1070</v>
      </c>
      <c r="B549" t="s">
        <v>1071</v>
      </c>
      <c r="C549" t="s">
        <v>1028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5</v>
      </c>
      <c r="AK549">
        <v>6</v>
      </c>
      <c r="AL549">
        <v>7</v>
      </c>
      <c r="AM549">
        <v>6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1072</v>
      </c>
      <c r="B550" t="s">
        <v>1073</v>
      </c>
      <c r="C550" t="s">
        <v>1028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17</v>
      </c>
      <c r="AK550">
        <v>6</v>
      </c>
      <c r="AL550">
        <v>11</v>
      </c>
      <c r="AM550">
        <v>15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1074</v>
      </c>
      <c r="B551" t="s">
        <v>1075</v>
      </c>
      <c r="C551" t="s">
        <v>1028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11</v>
      </c>
      <c r="AK551">
        <v>3</v>
      </c>
      <c r="AL551">
        <v>9</v>
      </c>
      <c r="AM551">
        <v>8</v>
      </c>
      <c r="AN551" s="18">
        <v>0</v>
      </c>
      <c r="AO551" s="18">
        <v>0</v>
      </c>
      <c r="AP551" s="18">
        <v>0</v>
      </c>
      <c r="AQ551" s="18">
        <v>0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1076</v>
      </c>
      <c r="B552" t="s">
        <v>1077</v>
      </c>
      <c r="C552" t="s">
        <v>1028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1</v>
      </c>
      <c r="AK552">
        <v>8</v>
      </c>
      <c r="AL552">
        <v>2</v>
      </c>
      <c r="AM552">
        <v>6</v>
      </c>
      <c r="AN552" s="18">
        <v>0</v>
      </c>
      <c r="AO552" s="18">
        <v>0</v>
      </c>
      <c r="AP552" s="18">
        <v>0</v>
      </c>
      <c r="AQ552" s="18">
        <v>0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1078</v>
      </c>
      <c r="B553" t="s">
        <v>1079</v>
      </c>
      <c r="C553" t="s">
        <v>1028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6</v>
      </c>
      <c r="AK553">
        <v>5</v>
      </c>
      <c r="AL553">
        <v>10</v>
      </c>
      <c r="AM553">
        <v>7</v>
      </c>
      <c r="AN553" s="18">
        <v>0</v>
      </c>
      <c r="AO553" s="18">
        <v>0</v>
      </c>
      <c r="AP553" s="18">
        <v>0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1080</v>
      </c>
      <c r="B554" t="s">
        <v>1081</v>
      </c>
      <c r="C554" t="s">
        <v>1028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3</v>
      </c>
      <c r="AK554">
        <v>1</v>
      </c>
      <c r="AL554">
        <v>4</v>
      </c>
      <c r="AM554">
        <v>4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1082</v>
      </c>
      <c r="B555" t="s">
        <v>1083</v>
      </c>
      <c r="C555" t="s">
        <v>1028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1</v>
      </c>
      <c r="AK555">
        <v>11</v>
      </c>
      <c r="AL555">
        <v>8</v>
      </c>
      <c r="AM555">
        <v>4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1084</v>
      </c>
      <c r="B556" t="s">
        <v>1085</v>
      </c>
      <c r="C556" t="s">
        <v>1028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5</v>
      </c>
      <c r="AK556">
        <v>2</v>
      </c>
      <c r="AL556">
        <v>10</v>
      </c>
      <c r="AM556">
        <v>10</v>
      </c>
      <c r="AN556" s="18">
        <v>0</v>
      </c>
      <c r="AO556" s="18">
        <v>0</v>
      </c>
      <c r="AP556" s="18">
        <v>0</v>
      </c>
      <c r="AQ556" s="18">
        <v>0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1086</v>
      </c>
      <c r="B557" t="s">
        <v>1087</v>
      </c>
      <c r="C557" t="s">
        <v>1028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0</v>
      </c>
      <c r="K557" s="26">
        <v>0</v>
      </c>
      <c r="L557" s="26">
        <v>0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7</v>
      </c>
      <c r="AK557">
        <v>11</v>
      </c>
      <c r="AL557">
        <v>5</v>
      </c>
      <c r="AM557">
        <v>8</v>
      </c>
      <c r="AN557" s="18">
        <v>0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1088</v>
      </c>
      <c r="B558" t="s">
        <v>1089</v>
      </c>
      <c r="C558" t="s">
        <v>1028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0</v>
      </c>
      <c r="J558" s="26">
        <v>0</v>
      </c>
      <c r="K558" s="26">
        <v>0</v>
      </c>
      <c r="L558" s="26">
        <v>0</v>
      </c>
      <c r="M558">
        <v>0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3</v>
      </c>
      <c r="AK558">
        <v>7</v>
      </c>
      <c r="AL558">
        <v>7</v>
      </c>
      <c r="AM558">
        <v>8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0</v>
      </c>
      <c r="AU558" s="24" t="str">
        <f t="shared" si="9"/>
        <v>库存为0</v>
      </c>
      <c r="AV558" s="31" t="str">
        <f>IFERROR(时间!$B$4+AU558,"上周无销量")</f>
        <v>上周无销量</v>
      </c>
    </row>
    <row r="559" spans="1:48">
      <c r="A559" s="16" t="s">
        <v>1090</v>
      </c>
      <c r="B559" t="s">
        <v>1091</v>
      </c>
      <c r="C559" t="s">
        <v>1028</v>
      </c>
      <c r="D559" s="24">
        <v>0</v>
      </c>
      <c r="E559" s="24">
        <v>0</v>
      </c>
      <c r="F559" s="24">
        <v>0</v>
      </c>
      <c r="G559" s="24">
        <v>0</v>
      </c>
      <c r="H559" s="25">
        <v>0</v>
      </c>
      <c r="I559">
        <v>0</v>
      </c>
      <c r="J559" s="26">
        <v>0</v>
      </c>
      <c r="K559" s="26">
        <v>0</v>
      </c>
      <c r="L559" s="26">
        <v>0</v>
      </c>
      <c r="M559">
        <v>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5</v>
      </c>
      <c r="AK559">
        <v>1</v>
      </c>
      <c r="AL559">
        <v>5</v>
      </c>
      <c r="AM559">
        <v>6</v>
      </c>
      <c r="AN559" s="18">
        <v>0</v>
      </c>
      <c r="AO559" s="18">
        <v>0</v>
      </c>
      <c r="AP559" s="18">
        <v>0</v>
      </c>
      <c r="AQ559" s="18">
        <v>0</v>
      </c>
      <c r="AR559" s="29">
        <v>0</v>
      </c>
      <c r="AS559" s="29">
        <v>0</v>
      </c>
      <c r="AT559" s="29">
        <v>0</v>
      </c>
      <c r="AU559" s="24" t="str">
        <f t="shared" si="9"/>
        <v>库存为0</v>
      </c>
      <c r="AV559" s="31" t="str">
        <f>IFERROR(时间!$B$4+AU559,"上周无销量")</f>
        <v>上周无销量</v>
      </c>
    </row>
    <row r="560" spans="1:48">
      <c r="A560" s="16" t="s">
        <v>1092</v>
      </c>
      <c r="B560" t="s">
        <v>1093</v>
      </c>
      <c r="C560" t="s">
        <v>1028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0</v>
      </c>
      <c r="J560" s="26">
        <v>0</v>
      </c>
      <c r="K560" s="26">
        <v>0</v>
      </c>
      <c r="L560" s="26">
        <v>0</v>
      </c>
      <c r="M560">
        <v>0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9</v>
      </c>
      <c r="AK560">
        <v>7</v>
      </c>
      <c r="AL560">
        <v>8</v>
      </c>
      <c r="AM560">
        <v>3</v>
      </c>
      <c r="AN560" s="18">
        <v>0</v>
      </c>
      <c r="AO560" s="18">
        <v>0</v>
      </c>
      <c r="AP560" s="18">
        <v>0</v>
      </c>
      <c r="AQ560" s="18">
        <v>0</v>
      </c>
      <c r="AR560" s="29">
        <v>0</v>
      </c>
      <c r="AS560" s="29">
        <v>0</v>
      </c>
      <c r="AT560" s="29">
        <v>0</v>
      </c>
      <c r="AU560" s="24" t="str">
        <f t="shared" si="9"/>
        <v>库存为0</v>
      </c>
      <c r="AV560" s="31" t="str">
        <f>IFERROR(时间!$B$4+AU560,"上周无销量")</f>
        <v>上周无销量</v>
      </c>
    </row>
    <row r="561" spans="1:48">
      <c r="A561" s="16" t="s">
        <v>1094</v>
      </c>
      <c r="B561" t="s">
        <v>1095</v>
      </c>
      <c r="C561" t="s">
        <v>1028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0</v>
      </c>
      <c r="K561" s="26">
        <v>0</v>
      </c>
      <c r="L561" s="26">
        <v>0</v>
      </c>
      <c r="M561">
        <v>0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1</v>
      </c>
      <c r="AK561">
        <v>3</v>
      </c>
      <c r="AL561">
        <v>6</v>
      </c>
      <c r="AM561">
        <v>4</v>
      </c>
      <c r="AN561" s="18">
        <v>0</v>
      </c>
      <c r="AO561" s="18">
        <v>0</v>
      </c>
      <c r="AP561" s="18">
        <v>0</v>
      </c>
      <c r="AQ561" s="18">
        <v>0</v>
      </c>
      <c r="AR561" s="29">
        <v>0</v>
      </c>
      <c r="AS561" s="29">
        <v>0</v>
      </c>
      <c r="AT561" s="29">
        <v>0</v>
      </c>
      <c r="AU561" s="24" t="str">
        <f t="shared" si="9"/>
        <v>库存为0</v>
      </c>
      <c r="AV561" s="31" t="str">
        <f>IFERROR(时间!$B$4+AU561,"上周无销量")</f>
        <v>上周无销量</v>
      </c>
    </row>
    <row r="562" spans="1:48">
      <c r="A562" s="16" t="s">
        <v>1096</v>
      </c>
      <c r="B562" t="s">
        <v>1097</v>
      </c>
      <c r="C562" t="s">
        <v>1098</v>
      </c>
      <c r="D562" s="24">
        <v>0</v>
      </c>
      <c r="E562" s="24">
        <v>0</v>
      </c>
      <c r="F562" s="24">
        <v>0</v>
      </c>
      <c r="G562" s="24">
        <v>0</v>
      </c>
      <c r="H562" s="25">
        <v>0</v>
      </c>
      <c r="I562">
        <v>0</v>
      </c>
      <c r="J562" s="26">
        <v>0</v>
      </c>
      <c r="K562" s="26">
        <v>0</v>
      </c>
      <c r="L562" s="26">
        <v>0</v>
      </c>
      <c r="M562">
        <v>0</v>
      </c>
      <c r="N562">
        <v>0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4</v>
      </c>
      <c r="AK562">
        <v>8</v>
      </c>
      <c r="AL562">
        <v>7</v>
      </c>
      <c r="AM562">
        <v>4</v>
      </c>
      <c r="AN562" s="18">
        <v>0</v>
      </c>
      <c r="AO562" s="18">
        <v>0</v>
      </c>
      <c r="AP562" s="18">
        <v>0</v>
      </c>
      <c r="AQ562" s="18">
        <v>0</v>
      </c>
      <c r="AR562" s="29">
        <v>0</v>
      </c>
      <c r="AS562" s="29">
        <v>0</v>
      </c>
      <c r="AT562" s="29">
        <v>0</v>
      </c>
      <c r="AU562" s="24" t="str">
        <f t="shared" si="9"/>
        <v>库存为0</v>
      </c>
      <c r="AV562" s="31" t="str">
        <f>IFERROR(时间!$B$4+AU562,"上周无销量")</f>
        <v>上周无销量</v>
      </c>
    </row>
    <row r="563" spans="1:48">
      <c r="A563" s="16" t="s">
        <v>1099</v>
      </c>
      <c r="B563" t="s">
        <v>1100</v>
      </c>
      <c r="C563" t="s">
        <v>1098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0</v>
      </c>
      <c r="J563" s="26">
        <v>0</v>
      </c>
      <c r="K563" s="26">
        <v>0</v>
      </c>
      <c r="L563" s="26">
        <v>0</v>
      </c>
      <c r="M563">
        <v>0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8</v>
      </c>
      <c r="AK563">
        <v>7</v>
      </c>
      <c r="AL563">
        <v>3</v>
      </c>
      <c r="AM563">
        <v>2</v>
      </c>
      <c r="AN563" s="18">
        <v>0</v>
      </c>
      <c r="AO563" s="18">
        <v>0</v>
      </c>
      <c r="AP563" s="18">
        <v>0</v>
      </c>
      <c r="AQ563" s="18">
        <v>0</v>
      </c>
      <c r="AR563" s="29">
        <v>0</v>
      </c>
      <c r="AS563" s="29">
        <v>0</v>
      </c>
      <c r="AT563" s="29">
        <v>0</v>
      </c>
      <c r="AU563" s="24" t="str">
        <f t="shared" si="9"/>
        <v>库存为0</v>
      </c>
      <c r="AV563" s="31" t="str">
        <f>IFERROR(时间!$B$4+AU563,"上周无销量")</f>
        <v>上周无销量</v>
      </c>
    </row>
    <row r="564" spans="1:48">
      <c r="A564" s="16" t="s">
        <v>1101</v>
      </c>
      <c r="B564" t="s">
        <v>1102</v>
      </c>
      <c r="C564" t="s">
        <v>1098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5</v>
      </c>
      <c r="AK564">
        <v>12</v>
      </c>
      <c r="AL564">
        <v>7</v>
      </c>
      <c r="AM564">
        <v>5</v>
      </c>
      <c r="AN564" s="18">
        <v>0</v>
      </c>
      <c r="AO564" s="18">
        <v>0</v>
      </c>
      <c r="AP564" s="18">
        <v>0</v>
      </c>
      <c r="AQ564" s="18">
        <v>0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1103</v>
      </c>
      <c r="B565" t="s">
        <v>1104</v>
      </c>
      <c r="C565" t="s">
        <v>1098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8</v>
      </c>
      <c r="AK565">
        <v>4</v>
      </c>
      <c r="AL565">
        <v>4</v>
      </c>
      <c r="AM565">
        <v>0</v>
      </c>
      <c r="AN565" s="18">
        <v>0</v>
      </c>
      <c r="AO565" s="18">
        <v>0</v>
      </c>
      <c r="AP565" s="18">
        <v>0</v>
      </c>
      <c r="AQ565" s="18" t="s">
        <v>52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1105</v>
      </c>
      <c r="B566" t="s">
        <v>1106</v>
      </c>
      <c r="C566" t="s">
        <v>1098</v>
      </c>
      <c r="D566" s="24">
        <v>0</v>
      </c>
      <c r="E566" s="24">
        <v>0</v>
      </c>
      <c r="F566" s="24">
        <v>0</v>
      </c>
      <c r="G566" s="24">
        <v>0</v>
      </c>
      <c r="H566" s="25">
        <v>0</v>
      </c>
      <c r="I566">
        <v>0</v>
      </c>
      <c r="J566" s="26">
        <v>0</v>
      </c>
      <c r="K566" s="26">
        <v>0</v>
      </c>
      <c r="L566" s="26">
        <v>0</v>
      </c>
      <c r="M566">
        <v>0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9</v>
      </c>
      <c r="AK566">
        <v>1</v>
      </c>
      <c r="AL566">
        <v>6</v>
      </c>
      <c r="AM566">
        <v>2</v>
      </c>
      <c r="AN566" s="18">
        <v>0</v>
      </c>
      <c r="AO566" s="18">
        <v>0</v>
      </c>
      <c r="AP566" s="18">
        <v>0</v>
      </c>
      <c r="AQ566" s="18">
        <v>0</v>
      </c>
      <c r="AR566" s="29">
        <v>0</v>
      </c>
      <c r="AS566" s="29">
        <v>0</v>
      </c>
      <c r="AT566" s="29">
        <v>0</v>
      </c>
      <c r="AU566" s="24" t="str">
        <f t="shared" si="9"/>
        <v>库存为0</v>
      </c>
      <c r="AV566" s="31" t="str">
        <f>IFERROR(时间!$B$4+AU566,"上周无销量")</f>
        <v>上周无销量</v>
      </c>
    </row>
    <row r="567" spans="1:48">
      <c r="A567" s="16" t="s">
        <v>1107</v>
      </c>
      <c r="B567" t="s">
        <v>1108</v>
      </c>
      <c r="C567" t="s">
        <v>1098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0</v>
      </c>
      <c r="K567" s="26">
        <v>0</v>
      </c>
      <c r="L567" s="26">
        <v>0</v>
      </c>
      <c r="M567">
        <v>0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4</v>
      </c>
      <c r="AK567">
        <v>6</v>
      </c>
      <c r="AL567">
        <v>8</v>
      </c>
      <c r="AM567">
        <v>4</v>
      </c>
      <c r="AN567" s="18">
        <v>0</v>
      </c>
      <c r="AO567" s="18">
        <v>0</v>
      </c>
      <c r="AP567" s="18">
        <v>0</v>
      </c>
      <c r="AQ567" s="18">
        <v>0</v>
      </c>
      <c r="AR567" s="29">
        <v>0</v>
      </c>
      <c r="AS567" s="29">
        <v>0</v>
      </c>
      <c r="AT567" s="29">
        <v>0</v>
      </c>
      <c r="AU567" s="24" t="str">
        <f t="shared" si="9"/>
        <v>库存为0</v>
      </c>
      <c r="AV567" s="31" t="str">
        <f>IFERROR(时间!$B$4+AU567,"上周无销量")</f>
        <v>上周无销量</v>
      </c>
    </row>
    <row r="568" spans="1:48">
      <c r="A568" s="16" t="s">
        <v>1109</v>
      </c>
      <c r="B568" t="s">
        <v>1110</v>
      </c>
      <c r="C568" t="s">
        <v>1098</v>
      </c>
      <c r="D568" s="24">
        <v>0</v>
      </c>
      <c r="E568" s="24">
        <v>0</v>
      </c>
      <c r="F568" s="24">
        <v>0</v>
      </c>
      <c r="G568" s="24">
        <v>0</v>
      </c>
      <c r="H568" s="25">
        <v>0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2</v>
      </c>
      <c r="AK568">
        <v>8</v>
      </c>
      <c r="AL568">
        <v>5</v>
      </c>
      <c r="AM568">
        <v>6</v>
      </c>
      <c r="AN568" s="18">
        <v>0</v>
      </c>
      <c r="AO568" s="18">
        <v>0</v>
      </c>
      <c r="AP568" s="18">
        <v>0</v>
      </c>
      <c r="AQ568" s="18">
        <v>0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1111</v>
      </c>
      <c r="B569" t="s">
        <v>1112</v>
      </c>
      <c r="C569" t="s">
        <v>1098</v>
      </c>
      <c r="D569" s="24">
        <v>0</v>
      </c>
      <c r="E569" s="24">
        <v>0</v>
      </c>
      <c r="F569" s="24">
        <v>0</v>
      </c>
      <c r="G569" s="24">
        <v>0</v>
      </c>
      <c r="H569" s="25">
        <v>0</v>
      </c>
      <c r="I569">
        <v>0</v>
      </c>
      <c r="J569" s="26">
        <v>0</v>
      </c>
      <c r="K569" s="26">
        <v>0</v>
      </c>
      <c r="L569" s="26">
        <v>0</v>
      </c>
      <c r="M569">
        <v>0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</v>
      </c>
      <c r="AK569">
        <v>3</v>
      </c>
      <c r="AL569">
        <v>5</v>
      </c>
      <c r="AM569">
        <v>5</v>
      </c>
      <c r="AN569" s="18">
        <v>0</v>
      </c>
      <c r="AO569" s="18">
        <v>0</v>
      </c>
      <c r="AP569" s="18">
        <v>0</v>
      </c>
      <c r="AQ569" s="18">
        <v>0</v>
      </c>
      <c r="AR569" s="29">
        <v>0</v>
      </c>
      <c r="AS569" s="29">
        <v>0</v>
      </c>
      <c r="AT569" s="29">
        <v>0</v>
      </c>
      <c r="AU569" s="24" t="str">
        <f t="shared" si="9"/>
        <v>库存为0</v>
      </c>
      <c r="AV569" s="31" t="str">
        <f>IFERROR(时间!$B$4+AU569,"上周无销量")</f>
        <v>上周无销量</v>
      </c>
    </row>
    <row r="570" spans="1:48">
      <c r="A570" s="16" t="s">
        <v>1113</v>
      </c>
      <c r="B570" t="s">
        <v>1114</v>
      </c>
      <c r="C570" t="s">
        <v>1098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3</v>
      </c>
      <c r="AK570">
        <v>4</v>
      </c>
      <c r="AL570">
        <v>4</v>
      </c>
      <c r="AM570">
        <v>4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1115</v>
      </c>
      <c r="B571" t="s">
        <v>1116</v>
      </c>
      <c r="C571" t="s">
        <v>1098</v>
      </c>
      <c r="D571" s="24">
        <v>0</v>
      </c>
      <c r="E571" s="24">
        <v>0</v>
      </c>
      <c r="F571" s="24">
        <v>0</v>
      </c>
      <c r="G571" s="24">
        <v>0</v>
      </c>
      <c r="H571" s="25">
        <v>0</v>
      </c>
      <c r="I571">
        <v>0</v>
      </c>
      <c r="J571" s="26">
        <v>0</v>
      </c>
      <c r="K571" s="26">
        <v>0</v>
      </c>
      <c r="L571" s="26">
        <v>0</v>
      </c>
      <c r="M571">
        <v>0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4</v>
      </c>
      <c r="AK571">
        <v>5</v>
      </c>
      <c r="AL571">
        <v>8</v>
      </c>
      <c r="AM571">
        <v>5</v>
      </c>
      <c r="AN571" s="18">
        <v>0</v>
      </c>
      <c r="AO571" s="18">
        <v>0</v>
      </c>
      <c r="AP571" s="18">
        <v>0</v>
      </c>
      <c r="AQ571" s="18">
        <v>0</v>
      </c>
      <c r="AR571" s="29">
        <v>0</v>
      </c>
      <c r="AS571" s="29">
        <v>0</v>
      </c>
      <c r="AT571" s="29">
        <v>0</v>
      </c>
      <c r="AU571" s="24" t="str">
        <f t="shared" si="9"/>
        <v>库存为0</v>
      </c>
      <c r="AV571" s="31" t="str">
        <f>IFERROR(时间!$B$4+AU571,"上周无销量")</f>
        <v>上周无销量</v>
      </c>
    </row>
    <row r="572" spans="1:48">
      <c r="A572" s="16" t="s">
        <v>1117</v>
      </c>
      <c r="B572" t="s">
        <v>1118</v>
      </c>
      <c r="C572" t="s">
        <v>1098</v>
      </c>
      <c r="D572" s="24">
        <v>0</v>
      </c>
      <c r="E572" s="24">
        <v>0</v>
      </c>
      <c r="F572" s="24">
        <v>0</v>
      </c>
      <c r="G572" s="24">
        <v>0</v>
      </c>
      <c r="H572" s="25">
        <v>0</v>
      </c>
      <c r="I572">
        <v>0</v>
      </c>
      <c r="J572" s="26">
        <v>0</v>
      </c>
      <c r="K572" s="26">
        <v>0</v>
      </c>
      <c r="L572" s="26">
        <v>0</v>
      </c>
      <c r="M572">
        <v>0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2</v>
      </c>
      <c r="AK572">
        <v>3</v>
      </c>
      <c r="AL572">
        <v>4</v>
      </c>
      <c r="AM572">
        <v>3</v>
      </c>
      <c r="AN572" s="18">
        <v>0</v>
      </c>
      <c r="AO572" s="18">
        <v>0</v>
      </c>
      <c r="AP572" s="18">
        <v>0</v>
      </c>
      <c r="AQ572" s="18">
        <v>0</v>
      </c>
      <c r="AR572" s="29">
        <v>0</v>
      </c>
      <c r="AS572" s="29">
        <v>0</v>
      </c>
      <c r="AT572" s="29">
        <v>0</v>
      </c>
      <c r="AU572" s="24" t="str">
        <f t="shared" si="9"/>
        <v>库存为0</v>
      </c>
      <c r="AV572" s="31" t="str">
        <f>IFERROR(时间!$B$4+AU572,"上周无销量")</f>
        <v>上周无销量</v>
      </c>
    </row>
    <row r="573" spans="1:48">
      <c r="A573" s="16" t="s">
        <v>1119</v>
      </c>
      <c r="B573" t="s">
        <v>1120</v>
      </c>
      <c r="C573" t="s">
        <v>1098</v>
      </c>
      <c r="D573" s="24">
        <v>0</v>
      </c>
      <c r="E573" s="24">
        <v>0</v>
      </c>
      <c r="F573" s="24">
        <v>0</v>
      </c>
      <c r="G573" s="24">
        <v>0</v>
      </c>
      <c r="H573" s="25">
        <v>0</v>
      </c>
      <c r="I573">
        <v>0</v>
      </c>
      <c r="J573" s="26">
        <v>0</v>
      </c>
      <c r="K573" s="26">
        <v>0</v>
      </c>
      <c r="L573" s="26">
        <v>0</v>
      </c>
      <c r="M573">
        <v>0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2</v>
      </c>
      <c r="AK573">
        <v>4</v>
      </c>
      <c r="AL573">
        <v>4</v>
      </c>
      <c r="AM573">
        <v>1</v>
      </c>
      <c r="AN573" s="18">
        <v>0</v>
      </c>
      <c r="AO573" s="18">
        <v>0</v>
      </c>
      <c r="AP573" s="18">
        <v>0</v>
      </c>
      <c r="AQ573" s="18">
        <v>0</v>
      </c>
      <c r="AR573" s="29">
        <v>0</v>
      </c>
      <c r="AS573" s="29">
        <v>0</v>
      </c>
      <c r="AT573" s="29">
        <v>0</v>
      </c>
      <c r="AU573" s="24" t="str">
        <f t="shared" si="9"/>
        <v>库存为0</v>
      </c>
      <c r="AV573" s="31" t="str">
        <f>IFERROR(时间!$B$4+AU573,"上周无销量")</f>
        <v>上周无销量</v>
      </c>
    </row>
    <row r="574" spans="1:48">
      <c r="A574" s="16" t="s">
        <v>1121</v>
      </c>
      <c r="B574" t="s">
        <v>1122</v>
      </c>
      <c r="C574" t="s">
        <v>1098</v>
      </c>
      <c r="D574" s="24">
        <v>0</v>
      </c>
      <c r="E574" s="24">
        <v>0</v>
      </c>
      <c r="F574" s="24">
        <v>0</v>
      </c>
      <c r="G574" s="24">
        <v>0</v>
      </c>
      <c r="H574" s="25">
        <v>0</v>
      </c>
      <c r="I574">
        <v>0</v>
      </c>
      <c r="J574" s="26">
        <v>0</v>
      </c>
      <c r="K574" s="26">
        <v>0</v>
      </c>
      <c r="L574" s="26">
        <v>0</v>
      </c>
      <c r="M574">
        <v>0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4</v>
      </c>
      <c r="AK574">
        <v>6</v>
      </c>
      <c r="AL574">
        <v>4</v>
      </c>
      <c r="AM574">
        <v>5</v>
      </c>
      <c r="AN574" s="18">
        <v>0</v>
      </c>
      <c r="AO574" s="18">
        <v>0</v>
      </c>
      <c r="AP574" s="18">
        <v>0</v>
      </c>
      <c r="AQ574" s="18">
        <v>0</v>
      </c>
      <c r="AR574" s="29">
        <v>0</v>
      </c>
      <c r="AS574" s="29">
        <v>0</v>
      </c>
      <c r="AT574" s="29">
        <v>0</v>
      </c>
      <c r="AU574" s="24" t="str">
        <f t="shared" si="9"/>
        <v>库存为0</v>
      </c>
      <c r="AV574" s="31" t="str">
        <f>IFERROR(时间!$B$4+AU574,"上周无销量")</f>
        <v>上周无销量</v>
      </c>
    </row>
    <row r="575" spans="1:48">
      <c r="A575" s="16" t="s">
        <v>1123</v>
      </c>
      <c r="B575" t="s">
        <v>1124</v>
      </c>
      <c r="C575" t="s">
        <v>1098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0</v>
      </c>
      <c r="K575" s="26">
        <v>0</v>
      </c>
      <c r="L575" s="26">
        <v>0</v>
      </c>
      <c r="M575">
        <v>0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3</v>
      </c>
      <c r="AK575">
        <v>6</v>
      </c>
      <c r="AL575">
        <v>9</v>
      </c>
      <c r="AM575">
        <v>2</v>
      </c>
      <c r="AN575" s="18">
        <v>0</v>
      </c>
      <c r="AO575" s="18">
        <v>0</v>
      </c>
      <c r="AP575" s="18">
        <v>0</v>
      </c>
      <c r="AQ575" s="18">
        <v>0</v>
      </c>
      <c r="AR575" s="29">
        <v>0</v>
      </c>
      <c r="AS575" s="29">
        <v>0</v>
      </c>
      <c r="AT575" s="29">
        <v>0</v>
      </c>
      <c r="AU575" s="24" t="str">
        <f t="shared" si="9"/>
        <v>库存为0</v>
      </c>
      <c r="AV575" s="31" t="str">
        <f>IFERROR(时间!$B$4+AU575,"上周无销量")</f>
        <v>上周无销量</v>
      </c>
    </row>
    <row r="576" spans="1:48">
      <c r="A576" s="16" t="s">
        <v>1125</v>
      </c>
      <c r="B576" t="s">
        <v>1126</v>
      </c>
      <c r="C576" t="s">
        <v>1098</v>
      </c>
      <c r="D576" s="24">
        <v>0</v>
      </c>
      <c r="E576" s="24">
        <v>0</v>
      </c>
      <c r="F576" s="24">
        <v>0</v>
      </c>
      <c r="G576" s="24">
        <v>0</v>
      </c>
      <c r="H576" s="25">
        <v>0</v>
      </c>
      <c r="I576">
        <v>0</v>
      </c>
      <c r="J576" s="26">
        <v>0</v>
      </c>
      <c r="K576" s="26">
        <v>0</v>
      </c>
      <c r="L576" s="26">
        <v>0</v>
      </c>
      <c r="M576">
        <v>0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4</v>
      </c>
      <c r="AK576">
        <v>1</v>
      </c>
      <c r="AL576">
        <v>10</v>
      </c>
      <c r="AM576">
        <v>5</v>
      </c>
      <c r="AN576" s="18">
        <v>0</v>
      </c>
      <c r="AO576" s="18">
        <v>0</v>
      </c>
      <c r="AP576" s="18">
        <v>0</v>
      </c>
      <c r="AQ576" s="18">
        <v>0</v>
      </c>
      <c r="AR576" s="29">
        <v>0</v>
      </c>
      <c r="AS576" s="29">
        <v>0</v>
      </c>
      <c r="AT576" s="29">
        <v>0</v>
      </c>
      <c r="AU576" s="24" t="str">
        <f t="shared" si="9"/>
        <v>库存为0</v>
      </c>
      <c r="AV576" s="31" t="str">
        <f>IFERROR(时间!$B$4+AU576,"上周无销量")</f>
        <v>上周无销量</v>
      </c>
    </row>
    <row r="577" spans="1:48">
      <c r="A577" s="16" t="s">
        <v>1127</v>
      </c>
      <c r="B577" t="s">
        <v>1128</v>
      </c>
      <c r="C577" t="s">
        <v>1098</v>
      </c>
      <c r="D577" s="24">
        <v>0</v>
      </c>
      <c r="E577" s="24">
        <v>0</v>
      </c>
      <c r="F577" s="24">
        <v>0</v>
      </c>
      <c r="G577" s="24">
        <v>0</v>
      </c>
      <c r="H577" s="25">
        <v>0</v>
      </c>
      <c r="I577">
        <v>0</v>
      </c>
      <c r="J577" s="26">
        <v>0</v>
      </c>
      <c r="K577" s="26">
        <v>0</v>
      </c>
      <c r="L577" s="26">
        <v>0</v>
      </c>
      <c r="M577">
        <v>0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0</v>
      </c>
      <c r="AK577">
        <v>0</v>
      </c>
      <c r="AL577">
        <v>0</v>
      </c>
      <c r="AM577">
        <v>0</v>
      </c>
      <c r="AN577" s="18" t="s">
        <v>52</v>
      </c>
      <c r="AO577" s="18" t="s">
        <v>52</v>
      </c>
      <c r="AP577" s="18" t="s">
        <v>52</v>
      </c>
      <c r="AQ577" s="18" t="s">
        <v>52</v>
      </c>
      <c r="AR577" s="29">
        <v>0</v>
      </c>
      <c r="AS577" s="29">
        <v>0</v>
      </c>
      <c r="AT577" s="29">
        <v>0</v>
      </c>
      <c r="AU577" s="24" t="str">
        <f t="shared" si="9"/>
        <v>库存为0</v>
      </c>
      <c r="AV577" s="31" t="str">
        <f>IFERROR(时间!$B$4+AU577,"上周无销量")</f>
        <v>上周无销量</v>
      </c>
    </row>
    <row r="578" spans="1:48">
      <c r="A578" s="16" t="s">
        <v>1129</v>
      </c>
      <c r="B578" t="s">
        <v>1130</v>
      </c>
      <c r="C578" t="s">
        <v>1098</v>
      </c>
      <c r="D578" s="24">
        <v>0</v>
      </c>
      <c r="E578" s="24">
        <v>0</v>
      </c>
      <c r="F578" s="24">
        <v>0</v>
      </c>
      <c r="G578" s="24">
        <v>0</v>
      </c>
      <c r="H578" s="25">
        <v>0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0</v>
      </c>
      <c r="AK578">
        <v>0</v>
      </c>
      <c r="AL578">
        <v>7</v>
      </c>
      <c r="AM578">
        <v>2</v>
      </c>
      <c r="AN578" s="18" t="s">
        <v>52</v>
      </c>
      <c r="AO578" s="18" t="s">
        <v>52</v>
      </c>
      <c r="AP578" s="18">
        <v>0</v>
      </c>
      <c r="AQ578" s="18">
        <v>0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1131</v>
      </c>
      <c r="B579" t="s">
        <v>1132</v>
      </c>
      <c r="C579" t="s">
        <v>1098</v>
      </c>
      <c r="D579" s="24">
        <v>0</v>
      </c>
      <c r="E579" s="24">
        <v>0</v>
      </c>
      <c r="F579" s="24">
        <v>0</v>
      </c>
      <c r="G579" s="24">
        <v>0</v>
      </c>
      <c r="H579" s="25">
        <v>0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7</v>
      </c>
      <c r="AK579">
        <v>8</v>
      </c>
      <c r="AL579">
        <v>6</v>
      </c>
      <c r="AM579">
        <v>4</v>
      </c>
      <c r="AN579" s="18">
        <v>0</v>
      </c>
      <c r="AO579" s="18">
        <v>0</v>
      </c>
      <c r="AP579" s="18">
        <v>0</v>
      </c>
      <c r="AQ579" s="18">
        <v>0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1133</v>
      </c>
      <c r="B580" t="s">
        <v>1134</v>
      </c>
      <c r="C580" t="s">
        <v>1098</v>
      </c>
      <c r="D580" s="24">
        <v>0</v>
      </c>
      <c r="E580" s="24">
        <v>0</v>
      </c>
      <c r="F580" s="24">
        <v>0</v>
      </c>
      <c r="G580" s="24">
        <v>0</v>
      </c>
      <c r="H580" s="25">
        <v>0</v>
      </c>
      <c r="I580">
        <v>0</v>
      </c>
      <c r="J580" s="26">
        <v>0</v>
      </c>
      <c r="K580" s="26">
        <v>0</v>
      </c>
      <c r="L580" s="26">
        <v>0</v>
      </c>
      <c r="M580">
        <v>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0</v>
      </c>
      <c r="AK580">
        <v>0</v>
      </c>
      <c r="AL580">
        <v>0</v>
      </c>
      <c r="AM580">
        <v>0</v>
      </c>
      <c r="AN580" s="18" t="s">
        <v>52</v>
      </c>
      <c r="AO580" s="18" t="s">
        <v>52</v>
      </c>
      <c r="AP580" s="18" t="s">
        <v>52</v>
      </c>
      <c r="AQ580" s="18" t="s">
        <v>52</v>
      </c>
      <c r="AR580" s="29">
        <v>0</v>
      </c>
      <c r="AS580" s="29">
        <v>0</v>
      </c>
      <c r="AT580" s="29">
        <v>0</v>
      </c>
      <c r="AU580" s="24" t="str">
        <f t="shared" si="9"/>
        <v>库存为0</v>
      </c>
      <c r="AV580" s="31" t="str">
        <f>IFERROR(时间!$B$4+AU580,"上周无销量")</f>
        <v>上周无销量</v>
      </c>
    </row>
    <row r="581" spans="1:48">
      <c r="A581" s="16" t="s">
        <v>1135</v>
      </c>
      <c r="B581" t="s">
        <v>1136</v>
      </c>
      <c r="C581" t="s">
        <v>1098</v>
      </c>
      <c r="D581" s="24">
        <v>0</v>
      </c>
      <c r="E581" s="24">
        <v>0</v>
      </c>
      <c r="F581" s="24">
        <v>0</v>
      </c>
      <c r="G581" s="24">
        <v>0</v>
      </c>
      <c r="H581" s="25">
        <v>0</v>
      </c>
      <c r="I581">
        <v>0</v>
      </c>
      <c r="J581" s="26">
        <v>0</v>
      </c>
      <c r="K581" s="26">
        <v>0</v>
      </c>
      <c r="L581" s="26">
        <v>0</v>
      </c>
      <c r="M581">
        <v>0</v>
      </c>
      <c r="N581">
        <v>0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2</v>
      </c>
      <c r="AK581">
        <v>3</v>
      </c>
      <c r="AL581">
        <v>4</v>
      </c>
      <c r="AM581">
        <v>7</v>
      </c>
      <c r="AN581" s="18">
        <v>0</v>
      </c>
      <c r="AO581" s="18">
        <v>0</v>
      </c>
      <c r="AP581" s="18">
        <v>0</v>
      </c>
      <c r="AQ581" s="18">
        <v>0</v>
      </c>
      <c r="AR581" s="29">
        <v>0</v>
      </c>
      <c r="AS581" s="29">
        <v>0</v>
      </c>
      <c r="AT581" s="29">
        <v>0</v>
      </c>
      <c r="AU581" s="24" t="str">
        <f t="shared" si="9"/>
        <v>库存为0</v>
      </c>
      <c r="AV581" s="31" t="str">
        <f>IFERROR(时间!$B$4+AU581,"上周无销量")</f>
        <v>上周无销量</v>
      </c>
    </row>
    <row r="582" spans="1:48">
      <c r="A582" s="16" t="s">
        <v>1137</v>
      </c>
      <c r="B582" t="s">
        <v>1138</v>
      </c>
      <c r="C582" t="s">
        <v>1098</v>
      </c>
      <c r="D582" s="24">
        <v>0</v>
      </c>
      <c r="E582" s="24">
        <v>0</v>
      </c>
      <c r="F582" s="24">
        <v>0</v>
      </c>
      <c r="G582" s="24">
        <v>0</v>
      </c>
      <c r="H582" s="25">
        <v>0</v>
      </c>
      <c r="I582">
        <v>0</v>
      </c>
      <c r="J582" s="26">
        <v>0</v>
      </c>
      <c r="K582" s="26">
        <v>0</v>
      </c>
      <c r="L582" s="26">
        <v>0</v>
      </c>
      <c r="M582">
        <v>0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9</v>
      </c>
      <c r="AK582">
        <v>4</v>
      </c>
      <c r="AL582">
        <v>6</v>
      </c>
      <c r="AM582">
        <v>1</v>
      </c>
      <c r="AN582" s="18">
        <v>0</v>
      </c>
      <c r="AO582" s="18">
        <v>0</v>
      </c>
      <c r="AP582" s="18">
        <v>0</v>
      </c>
      <c r="AQ582" s="18">
        <v>0</v>
      </c>
      <c r="AR582" s="29">
        <v>0</v>
      </c>
      <c r="AS582" s="29">
        <v>0</v>
      </c>
      <c r="AT582" s="29">
        <v>0</v>
      </c>
      <c r="AU582" s="24" t="str">
        <f t="shared" ref="AU582:AU645" si="10">IF(AR582="","库存为"&amp;M582,IF(AS582=0,"库存为"&amp;M582,INT(M582/AR582)))</f>
        <v>库存为0</v>
      </c>
      <c r="AV582" s="31" t="str">
        <f>IFERROR(时间!$B$4+AU582,"上周无销量")</f>
        <v>上周无销量</v>
      </c>
    </row>
    <row r="583" spans="1:48">
      <c r="A583" s="16" t="s">
        <v>1139</v>
      </c>
      <c r="B583" t="s">
        <v>1140</v>
      </c>
      <c r="C583" t="s">
        <v>1098</v>
      </c>
      <c r="D583" s="24">
        <v>0</v>
      </c>
      <c r="E583" s="24">
        <v>0</v>
      </c>
      <c r="F583" s="24">
        <v>0</v>
      </c>
      <c r="G583" s="24">
        <v>0</v>
      </c>
      <c r="H583" s="25">
        <v>0</v>
      </c>
      <c r="I583">
        <v>0</v>
      </c>
      <c r="J583" s="26">
        <v>0</v>
      </c>
      <c r="K583" s="26">
        <v>0</v>
      </c>
      <c r="L583" s="26">
        <v>0</v>
      </c>
      <c r="M583">
        <v>0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8</v>
      </c>
      <c r="AK583">
        <v>6</v>
      </c>
      <c r="AL583">
        <v>6</v>
      </c>
      <c r="AM583">
        <v>3</v>
      </c>
      <c r="AN583" s="18">
        <v>0</v>
      </c>
      <c r="AO583" s="18">
        <v>0</v>
      </c>
      <c r="AP583" s="18">
        <v>0</v>
      </c>
      <c r="AQ583" s="18">
        <v>0</v>
      </c>
      <c r="AR583" s="29">
        <v>0</v>
      </c>
      <c r="AS583" s="29">
        <v>0</v>
      </c>
      <c r="AT583" s="29">
        <v>0</v>
      </c>
      <c r="AU583" s="24" t="str">
        <f t="shared" si="10"/>
        <v>库存为0</v>
      </c>
      <c r="AV583" s="31" t="str">
        <f>IFERROR(时间!$B$4+AU583,"上周无销量")</f>
        <v>上周无销量</v>
      </c>
    </row>
    <row r="584" spans="1:48">
      <c r="A584" s="16" t="s">
        <v>1141</v>
      </c>
      <c r="B584" t="s">
        <v>1142</v>
      </c>
      <c r="C584" t="s">
        <v>1098</v>
      </c>
      <c r="D584" s="24">
        <v>0</v>
      </c>
      <c r="E584" s="24">
        <v>0</v>
      </c>
      <c r="F584" s="24">
        <v>0</v>
      </c>
      <c r="G584" s="24">
        <v>0</v>
      </c>
      <c r="H584" s="25">
        <v>0</v>
      </c>
      <c r="I584">
        <v>0</v>
      </c>
      <c r="J584" s="26">
        <v>0</v>
      </c>
      <c r="K584" s="26">
        <v>0</v>
      </c>
      <c r="L584" s="26">
        <v>0</v>
      </c>
      <c r="M584">
        <v>0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4</v>
      </c>
      <c r="AK584">
        <v>7</v>
      </c>
      <c r="AL584">
        <v>5</v>
      </c>
      <c r="AM584">
        <v>5</v>
      </c>
      <c r="AN584" s="18">
        <v>0</v>
      </c>
      <c r="AO584" s="18">
        <v>0</v>
      </c>
      <c r="AP584" s="18">
        <v>0</v>
      </c>
      <c r="AQ584" s="18">
        <v>0</v>
      </c>
      <c r="AR584" s="29">
        <v>0</v>
      </c>
      <c r="AS584" s="29">
        <v>0</v>
      </c>
      <c r="AT584" s="29">
        <v>0</v>
      </c>
      <c r="AU584" s="24" t="str">
        <f t="shared" si="10"/>
        <v>库存为0</v>
      </c>
      <c r="AV584" s="31" t="str">
        <f>IFERROR(时间!$B$4+AU584,"上周无销量")</f>
        <v>上周无销量</v>
      </c>
    </row>
    <row r="585" spans="1:48">
      <c r="A585" s="16" t="s">
        <v>1143</v>
      </c>
      <c r="B585" t="s">
        <v>1144</v>
      </c>
      <c r="C585" t="s">
        <v>1098</v>
      </c>
      <c r="D585" s="24">
        <v>0</v>
      </c>
      <c r="E585" s="24">
        <v>0</v>
      </c>
      <c r="F585" s="24">
        <v>0</v>
      </c>
      <c r="G585" s="24">
        <v>0</v>
      </c>
      <c r="H585" s="25">
        <v>0</v>
      </c>
      <c r="I585">
        <v>10</v>
      </c>
      <c r="J585" s="26">
        <v>10</v>
      </c>
      <c r="K585" s="26">
        <v>0</v>
      </c>
      <c r="L585" s="26">
        <v>0</v>
      </c>
      <c r="M585">
        <v>20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1</v>
      </c>
      <c r="AK585">
        <v>0</v>
      </c>
      <c r="AL585">
        <v>0</v>
      </c>
      <c r="AM585">
        <v>0</v>
      </c>
      <c r="AN585" s="18">
        <v>0</v>
      </c>
      <c r="AO585" s="18" t="s">
        <v>52</v>
      </c>
      <c r="AP585" s="18" t="s">
        <v>52</v>
      </c>
      <c r="AQ585" s="18" t="s">
        <v>52</v>
      </c>
      <c r="AR585" s="29">
        <v>0</v>
      </c>
      <c r="AS585" s="29">
        <v>0</v>
      </c>
      <c r="AT585" s="29">
        <v>20</v>
      </c>
      <c r="AU585" s="24" t="str">
        <f t="shared" si="10"/>
        <v>库存为20</v>
      </c>
      <c r="AV585" s="31" t="str">
        <f>IFERROR(时间!$B$4+AU585,"上周无销量")</f>
        <v>上周无销量</v>
      </c>
    </row>
    <row r="586" spans="1:48">
      <c r="A586" s="16" t="s">
        <v>1145</v>
      </c>
      <c r="B586" t="s">
        <v>1146</v>
      </c>
      <c r="C586" t="s">
        <v>1098</v>
      </c>
      <c r="D586" s="24">
        <v>0</v>
      </c>
      <c r="E586" s="24">
        <v>0</v>
      </c>
      <c r="F586" s="24">
        <v>0</v>
      </c>
      <c r="G586" s="24">
        <v>0</v>
      </c>
      <c r="H586" s="25">
        <v>0</v>
      </c>
      <c r="I586">
        <v>0</v>
      </c>
      <c r="J586" s="26">
        <v>0</v>
      </c>
      <c r="K586" s="26">
        <v>0</v>
      </c>
      <c r="L586" s="26">
        <v>0</v>
      </c>
      <c r="M586">
        <v>0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5</v>
      </c>
      <c r="AK586">
        <v>8</v>
      </c>
      <c r="AL586">
        <v>8</v>
      </c>
      <c r="AM586">
        <v>5</v>
      </c>
      <c r="AN586" s="18">
        <v>0</v>
      </c>
      <c r="AO586" s="18">
        <v>0</v>
      </c>
      <c r="AP586" s="18">
        <v>0</v>
      </c>
      <c r="AQ586" s="18">
        <v>0</v>
      </c>
      <c r="AR586" s="29">
        <v>0</v>
      </c>
      <c r="AS586" s="29">
        <v>0</v>
      </c>
      <c r="AT586" s="29">
        <v>0</v>
      </c>
      <c r="AU586" s="24" t="str">
        <f t="shared" si="10"/>
        <v>库存为0</v>
      </c>
      <c r="AV586" s="31" t="str">
        <f>IFERROR(时间!$B$4+AU586,"上周无销量")</f>
        <v>上周无销量</v>
      </c>
    </row>
    <row r="587" spans="1:48">
      <c r="A587" s="16" t="s">
        <v>1147</v>
      </c>
      <c r="B587" t="s">
        <v>1148</v>
      </c>
      <c r="C587" t="s">
        <v>1098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0</v>
      </c>
      <c r="K587" s="26">
        <v>0</v>
      </c>
      <c r="L587" s="26">
        <v>0</v>
      </c>
      <c r="M587">
        <v>0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4</v>
      </c>
      <c r="AK587">
        <v>4</v>
      </c>
      <c r="AL587">
        <v>4</v>
      </c>
      <c r="AM587">
        <v>6</v>
      </c>
      <c r="AN587" s="18">
        <v>0</v>
      </c>
      <c r="AO587" s="18">
        <v>0</v>
      </c>
      <c r="AP587" s="18">
        <v>0</v>
      </c>
      <c r="AQ587" s="18">
        <v>0</v>
      </c>
      <c r="AR587" s="29">
        <v>0</v>
      </c>
      <c r="AS587" s="29">
        <v>0</v>
      </c>
      <c r="AT587" s="29">
        <v>0</v>
      </c>
      <c r="AU587" s="24" t="str">
        <f t="shared" si="10"/>
        <v>库存为0</v>
      </c>
      <c r="AV587" s="31" t="str">
        <f>IFERROR(时间!$B$4+AU587,"上周无销量")</f>
        <v>上周无销量</v>
      </c>
    </row>
    <row r="588" spans="1:48">
      <c r="A588" s="16" t="s">
        <v>1149</v>
      </c>
      <c r="B588" t="s">
        <v>1150</v>
      </c>
      <c r="C588" t="s">
        <v>1098</v>
      </c>
      <c r="D588" s="24">
        <v>0</v>
      </c>
      <c r="E588" s="24">
        <v>0</v>
      </c>
      <c r="F588" s="24">
        <v>0</v>
      </c>
      <c r="G588" s="24">
        <v>0</v>
      </c>
      <c r="H588" s="25">
        <v>0</v>
      </c>
      <c r="I588">
        <v>0</v>
      </c>
      <c r="J588" s="26">
        <v>0</v>
      </c>
      <c r="K588" s="26">
        <v>0</v>
      </c>
      <c r="L588" s="26">
        <v>0</v>
      </c>
      <c r="M588">
        <v>0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0</v>
      </c>
      <c r="AK588">
        <v>2</v>
      </c>
      <c r="AL588">
        <v>8</v>
      </c>
      <c r="AM588">
        <v>2</v>
      </c>
      <c r="AN588" s="18" t="s">
        <v>52</v>
      </c>
      <c r="AO588" s="18">
        <v>0</v>
      </c>
      <c r="AP588" s="18">
        <v>0</v>
      </c>
      <c r="AQ588" s="18">
        <v>0</v>
      </c>
      <c r="AR588" s="29">
        <v>0</v>
      </c>
      <c r="AS588" s="29">
        <v>0</v>
      </c>
      <c r="AT588" s="29">
        <v>0</v>
      </c>
      <c r="AU588" s="24" t="str">
        <f t="shared" si="10"/>
        <v>库存为0</v>
      </c>
      <c r="AV588" s="31" t="str">
        <f>IFERROR(时间!$B$4+AU588,"上周无销量")</f>
        <v>上周无销量</v>
      </c>
    </row>
    <row r="589" spans="1:48">
      <c r="A589" s="16" t="s">
        <v>1151</v>
      </c>
      <c r="B589" t="s">
        <v>1152</v>
      </c>
      <c r="C589" t="s">
        <v>1098</v>
      </c>
      <c r="D589" s="24">
        <v>0</v>
      </c>
      <c r="E589" s="24">
        <v>0</v>
      </c>
      <c r="F589" s="24">
        <v>0</v>
      </c>
      <c r="G589" s="24">
        <v>0</v>
      </c>
      <c r="H589" s="25">
        <v>0</v>
      </c>
      <c r="I589">
        <v>0</v>
      </c>
      <c r="J589" s="26">
        <v>0</v>
      </c>
      <c r="K589" s="26">
        <v>0</v>
      </c>
      <c r="L589" s="26">
        <v>0</v>
      </c>
      <c r="M589">
        <v>0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2</v>
      </c>
      <c r="AK589">
        <v>2</v>
      </c>
      <c r="AL589">
        <v>2</v>
      </c>
      <c r="AM589">
        <v>1</v>
      </c>
      <c r="AN589" s="18">
        <v>0</v>
      </c>
      <c r="AO589" s="18">
        <v>0</v>
      </c>
      <c r="AP589" s="18">
        <v>0</v>
      </c>
      <c r="AQ589" s="18">
        <v>0</v>
      </c>
      <c r="AR589" s="29">
        <v>0</v>
      </c>
      <c r="AS589" s="29">
        <v>0</v>
      </c>
      <c r="AT589" s="29">
        <v>0</v>
      </c>
      <c r="AU589" s="24" t="str">
        <f t="shared" si="10"/>
        <v>库存为0</v>
      </c>
      <c r="AV589" s="31" t="str">
        <f>IFERROR(时间!$B$4+AU589,"上周无销量")</f>
        <v>上周无销量</v>
      </c>
    </row>
    <row r="590" spans="1:48">
      <c r="A590" s="16" t="s">
        <v>1153</v>
      </c>
      <c r="B590" t="s">
        <v>1154</v>
      </c>
      <c r="C590" t="s">
        <v>1098</v>
      </c>
      <c r="D590" s="24">
        <v>0</v>
      </c>
      <c r="E590" s="24">
        <v>0</v>
      </c>
      <c r="F590" s="24">
        <v>0</v>
      </c>
      <c r="G590" s="24">
        <v>0</v>
      </c>
      <c r="H590" s="25">
        <v>0</v>
      </c>
      <c r="I590">
        <v>0</v>
      </c>
      <c r="J590" s="26">
        <v>0</v>
      </c>
      <c r="K590" s="26">
        <v>0</v>
      </c>
      <c r="L590" s="26">
        <v>0</v>
      </c>
      <c r="M590">
        <v>0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5</v>
      </c>
      <c r="AK590">
        <v>1</v>
      </c>
      <c r="AL590">
        <v>5</v>
      </c>
      <c r="AM590">
        <v>2</v>
      </c>
      <c r="AN590" s="18">
        <v>0</v>
      </c>
      <c r="AO590" s="18">
        <v>0</v>
      </c>
      <c r="AP590" s="18">
        <v>0</v>
      </c>
      <c r="AQ590" s="18">
        <v>0</v>
      </c>
      <c r="AR590" s="29">
        <v>0</v>
      </c>
      <c r="AS590" s="29">
        <v>0</v>
      </c>
      <c r="AT590" s="29">
        <v>0</v>
      </c>
      <c r="AU590" s="24" t="str">
        <f t="shared" si="10"/>
        <v>库存为0</v>
      </c>
      <c r="AV590" s="31" t="str">
        <f>IFERROR(时间!$B$4+AU590,"上周无销量")</f>
        <v>上周无销量</v>
      </c>
    </row>
    <row r="591" spans="1:48">
      <c r="A591" s="16" t="s">
        <v>1155</v>
      </c>
      <c r="B591" t="s">
        <v>1156</v>
      </c>
      <c r="C591" t="s">
        <v>1098</v>
      </c>
      <c r="D591" s="24">
        <v>0</v>
      </c>
      <c r="E591" s="24">
        <v>0</v>
      </c>
      <c r="F591" s="24">
        <v>0</v>
      </c>
      <c r="G591" s="24">
        <v>0</v>
      </c>
      <c r="H591" s="25">
        <v>0</v>
      </c>
      <c r="I591">
        <v>0</v>
      </c>
      <c r="J591" s="26">
        <v>0</v>
      </c>
      <c r="K591" s="26">
        <v>0</v>
      </c>
      <c r="L591" s="26">
        <v>0</v>
      </c>
      <c r="M591">
        <v>0</v>
      </c>
      <c r="N591">
        <v>0</v>
      </c>
      <c r="O591">
        <v>0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8</v>
      </c>
      <c r="AK591">
        <v>4</v>
      </c>
      <c r="AL591">
        <v>9</v>
      </c>
      <c r="AM591">
        <v>7</v>
      </c>
      <c r="AN591" s="18">
        <v>0</v>
      </c>
      <c r="AO591" s="18">
        <v>0</v>
      </c>
      <c r="AP591" s="18">
        <v>0</v>
      </c>
      <c r="AQ591" s="18">
        <v>0</v>
      </c>
      <c r="AR591" s="29">
        <v>0</v>
      </c>
      <c r="AS591" s="29">
        <v>0</v>
      </c>
      <c r="AT591" s="29">
        <v>0</v>
      </c>
      <c r="AU591" s="24" t="str">
        <f t="shared" si="10"/>
        <v>库存为0</v>
      </c>
      <c r="AV591" s="31" t="str">
        <f>IFERROR(时间!$B$4+AU591,"上周无销量")</f>
        <v>上周无销量</v>
      </c>
    </row>
    <row r="592" spans="1:48">
      <c r="A592" s="16" t="s">
        <v>1157</v>
      </c>
      <c r="B592" t="s">
        <v>1158</v>
      </c>
      <c r="C592" t="s">
        <v>1159</v>
      </c>
      <c r="D592" s="24">
        <v>0</v>
      </c>
      <c r="E592" s="24">
        <v>0</v>
      </c>
      <c r="F592" s="24">
        <v>0</v>
      </c>
      <c r="G592" s="24">
        <v>0</v>
      </c>
      <c r="H592" s="25">
        <v>0</v>
      </c>
      <c r="I592">
        <v>20</v>
      </c>
      <c r="J592" s="26">
        <v>0</v>
      </c>
      <c r="K592" s="26">
        <v>0</v>
      </c>
      <c r="L592" s="26">
        <v>0</v>
      </c>
      <c r="M592">
        <v>20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4</v>
      </c>
      <c r="AK592">
        <v>6</v>
      </c>
      <c r="AL592">
        <v>3</v>
      </c>
      <c r="AM592">
        <v>5</v>
      </c>
      <c r="AN592" s="18">
        <v>0</v>
      </c>
      <c r="AO592" s="18">
        <v>0</v>
      </c>
      <c r="AP592" s="18">
        <v>0</v>
      </c>
      <c r="AQ592" s="18">
        <v>0</v>
      </c>
      <c r="AR592" s="29">
        <v>0</v>
      </c>
      <c r="AS592" s="29">
        <v>0</v>
      </c>
      <c r="AT592" s="29">
        <v>20</v>
      </c>
      <c r="AU592" s="24" t="str">
        <f t="shared" si="10"/>
        <v>库存为20</v>
      </c>
      <c r="AV592" s="31" t="str">
        <f>IFERROR(时间!$B$4+AU592,"上周无销量")</f>
        <v>上周无销量</v>
      </c>
    </row>
    <row r="593" spans="1:48">
      <c r="A593" s="16" t="s">
        <v>1160</v>
      </c>
      <c r="B593" t="s">
        <v>1161</v>
      </c>
      <c r="C593" t="s">
        <v>1159</v>
      </c>
      <c r="D593" s="24">
        <v>0</v>
      </c>
      <c r="E593" s="24">
        <v>1</v>
      </c>
      <c r="F593" s="24">
        <v>2</v>
      </c>
      <c r="G593" s="24">
        <v>0</v>
      </c>
      <c r="H593" s="25">
        <v>21.98</v>
      </c>
      <c r="I593">
        <v>20</v>
      </c>
      <c r="J593" s="26">
        <v>0</v>
      </c>
      <c r="K593" s="26">
        <v>0</v>
      </c>
      <c r="L593" s="26">
        <v>0</v>
      </c>
      <c r="M593">
        <v>20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8</v>
      </c>
      <c r="AK593">
        <v>14</v>
      </c>
      <c r="AL593">
        <v>21</v>
      </c>
      <c r="AM593">
        <v>7</v>
      </c>
      <c r="AN593" s="18">
        <v>0</v>
      </c>
      <c r="AO593" s="18">
        <v>0.0714285714285714</v>
      </c>
      <c r="AP593" s="18">
        <v>0.0952380952380952</v>
      </c>
      <c r="AQ593" s="18">
        <v>0</v>
      </c>
      <c r="AR593" s="29">
        <v>0</v>
      </c>
      <c r="AS593" s="29">
        <v>0</v>
      </c>
      <c r="AT593" s="29">
        <v>20</v>
      </c>
      <c r="AU593" s="24" t="str">
        <f t="shared" si="10"/>
        <v>库存为20</v>
      </c>
      <c r="AV593" s="31" t="str">
        <f>IFERROR(时间!$B$4+AU593,"上周无销量")</f>
        <v>上周无销量</v>
      </c>
    </row>
    <row r="594" spans="1:48">
      <c r="A594" s="16" t="s">
        <v>1162</v>
      </c>
      <c r="B594" t="s">
        <v>1163</v>
      </c>
      <c r="C594" t="s">
        <v>1159</v>
      </c>
      <c r="D594" s="24">
        <v>0</v>
      </c>
      <c r="E594" s="24">
        <v>0</v>
      </c>
      <c r="F594" s="24">
        <v>0</v>
      </c>
      <c r="G594" s="24">
        <v>0</v>
      </c>
      <c r="H594" s="25">
        <v>0</v>
      </c>
      <c r="I594">
        <v>0</v>
      </c>
      <c r="J594" s="26">
        <v>0</v>
      </c>
      <c r="K594" s="26">
        <v>0</v>
      </c>
      <c r="L594" s="26">
        <v>0</v>
      </c>
      <c r="M594">
        <v>0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28</v>
      </c>
      <c r="AK594">
        <v>24</v>
      </c>
      <c r="AL594">
        <v>38</v>
      </c>
      <c r="AM594">
        <v>33</v>
      </c>
      <c r="AN594" s="18">
        <v>0</v>
      </c>
      <c r="AO594" s="18">
        <v>0</v>
      </c>
      <c r="AP594" s="18">
        <v>0</v>
      </c>
      <c r="AQ594" s="18">
        <v>0</v>
      </c>
      <c r="AR594" s="29">
        <v>0</v>
      </c>
      <c r="AS594" s="29">
        <v>0</v>
      </c>
      <c r="AT594" s="29">
        <v>0</v>
      </c>
      <c r="AU594" s="24" t="str">
        <f t="shared" si="10"/>
        <v>库存为0</v>
      </c>
      <c r="AV594" s="31" t="str">
        <f>IFERROR(时间!$B$4+AU594,"上周无销量")</f>
        <v>上周无销量</v>
      </c>
    </row>
    <row r="595" spans="1:48">
      <c r="A595" s="16" t="s">
        <v>1164</v>
      </c>
      <c r="B595" t="s">
        <v>1165</v>
      </c>
      <c r="C595" t="s">
        <v>1159</v>
      </c>
      <c r="D595" s="24">
        <v>1</v>
      </c>
      <c r="E595" s="24">
        <v>0</v>
      </c>
      <c r="F595" s="24">
        <v>0</v>
      </c>
      <c r="G595" s="24">
        <v>0</v>
      </c>
      <c r="H595" s="25">
        <v>22.98</v>
      </c>
      <c r="I595">
        <v>1</v>
      </c>
      <c r="J595" s="26">
        <v>0</v>
      </c>
      <c r="K595" s="26">
        <v>0</v>
      </c>
      <c r="L595" s="26">
        <v>0</v>
      </c>
      <c r="M595">
        <v>1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33</v>
      </c>
      <c r="AK595">
        <v>34</v>
      </c>
      <c r="AL595">
        <v>43</v>
      </c>
      <c r="AM595">
        <v>39</v>
      </c>
      <c r="AN595" s="18">
        <v>0.0303030303030303</v>
      </c>
      <c r="AO595" s="18">
        <v>0</v>
      </c>
      <c r="AP595" s="18">
        <v>0</v>
      </c>
      <c r="AQ595" s="18">
        <v>0</v>
      </c>
      <c r="AR595" s="29">
        <v>0.142857142857143</v>
      </c>
      <c r="AS595" s="29">
        <v>8.57142857142857</v>
      </c>
      <c r="AT595" s="29">
        <v>-7.57142857142857</v>
      </c>
      <c r="AU595" s="24">
        <f t="shared" si="10"/>
        <v>7</v>
      </c>
      <c r="AV595" s="31">
        <f>IFERROR(时间!$B$4+AU595,"上周无销量")</f>
        <v>43325</v>
      </c>
    </row>
    <row r="596" spans="1:48">
      <c r="A596" s="16" t="s">
        <v>1166</v>
      </c>
      <c r="B596" t="s">
        <v>1167</v>
      </c>
      <c r="C596" t="s">
        <v>1159</v>
      </c>
      <c r="D596" s="24">
        <v>3</v>
      </c>
      <c r="E596" s="24">
        <v>2</v>
      </c>
      <c r="F596" s="24">
        <v>7</v>
      </c>
      <c r="G596" s="24">
        <v>11</v>
      </c>
      <c r="H596" s="25">
        <v>22.98</v>
      </c>
      <c r="I596">
        <v>24</v>
      </c>
      <c r="J596" s="26">
        <v>0</v>
      </c>
      <c r="K596" s="26">
        <v>0</v>
      </c>
      <c r="L596" s="26">
        <v>0</v>
      </c>
      <c r="M596">
        <v>24</v>
      </c>
      <c r="N596">
        <v>1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14</v>
      </c>
      <c r="AK596">
        <v>22</v>
      </c>
      <c r="AL596">
        <v>32</v>
      </c>
      <c r="AM596">
        <v>33</v>
      </c>
      <c r="AN596" s="18">
        <v>0.214285714285714</v>
      </c>
      <c r="AO596" s="18">
        <v>0.0909090909090909</v>
      </c>
      <c r="AP596" s="18">
        <v>0.21875</v>
      </c>
      <c r="AQ596" s="18">
        <v>0.333333333333333</v>
      </c>
      <c r="AR596" s="29">
        <v>0.428571428571429</v>
      </c>
      <c r="AS596" s="29">
        <v>25.7142857142857</v>
      </c>
      <c r="AT596" s="29">
        <v>-1.71428571428571</v>
      </c>
      <c r="AU596" s="24">
        <f t="shared" si="10"/>
        <v>56</v>
      </c>
      <c r="AV596" s="31">
        <f>IFERROR(时间!$B$4+AU596,"上周无销量")</f>
        <v>43374</v>
      </c>
    </row>
    <row r="597" spans="1:48">
      <c r="A597" s="16" t="s">
        <v>1168</v>
      </c>
      <c r="B597" t="s">
        <v>1169</v>
      </c>
      <c r="C597" t="s">
        <v>1159</v>
      </c>
      <c r="D597" s="24">
        <v>0</v>
      </c>
      <c r="E597" s="24">
        <v>1</v>
      </c>
      <c r="F597" s="24">
        <v>12</v>
      </c>
      <c r="G597" s="24">
        <v>3</v>
      </c>
      <c r="H597" s="25">
        <v>16.36</v>
      </c>
      <c r="I597">
        <v>1</v>
      </c>
      <c r="J597" s="26">
        <v>0</v>
      </c>
      <c r="K597" s="26">
        <v>0</v>
      </c>
      <c r="L597" s="26">
        <v>0</v>
      </c>
      <c r="M597">
        <v>1</v>
      </c>
      <c r="N597">
        <v>1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27</v>
      </c>
      <c r="AK597">
        <v>19</v>
      </c>
      <c r="AL597">
        <v>47</v>
      </c>
      <c r="AM597">
        <v>42</v>
      </c>
      <c r="AN597" s="18">
        <v>0</v>
      </c>
      <c r="AO597" s="18">
        <v>0.0526315789473684</v>
      </c>
      <c r="AP597" s="18">
        <v>0.25531914893617</v>
      </c>
      <c r="AQ597" s="18">
        <v>0.0714285714285714</v>
      </c>
      <c r="AR597" s="29">
        <v>0</v>
      </c>
      <c r="AS597" s="29">
        <v>0</v>
      </c>
      <c r="AT597" s="29">
        <v>1</v>
      </c>
      <c r="AU597" s="24" t="str">
        <f t="shared" si="10"/>
        <v>库存为1</v>
      </c>
      <c r="AV597" s="31" t="str">
        <f>IFERROR(时间!$B$4+AU597,"上周无销量")</f>
        <v>上周无销量</v>
      </c>
    </row>
    <row r="598" spans="1:48">
      <c r="A598" s="16" t="s">
        <v>1170</v>
      </c>
      <c r="B598" t="s">
        <v>1171</v>
      </c>
      <c r="C598" t="s">
        <v>1159</v>
      </c>
      <c r="D598" s="24">
        <v>0</v>
      </c>
      <c r="E598" s="24">
        <v>0</v>
      </c>
      <c r="F598" s="24">
        <v>0</v>
      </c>
      <c r="G598" s="24">
        <v>0</v>
      </c>
      <c r="H598" s="25">
        <v>0</v>
      </c>
      <c r="I598">
        <v>0</v>
      </c>
      <c r="J598" s="26">
        <v>0</v>
      </c>
      <c r="K598" s="26">
        <v>0</v>
      </c>
      <c r="L598" s="26">
        <v>0</v>
      </c>
      <c r="M598">
        <v>0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18</v>
      </c>
      <c r="AK598">
        <v>28</v>
      </c>
      <c r="AL598">
        <v>39</v>
      </c>
      <c r="AM598">
        <v>33</v>
      </c>
      <c r="AN598" s="18">
        <v>0</v>
      </c>
      <c r="AO598" s="18">
        <v>0</v>
      </c>
      <c r="AP598" s="18">
        <v>0</v>
      </c>
      <c r="AQ598" s="18">
        <v>0</v>
      </c>
      <c r="AR598" s="29">
        <v>0</v>
      </c>
      <c r="AS598" s="29">
        <v>0</v>
      </c>
      <c r="AT598" s="29">
        <v>0</v>
      </c>
      <c r="AU598" s="24" t="str">
        <f t="shared" si="10"/>
        <v>库存为0</v>
      </c>
      <c r="AV598" s="31" t="str">
        <f>IFERROR(时间!$B$4+AU598,"上周无销量")</f>
        <v>上周无销量</v>
      </c>
    </row>
    <row r="599" spans="1:48">
      <c r="A599" s="16" t="s">
        <v>1172</v>
      </c>
      <c r="B599" t="s">
        <v>1173</v>
      </c>
      <c r="C599" t="s">
        <v>1159</v>
      </c>
      <c r="D599" s="24">
        <v>0</v>
      </c>
      <c r="E599" s="24">
        <v>0</v>
      </c>
      <c r="F599" s="24">
        <v>0</v>
      </c>
      <c r="G599" s="24">
        <v>0</v>
      </c>
      <c r="H599" s="25">
        <v>0</v>
      </c>
      <c r="I599">
        <v>0</v>
      </c>
      <c r="J599" s="26">
        <v>0</v>
      </c>
      <c r="K599" s="26">
        <v>0</v>
      </c>
      <c r="L599" s="26">
        <v>0</v>
      </c>
      <c r="M599">
        <v>0</v>
      </c>
      <c r="N599">
        <v>0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13</v>
      </c>
      <c r="AK599">
        <v>0</v>
      </c>
      <c r="AL599">
        <v>0</v>
      </c>
      <c r="AM599">
        <v>5</v>
      </c>
      <c r="AN599" s="18">
        <v>0</v>
      </c>
      <c r="AO599" s="18" t="s">
        <v>52</v>
      </c>
      <c r="AP599" s="18" t="s">
        <v>52</v>
      </c>
      <c r="AQ599" s="18">
        <v>0</v>
      </c>
      <c r="AR599" s="29">
        <v>0</v>
      </c>
      <c r="AS599" s="29">
        <v>0</v>
      </c>
      <c r="AT599" s="29">
        <v>0</v>
      </c>
      <c r="AU599" s="24" t="str">
        <f t="shared" si="10"/>
        <v>库存为0</v>
      </c>
      <c r="AV599" s="31" t="str">
        <f>IFERROR(时间!$B$4+AU599,"上周无销量")</f>
        <v>上周无销量</v>
      </c>
    </row>
    <row r="600" spans="1:48">
      <c r="A600" s="16" t="s">
        <v>1174</v>
      </c>
      <c r="B600" t="s">
        <v>1175</v>
      </c>
      <c r="C600" t="s">
        <v>1159</v>
      </c>
      <c r="D600" s="24">
        <v>0</v>
      </c>
      <c r="E600" s="24">
        <v>0</v>
      </c>
      <c r="F600" s="24">
        <v>0</v>
      </c>
      <c r="G600" s="24">
        <v>0</v>
      </c>
      <c r="H600" s="25">
        <v>0</v>
      </c>
      <c r="I600">
        <v>0</v>
      </c>
      <c r="J600" s="26">
        <v>0</v>
      </c>
      <c r="K600" s="26">
        <v>0</v>
      </c>
      <c r="L600" s="26">
        <v>0</v>
      </c>
      <c r="M600">
        <v>0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55</v>
      </c>
      <c r="AK600">
        <v>61</v>
      </c>
      <c r="AL600">
        <v>84</v>
      </c>
      <c r="AM600">
        <v>113</v>
      </c>
      <c r="AN600" s="18">
        <v>0</v>
      </c>
      <c r="AO600" s="18">
        <v>0</v>
      </c>
      <c r="AP600" s="18">
        <v>0</v>
      </c>
      <c r="AQ600" s="18">
        <v>0</v>
      </c>
      <c r="AR600" s="29">
        <v>0</v>
      </c>
      <c r="AS600" s="29">
        <v>0</v>
      </c>
      <c r="AT600" s="29">
        <v>0</v>
      </c>
      <c r="AU600" s="24" t="str">
        <f t="shared" si="10"/>
        <v>库存为0</v>
      </c>
      <c r="AV600" s="31" t="str">
        <f>IFERROR(时间!$B$4+AU600,"上周无销量")</f>
        <v>上周无销量</v>
      </c>
    </row>
    <row r="601" spans="1:48">
      <c r="A601" s="16" t="s">
        <v>1176</v>
      </c>
      <c r="B601" t="s">
        <v>1177</v>
      </c>
      <c r="C601" t="s">
        <v>1159</v>
      </c>
      <c r="D601" s="24">
        <v>0</v>
      </c>
      <c r="E601" s="24">
        <v>0</v>
      </c>
      <c r="F601" s="24">
        <v>0</v>
      </c>
      <c r="G601" s="24">
        <v>0</v>
      </c>
      <c r="H601" s="25">
        <v>0</v>
      </c>
      <c r="I601">
        <v>0</v>
      </c>
      <c r="J601" s="26">
        <v>0</v>
      </c>
      <c r="K601" s="26">
        <v>0</v>
      </c>
      <c r="L601" s="26">
        <v>0</v>
      </c>
      <c r="M601">
        <v>0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0</v>
      </c>
      <c r="AK601">
        <v>0</v>
      </c>
      <c r="AL601">
        <v>26</v>
      </c>
      <c r="AM601">
        <v>44</v>
      </c>
      <c r="AN601" s="18" t="s">
        <v>52</v>
      </c>
      <c r="AO601" s="18" t="s">
        <v>52</v>
      </c>
      <c r="AP601" s="18">
        <v>0</v>
      </c>
      <c r="AQ601" s="18">
        <v>0</v>
      </c>
      <c r="AR601" s="29">
        <v>0</v>
      </c>
      <c r="AS601" s="29">
        <v>0</v>
      </c>
      <c r="AT601" s="29">
        <v>0</v>
      </c>
      <c r="AU601" s="24" t="str">
        <f t="shared" si="10"/>
        <v>库存为0</v>
      </c>
      <c r="AV601" s="31" t="str">
        <f>IFERROR(时间!$B$4+AU601,"上周无销量")</f>
        <v>上周无销量</v>
      </c>
    </row>
    <row r="602" spans="1:48">
      <c r="A602" s="16" t="s">
        <v>1178</v>
      </c>
      <c r="B602" t="s">
        <v>1179</v>
      </c>
      <c r="C602" t="s">
        <v>1159</v>
      </c>
      <c r="D602" s="24">
        <v>2</v>
      </c>
      <c r="E602" s="24">
        <v>2</v>
      </c>
      <c r="F602" s="24">
        <v>0</v>
      </c>
      <c r="G602" s="24">
        <v>0</v>
      </c>
      <c r="H602" s="25">
        <v>21.98</v>
      </c>
      <c r="I602">
        <v>10</v>
      </c>
      <c r="J602" s="26">
        <v>0</v>
      </c>
      <c r="K602" s="26">
        <v>0</v>
      </c>
      <c r="L602" s="26">
        <v>0</v>
      </c>
      <c r="M602">
        <v>10</v>
      </c>
      <c r="N602">
        <v>1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10</v>
      </c>
      <c r="AK602">
        <v>14</v>
      </c>
      <c r="AL602">
        <v>17</v>
      </c>
      <c r="AM602">
        <v>19</v>
      </c>
      <c r="AN602" s="18">
        <v>0.2</v>
      </c>
      <c r="AO602" s="18">
        <v>0.142857142857143</v>
      </c>
      <c r="AP602" s="18">
        <v>0</v>
      </c>
      <c r="AQ602" s="18">
        <v>0</v>
      </c>
      <c r="AR602" s="29">
        <v>0.285714285714286</v>
      </c>
      <c r="AS602" s="29">
        <v>17.1428571428571</v>
      </c>
      <c r="AT602" s="29">
        <v>-7.14285714285714</v>
      </c>
      <c r="AU602" s="24">
        <f t="shared" si="10"/>
        <v>35</v>
      </c>
      <c r="AV602" s="31">
        <f>IFERROR(时间!$B$4+AU602,"上周无销量")</f>
        <v>43353</v>
      </c>
    </row>
    <row r="603" spans="1:48">
      <c r="A603" s="16" t="s">
        <v>1180</v>
      </c>
      <c r="B603" t="s">
        <v>1181</v>
      </c>
      <c r="C603" t="s">
        <v>1159</v>
      </c>
      <c r="D603" s="24">
        <v>0</v>
      </c>
      <c r="E603" s="24">
        <v>0</v>
      </c>
      <c r="F603" s="24">
        <v>0</v>
      </c>
      <c r="G603" s="24">
        <v>0</v>
      </c>
      <c r="H603" s="25">
        <v>0</v>
      </c>
      <c r="I603">
        <v>0</v>
      </c>
      <c r="J603" s="26">
        <v>0</v>
      </c>
      <c r="K603" s="26">
        <v>0</v>
      </c>
      <c r="L603" s="26">
        <v>0</v>
      </c>
      <c r="M603">
        <v>0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6</v>
      </c>
      <c r="AK603">
        <v>6</v>
      </c>
      <c r="AL603">
        <v>20</v>
      </c>
      <c r="AM603">
        <v>9</v>
      </c>
      <c r="AN603" s="18">
        <v>0</v>
      </c>
      <c r="AO603" s="18">
        <v>0</v>
      </c>
      <c r="AP603" s="18">
        <v>0</v>
      </c>
      <c r="AQ603" s="18">
        <v>0</v>
      </c>
      <c r="AR603" s="29">
        <v>0</v>
      </c>
      <c r="AS603" s="29">
        <v>0</v>
      </c>
      <c r="AT603" s="29">
        <v>0</v>
      </c>
      <c r="AU603" s="24" t="str">
        <f t="shared" si="10"/>
        <v>库存为0</v>
      </c>
      <c r="AV603" s="31" t="str">
        <f>IFERROR(时间!$B$4+AU603,"上周无销量")</f>
        <v>上周无销量</v>
      </c>
    </row>
    <row r="604" spans="1:48">
      <c r="A604" s="16" t="s">
        <v>1182</v>
      </c>
      <c r="B604" t="s">
        <v>1183</v>
      </c>
      <c r="C604" t="s">
        <v>1159</v>
      </c>
      <c r="D604" s="24">
        <v>0</v>
      </c>
      <c r="E604" s="24">
        <v>0</v>
      </c>
      <c r="F604" s="24">
        <v>0</v>
      </c>
      <c r="G604" s="24">
        <v>0</v>
      </c>
      <c r="H604" s="25">
        <v>0</v>
      </c>
      <c r="I604">
        <v>0</v>
      </c>
      <c r="J604" s="26">
        <v>0</v>
      </c>
      <c r="K604" s="26">
        <v>0</v>
      </c>
      <c r="L604" s="26">
        <v>0</v>
      </c>
      <c r="M604">
        <v>0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7</v>
      </c>
      <c r="AK604">
        <v>14</v>
      </c>
      <c r="AL604">
        <v>12</v>
      </c>
      <c r="AM604">
        <v>12</v>
      </c>
      <c r="AN604" s="18">
        <v>0</v>
      </c>
      <c r="AO604" s="18">
        <v>0</v>
      </c>
      <c r="AP604" s="18">
        <v>0</v>
      </c>
      <c r="AQ604" s="18">
        <v>0</v>
      </c>
      <c r="AR604" s="29">
        <v>0</v>
      </c>
      <c r="AS604" s="29">
        <v>0</v>
      </c>
      <c r="AT604" s="29">
        <v>0</v>
      </c>
      <c r="AU604" s="24" t="str">
        <f t="shared" si="10"/>
        <v>库存为0</v>
      </c>
      <c r="AV604" s="31" t="str">
        <f>IFERROR(时间!$B$4+AU604,"上周无销量")</f>
        <v>上周无销量</v>
      </c>
    </row>
    <row r="605" spans="1:48">
      <c r="A605" s="16" t="s">
        <v>1184</v>
      </c>
      <c r="B605" t="s">
        <v>1185</v>
      </c>
      <c r="C605" t="s">
        <v>1159</v>
      </c>
      <c r="D605" s="24">
        <v>2</v>
      </c>
      <c r="E605" s="24">
        <v>1</v>
      </c>
      <c r="F605" s="24">
        <v>2</v>
      </c>
      <c r="G605" s="24">
        <v>0</v>
      </c>
      <c r="H605" s="25">
        <v>22.98</v>
      </c>
      <c r="I605">
        <v>2</v>
      </c>
      <c r="J605" s="26">
        <v>0</v>
      </c>
      <c r="K605" s="26">
        <v>0</v>
      </c>
      <c r="L605" s="26">
        <v>0</v>
      </c>
      <c r="M605">
        <v>2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23</v>
      </c>
      <c r="AK605">
        <v>18</v>
      </c>
      <c r="AL605">
        <v>21</v>
      </c>
      <c r="AM605">
        <v>30</v>
      </c>
      <c r="AN605" s="18">
        <v>0.0869565217391304</v>
      </c>
      <c r="AO605" s="18">
        <v>0.0555555555555556</v>
      </c>
      <c r="AP605" s="18">
        <v>0.0952380952380952</v>
      </c>
      <c r="AQ605" s="18">
        <v>0</v>
      </c>
      <c r="AR605" s="29">
        <v>0.285714285714286</v>
      </c>
      <c r="AS605" s="29">
        <v>17.1428571428571</v>
      </c>
      <c r="AT605" s="29">
        <v>-15.1428571428571</v>
      </c>
      <c r="AU605" s="24">
        <f t="shared" si="10"/>
        <v>7</v>
      </c>
      <c r="AV605" s="31">
        <f>IFERROR(时间!$B$4+AU605,"上周无销量")</f>
        <v>43325</v>
      </c>
    </row>
    <row r="606" spans="1:48">
      <c r="A606" s="16" t="s">
        <v>1186</v>
      </c>
      <c r="B606" t="s">
        <v>1187</v>
      </c>
      <c r="C606" t="s">
        <v>1159</v>
      </c>
      <c r="D606" s="24">
        <v>0</v>
      </c>
      <c r="E606" s="24">
        <v>1</v>
      </c>
      <c r="F606" s="24">
        <v>0</v>
      </c>
      <c r="G606" s="24">
        <v>0</v>
      </c>
      <c r="H606" s="25">
        <v>22.98</v>
      </c>
      <c r="I606">
        <v>9</v>
      </c>
      <c r="J606" s="26">
        <v>0</v>
      </c>
      <c r="K606" s="26">
        <v>0</v>
      </c>
      <c r="L606" s="26">
        <v>0</v>
      </c>
      <c r="M606">
        <v>9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5</v>
      </c>
      <c r="AK606">
        <v>4</v>
      </c>
      <c r="AL606">
        <v>6</v>
      </c>
      <c r="AM606">
        <v>2</v>
      </c>
      <c r="AN606" s="18">
        <v>0</v>
      </c>
      <c r="AO606" s="18">
        <v>0.25</v>
      </c>
      <c r="AP606" s="18">
        <v>0</v>
      </c>
      <c r="AQ606" s="18">
        <v>0</v>
      </c>
      <c r="AR606" s="29">
        <v>0</v>
      </c>
      <c r="AS606" s="29">
        <v>0</v>
      </c>
      <c r="AT606" s="29">
        <v>9</v>
      </c>
      <c r="AU606" s="24" t="str">
        <f t="shared" si="10"/>
        <v>库存为9</v>
      </c>
      <c r="AV606" s="31" t="str">
        <f>IFERROR(时间!$B$4+AU606,"上周无销量")</f>
        <v>上周无销量</v>
      </c>
    </row>
    <row r="607" spans="1:48">
      <c r="A607" s="16" t="s">
        <v>1188</v>
      </c>
      <c r="B607" t="s">
        <v>1189</v>
      </c>
      <c r="C607" t="s">
        <v>1159</v>
      </c>
      <c r="D607" s="24">
        <v>0</v>
      </c>
      <c r="E607" s="24">
        <v>1</v>
      </c>
      <c r="F607" s="24">
        <v>5</v>
      </c>
      <c r="G607" s="24">
        <v>2</v>
      </c>
      <c r="H607" s="25">
        <v>21.98</v>
      </c>
      <c r="I607">
        <v>29</v>
      </c>
      <c r="J607" s="26">
        <v>0</v>
      </c>
      <c r="K607" s="26">
        <v>0</v>
      </c>
      <c r="L607" s="26">
        <v>0</v>
      </c>
      <c r="M607">
        <v>29</v>
      </c>
      <c r="N607">
        <v>0</v>
      </c>
      <c r="O607">
        <v>0</v>
      </c>
      <c r="P607">
        <v>228</v>
      </c>
      <c r="Q607">
        <v>0</v>
      </c>
      <c r="R607">
        <v>0</v>
      </c>
      <c r="S607">
        <v>0</v>
      </c>
      <c r="T607">
        <v>6</v>
      </c>
      <c r="U607">
        <v>0</v>
      </c>
      <c r="V607">
        <v>0</v>
      </c>
      <c r="W607">
        <v>0</v>
      </c>
      <c r="X607" s="18">
        <v>0.0263157894736842</v>
      </c>
      <c r="Y607" s="18" t="s">
        <v>52</v>
      </c>
      <c r="Z607" s="18" t="s">
        <v>52</v>
      </c>
      <c r="AA607" s="18" t="s">
        <v>52</v>
      </c>
      <c r="AB607">
        <v>3.04</v>
      </c>
      <c r="AC607">
        <v>0</v>
      </c>
      <c r="AD607">
        <v>0</v>
      </c>
      <c r="AE607">
        <v>0</v>
      </c>
      <c r="AF607" s="18" t="s">
        <v>1190</v>
      </c>
      <c r="AG607" s="18" t="s">
        <v>52</v>
      </c>
      <c r="AH607" s="18" t="s">
        <v>52</v>
      </c>
      <c r="AI607" s="18" t="s">
        <v>52</v>
      </c>
      <c r="AJ607">
        <v>24</v>
      </c>
      <c r="AK607">
        <v>24</v>
      </c>
      <c r="AL607">
        <v>38</v>
      </c>
      <c r="AM607">
        <v>25</v>
      </c>
      <c r="AN607" s="18">
        <v>0</v>
      </c>
      <c r="AO607" s="18">
        <v>0.0416666666666667</v>
      </c>
      <c r="AP607" s="18">
        <v>0.131578947368421</v>
      </c>
      <c r="AQ607" s="18">
        <v>0.08</v>
      </c>
      <c r="AR607" s="29">
        <v>0</v>
      </c>
      <c r="AS607" s="29">
        <v>0</v>
      </c>
      <c r="AT607" s="29">
        <v>29</v>
      </c>
      <c r="AU607" s="24" t="str">
        <f t="shared" si="10"/>
        <v>库存为29</v>
      </c>
      <c r="AV607" s="31" t="str">
        <f>IFERROR(时间!$B$4+AU607,"上周无销量")</f>
        <v>上周无销量</v>
      </c>
    </row>
    <row r="608" spans="1:48">
      <c r="A608" s="16" t="s">
        <v>1191</v>
      </c>
      <c r="B608" t="s">
        <v>1192</v>
      </c>
      <c r="C608" t="s">
        <v>1159</v>
      </c>
      <c r="D608" s="24">
        <v>0</v>
      </c>
      <c r="E608" s="24">
        <v>0</v>
      </c>
      <c r="F608" s="24">
        <v>2</v>
      </c>
      <c r="G608" s="24">
        <v>1</v>
      </c>
      <c r="H608" s="25">
        <v>21.98</v>
      </c>
      <c r="I608">
        <v>21</v>
      </c>
      <c r="J608" s="26">
        <v>0</v>
      </c>
      <c r="K608" s="26">
        <v>0</v>
      </c>
      <c r="L608" s="26">
        <v>0</v>
      </c>
      <c r="M608">
        <v>21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22</v>
      </c>
      <c r="AK608">
        <v>25</v>
      </c>
      <c r="AL608">
        <v>41</v>
      </c>
      <c r="AM608">
        <v>35</v>
      </c>
      <c r="AN608" s="18">
        <v>0</v>
      </c>
      <c r="AO608" s="18">
        <v>0</v>
      </c>
      <c r="AP608" s="18">
        <v>0.0487804878048781</v>
      </c>
      <c r="AQ608" s="18">
        <v>0.0285714285714286</v>
      </c>
      <c r="AR608" s="29">
        <v>0</v>
      </c>
      <c r="AS608" s="29">
        <v>0</v>
      </c>
      <c r="AT608" s="29">
        <v>21</v>
      </c>
      <c r="AU608" s="24" t="str">
        <f t="shared" si="10"/>
        <v>库存为21</v>
      </c>
      <c r="AV608" s="31" t="str">
        <f>IFERROR(时间!$B$4+AU608,"上周无销量")</f>
        <v>上周无销量</v>
      </c>
    </row>
    <row r="609" spans="1:48">
      <c r="A609" s="16" t="s">
        <v>1193</v>
      </c>
      <c r="B609" t="s">
        <v>1194</v>
      </c>
      <c r="C609" t="s">
        <v>1159</v>
      </c>
      <c r="D609" s="24">
        <v>0</v>
      </c>
      <c r="E609" s="24">
        <v>0</v>
      </c>
      <c r="F609" s="24">
        <v>0</v>
      </c>
      <c r="G609" s="24">
        <v>0</v>
      </c>
      <c r="H609" s="25">
        <v>0</v>
      </c>
      <c r="I609">
        <v>0</v>
      </c>
      <c r="J609" s="26">
        <v>0</v>
      </c>
      <c r="K609" s="26">
        <v>0</v>
      </c>
      <c r="L609" s="26">
        <v>0</v>
      </c>
      <c r="M609">
        <v>0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13</v>
      </c>
      <c r="AK609">
        <v>19</v>
      </c>
      <c r="AL609">
        <v>11</v>
      </c>
      <c r="AM609">
        <v>15</v>
      </c>
      <c r="AN609" s="18">
        <v>0</v>
      </c>
      <c r="AO609" s="18">
        <v>0</v>
      </c>
      <c r="AP609" s="18">
        <v>0</v>
      </c>
      <c r="AQ609" s="18">
        <v>0</v>
      </c>
      <c r="AR609" s="29">
        <v>0</v>
      </c>
      <c r="AS609" s="29">
        <v>0</v>
      </c>
      <c r="AT609" s="29">
        <v>0</v>
      </c>
      <c r="AU609" s="24" t="str">
        <f t="shared" si="10"/>
        <v>库存为0</v>
      </c>
      <c r="AV609" s="31" t="str">
        <f>IFERROR(时间!$B$4+AU609,"上周无销量")</f>
        <v>上周无销量</v>
      </c>
    </row>
    <row r="610" spans="1:48">
      <c r="A610" s="16" t="s">
        <v>1195</v>
      </c>
      <c r="B610" t="s">
        <v>1196</v>
      </c>
      <c r="C610" t="s">
        <v>1159</v>
      </c>
      <c r="D610" s="24">
        <v>3</v>
      </c>
      <c r="E610" s="24">
        <v>3</v>
      </c>
      <c r="F610" s="24">
        <v>9</v>
      </c>
      <c r="G610" s="24">
        <v>3</v>
      </c>
      <c r="H610" s="25">
        <v>21.98</v>
      </c>
      <c r="I610">
        <v>22</v>
      </c>
      <c r="J610" s="26">
        <v>0</v>
      </c>
      <c r="K610" s="26">
        <v>0</v>
      </c>
      <c r="L610" s="26">
        <v>1</v>
      </c>
      <c r="M610">
        <v>23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27</v>
      </c>
      <c r="AK610">
        <v>28</v>
      </c>
      <c r="AL610">
        <v>32</v>
      </c>
      <c r="AM610">
        <v>31</v>
      </c>
      <c r="AN610" s="18">
        <v>0.111111111111111</v>
      </c>
      <c r="AO610" s="18">
        <v>0.107142857142857</v>
      </c>
      <c r="AP610" s="18">
        <v>0.28125</v>
      </c>
      <c r="AQ610" s="18">
        <v>0.0967741935483871</v>
      </c>
      <c r="AR610" s="29">
        <v>0.428571428571429</v>
      </c>
      <c r="AS610" s="29">
        <v>25.7142857142857</v>
      </c>
      <c r="AT610" s="29">
        <v>-2.71428571428571</v>
      </c>
      <c r="AU610" s="24">
        <f t="shared" si="10"/>
        <v>53</v>
      </c>
      <c r="AV610" s="31">
        <f>IFERROR(时间!$B$4+AU610,"上周无销量")</f>
        <v>43371</v>
      </c>
    </row>
    <row r="611" spans="1:48">
      <c r="A611" s="16" t="s">
        <v>1197</v>
      </c>
      <c r="B611" t="s">
        <v>1198</v>
      </c>
      <c r="C611" t="s">
        <v>1159</v>
      </c>
      <c r="D611" s="24">
        <v>1</v>
      </c>
      <c r="E611" s="24">
        <v>0</v>
      </c>
      <c r="F611" s="24">
        <v>2</v>
      </c>
      <c r="G611" s="24">
        <v>3</v>
      </c>
      <c r="H611" s="25">
        <v>22.98</v>
      </c>
      <c r="I611">
        <v>17</v>
      </c>
      <c r="J611" s="26">
        <v>0</v>
      </c>
      <c r="K611" s="26">
        <v>0</v>
      </c>
      <c r="L611" s="26">
        <v>0</v>
      </c>
      <c r="M611">
        <v>17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18</v>
      </c>
      <c r="AK611">
        <v>15</v>
      </c>
      <c r="AL611">
        <v>38</v>
      </c>
      <c r="AM611">
        <v>29</v>
      </c>
      <c r="AN611" s="18">
        <v>0.0555555555555556</v>
      </c>
      <c r="AO611" s="18">
        <v>0</v>
      </c>
      <c r="AP611" s="18">
        <v>0.0526315789473684</v>
      </c>
      <c r="AQ611" s="18">
        <v>0.103448275862069</v>
      </c>
      <c r="AR611" s="29">
        <v>0.142857142857143</v>
      </c>
      <c r="AS611" s="29">
        <v>8.57142857142857</v>
      </c>
      <c r="AT611" s="29">
        <v>8.42857142857143</v>
      </c>
      <c r="AU611" s="24">
        <f t="shared" si="10"/>
        <v>119</v>
      </c>
      <c r="AV611" s="31">
        <f>IFERROR(时间!$B$4+AU611,"上周无销量")</f>
        <v>43437</v>
      </c>
    </row>
    <row r="612" spans="1:48">
      <c r="A612" s="16" t="s">
        <v>1199</v>
      </c>
      <c r="B612" t="s">
        <v>1200</v>
      </c>
      <c r="C612" t="s">
        <v>1159</v>
      </c>
      <c r="D612" s="24">
        <v>0</v>
      </c>
      <c r="E612" s="24">
        <v>0</v>
      </c>
      <c r="F612" s="24">
        <v>4</v>
      </c>
      <c r="G612" s="24">
        <v>6</v>
      </c>
      <c r="H612" s="25">
        <v>16.36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15</v>
      </c>
      <c r="AK612">
        <v>16</v>
      </c>
      <c r="AL612">
        <v>28</v>
      </c>
      <c r="AM612">
        <v>28</v>
      </c>
      <c r="AN612" s="18">
        <v>0</v>
      </c>
      <c r="AO612" s="18">
        <v>0</v>
      </c>
      <c r="AP612" s="18">
        <v>0.142857142857143</v>
      </c>
      <c r="AQ612" s="18">
        <v>0.214285714285714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1201</v>
      </c>
      <c r="B613" t="s">
        <v>1202</v>
      </c>
      <c r="C613" t="s">
        <v>1159</v>
      </c>
      <c r="D613" s="24">
        <v>0</v>
      </c>
      <c r="E613" s="24">
        <v>0</v>
      </c>
      <c r="F613" s="24">
        <v>0</v>
      </c>
      <c r="G613" s="24">
        <v>0</v>
      </c>
      <c r="H613" s="25">
        <v>0</v>
      </c>
      <c r="I613">
        <v>0</v>
      </c>
      <c r="J613" s="26">
        <v>0</v>
      </c>
      <c r="K613" s="26">
        <v>0</v>
      </c>
      <c r="L613" s="26">
        <v>0</v>
      </c>
      <c r="M613">
        <v>0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12</v>
      </c>
      <c r="AK613">
        <v>13</v>
      </c>
      <c r="AL613">
        <v>23</v>
      </c>
      <c r="AM613">
        <v>13</v>
      </c>
      <c r="AN613" s="18">
        <v>0</v>
      </c>
      <c r="AO613" s="18">
        <v>0</v>
      </c>
      <c r="AP613" s="18">
        <v>0</v>
      </c>
      <c r="AQ613" s="18">
        <v>0</v>
      </c>
      <c r="AR613" s="29">
        <v>0</v>
      </c>
      <c r="AS613" s="29">
        <v>0</v>
      </c>
      <c r="AT613" s="29">
        <v>0</v>
      </c>
      <c r="AU613" s="24" t="str">
        <f t="shared" si="10"/>
        <v>库存为0</v>
      </c>
      <c r="AV613" s="31" t="str">
        <f>IFERROR(时间!$B$4+AU613,"上周无销量")</f>
        <v>上周无销量</v>
      </c>
    </row>
    <row r="614" spans="1:48">
      <c r="A614" s="16" t="s">
        <v>1203</v>
      </c>
      <c r="B614" t="s">
        <v>1204</v>
      </c>
      <c r="C614" t="s">
        <v>1159</v>
      </c>
      <c r="D614" s="24">
        <v>0</v>
      </c>
      <c r="E614" s="24">
        <v>0</v>
      </c>
      <c r="F614" s="24">
        <v>0</v>
      </c>
      <c r="G614" s="24">
        <v>0</v>
      </c>
      <c r="H614" s="25">
        <v>0</v>
      </c>
      <c r="I614">
        <v>0</v>
      </c>
      <c r="J614" s="26">
        <v>0</v>
      </c>
      <c r="K614" s="26">
        <v>0</v>
      </c>
      <c r="L614" s="26">
        <v>0</v>
      </c>
      <c r="M614">
        <v>0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18</v>
      </c>
      <c r="AK614">
        <v>14</v>
      </c>
      <c r="AL614">
        <v>11</v>
      </c>
      <c r="AM614">
        <v>9</v>
      </c>
      <c r="AN614" s="18">
        <v>0</v>
      </c>
      <c r="AO614" s="18">
        <v>0</v>
      </c>
      <c r="AP614" s="18">
        <v>0</v>
      </c>
      <c r="AQ614" s="18">
        <v>0</v>
      </c>
      <c r="AR614" s="29">
        <v>0</v>
      </c>
      <c r="AS614" s="29">
        <v>0</v>
      </c>
      <c r="AT614" s="29">
        <v>0</v>
      </c>
      <c r="AU614" s="24" t="str">
        <f t="shared" si="10"/>
        <v>库存为0</v>
      </c>
      <c r="AV614" s="31" t="str">
        <f>IFERROR(时间!$B$4+AU614,"上周无销量")</f>
        <v>上周无销量</v>
      </c>
    </row>
    <row r="615" spans="1:48">
      <c r="A615" s="16" t="s">
        <v>1205</v>
      </c>
      <c r="B615" t="s">
        <v>1206</v>
      </c>
      <c r="C615" t="s">
        <v>1159</v>
      </c>
      <c r="D615" s="24">
        <v>0</v>
      </c>
      <c r="E615" s="24">
        <v>7</v>
      </c>
      <c r="F615" s="24">
        <v>3</v>
      </c>
      <c r="G615" s="24">
        <v>2</v>
      </c>
      <c r="H615" s="25">
        <v>16.9116666666667</v>
      </c>
      <c r="I615">
        <v>0</v>
      </c>
      <c r="J615" s="26">
        <v>0</v>
      </c>
      <c r="K615" s="26">
        <v>0</v>
      </c>
      <c r="L615" s="26">
        <v>0</v>
      </c>
      <c r="M615">
        <v>0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11</v>
      </c>
      <c r="AK615">
        <v>27</v>
      </c>
      <c r="AL615">
        <v>25</v>
      </c>
      <c r="AM615">
        <v>30</v>
      </c>
      <c r="AN615" s="18">
        <v>0</v>
      </c>
      <c r="AO615" s="18">
        <v>0.259259259259259</v>
      </c>
      <c r="AP615" s="18">
        <v>0.12</v>
      </c>
      <c r="AQ615" s="18">
        <v>0.0666666666666667</v>
      </c>
      <c r="AR615" s="29">
        <v>0</v>
      </c>
      <c r="AS615" s="29">
        <v>0</v>
      </c>
      <c r="AT615" s="29">
        <v>0</v>
      </c>
      <c r="AU615" s="24" t="str">
        <f t="shared" si="10"/>
        <v>库存为0</v>
      </c>
      <c r="AV615" s="31" t="str">
        <f>IFERROR(时间!$B$4+AU615,"上周无销量")</f>
        <v>上周无销量</v>
      </c>
    </row>
    <row r="616" spans="1:48">
      <c r="A616" s="16" t="s">
        <v>1207</v>
      </c>
      <c r="B616" t="s">
        <v>1208</v>
      </c>
      <c r="C616" t="s">
        <v>1159</v>
      </c>
      <c r="D616" s="24">
        <v>1</v>
      </c>
      <c r="E616" s="24">
        <v>0</v>
      </c>
      <c r="F616" s="24">
        <v>1</v>
      </c>
      <c r="G616" s="24">
        <v>1</v>
      </c>
      <c r="H616" s="25">
        <v>22.98</v>
      </c>
      <c r="I616">
        <v>7</v>
      </c>
      <c r="J616" s="26">
        <v>0</v>
      </c>
      <c r="K616" s="26">
        <v>0</v>
      </c>
      <c r="L616" s="26">
        <v>0</v>
      </c>
      <c r="M616">
        <v>7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20</v>
      </c>
      <c r="AK616">
        <v>31</v>
      </c>
      <c r="AL616">
        <v>36</v>
      </c>
      <c r="AM616">
        <v>38</v>
      </c>
      <c r="AN616" s="18">
        <v>0.05</v>
      </c>
      <c r="AO616" s="18">
        <v>0</v>
      </c>
      <c r="AP616" s="18">
        <v>0.0277777777777778</v>
      </c>
      <c r="AQ616" s="18">
        <v>0.0263157894736842</v>
      </c>
      <c r="AR616" s="29">
        <v>0.142857142857143</v>
      </c>
      <c r="AS616" s="29">
        <v>8.57142857142857</v>
      </c>
      <c r="AT616" s="29">
        <v>-1.57142857142857</v>
      </c>
      <c r="AU616" s="24">
        <f t="shared" si="10"/>
        <v>49</v>
      </c>
      <c r="AV616" s="31">
        <f>IFERROR(时间!$B$4+AU616,"上周无销量")</f>
        <v>43367</v>
      </c>
    </row>
    <row r="617" spans="1:48">
      <c r="A617" s="16" t="s">
        <v>1209</v>
      </c>
      <c r="B617" t="s">
        <v>1210</v>
      </c>
      <c r="C617" t="s">
        <v>1159</v>
      </c>
      <c r="D617" s="24">
        <v>2</v>
      </c>
      <c r="E617" s="24">
        <v>1</v>
      </c>
      <c r="F617" s="24">
        <v>4</v>
      </c>
      <c r="G617" s="24">
        <v>4</v>
      </c>
      <c r="H617" s="25">
        <v>21.98</v>
      </c>
      <c r="I617">
        <v>12</v>
      </c>
      <c r="J617" s="26">
        <v>0</v>
      </c>
      <c r="K617" s="26">
        <v>0</v>
      </c>
      <c r="L617" s="26">
        <v>0</v>
      </c>
      <c r="M617">
        <v>12</v>
      </c>
      <c r="N617">
        <v>0</v>
      </c>
      <c r="O617">
        <v>0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25</v>
      </c>
      <c r="AK617">
        <v>28</v>
      </c>
      <c r="AL617">
        <v>42</v>
      </c>
      <c r="AM617">
        <v>40</v>
      </c>
      <c r="AN617" s="18">
        <v>0.08</v>
      </c>
      <c r="AO617" s="18">
        <v>0.0357142857142857</v>
      </c>
      <c r="AP617" s="18">
        <v>0.0952380952380952</v>
      </c>
      <c r="AQ617" s="18">
        <v>0.1</v>
      </c>
      <c r="AR617" s="29">
        <v>0.285714285714286</v>
      </c>
      <c r="AS617" s="29">
        <v>17.1428571428571</v>
      </c>
      <c r="AT617" s="29">
        <v>-5.14285714285714</v>
      </c>
      <c r="AU617" s="24">
        <f t="shared" si="10"/>
        <v>42</v>
      </c>
      <c r="AV617" s="31">
        <f>IFERROR(时间!$B$4+AU617,"上周无销量")</f>
        <v>43360</v>
      </c>
    </row>
    <row r="618" spans="1:48">
      <c r="A618" s="16" t="s">
        <v>1211</v>
      </c>
      <c r="B618" t="s">
        <v>1212</v>
      </c>
      <c r="C618" t="s">
        <v>1159</v>
      </c>
      <c r="D618" s="24">
        <v>1</v>
      </c>
      <c r="E618" s="24">
        <v>2</v>
      </c>
      <c r="F618" s="24">
        <v>5</v>
      </c>
      <c r="G618" s="24">
        <v>3</v>
      </c>
      <c r="H618" s="25">
        <v>21.98</v>
      </c>
      <c r="I618">
        <v>3</v>
      </c>
      <c r="J618" s="26">
        <v>0</v>
      </c>
      <c r="K618" s="26">
        <v>0</v>
      </c>
      <c r="L618" s="26">
        <v>0</v>
      </c>
      <c r="M618">
        <v>3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13</v>
      </c>
      <c r="AK618">
        <v>12</v>
      </c>
      <c r="AL618">
        <v>20</v>
      </c>
      <c r="AM618">
        <v>16</v>
      </c>
      <c r="AN618" s="18">
        <v>0.0769230769230769</v>
      </c>
      <c r="AO618" s="18">
        <v>0.166666666666667</v>
      </c>
      <c r="AP618" s="18">
        <v>0.25</v>
      </c>
      <c r="AQ618" s="18">
        <v>0.1875</v>
      </c>
      <c r="AR618" s="29">
        <v>0.142857142857143</v>
      </c>
      <c r="AS618" s="29">
        <v>8.57142857142857</v>
      </c>
      <c r="AT618" s="29">
        <v>-5.57142857142857</v>
      </c>
      <c r="AU618" s="24">
        <f t="shared" si="10"/>
        <v>21</v>
      </c>
      <c r="AV618" s="31">
        <f>IFERROR(时间!$B$4+AU618,"上周无销量")</f>
        <v>43339</v>
      </c>
    </row>
    <row r="619" spans="1:48">
      <c r="A619" s="16" t="s">
        <v>1213</v>
      </c>
      <c r="B619" t="s">
        <v>1212</v>
      </c>
      <c r="C619" t="s">
        <v>1159</v>
      </c>
      <c r="D619" s="24">
        <v>0</v>
      </c>
      <c r="E619" s="24">
        <v>0</v>
      </c>
      <c r="F619" s="24">
        <v>0</v>
      </c>
      <c r="G619" s="24">
        <v>0</v>
      </c>
      <c r="H619" s="25">
        <v>0</v>
      </c>
      <c r="I619">
        <v>15</v>
      </c>
      <c r="J619" s="26">
        <v>0</v>
      </c>
      <c r="K619" s="26">
        <v>0</v>
      </c>
      <c r="L619" s="26">
        <v>0</v>
      </c>
      <c r="M619">
        <v>15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13</v>
      </c>
      <c r="AK619">
        <v>12</v>
      </c>
      <c r="AL619">
        <v>20</v>
      </c>
      <c r="AM619">
        <v>16</v>
      </c>
      <c r="AN619" s="18">
        <v>0</v>
      </c>
      <c r="AO619" s="18">
        <v>0</v>
      </c>
      <c r="AP619" s="18">
        <v>0</v>
      </c>
      <c r="AQ619" s="18">
        <v>0</v>
      </c>
      <c r="AR619" s="29">
        <v>0</v>
      </c>
      <c r="AS619" s="29">
        <v>0</v>
      </c>
      <c r="AT619" s="29">
        <v>15</v>
      </c>
      <c r="AU619" s="24" t="str">
        <f t="shared" si="10"/>
        <v>库存为15</v>
      </c>
      <c r="AV619" s="31" t="str">
        <f>IFERROR(时间!$B$4+AU619,"上周无销量")</f>
        <v>上周无销量</v>
      </c>
    </row>
    <row r="620" spans="1:48">
      <c r="A620" s="16" t="s">
        <v>1214</v>
      </c>
      <c r="B620" t="s">
        <v>1215</v>
      </c>
      <c r="C620" t="s">
        <v>1159</v>
      </c>
      <c r="D620" s="24">
        <v>0</v>
      </c>
      <c r="E620" s="24">
        <v>0</v>
      </c>
      <c r="F620" s="24">
        <v>0</v>
      </c>
      <c r="G620" s="24">
        <v>0</v>
      </c>
      <c r="H620" s="25">
        <v>0</v>
      </c>
      <c r="I620">
        <v>0</v>
      </c>
      <c r="J620" s="26">
        <v>0</v>
      </c>
      <c r="K620" s="26">
        <v>0</v>
      </c>
      <c r="L620" s="26">
        <v>0</v>
      </c>
      <c r="M620">
        <v>0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56</v>
      </c>
      <c r="AK620">
        <v>42</v>
      </c>
      <c r="AL620">
        <v>62</v>
      </c>
      <c r="AM620">
        <v>49</v>
      </c>
      <c r="AN620" s="18">
        <v>0</v>
      </c>
      <c r="AO620" s="18">
        <v>0</v>
      </c>
      <c r="AP620" s="18">
        <v>0</v>
      </c>
      <c r="AQ620" s="18">
        <v>0</v>
      </c>
      <c r="AR620" s="29">
        <v>0</v>
      </c>
      <c r="AS620" s="29">
        <v>0</v>
      </c>
      <c r="AT620" s="29">
        <v>0</v>
      </c>
      <c r="AU620" s="24" t="str">
        <f t="shared" si="10"/>
        <v>库存为0</v>
      </c>
      <c r="AV620" s="31" t="str">
        <f>IFERROR(时间!$B$4+AU620,"上周无销量")</f>
        <v>上周无销量</v>
      </c>
    </row>
    <row r="621" spans="1:48">
      <c r="A621" s="16" t="s">
        <v>1216</v>
      </c>
      <c r="B621" t="s">
        <v>1217</v>
      </c>
      <c r="C621" t="s">
        <v>1159</v>
      </c>
      <c r="D621" s="24">
        <v>2</v>
      </c>
      <c r="E621" s="24">
        <v>2</v>
      </c>
      <c r="F621" s="24">
        <v>1</v>
      </c>
      <c r="G621" s="24">
        <v>0</v>
      </c>
      <c r="H621" s="25">
        <v>27.576</v>
      </c>
      <c r="I621">
        <v>2</v>
      </c>
      <c r="J621" s="26">
        <v>0</v>
      </c>
      <c r="K621" s="26">
        <v>0</v>
      </c>
      <c r="L621" s="26">
        <v>0</v>
      </c>
      <c r="M621">
        <v>2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22</v>
      </c>
      <c r="AK621">
        <v>22</v>
      </c>
      <c r="AL621">
        <v>27</v>
      </c>
      <c r="AM621">
        <v>27</v>
      </c>
      <c r="AN621" s="18">
        <v>0.0909090909090909</v>
      </c>
      <c r="AO621" s="18">
        <v>0.0909090909090909</v>
      </c>
      <c r="AP621" s="18">
        <v>0.037037037037037</v>
      </c>
      <c r="AQ621" s="18">
        <v>0</v>
      </c>
      <c r="AR621" s="29">
        <v>0.285714285714286</v>
      </c>
      <c r="AS621" s="29">
        <v>17.1428571428571</v>
      </c>
      <c r="AT621" s="29">
        <v>-15.1428571428571</v>
      </c>
      <c r="AU621" s="24">
        <f t="shared" si="10"/>
        <v>7</v>
      </c>
      <c r="AV621" s="31">
        <f>IFERROR(时间!$B$4+AU621,"上周无销量")</f>
        <v>43325</v>
      </c>
    </row>
    <row r="622" spans="1:48">
      <c r="A622" s="16" t="s">
        <v>1218</v>
      </c>
      <c r="B622" t="s">
        <v>1219</v>
      </c>
      <c r="C622" t="s">
        <v>1159</v>
      </c>
      <c r="D622" s="24">
        <v>3</v>
      </c>
      <c r="E622" s="24">
        <v>2</v>
      </c>
      <c r="F622" s="24">
        <v>2</v>
      </c>
      <c r="G622" s="24">
        <v>4</v>
      </c>
      <c r="H622" s="25">
        <v>21.98</v>
      </c>
      <c r="I622">
        <v>29</v>
      </c>
      <c r="J622" s="26">
        <v>0</v>
      </c>
      <c r="K622" s="26">
        <v>0</v>
      </c>
      <c r="L622" s="26">
        <v>0</v>
      </c>
      <c r="M622">
        <v>29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14</v>
      </c>
      <c r="AK622">
        <v>21</v>
      </c>
      <c r="AL622">
        <v>37</v>
      </c>
      <c r="AM622">
        <v>33</v>
      </c>
      <c r="AN622" s="18">
        <v>0.214285714285714</v>
      </c>
      <c r="AO622" s="18">
        <v>0.0952380952380952</v>
      </c>
      <c r="AP622" s="18">
        <v>0.0540540540540541</v>
      </c>
      <c r="AQ622" s="18">
        <v>0.121212121212121</v>
      </c>
      <c r="AR622" s="29">
        <v>0.428571428571429</v>
      </c>
      <c r="AS622" s="29">
        <v>25.7142857142857</v>
      </c>
      <c r="AT622" s="29">
        <v>3.28571428571429</v>
      </c>
      <c r="AU622" s="24">
        <f t="shared" si="10"/>
        <v>67</v>
      </c>
      <c r="AV622" s="31">
        <f>IFERROR(时间!$B$4+AU622,"上周无销量")</f>
        <v>43385</v>
      </c>
    </row>
    <row r="623" spans="1:48">
      <c r="A623" s="16" t="s">
        <v>1220</v>
      </c>
      <c r="B623" t="s">
        <v>1221</v>
      </c>
      <c r="C623" t="s">
        <v>1159</v>
      </c>
      <c r="D623" s="24">
        <v>2</v>
      </c>
      <c r="E623" s="24">
        <v>3</v>
      </c>
      <c r="F623" s="24">
        <v>4</v>
      </c>
      <c r="G623" s="24">
        <v>1</v>
      </c>
      <c r="H623" s="25">
        <v>21.98</v>
      </c>
      <c r="I623">
        <v>31</v>
      </c>
      <c r="J623" s="26">
        <v>0</v>
      </c>
      <c r="K623" s="26">
        <v>0</v>
      </c>
      <c r="L623" s="26">
        <v>0</v>
      </c>
      <c r="M623">
        <v>31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20</v>
      </c>
      <c r="AK623">
        <v>15</v>
      </c>
      <c r="AL623">
        <v>15</v>
      </c>
      <c r="AM623">
        <v>18</v>
      </c>
      <c r="AN623" s="18">
        <v>0.1</v>
      </c>
      <c r="AO623" s="18">
        <v>0.2</v>
      </c>
      <c r="AP623" s="18">
        <v>0.266666666666667</v>
      </c>
      <c r="AQ623" s="18">
        <v>0.0555555555555556</v>
      </c>
      <c r="AR623" s="29">
        <v>0.285714285714286</v>
      </c>
      <c r="AS623" s="29">
        <v>17.1428571428571</v>
      </c>
      <c r="AT623" s="29">
        <v>13.8571428571429</v>
      </c>
      <c r="AU623" s="24">
        <f t="shared" si="10"/>
        <v>108</v>
      </c>
      <c r="AV623" s="31">
        <f>IFERROR(时间!$B$4+AU623,"上周无销量")</f>
        <v>43426</v>
      </c>
    </row>
    <row r="624" spans="1:48">
      <c r="A624" s="16" t="s">
        <v>1222</v>
      </c>
      <c r="B624" t="s">
        <v>1223</v>
      </c>
      <c r="C624" t="s">
        <v>1159</v>
      </c>
      <c r="D624" s="24">
        <v>0</v>
      </c>
      <c r="E624" s="24">
        <v>0</v>
      </c>
      <c r="F624" s="24">
        <v>0</v>
      </c>
      <c r="G624" s="24">
        <v>0</v>
      </c>
      <c r="H624" s="25">
        <v>0</v>
      </c>
      <c r="I624">
        <v>0</v>
      </c>
      <c r="J624" s="26">
        <v>0</v>
      </c>
      <c r="K624" s="26">
        <v>0</v>
      </c>
      <c r="L624" s="26">
        <v>0</v>
      </c>
      <c r="M624">
        <v>0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13</v>
      </c>
      <c r="AK624">
        <v>12</v>
      </c>
      <c r="AL624">
        <v>5</v>
      </c>
      <c r="AM624">
        <v>11</v>
      </c>
      <c r="AN624" s="18">
        <v>0</v>
      </c>
      <c r="AO624" s="18">
        <v>0</v>
      </c>
      <c r="AP624" s="18">
        <v>0</v>
      </c>
      <c r="AQ624" s="18">
        <v>0</v>
      </c>
      <c r="AR624" s="29">
        <v>0</v>
      </c>
      <c r="AS624" s="29">
        <v>0</v>
      </c>
      <c r="AT624" s="29">
        <v>0</v>
      </c>
      <c r="AU624" s="24" t="str">
        <f t="shared" si="10"/>
        <v>库存为0</v>
      </c>
      <c r="AV624" s="31" t="str">
        <f>IFERROR(时间!$B$4+AU624,"上周无销量")</f>
        <v>上周无销量</v>
      </c>
    </row>
    <row r="625" spans="1:48">
      <c r="A625" s="16" t="s">
        <v>1224</v>
      </c>
      <c r="B625" t="s">
        <v>1225</v>
      </c>
      <c r="C625" t="s">
        <v>1159</v>
      </c>
      <c r="D625" s="24">
        <v>1</v>
      </c>
      <c r="E625" s="24">
        <v>3</v>
      </c>
      <c r="F625" s="24">
        <v>2</v>
      </c>
      <c r="G625" s="24">
        <v>2</v>
      </c>
      <c r="H625" s="25">
        <v>22.98</v>
      </c>
      <c r="I625">
        <v>3</v>
      </c>
      <c r="J625" s="26">
        <v>0</v>
      </c>
      <c r="K625" s="26">
        <v>0</v>
      </c>
      <c r="L625" s="26">
        <v>0</v>
      </c>
      <c r="M625">
        <v>3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27</v>
      </c>
      <c r="AK625">
        <v>19</v>
      </c>
      <c r="AL625">
        <v>26</v>
      </c>
      <c r="AM625">
        <v>33</v>
      </c>
      <c r="AN625" s="18">
        <v>0.037037037037037</v>
      </c>
      <c r="AO625" s="18">
        <v>0.157894736842105</v>
      </c>
      <c r="AP625" s="18">
        <v>0.0769230769230769</v>
      </c>
      <c r="AQ625" s="18">
        <v>0.0606060606060606</v>
      </c>
      <c r="AR625" s="29">
        <v>0.142857142857143</v>
      </c>
      <c r="AS625" s="29">
        <v>8.57142857142857</v>
      </c>
      <c r="AT625" s="29">
        <v>-5.57142857142857</v>
      </c>
      <c r="AU625" s="24">
        <f t="shared" si="10"/>
        <v>21</v>
      </c>
      <c r="AV625" s="31">
        <f>IFERROR(时间!$B$4+AU625,"上周无销量")</f>
        <v>43339</v>
      </c>
    </row>
    <row r="626" spans="1:48">
      <c r="A626" s="16" t="s">
        <v>1226</v>
      </c>
      <c r="B626" t="s">
        <v>1227</v>
      </c>
      <c r="C626" t="s">
        <v>1159</v>
      </c>
      <c r="D626" s="24">
        <v>0</v>
      </c>
      <c r="E626" s="24">
        <v>0</v>
      </c>
      <c r="F626" s="24">
        <v>0</v>
      </c>
      <c r="G626" s="24">
        <v>0</v>
      </c>
      <c r="H626" s="25">
        <v>0</v>
      </c>
      <c r="I626">
        <v>0</v>
      </c>
      <c r="J626" s="26">
        <v>0</v>
      </c>
      <c r="K626" s="26">
        <v>0</v>
      </c>
      <c r="L626" s="26">
        <v>0</v>
      </c>
      <c r="M626">
        <v>0</v>
      </c>
      <c r="N626">
        <v>0</v>
      </c>
      <c r="O626">
        <v>0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15</v>
      </c>
      <c r="AK626">
        <v>24</v>
      </c>
      <c r="AL626">
        <v>17</v>
      </c>
      <c r="AM626">
        <v>27</v>
      </c>
      <c r="AN626" s="18">
        <v>0</v>
      </c>
      <c r="AO626" s="18">
        <v>0</v>
      </c>
      <c r="AP626" s="18">
        <v>0</v>
      </c>
      <c r="AQ626" s="18">
        <v>0</v>
      </c>
      <c r="AR626" s="29">
        <v>0</v>
      </c>
      <c r="AS626" s="29">
        <v>0</v>
      </c>
      <c r="AT626" s="29">
        <v>0</v>
      </c>
      <c r="AU626" s="24" t="str">
        <f t="shared" si="10"/>
        <v>库存为0</v>
      </c>
      <c r="AV626" s="31" t="str">
        <f>IFERROR(时间!$B$4+AU626,"上周无销量")</f>
        <v>上周无销量</v>
      </c>
    </row>
    <row r="627" spans="1:48">
      <c r="A627" s="16" t="s">
        <v>1228</v>
      </c>
      <c r="B627" t="s">
        <v>1229</v>
      </c>
      <c r="C627" t="s">
        <v>1159</v>
      </c>
      <c r="D627" s="24">
        <v>0</v>
      </c>
      <c r="E627" s="24">
        <v>0</v>
      </c>
      <c r="F627" s="24">
        <v>0</v>
      </c>
      <c r="G627" s="24">
        <v>0</v>
      </c>
      <c r="H627" s="25">
        <v>0</v>
      </c>
      <c r="I627">
        <v>0</v>
      </c>
      <c r="J627" s="26">
        <v>0</v>
      </c>
      <c r="K627" s="26">
        <v>0</v>
      </c>
      <c r="L627" s="26">
        <v>0</v>
      </c>
      <c r="M627">
        <v>0</v>
      </c>
      <c r="N627">
        <v>0</v>
      </c>
      <c r="O627">
        <v>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9</v>
      </c>
      <c r="AK627">
        <v>12</v>
      </c>
      <c r="AL627">
        <v>16</v>
      </c>
      <c r="AM627">
        <v>23</v>
      </c>
      <c r="AN627" s="18">
        <v>0</v>
      </c>
      <c r="AO627" s="18">
        <v>0</v>
      </c>
      <c r="AP627" s="18">
        <v>0</v>
      </c>
      <c r="AQ627" s="18">
        <v>0</v>
      </c>
      <c r="AR627" s="29">
        <v>0</v>
      </c>
      <c r="AS627" s="29">
        <v>0</v>
      </c>
      <c r="AT627" s="29">
        <v>0</v>
      </c>
      <c r="AU627" s="24" t="str">
        <f t="shared" si="10"/>
        <v>库存为0</v>
      </c>
      <c r="AV627" s="31" t="str">
        <f>IFERROR(时间!$B$4+AU627,"上周无销量")</f>
        <v>上周无销量</v>
      </c>
    </row>
    <row r="628" spans="1:48">
      <c r="A628" s="16" t="s">
        <v>1230</v>
      </c>
      <c r="B628" t="s">
        <v>51</v>
      </c>
      <c r="C628" t="s">
        <v>1159</v>
      </c>
      <c r="D628" s="24">
        <v>0</v>
      </c>
      <c r="E628" s="24">
        <v>0</v>
      </c>
      <c r="F628" s="24">
        <v>0</v>
      </c>
      <c r="G628" s="24">
        <v>0</v>
      </c>
      <c r="H628" s="25">
        <v>0</v>
      </c>
      <c r="I628">
        <v>0</v>
      </c>
      <c r="J628" s="26">
        <v>0</v>
      </c>
      <c r="K628" s="26">
        <v>0</v>
      </c>
      <c r="L628" s="26">
        <v>0</v>
      </c>
      <c r="M628">
        <v>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14</v>
      </c>
      <c r="AK628">
        <v>14</v>
      </c>
      <c r="AL628">
        <v>14</v>
      </c>
      <c r="AM628">
        <v>12</v>
      </c>
      <c r="AN628" s="18">
        <v>0</v>
      </c>
      <c r="AO628" s="18">
        <v>0</v>
      </c>
      <c r="AP628" s="18">
        <v>0</v>
      </c>
      <c r="AQ628" s="18">
        <v>0</v>
      </c>
      <c r="AR628" s="29">
        <v>0</v>
      </c>
      <c r="AS628" s="29">
        <v>0</v>
      </c>
      <c r="AT628" s="29">
        <v>0</v>
      </c>
      <c r="AU628" s="24" t="str">
        <f t="shared" si="10"/>
        <v>库存为0</v>
      </c>
      <c r="AV628" s="31" t="str">
        <f>IFERROR(时间!$B$4+AU628,"上周无销量")</f>
        <v>上周无销量</v>
      </c>
    </row>
    <row r="629" spans="1:48">
      <c r="A629" s="16" t="s">
        <v>1231</v>
      </c>
      <c r="B629" t="s">
        <v>1232</v>
      </c>
      <c r="C629" t="s">
        <v>1159</v>
      </c>
      <c r="D629" s="24">
        <v>0</v>
      </c>
      <c r="E629" s="24">
        <v>0</v>
      </c>
      <c r="F629" s="24">
        <v>0</v>
      </c>
      <c r="G629" s="24">
        <v>0</v>
      </c>
      <c r="H629" s="25">
        <v>0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6</v>
      </c>
      <c r="AK629">
        <v>12</v>
      </c>
      <c r="AL629">
        <v>17</v>
      </c>
      <c r="AM629">
        <v>11</v>
      </c>
      <c r="AN629" s="18">
        <v>0</v>
      </c>
      <c r="AO629" s="18">
        <v>0</v>
      </c>
      <c r="AP629" s="18">
        <v>0</v>
      </c>
      <c r="AQ629" s="18">
        <v>0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1233</v>
      </c>
      <c r="B630" t="s">
        <v>1234</v>
      </c>
      <c r="C630" t="s">
        <v>1159</v>
      </c>
      <c r="D630" s="24">
        <v>0</v>
      </c>
      <c r="E630" s="24">
        <v>0</v>
      </c>
      <c r="F630" s="24">
        <v>0</v>
      </c>
      <c r="G630" s="24">
        <v>0</v>
      </c>
      <c r="H630" s="25">
        <v>0</v>
      </c>
      <c r="I630">
        <v>0</v>
      </c>
      <c r="J630" s="26">
        <v>0</v>
      </c>
      <c r="K630" s="26">
        <v>0</v>
      </c>
      <c r="L630" s="26">
        <v>0</v>
      </c>
      <c r="M630">
        <v>0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0</v>
      </c>
      <c r="AK630">
        <v>0</v>
      </c>
      <c r="AL630">
        <v>0</v>
      </c>
      <c r="AM630">
        <v>0</v>
      </c>
      <c r="AN630" s="18" t="s">
        <v>52</v>
      </c>
      <c r="AO630" s="18" t="s">
        <v>52</v>
      </c>
      <c r="AP630" s="18" t="s">
        <v>52</v>
      </c>
      <c r="AQ630" s="18" t="s">
        <v>52</v>
      </c>
      <c r="AR630" s="29">
        <v>0</v>
      </c>
      <c r="AS630" s="29">
        <v>0</v>
      </c>
      <c r="AT630" s="29">
        <v>0</v>
      </c>
      <c r="AU630" s="24" t="str">
        <f t="shared" si="10"/>
        <v>库存为0</v>
      </c>
      <c r="AV630" s="31" t="str">
        <f>IFERROR(时间!$B$4+AU630,"上周无销量")</f>
        <v>上周无销量</v>
      </c>
    </row>
    <row r="631" spans="1:48">
      <c r="A631" s="16" t="s">
        <v>1235</v>
      </c>
      <c r="B631" t="s">
        <v>1236</v>
      </c>
      <c r="C631" t="s">
        <v>1159</v>
      </c>
      <c r="D631" s="24">
        <v>4</v>
      </c>
      <c r="E631" s="24">
        <v>1</v>
      </c>
      <c r="F631" s="24">
        <v>2</v>
      </c>
      <c r="G631" s="24">
        <v>3</v>
      </c>
      <c r="H631" s="25">
        <v>22.98</v>
      </c>
      <c r="I631">
        <v>0</v>
      </c>
      <c r="J631" s="26">
        <v>0</v>
      </c>
      <c r="K631" s="26">
        <v>0</v>
      </c>
      <c r="L631" s="26">
        <v>0</v>
      </c>
      <c r="M631">
        <v>0</v>
      </c>
      <c r="N631">
        <v>0</v>
      </c>
      <c r="O631">
        <v>0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10</v>
      </c>
      <c r="AK631">
        <v>16</v>
      </c>
      <c r="AL631">
        <v>18</v>
      </c>
      <c r="AM631">
        <v>20</v>
      </c>
      <c r="AN631" s="18">
        <v>0.4</v>
      </c>
      <c r="AO631" s="18">
        <v>0.0625</v>
      </c>
      <c r="AP631" s="18">
        <v>0.111111111111111</v>
      </c>
      <c r="AQ631" s="18">
        <v>0.15</v>
      </c>
      <c r="AR631" s="29">
        <v>0.571428571428571</v>
      </c>
      <c r="AS631" s="29">
        <v>34.2857142857143</v>
      </c>
      <c r="AT631" s="29">
        <v>-34.2857142857143</v>
      </c>
      <c r="AU631" s="24">
        <f t="shared" si="10"/>
        <v>0</v>
      </c>
      <c r="AV631" s="31">
        <f>IFERROR(时间!$B$4+AU631,"上周无销量")</f>
        <v>43318</v>
      </c>
    </row>
    <row r="632" spans="1:48">
      <c r="A632" s="16" t="s">
        <v>1237</v>
      </c>
      <c r="B632" t="s">
        <v>1238</v>
      </c>
      <c r="C632" t="s">
        <v>1159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0</v>
      </c>
      <c r="J632" s="26">
        <v>2</v>
      </c>
      <c r="K632" s="26">
        <v>0</v>
      </c>
      <c r="L632" s="26">
        <v>0</v>
      </c>
      <c r="M632">
        <v>2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22</v>
      </c>
      <c r="AK632">
        <v>14</v>
      </c>
      <c r="AL632">
        <v>30</v>
      </c>
      <c r="AM632">
        <v>47</v>
      </c>
      <c r="AN632" s="18">
        <v>0</v>
      </c>
      <c r="AO632" s="18">
        <v>0</v>
      </c>
      <c r="AP632" s="18">
        <v>0</v>
      </c>
      <c r="AQ632" s="18">
        <v>0</v>
      </c>
      <c r="AR632" s="29">
        <v>0</v>
      </c>
      <c r="AS632" s="29">
        <v>0</v>
      </c>
      <c r="AT632" s="29">
        <v>2</v>
      </c>
      <c r="AU632" s="24" t="str">
        <f t="shared" si="10"/>
        <v>库存为2</v>
      </c>
      <c r="AV632" s="31" t="str">
        <f>IFERROR(时间!$B$4+AU632,"上周无销量")</f>
        <v>上周无销量</v>
      </c>
    </row>
    <row r="633" spans="1:48">
      <c r="A633" s="16" t="s">
        <v>1239</v>
      </c>
      <c r="B633" t="s">
        <v>1240</v>
      </c>
      <c r="C633" t="s">
        <v>1159</v>
      </c>
      <c r="D633" s="24">
        <v>0</v>
      </c>
      <c r="E633" s="24">
        <v>0</v>
      </c>
      <c r="F633" s="24">
        <v>0</v>
      </c>
      <c r="G633" s="24">
        <v>0</v>
      </c>
      <c r="H633" s="25">
        <v>0</v>
      </c>
      <c r="I633">
        <v>0</v>
      </c>
      <c r="J633" s="26">
        <v>0</v>
      </c>
      <c r="K633" s="26">
        <v>0</v>
      </c>
      <c r="L633" s="26">
        <v>0</v>
      </c>
      <c r="M633">
        <v>0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15</v>
      </c>
      <c r="AK633">
        <v>11</v>
      </c>
      <c r="AL633">
        <v>16</v>
      </c>
      <c r="AM633">
        <v>26</v>
      </c>
      <c r="AN633" s="18">
        <v>0</v>
      </c>
      <c r="AO633" s="18">
        <v>0</v>
      </c>
      <c r="AP633" s="18">
        <v>0</v>
      </c>
      <c r="AQ633" s="18">
        <v>0</v>
      </c>
      <c r="AR633" s="29">
        <v>0</v>
      </c>
      <c r="AS633" s="29">
        <v>0</v>
      </c>
      <c r="AT633" s="29">
        <v>0</v>
      </c>
      <c r="AU633" s="24" t="str">
        <f t="shared" si="10"/>
        <v>库存为0</v>
      </c>
      <c r="AV633" s="31" t="str">
        <f>IFERROR(时间!$B$4+AU633,"上周无销量")</f>
        <v>上周无销量</v>
      </c>
    </row>
    <row r="634" spans="1:48">
      <c r="A634" s="16" t="s">
        <v>1241</v>
      </c>
      <c r="B634" t="s">
        <v>1242</v>
      </c>
      <c r="C634" t="s">
        <v>1159</v>
      </c>
      <c r="D634" s="24">
        <v>0</v>
      </c>
      <c r="E634" s="24">
        <v>0</v>
      </c>
      <c r="F634" s="24">
        <v>0</v>
      </c>
      <c r="G634" s="24">
        <v>0</v>
      </c>
      <c r="H634" s="25">
        <v>0</v>
      </c>
      <c r="I634">
        <v>0</v>
      </c>
      <c r="J634" s="26">
        <v>0</v>
      </c>
      <c r="K634" s="26">
        <v>0</v>
      </c>
      <c r="L634" s="26">
        <v>0</v>
      </c>
      <c r="M634">
        <v>0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12</v>
      </c>
      <c r="AK634">
        <v>10</v>
      </c>
      <c r="AL634">
        <v>18</v>
      </c>
      <c r="AM634">
        <v>19</v>
      </c>
      <c r="AN634" s="18">
        <v>0</v>
      </c>
      <c r="AO634" s="18">
        <v>0</v>
      </c>
      <c r="AP634" s="18">
        <v>0</v>
      </c>
      <c r="AQ634" s="18">
        <v>0</v>
      </c>
      <c r="AR634" s="29">
        <v>0</v>
      </c>
      <c r="AS634" s="29">
        <v>0</v>
      </c>
      <c r="AT634" s="29">
        <v>0</v>
      </c>
      <c r="AU634" s="24" t="str">
        <f t="shared" si="10"/>
        <v>库存为0</v>
      </c>
      <c r="AV634" s="31" t="str">
        <f>IFERROR(时间!$B$4+AU634,"上周无销量")</f>
        <v>上周无销量</v>
      </c>
    </row>
    <row r="635" spans="1:48">
      <c r="A635" s="16" t="s">
        <v>1243</v>
      </c>
      <c r="B635" t="s">
        <v>1244</v>
      </c>
      <c r="C635" t="s">
        <v>1159</v>
      </c>
      <c r="D635" s="24">
        <v>0</v>
      </c>
      <c r="E635" s="24">
        <v>0</v>
      </c>
      <c r="F635" s="24">
        <v>0</v>
      </c>
      <c r="G635" s="24">
        <v>0</v>
      </c>
      <c r="H635" s="25">
        <v>0</v>
      </c>
      <c r="I635">
        <v>0</v>
      </c>
      <c r="J635" s="26">
        <v>5</v>
      </c>
      <c r="K635" s="26">
        <v>0</v>
      </c>
      <c r="L635" s="26">
        <v>0</v>
      </c>
      <c r="M635">
        <v>5</v>
      </c>
      <c r="N635">
        <v>0</v>
      </c>
      <c r="O635">
        <v>0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26</v>
      </c>
      <c r="AK635">
        <v>27</v>
      </c>
      <c r="AL635">
        <v>28</v>
      </c>
      <c r="AM635">
        <v>29</v>
      </c>
      <c r="AN635" s="18">
        <v>0</v>
      </c>
      <c r="AO635" s="18">
        <v>0</v>
      </c>
      <c r="AP635" s="18">
        <v>0</v>
      </c>
      <c r="AQ635" s="18">
        <v>0</v>
      </c>
      <c r="AR635" s="29">
        <v>0</v>
      </c>
      <c r="AS635" s="29">
        <v>0</v>
      </c>
      <c r="AT635" s="29">
        <v>5</v>
      </c>
      <c r="AU635" s="24" t="str">
        <f t="shared" si="10"/>
        <v>库存为5</v>
      </c>
      <c r="AV635" s="31" t="str">
        <f>IFERROR(时间!$B$4+AU635,"上周无销量")</f>
        <v>上周无销量</v>
      </c>
    </row>
    <row r="636" spans="1:48">
      <c r="A636" s="16" t="s">
        <v>1245</v>
      </c>
      <c r="B636" t="s">
        <v>1246</v>
      </c>
      <c r="C636" t="s">
        <v>1159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0</v>
      </c>
      <c r="K636" s="26">
        <v>0</v>
      </c>
      <c r="L636" s="26">
        <v>0</v>
      </c>
      <c r="M636">
        <v>0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15</v>
      </c>
      <c r="AK636">
        <v>8</v>
      </c>
      <c r="AL636">
        <v>22</v>
      </c>
      <c r="AM636">
        <v>44</v>
      </c>
      <c r="AN636" s="18">
        <v>0</v>
      </c>
      <c r="AO636" s="18">
        <v>0</v>
      </c>
      <c r="AP636" s="18">
        <v>0</v>
      </c>
      <c r="AQ636" s="18">
        <v>0</v>
      </c>
      <c r="AR636" s="29">
        <v>0</v>
      </c>
      <c r="AS636" s="29">
        <v>0</v>
      </c>
      <c r="AT636" s="29">
        <v>0</v>
      </c>
      <c r="AU636" s="24" t="str">
        <f t="shared" si="10"/>
        <v>库存为0</v>
      </c>
      <c r="AV636" s="31" t="str">
        <f>IFERROR(时间!$B$4+AU636,"上周无销量")</f>
        <v>上周无销量</v>
      </c>
    </row>
    <row r="637" spans="1:48">
      <c r="A637" s="16" t="s">
        <v>1247</v>
      </c>
      <c r="B637" t="s">
        <v>323</v>
      </c>
      <c r="C637" t="s">
        <v>1248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0</v>
      </c>
      <c r="J637" s="26">
        <v>0</v>
      </c>
      <c r="K637" s="26">
        <v>0</v>
      </c>
      <c r="L637" s="26">
        <v>0</v>
      </c>
      <c r="M637">
        <v>0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8</v>
      </c>
      <c r="AK637">
        <v>5</v>
      </c>
      <c r="AL637">
        <v>8</v>
      </c>
      <c r="AM637">
        <v>6</v>
      </c>
      <c r="AN637" s="18">
        <v>0</v>
      </c>
      <c r="AO637" s="18">
        <v>0</v>
      </c>
      <c r="AP637" s="18">
        <v>0</v>
      </c>
      <c r="AQ637" s="18">
        <v>0</v>
      </c>
      <c r="AR637" s="29">
        <v>0</v>
      </c>
      <c r="AS637" s="29">
        <v>0</v>
      </c>
      <c r="AT637" s="29">
        <v>0</v>
      </c>
      <c r="AU637" s="24" t="str">
        <f t="shared" si="10"/>
        <v>库存为0</v>
      </c>
      <c r="AV637" s="31" t="str">
        <f>IFERROR(时间!$B$4+AU637,"上周无销量")</f>
        <v>上周无销量</v>
      </c>
    </row>
    <row r="638" spans="1:48">
      <c r="A638" s="16" t="s">
        <v>1249</v>
      </c>
      <c r="B638" t="s">
        <v>326</v>
      </c>
      <c r="C638" t="s">
        <v>1248</v>
      </c>
      <c r="D638" s="24">
        <v>0</v>
      </c>
      <c r="E638" s="24">
        <v>0</v>
      </c>
      <c r="F638" s="24">
        <v>0</v>
      </c>
      <c r="G638" s="24">
        <v>0</v>
      </c>
      <c r="H638" s="25">
        <v>0</v>
      </c>
      <c r="I638">
        <v>0</v>
      </c>
      <c r="J638" s="26">
        <v>0</v>
      </c>
      <c r="K638" s="26">
        <v>0</v>
      </c>
      <c r="L638" s="26">
        <v>0</v>
      </c>
      <c r="M638">
        <v>0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6</v>
      </c>
      <c r="AK638">
        <v>3</v>
      </c>
      <c r="AL638">
        <v>5</v>
      </c>
      <c r="AM638">
        <v>4</v>
      </c>
      <c r="AN638" s="18">
        <v>0</v>
      </c>
      <c r="AO638" s="18">
        <v>0</v>
      </c>
      <c r="AP638" s="18">
        <v>0</v>
      </c>
      <c r="AQ638" s="18">
        <v>0</v>
      </c>
      <c r="AR638" s="29">
        <v>0</v>
      </c>
      <c r="AS638" s="29">
        <v>0</v>
      </c>
      <c r="AT638" s="29">
        <v>0</v>
      </c>
      <c r="AU638" s="24" t="str">
        <f t="shared" si="10"/>
        <v>库存为0</v>
      </c>
      <c r="AV638" s="31" t="str">
        <f>IFERROR(时间!$B$4+AU638,"上周无销量")</f>
        <v>上周无销量</v>
      </c>
    </row>
    <row r="639" spans="1:48">
      <c r="A639" s="16" t="s">
        <v>1250</v>
      </c>
      <c r="B639" t="s">
        <v>1251</v>
      </c>
      <c r="C639" t="s">
        <v>1248</v>
      </c>
      <c r="D639" s="24">
        <v>0</v>
      </c>
      <c r="E639" s="24">
        <v>0</v>
      </c>
      <c r="F639" s="24">
        <v>0</v>
      </c>
      <c r="G639" s="24">
        <v>0</v>
      </c>
      <c r="H639" s="25">
        <v>0</v>
      </c>
      <c r="I639">
        <v>0</v>
      </c>
      <c r="J639" s="26">
        <v>0</v>
      </c>
      <c r="K639" s="26">
        <v>0</v>
      </c>
      <c r="L639" s="26">
        <v>0</v>
      </c>
      <c r="M639">
        <v>0</v>
      </c>
      <c r="N639">
        <v>0</v>
      </c>
      <c r="O639">
        <v>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0</v>
      </c>
      <c r="AK639">
        <v>0</v>
      </c>
      <c r="AL639">
        <v>0</v>
      </c>
      <c r="AM639">
        <v>0</v>
      </c>
      <c r="AN639" s="18" t="s">
        <v>52</v>
      </c>
      <c r="AO639" s="18" t="s">
        <v>52</v>
      </c>
      <c r="AP639" s="18" t="s">
        <v>52</v>
      </c>
      <c r="AQ639" s="18" t="s">
        <v>52</v>
      </c>
      <c r="AR639" s="29">
        <v>0</v>
      </c>
      <c r="AS639" s="29">
        <v>0</v>
      </c>
      <c r="AT639" s="29">
        <v>0</v>
      </c>
      <c r="AU639" s="24" t="str">
        <f t="shared" si="10"/>
        <v>库存为0</v>
      </c>
      <c r="AV639" s="31" t="str">
        <f>IFERROR(时间!$B$4+AU639,"上周无销量")</f>
        <v>上周无销量</v>
      </c>
    </row>
    <row r="640" spans="1:48">
      <c r="A640" s="16" t="s">
        <v>1252</v>
      </c>
      <c r="B640" t="s">
        <v>328</v>
      </c>
      <c r="C640" t="s">
        <v>1248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0</v>
      </c>
      <c r="J640" s="26">
        <v>0</v>
      </c>
      <c r="K640" s="26">
        <v>0</v>
      </c>
      <c r="L640" s="26">
        <v>0</v>
      </c>
      <c r="M640">
        <v>0</v>
      </c>
      <c r="N640">
        <v>0</v>
      </c>
      <c r="O640">
        <v>0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2</v>
      </c>
      <c r="AK640">
        <v>7</v>
      </c>
      <c r="AL640">
        <v>5</v>
      </c>
      <c r="AM640">
        <v>5</v>
      </c>
      <c r="AN640" s="18">
        <v>0</v>
      </c>
      <c r="AO640" s="18">
        <v>0</v>
      </c>
      <c r="AP640" s="18">
        <v>0</v>
      </c>
      <c r="AQ640" s="18">
        <v>0</v>
      </c>
      <c r="AR640" s="29">
        <v>0</v>
      </c>
      <c r="AS640" s="29">
        <v>0</v>
      </c>
      <c r="AT640" s="29">
        <v>0</v>
      </c>
      <c r="AU640" s="24" t="str">
        <f t="shared" si="10"/>
        <v>库存为0</v>
      </c>
      <c r="AV640" s="31" t="str">
        <f>IFERROR(时间!$B$4+AU640,"上周无销量")</f>
        <v>上周无销量</v>
      </c>
    </row>
    <row r="641" spans="1:48">
      <c r="A641" s="16" t="s">
        <v>1253</v>
      </c>
      <c r="B641" t="s">
        <v>330</v>
      </c>
      <c r="C641" t="s">
        <v>1248</v>
      </c>
      <c r="D641" s="24">
        <v>0</v>
      </c>
      <c r="E641" s="24">
        <v>0</v>
      </c>
      <c r="F641" s="24">
        <v>0</v>
      </c>
      <c r="G641" s="24">
        <v>0</v>
      </c>
      <c r="H641" s="25">
        <v>0</v>
      </c>
      <c r="I641">
        <v>0</v>
      </c>
      <c r="J641" s="26">
        <v>0</v>
      </c>
      <c r="K641" s="26">
        <v>0</v>
      </c>
      <c r="L641" s="26">
        <v>0</v>
      </c>
      <c r="M641">
        <v>0</v>
      </c>
      <c r="N641">
        <v>0</v>
      </c>
      <c r="O641">
        <v>0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0</v>
      </c>
      <c r="AK641">
        <v>0</v>
      </c>
      <c r="AL641">
        <v>0</v>
      </c>
      <c r="AM641">
        <v>0</v>
      </c>
      <c r="AN641" s="18" t="s">
        <v>52</v>
      </c>
      <c r="AO641" s="18" t="s">
        <v>52</v>
      </c>
      <c r="AP641" s="18" t="s">
        <v>52</v>
      </c>
      <c r="AQ641" s="18" t="s">
        <v>52</v>
      </c>
      <c r="AR641" s="29">
        <v>0</v>
      </c>
      <c r="AS641" s="29">
        <v>0</v>
      </c>
      <c r="AT641" s="29">
        <v>0</v>
      </c>
      <c r="AU641" s="24" t="str">
        <f t="shared" si="10"/>
        <v>库存为0</v>
      </c>
      <c r="AV641" s="31" t="str">
        <f>IFERROR(时间!$B$4+AU641,"上周无销量")</f>
        <v>上周无销量</v>
      </c>
    </row>
    <row r="642" spans="1:48">
      <c r="A642" s="16" t="s">
        <v>1254</v>
      </c>
      <c r="B642" t="s">
        <v>332</v>
      </c>
      <c r="C642" t="s">
        <v>1248</v>
      </c>
      <c r="D642" s="24">
        <v>0</v>
      </c>
      <c r="E642" s="24">
        <v>0</v>
      </c>
      <c r="F642" s="24">
        <v>0</v>
      </c>
      <c r="G642" s="24">
        <v>0</v>
      </c>
      <c r="H642" s="25">
        <v>0</v>
      </c>
      <c r="I642">
        <v>0</v>
      </c>
      <c r="J642" s="26">
        <v>0</v>
      </c>
      <c r="K642" s="26">
        <v>0</v>
      </c>
      <c r="L642" s="26">
        <v>0</v>
      </c>
      <c r="M642">
        <v>0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2</v>
      </c>
      <c r="AK642">
        <v>3</v>
      </c>
      <c r="AL642">
        <v>1</v>
      </c>
      <c r="AM642">
        <v>3</v>
      </c>
      <c r="AN642" s="18">
        <v>0</v>
      </c>
      <c r="AO642" s="18">
        <v>0</v>
      </c>
      <c r="AP642" s="18">
        <v>0</v>
      </c>
      <c r="AQ642" s="18">
        <v>0</v>
      </c>
      <c r="AR642" s="29">
        <v>0</v>
      </c>
      <c r="AS642" s="29">
        <v>0</v>
      </c>
      <c r="AT642" s="29">
        <v>0</v>
      </c>
      <c r="AU642" s="24" t="str">
        <f t="shared" si="10"/>
        <v>库存为0</v>
      </c>
      <c r="AV642" s="31" t="str">
        <f>IFERROR(时间!$B$4+AU642,"上周无销量")</f>
        <v>上周无销量</v>
      </c>
    </row>
    <row r="643" spans="1:48">
      <c r="A643" s="16" t="s">
        <v>1255</v>
      </c>
      <c r="B643" t="s">
        <v>334</v>
      </c>
      <c r="C643" t="s">
        <v>1248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12</v>
      </c>
      <c r="AK643">
        <v>4</v>
      </c>
      <c r="AL643">
        <v>7</v>
      </c>
      <c r="AM643">
        <v>4</v>
      </c>
      <c r="AN643" s="18">
        <v>0</v>
      </c>
      <c r="AO643" s="18">
        <v>0</v>
      </c>
      <c r="AP643" s="18">
        <v>0</v>
      </c>
      <c r="AQ643" s="18">
        <v>0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1256</v>
      </c>
      <c r="B644" t="s">
        <v>1257</v>
      </c>
      <c r="C644" t="s">
        <v>1248</v>
      </c>
      <c r="D644" s="24">
        <v>0</v>
      </c>
      <c r="E644" s="24">
        <v>0</v>
      </c>
      <c r="F644" s="24">
        <v>0</v>
      </c>
      <c r="G644" s="24">
        <v>0</v>
      </c>
      <c r="H644" s="25">
        <v>0</v>
      </c>
      <c r="I644">
        <v>0</v>
      </c>
      <c r="J644" s="26">
        <v>0</v>
      </c>
      <c r="K644" s="26">
        <v>0</v>
      </c>
      <c r="L644" s="26">
        <v>0</v>
      </c>
      <c r="M644">
        <v>0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0</v>
      </c>
      <c r="AK644">
        <v>0</v>
      </c>
      <c r="AL644">
        <v>0</v>
      </c>
      <c r="AM644">
        <v>0</v>
      </c>
      <c r="AN644" s="18" t="s">
        <v>52</v>
      </c>
      <c r="AO644" s="18" t="s">
        <v>52</v>
      </c>
      <c r="AP644" s="18" t="s">
        <v>52</v>
      </c>
      <c r="AQ644" s="18" t="s">
        <v>52</v>
      </c>
      <c r="AR644" s="29">
        <v>0</v>
      </c>
      <c r="AS644" s="29">
        <v>0</v>
      </c>
      <c r="AT644" s="29">
        <v>0</v>
      </c>
      <c r="AU644" s="24" t="str">
        <f t="shared" si="10"/>
        <v>库存为0</v>
      </c>
      <c r="AV644" s="31" t="str">
        <f>IFERROR(时间!$B$4+AU644,"上周无销量")</f>
        <v>上周无销量</v>
      </c>
    </row>
    <row r="645" spans="1:48">
      <c r="A645" s="16" t="s">
        <v>1258</v>
      </c>
      <c r="B645" t="s">
        <v>336</v>
      </c>
      <c r="C645" t="s">
        <v>1248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3</v>
      </c>
      <c r="AK645">
        <v>1</v>
      </c>
      <c r="AL645">
        <v>5</v>
      </c>
      <c r="AM645">
        <v>3</v>
      </c>
      <c r="AN645" s="18">
        <v>0</v>
      </c>
      <c r="AO645" s="18">
        <v>0</v>
      </c>
      <c r="AP645" s="18">
        <v>0</v>
      </c>
      <c r="AQ645" s="18">
        <v>0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1259</v>
      </c>
      <c r="B646" t="s">
        <v>1260</v>
      </c>
      <c r="C646" t="s">
        <v>1248</v>
      </c>
      <c r="D646" s="24">
        <v>0</v>
      </c>
      <c r="E646" s="24">
        <v>0</v>
      </c>
      <c r="F646" s="24">
        <v>0</v>
      </c>
      <c r="G646" s="24">
        <v>0</v>
      </c>
      <c r="H646" s="25">
        <v>0</v>
      </c>
      <c r="I646">
        <v>0</v>
      </c>
      <c r="J646" s="26">
        <v>0</v>
      </c>
      <c r="K646" s="26">
        <v>0</v>
      </c>
      <c r="L646" s="26">
        <v>0</v>
      </c>
      <c r="M646">
        <v>0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0</v>
      </c>
      <c r="AK646">
        <v>0</v>
      </c>
      <c r="AL646">
        <v>0</v>
      </c>
      <c r="AM646">
        <v>0</v>
      </c>
      <c r="AN646" s="18" t="s">
        <v>52</v>
      </c>
      <c r="AO646" s="18" t="s">
        <v>52</v>
      </c>
      <c r="AP646" s="18" t="s">
        <v>52</v>
      </c>
      <c r="AQ646" s="18" t="s">
        <v>52</v>
      </c>
      <c r="AR646" s="29">
        <v>0</v>
      </c>
      <c r="AS646" s="29">
        <v>0</v>
      </c>
      <c r="AT646" s="29">
        <v>0</v>
      </c>
      <c r="AU646" s="24" t="str">
        <f t="shared" ref="AU646:AU709" si="11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1261</v>
      </c>
      <c r="B647" t="s">
        <v>338</v>
      </c>
      <c r="C647" t="s">
        <v>1248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0</v>
      </c>
      <c r="J647" s="26">
        <v>0</v>
      </c>
      <c r="K647" s="26">
        <v>0</v>
      </c>
      <c r="L647" s="26">
        <v>0</v>
      </c>
      <c r="M647">
        <v>0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0</v>
      </c>
      <c r="AK647">
        <v>0</v>
      </c>
      <c r="AL647">
        <v>0</v>
      </c>
      <c r="AM647">
        <v>0</v>
      </c>
      <c r="AN647" s="18" t="s">
        <v>52</v>
      </c>
      <c r="AO647" s="18" t="s">
        <v>52</v>
      </c>
      <c r="AP647" s="18" t="s">
        <v>52</v>
      </c>
      <c r="AQ647" s="18" t="s">
        <v>52</v>
      </c>
      <c r="AR647" s="29">
        <v>0</v>
      </c>
      <c r="AS647" s="29">
        <v>0</v>
      </c>
      <c r="AT647" s="29">
        <v>0</v>
      </c>
      <c r="AU647" s="24" t="str">
        <f t="shared" si="11"/>
        <v>库存为0</v>
      </c>
      <c r="AV647" s="31" t="str">
        <f>IFERROR(时间!$B$4+AU647,"上周无销量")</f>
        <v>上周无销量</v>
      </c>
    </row>
    <row r="648" spans="1:48">
      <c r="A648" s="16" t="s">
        <v>1262</v>
      </c>
      <c r="B648" t="s">
        <v>340</v>
      </c>
      <c r="C648" t="s">
        <v>1248</v>
      </c>
      <c r="D648" s="24">
        <v>0</v>
      </c>
      <c r="E648" s="24">
        <v>0</v>
      </c>
      <c r="F648" s="24">
        <v>0</v>
      </c>
      <c r="G648" s="24">
        <v>0</v>
      </c>
      <c r="H648" s="25">
        <v>0</v>
      </c>
      <c r="I648">
        <v>0</v>
      </c>
      <c r="J648" s="26">
        <v>0</v>
      </c>
      <c r="K648" s="26">
        <v>0</v>
      </c>
      <c r="L648" s="26">
        <v>0</v>
      </c>
      <c r="M648">
        <v>0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2</v>
      </c>
      <c r="AK648">
        <v>6</v>
      </c>
      <c r="AL648">
        <v>4</v>
      </c>
      <c r="AM648">
        <v>5</v>
      </c>
      <c r="AN648" s="18">
        <v>0</v>
      </c>
      <c r="AO648" s="18">
        <v>0</v>
      </c>
      <c r="AP648" s="18">
        <v>0</v>
      </c>
      <c r="AQ648" s="18">
        <v>0</v>
      </c>
      <c r="AR648" s="29">
        <v>0</v>
      </c>
      <c r="AS648" s="29">
        <v>0</v>
      </c>
      <c r="AT648" s="29">
        <v>0</v>
      </c>
      <c r="AU648" s="24" t="str">
        <f t="shared" si="11"/>
        <v>库存为0</v>
      </c>
      <c r="AV648" s="31" t="str">
        <f>IFERROR(时间!$B$4+AU648,"上周无销量")</f>
        <v>上周无销量</v>
      </c>
    </row>
    <row r="649" spans="1:48">
      <c r="A649" s="16" t="s">
        <v>1263</v>
      </c>
      <c r="B649" t="s">
        <v>342</v>
      </c>
      <c r="C649" t="s">
        <v>1248</v>
      </c>
      <c r="D649" s="24">
        <v>0</v>
      </c>
      <c r="E649" s="24">
        <v>0</v>
      </c>
      <c r="F649" s="24">
        <v>0</v>
      </c>
      <c r="G649" s="24">
        <v>0</v>
      </c>
      <c r="H649" s="25">
        <v>0</v>
      </c>
      <c r="I649">
        <v>11</v>
      </c>
      <c r="J649" s="26">
        <v>0</v>
      </c>
      <c r="K649" s="26">
        <v>0</v>
      </c>
      <c r="L649" s="26">
        <v>0</v>
      </c>
      <c r="M649">
        <v>11</v>
      </c>
      <c r="N649">
        <v>0</v>
      </c>
      <c r="O649">
        <v>0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5</v>
      </c>
      <c r="AK649">
        <v>10</v>
      </c>
      <c r="AL649">
        <v>18</v>
      </c>
      <c r="AM649">
        <v>4</v>
      </c>
      <c r="AN649" s="18">
        <v>0</v>
      </c>
      <c r="AO649" s="18">
        <v>0</v>
      </c>
      <c r="AP649" s="18">
        <v>0</v>
      </c>
      <c r="AQ649" s="18">
        <v>0</v>
      </c>
      <c r="AR649" s="29">
        <v>0</v>
      </c>
      <c r="AS649" s="29">
        <v>0</v>
      </c>
      <c r="AT649" s="29">
        <v>11</v>
      </c>
      <c r="AU649" s="24" t="str">
        <f t="shared" si="11"/>
        <v>库存为11</v>
      </c>
      <c r="AV649" s="31" t="str">
        <f>IFERROR(时间!$B$4+AU649,"上周无销量")</f>
        <v>上周无销量</v>
      </c>
    </row>
    <row r="650" spans="1:48">
      <c r="A650" s="16" t="s">
        <v>1264</v>
      </c>
      <c r="B650" t="s">
        <v>344</v>
      </c>
      <c r="C650" t="s">
        <v>1248</v>
      </c>
      <c r="D650" s="24">
        <v>0</v>
      </c>
      <c r="E650" s="24">
        <v>0</v>
      </c>
      <c r="F650" s="24">
        <v>0</v>
      </c>
      <c r="G650" s="24">
        <v>0</v>
      </c>
      <c r="H650" s="25">
        <v>0</v>
      </c>
      <c r="I650">
        <v>0</v>
      </c>
      <c r="J650" s="26">
        <v>0</v>
      </c>
      <c r="K650" s="26">
        <v>0</v>
      </c>
      <c r="L650" s="26">
        <v>0</v>
      </c>
      <c r="M650">
        <v>0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5</v>
      </c>
      <c r="AK650">
        <v>9</v>
      </c>
      <c r="AL650">
        <v>7</v>
      </c>
      <c r="AM650">
        <v>8</v>
      </c>
      <c r="AN650" s="18">
        <v>0</v>
      </c>
      <c r="AO650" s="18">
        <v>0</v>
      </c>
      <c r="AP650" s="18">
        <v>0</v>
      </c>
      <c r="AQ650" s="18">
        <v>0</v>
      </c>
      <c r="AR650" s="29">
        <v>0</v>
      </c>
      <c r="AS650" s="29">
        <v>0</v>
      </c>
      <c r="AT650" s="29">
        <v>0</v>
      </c>
      <c r="AU650" s="24" t="str">
        <f t="shared" si="11"/>
        <v>库存为0</v>
      </c>
      <c r="AV650" s="31" t="str">
        <f>IFERROR(时间!$B$4+AU650,"上周无销量")</f>
        <v>上周无销量</v>
      </c>
    </row>
    <row r="651" spans="1:48">
      <c r="A651" s="16" t="s">
        <v>1265</v>
      </c>
      <c r="B651" t="s">
        <v>346</v>
      </c>
      <c r="C651" t="s">
        <v>1248</v>
      </c>
      <c r="D651" s="24">
        <v>0</v>
      </c>
      <c r="E651" s="24">
        <v>0</v>
      </c>
      <c r="F651" s="24">
        <v>0</v>
      </c>
      <c r="G651" s="24">
        <v>0</v>
      </c>
      <c r="H651" s="25">
        <v>0</v>
      </c>
      <c r="I651">
        <v>7</v>
      </c>
      <c r="J651" s="26">
        <v>0</v>
      </c>
      <c r="K651" s="26">
        <v>0</v>
      </c>
      <c r="L651" s="26">
        <v>0</v>
      </c>
      <c r="M651">
        <v>7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14</v>
      </c>
      <c r="AK651">
        <v>5</v>
      </c>
      <c r="AL651">
        <v>3</v>
      </c>
      <c r="AM651">
        <v>5</v>
      </c>
      <c r="AN651" s="18">
        <v>0</v>
      </c>
      <c r="AO651" s="18">
        <v>0</v>
      </c>
      <c r="AP651" s="18">
        <v>0</v>
      </c>
      <c r="AQ651" s="18">
        <v>0</v>
      </c>
      <c r="AR651" s="29">
        <v>0</v>
      </c>
      <c r="AS651" s="29">
        <v>0</v>
      </c>
      <c r="AT651" s="29">
        <v>7</v>
      </c>
      <c r="AU651" s="24" t="str">
        <f t="shared" si="11"/>
        <v>库存为7</v>
      </c>
      <c r="AV651" s="31" t="str">
        <f>IFERROR(时间!$B$4+AU651,"上周无销量")</f>
        <v>上周无销量</v>
      </c>
    </row>
    <row r="652" spans="1:48">
      <c r="A652" s="16" t="s">
        <v>1266</v>
      </c>
      <c r="B652" t="s">
        <v>348</v>
      </c>
      <c r="C652" t="s">
        <v>1248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0</v>
      </c>
      <c r="J652" s="26">
        <v>0</v>
      </c>
      <c r="K652" s="26">
        <v>0</v>
      </c>
      <c r="L652" s="26">
        <v>0</v>
      </c>
      <c r="M652">
        <v>0</v>
      </c>
      <c r="N652">
        <v>0</v>
      </c>
      <c r="O652">
        <v>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2</v>
      </c>
      <c r="AK652">
        <v>4</v>
      </c>
      <c r="AL652">
        <v>5</v>
      </c>
      <c r="AM652">
        <v>5</v>
      </c>
      <c r="AN652" s="18">
        <v>0</v>
      </c>
      <c r="AO652" s="18">
        <v>0</v>
      </c>
      <c r="AP652" s="18">
        <v>0</v>
      </c>
      <c r="AQ652" s="18">
        <v>0</v>
      </c>
      <c r="AR652" s="29">
        <v>0</v>
      </c>
      <c r="AS652" s="29">
        <v>0</v>
      </c>
      <c r="AT652" s="29">
        <v>0</v>
      </c>
      <c r="AU652" s="24" t="str">
        <f t="shared" si="11"/>
        <v>库存为0</v>
      </c>
      <c r="AV652" s="31" t="str">
        <f>IFERROR(时间!$B$4+AU652,"上周无销量")</f>
        <v>上周无销量</v>
      </c>
    </row>
    <row r="653" spans="1:48">
      <c r="A653" s="16" t="s">
        <v>1267</v>
      </c>
      <c r="B653" t="s">
        <v>350</v>
      </c>
      <c r="C653" t="s">
        <v>1248</v>
      </c>
      <c r="D653" s="24">
        <v>0</v>
      </c>
      <c r="E653" s="24">
        <v>0</v>
      </c>
      <c r="F653" s="24">
        <v>0</v>
      </c>
      <c r="G653" s="24">
        <v>0</v>
      </c>
      <c r="H653" s="25">
        <v>0</v>
      </c>
      <c r="I653">
        <v>0</v>
      </c>
      <c r="J653" s="26">
        <v>0</v>
      </c>
      <c r="K653" s="26">
        <v>0</v>
      </c>
      <c r="L653" s="26">
        <v>0</v>
      </c>
      <c r="M653">
        <v>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5</v>
      </c>
      <c r="AK653">
        <v>2</v>
      </c>
      <c r="AL653">
        <v>9</v>
      </c>
      <c r="AM653">
        <v>4</v>
      </c>
      <c r="AN653" s="18">
        <v>0</v>
      </c>
      <c r="AO653" s="18">
        <v>0</v>
      </c>
      <c r="AP653" s="18">
        <v>0</v>
      </c>
      <c r="AQ653" s="18">
        <v>0</v>
      </c>
      <c r="AR653" s="29">
        <v>0</v>
      </c>
      <c r="AS653" s="29">
        <v>0</v>
      </c>
      <c r="AT653" s="29">
        <v>0</v>
      </c>
      <c r="AU653" s="24" t="str">
        <f t="shared" si="11"/>
        <v>库存为0</v>
      </c>
      <c r="AV653" s="31" t="str">
        <f>IFERROR(时间!$B$4+AU653,"上周无销量")</f>
        <v>上周无销量</v>
      </c>
    </row>
    <row r="654" spans="1:48">
      <c r="A654" s="16" t="s">
        <v>1268</v>
      </c>
      <c r="B654" t="s">
        <v>1269</v>
      </c>
      <c r="C654" t="s">
        <v>1248</v>
      </c>
      <c r="D654" s="24">
        <v>0</v>
      </c>
      <c r="E654" s="24">
        <v>0</v>
      </c>
      <c r="F654" s="24">
        <v>0</v>
      </c>
      <c r="G654" s="24">
        <v>0</v>
      </c>
      <c r="H654" s="25">
        <v>0</v>
      </c>
      <c r="I654">
        <v>0</v>
      </c>
      <c r="J654" s="26">
        <v>0</v>
      </c>
      <c r="K654" s="26">
        <v>0</v>
      </c>
      <c r="L654" s="26">
        <v>0</v>
      </c>
      <c r="M654">
        <v>0</v>
      </c>
      <c r="N654">
        <v>0</v>
      </c>
      <c r="O654">
        <v>0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0</v>
      </c>
      <c r="AK654">
        <v>0</v>
      </c>
      <c r="AL654">
        <v>0</v>
      </c>
      <c r="AM654">
        <v>0</v>
      </c>
      <c r="AN654" s="18" t="s">
        <v>52</v>
      </c>
      <c r="AO654" s="18" t="s">
        <v>52</v>
      </c>
      <c r="AP654" s="18" t="s">
        <v>52</v>
      </c>
      <c r="AQ654" s="18" t="s">
        <v>52</v>
      </c>
      <c r="AR654" s="29">
        <v>0</v>
      </c>
      <c r="AS654" s="29">
        <v>0</v>
      </c>
      <c r="AT654" s="29">
        <v>0</v>
      </c>
      <c r="AU654" s="24" t="str">
        <f t="shared" si="11"/>
        <v>库存为0</v>
      </c>
      <c r="AV654" s="31" t="str">
        <f>IFERROR(时间!$B$4+AU654,"上周无销量")</f>
        <v>上周无销量</v>
      </c>
    </row>
    <row r="655" spans="1:48">
      <c r="A655" s="16" t="s">
        <v>1270</v>
      </c>
      <c r="B655" t="s">
        <v>352</v>
      </c>
      <c r="C655" t="s">
        <v>1248</v>
      </c>
      <c r="D655" s="24">
        <v>0</v>
      </c>
      <c r="E655" s="24">
        <v>0</v>
      </c>
      <c r="F655" s="24">
        <v>0</v>
      </c>
      <c r="G655" s="24">
        <v>0</v>
      </c>
      <c r="H655" s="25">
        <v>0</v>
      </c>
      <c r="I655">
        <v>0</v>
      </c>
      <c r="J655" s="26">
        <v>0</v>
      </c>
      <c r="K655" s="26">
        <v>0</v>
      </c>
      <c r="L655" s="26">
        <v>0</v>
      </c>
      <c r="M655">
        <v>0</v>
      </c>
      <c r="N655">
        <v>0</v>
      </c>
      <c r="O655">
        <v>0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4</v>
      </c>
      <c r="AK655">
        <v>2</v>
      </c>
      <c r="AL655">
        <v>3</v>
      </c>
      <c r="AM655">
        <v>2</v>
      </c>
      <c r="AN655" s="18">
        <v>0</v>
      </c>
      <c r="AO655" s="18">
        <v>0</v>
      </c>
      <c r="AP655" s="18">
        <v>0</v>
      </c>
      <c r="AQ655" s="18">
        <v>0</v>
      </c>
      <c r="AR655" s="29">
        <v>0</v>
      </c>
      <c r="AS655" s="29">
        <v>0</v>
      </c>
      <c r="AT655" s="29">
        <v>0</v>
      </c>
      <c r="AU655" s="24" t="str">
        <f t="shared" si="11"/>
        <v>库存为0</v>
      </c>
      <c r="AV655" s="31" t="str">
        <f>IFERROR(时间!$B$4+AU655,"上周无销量")</f>
        <v>上周无销量</v>
      </c>
    </row>
    <row r="656" spans="1:48">
      <c r="A656" s="16" t="s">
        <v>1271</v>
      </c>
      <c r="B656" t="s">
        <v>354</v>
      </c>
      <c r="C656" t="s">
        <v>1248</v>
      </c>
      <c r="D656" s="24">
        <v>0</v>
      </c>
      <c r="E656" s="24">
        <v>0</v>
      </c>
      <c r="F656" s="24">
        <v>0</v>
      </c>
      <c r="G656" s="24">
        <v>0</v>
      </c>
      <c r="H656" s="25">
        <v>0</v>
      </c>
      <c r="I656">
        <v>0</v>
      </c>
      <c r="J656" s="26">
        <v>0</v>
      </c>
      <c r="K656" s="26">
        <v>0</v>
      </c>
      <c r="L656" s="26">
        <v>0</v>
      </c>
      <c r="M656">
        <v>0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0</v>
      </c>
      <c r="AK656">
        <v>0</v>
      </c>
      <c r="AL656">
        <v>0</v>
      </c>
      <c r="AM656">
        <v>0</v>
      </c>
      <c r="AN656" s="18" t="s">
        <v>52</v>
      </c>
      <c r="AO656" s="18" t="s">
        <v>52</v>
      </c>
      <c r="AP656" s="18" t="s">
        <v>52</v>
      </c>
      <c r="AQ656" s="18" t="s">
        <v>52</v>
      </c>
      <c r="AR656" s="29">
        <v>0</v>
      </c>
      <c r="AS656" s="29">
        <v>0</v>
      </c>
      <c r="AT656" s="29">
        <v>0</v>
      </c>
      <c r="AU656" s="24" t="str">
        <f t="shared" si="11"/>
        <v>库存为0</v>
      </c>
      <c r="AV656" s="31" t="str">
        <f>IFERROR(时间!$B$4+AU656,"上周无销量")</f>
        <v>上周无销量</v>
      </c>
    </row>
    <row r="657" spans="1:48">
      <c r="A657" s="16" t="s">
        <v>1272</v>
      </c>
      <c r="B657" t="s">
        <v>1273</v>
      </c>
      <c r="C657" t="s">
        <v>1274</v>
      </c>
      <c r="D657" s="24">
        <v>13</v>
      </c>
      <c r="E657" s="24">
        <v>12</v>
      </c>
      <c r="F657" s="24">
        <v>18</v>
      </c>
      <c r="G657" s="24">
        <v>8</v>
      </c>
      <c r="H657" s="25">
        <v>23.98</v>
      </c>
      <c r="I657">
        <v>16</v>
      </c>
      <c r="J657" s="26">
        <v>42</v>
      </c>
      <c r="K657" s="26">
        <v>0</v>
      </c>
      <c r="L657" s="26">
        <v>4</v>
      </c>
      <c r="M657">
        <v>62</v>
      </c>
      <c r="N657">
        <v>0</v>
      </c>
      <c r="O657">
        <v>0</v>
      </c>
      <c r="P657">
        <v>23097</v>
      </c>
      <c r="Q657">
        <v>43639</v>
      </c>
      <c r="R657">
        <v>42965</v>
      </c>
      <c r="S657">
        <v>5090</v>
      </c>
      <c r="T657">
        <v>71</v>
      </c>
      <c r="U657">
        <v>126</v>
      </c>
      <c r="V657">
        <v>125</v>
      </c>
      <c r="W657">
        <v>17</v>
      </c>
      <c r="X657" s="18">
        <v>0.00307399229337143</v>
      </c>
      <c r="Y657" s="18">
        <v>0.00288732555741424</v>
      </c>
      <c r="Z657" s="18">
        <v>0.00290934481554754</v>
      </c>
      <c r="AA657" s="18">
        <v>0.00333988212180747</v>
      </c>
      <c r="AB657">
        <v>38.39</v>
      </c>
      <c r="AC657">
        <v>69.48</v>
      </c>
      <c r="AD657">
        <v>63.94</v>
      </c>
      <c r="AE657">
        <v>8.26</v>
      </c>
      <c r="AF657" s="18">
        <v>0.123147494707128</v>
      </c>
      <c r="AG657" s="18">
        <v>0.241451209341118</v>
      </c>
      <c r="AH657" s="18">
        <v>0.148132703178575</v>
      </c>
      <c r="AI657" s="18">
        <v>0.0430567139282736</v>
      </c>
      <c r="AJ657">
        <v>68</v>
      </c>
      <c r="AK657">
        <v>72</v>
      </c>
      <c r="AL657">
        <v>110</v>
      </c>
      <c r="AM657">
        <v>130</v>
      </c>
      <c r="AN657" s="18">
        <v>0.191176470588235</v>
      </c>
      <c r="AO657" s="18">
        <v>0.166666666666667</v>
      </c>
      <c r="AP657" s="18">
        <v>0.163636363636364</v>
      </c>
      <c r="AQ657" s="18">
        <v>0.0615384615384615</v>
      </c>
      <c r="AR657" s="29">
        <v>1.85714285714286</v>
      </c>
      <c r="AS657" s="29">
        <v>111.428571428571</v>
      </c>
      <c r="AT657" s="29">
        <v>-49.4285714285714</v>
      </c>
      <c r="AU657" s="24">
        <f t="shared" si="11"/>
        <v>33</v>
      </c>
      <c r="AV657" s="31">
        <f>IFERROR(时间!$B$4+AU657,"上周无销量")</f>
        <v>43351</v>
      </c>
    </row>
    <row r="658" spans="1:48">
      <c r="A658" s="16" t="s">
        <v>1275</v>
      </c>
      <c r="B658" t="s">
        <v>1276</v>
      </c>
      <c r="C658" t="s">
        <v>1274</v>
      </c>
      <c r="D658" s="24">
        <v>4</v>
      </c>
      <c r="E658" s="24">
        <v>1</v>
      </c>
      <c r="F658" s="24">
        <v>0</v>
      </c>
      <c r="G658" s="24">
        <v>0</v>
      </c>
      <c r="H658" s="25">
        <v>23.98</v>
      </c>
      <c r="I658">
        <v>3</v>
      </c>
      <c r="J658" s="26">
        <v>15</v>
      </c>
      <c r="K658" s="26">
        <v>0</v>
      </c>
      <c r="L658" s="26">
        <v>20</v>
      </c>
      <c r="M658">
        <v>38</v>
      </c>
      <c r="N658">
        <v>0</v>
      </c>
      <c r="O658">
        <v>0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16</v>
      </c>
      <c r="AK658">
        <v>10</v>
      </c>
      <c r="AL658">
        <v>0</v>
      </c>
      <c r="AM658">
        <v>0</v>
      </c>
      <c r="AN658" s="18">
        <v>0.25</v>
      </c>
      <c r="AO658" s="18">
        <v>0.1</v>
      </c>
      <c r="AP658" s="18" t="s">
        <v>52</v>
      </c>
      <c r="AQ658" s="18" t="s">
        <v>52</v>
      </c>
      <c r="AR658" s="29">
        <v>0.571428571428571</v>
      </c>
      <c r="AS658" s="29">
        <v>34.2857142857143</v>
      </c>
      <c r="AT658" s="29">
        <v>3.71428571428572</v>
      </c>
      <c r="AU658" s="24">
        <f t="shared" si="11"/>
        <v>66</v>
      </c>
      <c r="AV658" s="31">
        <f>IFERROR(时间!$B$4+AU658,"上周无销量")</f>
        <v>43384</v>
      </c>
    </row>
    <row r="659" spans="1:48">
      <c r="A659" s="16" t="s">
        <v>1277</v>
      </c>
      <c r="B659" t="s">
        <v>1278</v>
      </c>
      <c r="C659" t="s">
        <v>1274</v>
      </c>
      <c r="D659" s="24">
        <v>0</v>
      </c>
      <c r="E659" s="24">
        <v>0</v>
      </c>
      <c r="F659" s="24">
        <v>0</v>
      </c>
      <c r="G659" s="24">
        <v>0</v>
      </c>
      <c r="H659" s="25">
        <v>0</v>
      </c>
      <c r="I659">
        <v>0</v>
      </c>
      <c r="J659" s="26">
        <v>0</v>
      </c>
      <c r="K659" s="26">
        <v>0</v>
      </c>
      <c r="L659" s="26">
        <v>0</v>
      </c>
      <c r="M659">
        <v>0</v>
      </c>
      <c r="N659">
        <v>0</v>
      </c>
      <c r="O659">
        <v>0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0</v>
      </c>
      <c r="AK659">
        <v>0</v>
      </c>
      <c r="AL659">
        <v>0</v>
      </c>
      <c r="AM659">
        <v>0</v>
      </c>
      <c r="AN659" s="18" t="s">
        <v>52</v>
      </c>
      <c r="AO659" s="18" t="s">
        <v>52</v>
      </c>
      <c r="AP659" s="18" t="s">
        <v>52</v>
      </c>
      <c r="AQ659" s="18" t="s">
        <v>52</v>
      </c>
      <c r="AR659" s="29">
        <v>0</v>
      </c>
      <c r="AS659" s="29">
        <v>0</v>
      </c>
      <c r="AT659" s="29">
        <v>0</v>
      </c>
      <c r="AU659" s="24" t="str">
        <f t="shared" si="11"/>
        <v>库存为0</v>
      </c>
      <c r="AV659" s="31" t="str">
        <f>IFERROR(时间!$B$4+AU659,"上周无销量")</f>
        <v>上周无销量</v>
      </c>
    </row>
    <row r="660" spans="1:48">
      <c r="A660" s="16" t="s">
        <v>1279</v>
      </c>
      <c r="B660" t="s">
        <v>447</v>
      </c>
      <c r="C660" t="s">
        <v>1280</v>
      </c>
      <c r="D660" s="24">
        <v>5</v>
      </c>
      <c r="E660" s="24">
        <v>4</v>
      </c>
      <c r="F660" s="24">
        <v>0</v>
      </c>
      <c r="G660" s="24">
        <v>2</v>
      </c>
      <c r="H660" s="25">
        <v>22.98</v>
      </c>
      <c r="I660">
        <v>20</v>
      </c>
      <c r="J660" s="26">
        <v>0</v>
      </c>
      <c r="K660" s="26">
        <v>0</v>
      </c>
      <c r="L660" s="26">
        <v>0</v>
      </c>
      <c r="M660">
        <v>20</v>
      </c>
      <c r="N660">
        <v>0</v>
      </c>
      <c r="O660">
        <v>0</v>
      </c>
      <c r="P660">
        <v>34014</v>
      </c>
      <c r="Q660">
        <v>0</v>
      </c>
      <c r="R660">
        <v>0</v>
      </c>
      <c r="S660">
        <v>0</v>
      </c>
      <c r="T660">
        <v>123</v>
      </c>
      <c r="U660">
        <v>0</v>
      </c>
      <c r="V660">
        <v>0</v>
      </c>
      <c r="W660">
        <v>0</v>
      </c>
      <c r="X660" s="18">
        <v>0.00361615805256659</v>
      </c>
      <c r="Y660" s="18" t="s">
        <v>52</v>
      </c>
      <c r="Z660" s="18" t="s">
        <v>52</v>
      </c>
      <c r="AA660" s="18" t="s">
        <v>52</v>
      </c>
      <c r="AB660">
        <v>91.57</v>
      </c>
      <c r="AC660">
        <v>0</v>
      </c>
      <c r="AD660">
        <v>0</v>
      </c>
      <c r="AE660">
        <v>0</v>
      </c>
      <c r="AF660" s="18">
        <v>0.796953872932985</v>
      </c>
      <c r="AG660" s="18" t="s">
        <v>52</v>
      </c>
      <c r="AH660" s="18" t="s">
        <v>52</v>
      </c>
      <c r="AI660" s="18" t="s">
        <v>52</v>
      </c>
      <c r="AJ660">
        <v>114</v>
      </c>
      <c r="AK660">
        <v>59</v>
      </c>
      <c r="AL660">
        <v>10</v>
      </c>
      <c r="AM660">
        <v>4</v>
      </c>
      <c r="AN660" s="18">
        <v>0.043859649122807</v>
      </c>
      <c r="AO660" s="18">
        <v>0.0677966101694915</v>
      </c>
      <c r="AP660" s="18">
        <v>0</v>
      </c>
      <c r="AQ660" s="18">
        <v>0.5</v>
      </c>
      <c r="AR660" s="29">
        <v>0.714285714285714</v>
      </c>
      <c r="AS660" s="29">
        <v>42.8571428571429</v>
      </c>
      <c r="AT660" s="29">
        <v>-22.8571428571429</v>
      </c>
      <c r="AU660" s="24">
        <f t="shared" si="11"/>
        <v>28</v>
      </c>
      <c r="AV660" s="31">
        <f>IFERROR(时间!$B$4+AU660,"上周无销量")</f>
        <v>43346</v>
      </c>
    </row>
    <row r="661" spans="1:48">
      <c r="A661" s="16" t="s">
        <v>1281</v>
      </c>
      <c r="B661" t="s">
        <v>450</v>
      </c>
      <c r="C661" t="s">
        <v>1280</v>
      </c>
      <c r="D661" s="24">
        <v>2</v>
      </c>
      <c r="E661" s="24">
        <v>2</v>
      </c>
      <c r="F661" s="24">
        <v>2</v>
      </c>
      <c r="G661" s="24">
        <v>0</v>
      </c>
      <c r="H661" s="25">
        <v>22.98</v>
      </c>
      <c r="I661">
        <v>12</v>
      </c>
      <c r="J661" s="26">
        <v>0</v>
      </c>
      <c r="K661" s="26">
        <v>0</v>
      </c>
      <c r="L661" s="26">
        <v>0</v>
      </c>
      <c r="M661">
        <v>12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15</v>
      </c>
      <c r="AK661">
        <v>10</v>
      </c>
      <c r="AL661">
        <v>9</v>
      </c>
      <c r="AM661">
        <v>13</v>
      </c>
      <c r="AN661" s="18">
        <v>0.133333333333333</v>
      </c>
      <c r="AO661" s="18">
        <v>0.2</v>
      </c>
      <c r="AP661" s="18">
        <v>0.222222222222222</v>
      </c>
      <c r="AQ661" s="18">
        <v>0</v>
      </c>
      <c r="AR661" s="29">
        <v>0.285714285714286</v>
      </c>
      <c r="AS661" s="29">
        <v>17.1428571428571</v>
      </c>
      <c r="AT661" s="29">
        <v>-5.14285714285714</v>
      </c>
      <c r="AU661" s="24">
        <f t="shared" si="11"/>
        <v>42</v>
      </c>
      <c r="AV661" s="31">
        <f>IFERROR(时间!$B$4+AU661,"上周无销量")</f>
        <v>43360</v>
      </c>
    </row>
    <row r="662" spans="1:48">
      <c r="A662" s="16" t="s">
        <v>1282</v>
      </c>
      <c r="B662" t="s">
        <v>452</v>
      </c>
      <c r="C662" t="s">
        <v>1280</v>
      </c>
      <c r="D662" s="24">
        <v>2</v>
      </c>
      <c r="E662" s="24">
        <v>2</v>
      </c>
      <c r="F662" s="24">
        <v>0</v>
      </c>
      <c r="G662" s="24">
        <v>0</v>
      </c>
      <c r="H662" s="25">
        <v>19.98</v>
      </c>
      <c r="I662">
        <v>13</v>
      </c>
      <c r="J662" s="26">
        <v>0</v>
      </c>
      <c r="K662" s="26">
        <v>0</v>
      </c>
      <c r="L662" s="26">
        <v>0</v>
      </c>
      <c r="M662">
        <v>13</v>
      </c>
      <c r="N662">
        <v>0</v>
      </c>
      <c r="O662">
        <v>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26</v>
      </c>
      <c r="AK662">
        <v>37</v>
      </c>
      <c r="AL662">
        <v>36</v>
      </c>
      <c r="AM662">
        <v>48</v>
      </c>
      <c r="AN662" s="18">
        <v>0.0769230769230769</v>
      </c>
      <c r="AO662" s="18">
        <v>0.0540540540540541</v>
      </c>
      <c r="AP662" s="18">
        <v>0</v>
      </c>
      <c r="AQ662" s="18">
        <v>0</v>
      </c>
      <c r="AR662" s="29">
        <v>0.285714285714286</v>
      </c>
      <c r="AS662" s="29">
        <v>17.1428571428571</v>
      </c>
      <c r="AT662" s="29">
        <v>-4.14285714285714</v>
      </c>
      <c r="AU662" s="24">
        <f t="shared" si="11"/>
        <v>45</v>
      </c>
      <c r="AV662" s="31">
        <f>IFERROR(时间!$B$4+AU662,"上周无销量")</f>
        <v>43363</v>
      </c>
    </row>
    <row r="663" spans="1:48">
      <c r="A663" s="16" t="s">
        <v>1283</v>
      </c>
      <c r="B663" t="s">
        <v>454</v>
      </c>
      <c r="C663" t="s">
        <v>1280</v>
      </c>
      <c r="D663" s="24">
        <v>0</v>
      </c>
      <c r="E663" s="24">
        <v>1</v>
      </c>
      <c r="F663" s="24">
        <v>2</v>
      </c>
      <c r="G663" s="24">
        <v>0</v>
      </c>
      <c r="H663" s="25">
        <v>22.98</v>
      </c>
      <c r="I663">
        <v>26</v>
      </c>
      <c r="J663" s="26">
        <v>0</v>
      </c>
      <c r="K663" s="26">
        <v>0</v>
      </c>
      <c r="L663" s="26">
        <v>0</v>
      </c>
      <c r="M663">
        <v>26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8</v>
      </c>
      <c r="AK663">
        <v>4</v>
      </c>
      <c r="AL663">
        <v>7</v>
      </c>
      <c r="AM663">
        <v>12</v>
      </c>
      <c r="AN663" s="18">
        <v>0</v>
      </c>
      <c r="AO663" s="18">
        <v>0.25</v>
      </c>
      <c r="AP663" s="18">
        <v>0.285714285714286</v>
      </c>
      <c r="AQ663" s="18">
        <v>0</v>
      </c>
      <c r="AR663" s="29">
        <v>0</v>
      </c>
      <c r="AS663" s="29">
        <v>0</v>
      </c>
      <c r="AT663" s="29">
        <v>26</v>
      </c>
      <c r="AU663" s="24" t="str">
        <f t="shared" si="11"/>
        <v>库存为26</v>
      </c>
      <c r="AV663" s="31" t="str">
        <f>IFERROR(时间!$B$4+AU663,"上周无销量")</f>
        <v>上周无销量</v>
      </c>
    </row>
    <row r="664" spans="1:48">
      <c r="A664" s="16" t="s">
        <v>1284</v>
      </c>
      <c r="B664" t="s">
        <v>456</v>
      </c>
      <c r="C664" t="s">
        <v>1280</v>
      </c>
      <c r="D664" s="24">
        <v>6</v>
      </c>
      <c r="E664" s="24">
        <v>2</v>
      </c>
      <c r="F664" s="24">
        <v>2</v>
      </c>
      <c r="G664" s="24">
        <v>3</v>
      </c>
      <c r="H664" s="25">
        <v>22.98</v>
      </c>
      <c r="I664">
        <v>1</v>
      </c>
      <c r="J664" s="26">
        <v>0</v>
      </c>
      <c r="K664" s="26">
        <v>0</v>
      </c>
      <c r="L664" s="26">
        <v>0</v>
      </c>
      <c r="M664">
        <v>1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16</v>
      </c>
      <c r="AK664">
        <v>10</v>
      </c>
      <c r="AL664">
        <v>11</v>
      </c>
      <c r="AM664">
        <v>10</v>
      </c>
      <c r="AN664" s="18">
        <v>0.375</v>
      </c>
      <c r="AO664" s="18">
        <v>0.2</v>
      </c>
      <c r="AP664" s="18">
        <v>0.181818181818182</v>
      </c>
      <c r="AQ664" s="18">
        <v>0.3</v>
      </c>
      <c r="AR664" s="29">
        <v>0.857142857142857</v>
      </c>
      <c r="AS664" s="29">
        <v>51.4285714285714</v>
      </c>
      <c r="AT664" s="29">
        <v>-50.4285714285714</v>
      </c>
      <c r="AU664" s="24">
        <f t="shared" si="11"/>
        <v>1</v>
      </c>
      <c r="AV664" s="31">
        <f>IFERROR(时间!$B$4+AU664,"上周无销量")</f>
        <v>43319</v>
      </c>
    </row>
    <row r="665" spans="1:48">
      <c r="A665" s="16" t="s">
        <v>1285</v>
      </c>
      <c r="B665" t="s">
        <v>458</v>
      </c>
      <c r="C665" t="s">
        <v>1280</v>
      </c>
      <c r="D665" s="24">
        <v>4</v>
      </c>
      <c r="E665" s="24">
        <v>1</v>
      </c>
      <c r="F665" s="24">
        <v>0</v>
      </c>
      <c r="G665" s="24">
        <v>0</v>
      </c>
      <c r="H665" s="25">
        <v>22.98</v>
      </c>
      <c r="I665">
        <v>33</v>
      </c>
      <c r="J665" s="26">
        <v>0</v>
      </c>
      <c r="K665" s="26">
        <v>0</v>
      </c>
      <c r="L665" s="26">
        <v>0</v>
      </c>
      <c r="M665">
        <v>33</v>
      </c>
      <c r="N665">
        <v>0</v>
      </c>
      <c r="O665">
        <v>0</v>
      </c>
      <c r="P665">
        <v>1377</v>
      </c>
      <c r="Q665">
        <v>0</v>
      </c>
      <c r="R665">
        <v>120</v>
      </c>
      <c r="S665">
        <v>936</v>
      </c>
      <c r="T665">
        <v>11</v>
      </c>
      <c r="U665">
        <v>0</v>
      </c>
      <c r="V665">
        <v>0</v>
      </c>
      <c r="W665">
        <v>3</v>
      </c>
      <c r="X665" s="18">
        <v>0.00798838053740014</v>
      </c>
      <c r="Y665" s="18" t="s">
        <v>52</v>
      </c>
      <c r="Z665" s="18">
        <v>0</v>
      </c>
      <c r="AA665" s="18">
        <v>0.00320512820512821</v>
      </c>
      <c r="AB665">
        <v>9.09</v>
      </c>
      <c r="AC665">
        <v>0</v>
      </c>
      <c r="AD665">
        <v>0</v>
      </c>
      <c r="AE665">
        <v>1.4</v>
      </c>
      <c r="AF665" s="18">
        <v>0.0988903394255875</v>
      </c>
      <c r="AG665" s="18" t="s">
        <v>52</v>
      </c>
      <c r="AH665" s="18" t="s">
        <v>52</v>
      </c>
      <c r="AI665" s="18" t="s">
        <v>1286</v>
      </c>
      <c r="AJ665">
        <v>32</v>
      </c>
      <c r="AK665">
        <v>24</v>
      </c>
      <c r="AL665">
        <v>11</v>
      </c>
      <c r="AM665">
        <v>14</v>
      </c>
      <c r="AN665" s="18">
        <v>0.125</v>
      </c>
      <c r="AO665" s="18">
        <v>0.0416666666666667</v>
      </c>
      <c r="AP665" s="18">
        <v>0</v>
      </c>
      <c r="AQ665" s="18">
        <v>0</v>
      </c>
      <c r="AR665" s="29">
        <v>0.571428571428571</v>
      </c>
      <c r="AS665" s="29">
        <v>34.2857142857143</v>
      </c>
      <c r="AT665" s="29">
        <v>-1.28571428571428</v>
      </c>
      <c r="AU665" s="24">
        <f t="shared" si="11"/>
        <v>57</v>
      </c>
      <c r="AV665" s="31">
        <f>IFERROR(时间!$B$4+AU665,"上周无销量")</f>
        <v>43375</v>
      </c>
    </row>
    <row r="666" spans="1:48">
      <c r="A666" s="16" t="s">
        <v>1287</v>
      </c>
      <c r="B666" t="s">
        <v>460</v>
      </c>
      <c r="C666" t="s">
        <v>1280</v>
      </c>
      <c r="D666" s="24">
        <v>0</v>
      </c>
      <c r="E666" s="24">
        <v>0</v>
      </c>
      <c r="F666" s="24">
        <v>0</v>
      </c>
      <c r="G666" s="24">
        <v>0</v>
      </c>
      <c r="H666" s="25">
        <v>0</v>
      </c>
      <c r="I666">
        <v>18</v>
      </c>
      <c r="J666" s="26">
        <v>0</v>
      </c>
      <c r="K666" s="26">
        <v>0</v>
      </c>
      <c r="L666" s="26">
        <v>0</v>
      </c>
      <c r="M666">
        <v>18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17</v>
      </c>
      <c r="AK666">
        <v>15</v>
      </c>
      <c r="AL666">
        <v>9</v>
      </c>
      <c r="AM666">
        <v>14</v>
      </c>
      <c r="AN666" s="18">
        <v>0</v>
      </c>
      <c r="AO666" s="18">
        <v>0</v>
      </c>
      <c r="AP666" s="18">
        <v>0</v>
      </c>
      <c r="AQ666" s="18">
        <v>0</v>
      </c>
      <c r="AR666" s="29">
        <v>0</v>
      </c>
      <c r="AS666" s="29">
        <v>0</v>
      </c>
      <c r="AT666" s="29">
        <v>18</v>
      </c>
      <c r="AU666" s="24" t="str">
        <f t="shared" si="11"/>
        <v>库存为18</v>
      </c>
      <c r="AV666" s="31" t="str">
        <f>IFERROR(时间!$B$4+AU666,"上周无销量")</f>
        <v>上周无销量</v>
      </c>
    </row>
    <row r="667" spans="1:48">
      <c r="A667" s="16" t="s">
        <v>1288</v>
      </c>
      <c r="B667" t="s">
        <v>462</v>
      </c>
      <c r="C667" t="s">
        <v>1280</v>
      </c>
      <c r="D667" s="24">
        <v>3</v>
      </c>
      <c r="E667" s="24">
        <v>0</v>
      </c>
      <c r="F667" s="24">
        <v>1</v>
      </c>
      <c r="G667" s="24">
        <v>0</v>
      </c>
      <c r="H667" s="25">
        <v>19.98</v>
      </c>
      <c r="I667">
        <v>8</v>
      </c>
      <c r="J667" s="26">
        <v>0</v>
      </c>
      <c r="K667" s="26">
        <v>0</v>
      </c>
      <c r="L667" s="26">
        <v>0</v>
      </c>
      <c r="M667">
        <v>8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9</v>
      </c>
      <c r="AK667">
        <v>5</v>
      </c>
      <c r="AL667">
        <v>7</v>
      </c>
      <c r="AM667">
        <v>17</v>
      </c>
      <c r="AN667" s="18">
        <v>0.333333333333333</v>
      </c>
      <c r="AO667" s="18">
        <v>0</v>
      </c>
      <c r="AP667" s="18">
        <v>0.142857142857143</v>
      </c>
      <c r="AQ667" s="18">
        <v>0</v>
      </c>
      <c r="AR667" s="29">
        <v>0.428571428571429</v>
      </c>
      <c r="AS667" s="29">
        <v>25.7142857142857</v>
      </c>
      <c r="AT667" s="29">
        <v>-17.7142857142857</v>
      </c>
      <c r="AU667" s="24">
        <f t="shared" si="11"/>
        <v>18</v>
      </c>
      <c r="AV667" s="31">
        <f>IFERROR(时间!$B$4+AU667,"上周无销量")</f>
        <v>43336</v>
      </c>
    </row>
    <row r="668" spans="1:48">
      <c r="A668" s="16" t="s">
        <v>1289</v>
      </c>
      <c r="B668" t="s">
        <v>464</v>
      </c>
      <c r="C668" t="s">
        <v>1280</v>
      </c>
      <c r="D668" s="24">
        <v>1</v>
      </c>
      <c r="E668" s="24">
        <v>1</v>
      </c>
      <c r="F668" s="24">
        <v>0</v>
      </c>
      <c r="G668" s="24">
        <v>0</v>
      </c>
      <c r="H668" s="25">
        <v>22.98</v>
      </c>
      <c r="I668">
        <v>23</v>
      </c>
      <c r="J668" s="26">
        <v>0</v>
      </c>
      <c r="K668" s="26">
        <v>0</v>
      </c>
      <c r="L668" s="26">
        <v>0</v>
      </c>
      <c r="M668">
        <v>23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21</v>
      </c>
      <c r="AK668">
        <v>14</v>
      </c>
      <c r="AL668">
        <v>5</v>
      </c>
      <c r="AM668">
        <v>6</v>
      </c>
      <c r="AN668" s="18">
        <v>0.0476190476190476</v>
      </c>
      <c r="AO668" s="18">
        <v>0.0714285714285714</v>
      </c>
      <c r="AP668" s="18">
        <v>0</v>
      </c>
      <c r="AQ668" s="18">
        <v>0</v>
      </c>
      <c r="AR668" s="29">
        <v>0.142857142857143</v>
      </c>
      <c r="AS668" s="29">
        <v>8.57142857142857</v>
      </c>
      <c r="AT668" s="29">
        <v>14.4285714285714</v>
      </c>
      <c r="AU668" s="24">
        <f t="shared" si="11"/>
        <v>161</v>
      </c>
      <c r="AV668" s="31">
        <f>IFERROR(时间!$B$4+AU668,"上周无销量")</f>
        <v>43479</v>
      </c>
    </row>
    <row r="669" spans="1:48">
      <c r="A669" s="16" t="s">
        <v>1290</v>
      </c>
      <c r="B669" t="s">
        <v>466</v>
      </c>
      <c r="C669" t="s">
        <v>1280</v>
      </c>
      <c r="D669" s="24">
        <v>2</v>
      </c>
      <c r="E669" s="24">
        <v>0</v>
      </c>
      <c r="F669" s="24">
        <v>0</v>
      </c>
      <c r="G669" s="24">
        <v>0</v>
      </c>
      <c r="H669" s="25">
        <v>22.98</v>
      </c>
      <c r="I669">
        <v>20</v>
      </c>
      <c r="J669" s="26">
        <v>0</v>
      </c>
      <c r="K669" s="26">
        <v>0</v>
      </c>
      <c r="L669" s="26">
        <v>0</v>
      </c>
      <c r="M669">
        <v>20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8</v>
      </c>
      <c r="AK669">
        <v>8</v>
      </c>
      <c r="AL669">
        <v>7</v>
      </c>
      <c r="AM669">
        <v>5</v>
      </c>
      <c r="AN669" s="18">
        <v>0.25</v>
      </c>
      <c r="AO669" s="18">
        <v>0</v>
      </c>
      <c r="AP669" s="18">
        <v>0</v>
      </c>
      <c r="AQ669" s="18">
        <v>0</v>
      </c>
      <c r="AR669" s="29">
        <v>0.285714285714286</v>
      </c>
      <c r="AS669" s="29">
        <v>17.1428571428571</v>
      </c>
      <c r="AT669" s="29">
        <v>2.85714285714286</v>
      </c>
      <c r="AU669" s="24">
        <f t="shared" si="11"/>
        <v>70</v>
      </c>
      <c r="AV669" s="31">
        <f>IFERROR(时间!$B$4+AU669,"上周无销量")</f>
        <v>43388</v>
      </c>
    </row>
    <row r="670" spans="1:48">
      <c r="A670" s="16" t="s">
        <v>1291</v>
      </c>
      <c r="B670" t="s">
        <v>468</v>
      </c>
      <c r="C670" t="s">
        <v>1280</v>
      </c>
      <c r="D670" s="24">
        <v>1</v>
      </c>
      <c r="E670" s="24">
        <v>0</v>
      </c>
      <c r="F670" s="24">
        <v>0</v>
      </c>
      <c r="G670" s="24">
        <v>0</v>
      </c>
      <c r="H670" s="25">
        <v>22.98</v>
      </c>
      <c r="I670">
        <v>26</v>
      </c>
      <c r="J670" s="26">
        <v>0</v>
      </c>
      <c r="K670" s="26">
        <v>0</v>
      </c>
      <c r="L670" s="26">
        <v>1</v>
      </c>
      <c r="M670">
        <v>27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18</v>
      </c>
      <c r="AK670">
        <v>13</v>
      </c>
      <c r="AL670">
        <v>6</v>
      </c>
      <c r="AM670">
        <v>3</v>
      </c>
      <c r="AN670" s="18">
        <v>0.0555555555555556</v>
      </c>
      <c r="AO670" s="18">
        <v>0</v>
      </c>
      <c r="AP670" s="18">
        <v>0</v>
      </c>
      <c r="AQ670" s="18">
        <v>0</v>
      </c>
      <c r="AR670" s="29">
        <v>0.142857142857143</v>
      </c>
      <c r="AS670" s="29">
        <v>8.57142857142857</v>
      </c>
      <c r="AT670" s="29">
        <v>18.4285714285714</v>
      </c>
      <c r="AU670" s="24">
        <f t="shared" si="11"/>
        <v>189</v>
      </c>
      <c r="AV670" s="31">
        <f>IFERROR(时间!$B$4+AU670,"上周无销量")</f>
        <v>43507</v>
      </c>
    </row>
    <row r="671" spans="1:48">
      <c r="A671" s="16" t="s">
        <v>1292</v>
      </c>
      <c r="B671" t="s">
        <v>470</v>
      </c>
      <c r="C671" t="s">
        <v>1280</v>
      </c>
      <c r="D671" s="24">
        <v>0</v>
      </c>
      <c r="E671" s="24">
        <v>0</v>
      </c>
      <c r="F671" s="24">
        <v>0</v>
      </c>
      <c r="G671" s="24">
        <v>1</v>
      </c>
      <c r="H671" s="25">
        <v>22.98</v>
      </c>
      <c r="I671">
        <v>15</v>
      </c>
      <c r="J671" s="26">
        <v>0</v>
      </c>
      <c r="K671" s="26">
        <v>0</v>
      </c>
      <c r="L671" s="26">
        <v>0</v>
      </c>
      <c r="M671">
        <v>15</v>
      </c>
      <c r="N671">
        <v>0</v>
      </c>
      <c r="O671">
        <v>0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6</v>
      </c>
      <c r="AK671">
        <v>5</v>
      </c>
      <c r="AL671">
        <v>6</v>
      </c>
      <c r="AM671">
        <v>2</v>
      </c>
      <c r="AN671" s="18">
        <v>0</v>
      </c>
      <c r="AO671" s="18">
        <v>0</v>
      </c>
      <c r="AP671" s="18">
        <v>0</v>
      </c>
      <c r="AQ671" s="18">
        <v>0.5</v>
      </c>
      <c r="AR671" s="29">
        <v>0</v>
      </c>
      <c r="AS671" s="29">
        <v>0</v>
      </c>
      <c r="AT671" s="29">
        <v>15</v>
      </c>
      <c r="AU671" s="24" t="str">
        <f t="shared" si="11"/>
        <v>库存为15</v>
      </c>
      <c r="AV671" s="31" t="str">
        <f>IFERROR(时间!$B$4+AU671,"上周无销量")</f>
        <v>上周无销量</v>
      </c>
    </row>
    <row r="672" spans="1:48">
      <c r="A672" s="16" t="s">
        <v>1293</v>
      </c>
      <c r="B672" t="s">
        <v>472</v>
      </c>
      <c r="C672" t="s">
        <v>1280</v>
      </c>
      <c r="D672" s="24">
        <v>1</v>
      </c>
      <c r="E672" s="24">
        <v>2</v>
      </c>
      <c r="F672" s="24">
        <v>1</v>
      </c>
      <c r="G672" s="24">
        <v>1</v>
      </c>
      <c r="H672" s="25">
        <v>20.58</v>
      </c>
      <c r="I672">
        <v>12</v>
      </c>
      <c r="J672" s="26">
        <v>0</v>
      </c>
      <c r="K672" s="26">
        <v>0</v>
      </c>
      <c r="L672" s="26">
        <v>0</v>
      </c>
      <c r="M672">
        <v>12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10</v>
      </c>
      <c r="AK672">
        <v>8</v>
      </c>
      <c r="AL672">
        <v>6</v>
      </c>
      <c r="AM672">
        <v>5</v>
      </c>
      <c r="AN672" s="18">
        <v>0.1</v>
      </c>
      <c r="AO672" s="18">
        <v>0.25</v>
      </c>
      <c r="AP672" s="18">
        <v>0.166666666666667</v>
      </c>
      <c r="AQ672" s="18">
        <v>0.2</v>
      </c>
      <c r="AR672" s="29">
        <v>0.142857142857143</v>
      </c>
      <c r="AS672" s="29">
        <v>8.57142857142857</v>
      </c>
      <c r="AT672" s="29">
        <v>3.42857142857143</v>
      </c>
      <c r="AU672" s="24">
        <f t="shared" si="11"/>
        <v>84</v>
      </c>
      <c r="AV672" s="31">
        <f>IFERROR(时间!$B$4+AU672,"上周无销量")</f>
        <v>43402</v>
      </c>
    </row>
    <row r="673" spans="1:48">
      <c r="A673" s="16" t="s">
        <v>1294</v>
      </c>
      <c r="B673" t="s">
        <v>474</v>
      </c>
      <c r="C673" t="s">
        <v>1280</v>
      </c>
      <c r="D673" s="24">
        <v>1</v>
      </c>
      <c r="E673" s="24">
        <v>0</v>
      </c>
      <c r="F673" s="24">
        <v>0</v>
      </c>
      <c r="G673" s="24">
        <v>1</v>
      </c>
      <c r="H673" s="25">
        <v>22.98</v>
      </c>
      <c r="I673">
        <v>33</v>
      </c>
      <c r="J673" s="26">
        <v>0</v>
      </c>
      <c r="K673" s="26">
        <v>0</v>
      </c>
      <c r="L673" s="26">
        <v>0</v>
      </c>
      <c r="M673">
        <v>33</v>
      </c>
      <c r="N673">
        <v>0</v>
      </c>
      <c r="O673">
        <v>0</v>
      </c>
      <c r="P673">
        <v>18751</v>
      </c>
      <c r="Q673">
        <v>0</v>
      </c>
      <c r="R673">
        <v>0</v>
      </c>
      <c r="S673">
        <v>0</v>
      </c>
      <c r="T673">
        <v>33</v>
      </c>
      <c r="U673">
        <v>0</v>
      </c>
      <c r="V673">
        <v>0</v>
      </c>
      <c r="W673">
        <v>0</v>
      </c>
      <c r="X673" s="18">
        <v>0.00175990613833929</v>
      </c>
      <c r="Y673" s="18" t="s">
        <v>52</v>
      </c>
      <c r="Z673" s="18" t="s">
        <v>52</v>
      </c>
      <c r="AA673" s="18" t="s">
        <v>52</v>
      </c>
      <c r="AB673">
        <v>27.3</v>
      </c>
      <c r="AC673">
        <v>0</v>
      </c>
      <c r="AD673">
        <v>0</v>
      </c>
      <c r="AE673">
        <v>0</v>
      </c>
      <c r="AF673" s="18">
        <v>1.18798955613577</v>
      </c>
      <c r="AG673" s="18" t="s">
        <v>52</v>
      </c>
      <c r="AH673" s="18" t="s">
        <v>52</v>
      </c>
      <c r="AI673" s="18" t="s">
        <v>52</v>
      </c>
      <c r="AJ673">
        <v>28</v>
      </c>
      <c r="AK673">
        <v>32</v>
      </c>
      <c r="AL673">
        <v>10</v>
      </c>
      <c r="AM673">
        <v>4</v>
      </c>
      <c r="AN673" s="18">
        <v>0.0357142857142857</v>
      </c>
      <c r="AO673" s="18">
        <v>0</v>
      </c>
      <c r="AP673" s="18">
        <v>0</v>
      </c>
      <c r="AQ673" s="18">
        <v>0.25</v>
      </c>
      <c r="AR673" s="29">
        <v>0.142857142857143</v>
      </c>
      <c r="AS673" s="29">
        <v>8.57142857142857</v>
      </c>
      <c r="AT673" s="29">
        <v>24.4285714285714</v>
      </c>
      <c r="AU673" s="24">
        <f t="shared" si="11"/>
        <v>231</v>
      </c>
      <c r="AV673" s="31">
        <f>IFERROR(时间!$B$4+AU673,"上周无销量")</f>
        <v>43549</v>
      </c>
    </row>
    <row r="674" spans="1:48">
      <c r="A674" s="16" t="s">
        <v>1295</v>
      </c>
      <c r="B674" t="s">
        <v>476</v>
      </c>
      <c r="C674" t="s">
        <v>1280</v>
      </c>
      <c r="D674" s="24">
        <v>0</v>
      </c>
      <c r="E674" s="24">
        <v>0</v>
      </c>
      <c r="F674" s="24">
        <v>0</v>
      </c>
      <c r="G674" s="24">
        <v>0</v>
      </c>
      <c r="H674" s="25">
        <v>0</v>
      </c>
      <c r="I674">
        <v>24</v>
      </c>
      <c r="J674" s="26">
        <v>0</v>
      </c>
      <c r="K674" s="26">
        <v>0</v>
      </c>
      <c r="L674" s="26">
        <v>0</v>
      </c>
      <c r="M674">
        <v>24</v>
      </c>
      <c r="N674">
        <v>0</v>
      </c>
      <c r="O674">
        <v>0</v>
      </c>
      <c r="P674">
        <v>6752</v>
      </c>
      <c r="Q674">
        <v>0</v>
      </c>
      <c r="R674">
        <v>0</v>
      </c>
      <c r="S674">
        <v>0</v>
      </c>
      <c r="T674">
        <v>14</v>
      </c>
      <c r="U674">
        <v>0</v>
      </c>
      <c r="V674">
        <v>0</v>
      </c>
      <c r="W674">
        <v>0</v>
      </c>
      <c r="X674" s="18">
        <v>0.00207345971563981</v>
      </c>
      <c r="Y674" s="18" t="s">
        <v>52</v>
      </c>
      <c r="Z674" s="18" t="s">
        <v>52</v>
      </c>
      <c r="AA674" s="18" t="s">
        <v>52</v>
      </c>
      <c r="AB674">
        <v>9.93</v>
      </c>
      <c r="AC674">
        <v>0</v>
      </c>
      <c r="AD674">
        <v>0</v>
      </c>
      <c r="AE674">
        <v>0</v>
      </c>
      <c r="AF674" s="18" t="s">
        <v>1296</v>
      </c>
      <c r="AG674" s="18" t="s">
        <v>52</v>
      </c>
      <c r="AH674" s="18" t="s">
        <v>52</v>
      </c>
      <c r="AI674" s="18" t="s">
        <v>52</v>
      </c>
      <c r="AJ674">
        <v>9</v>
      </c>
      <c r="AK674">
        <v>6</v>
      </c>
      <c r="AL674">
        <v>5</v>
      </c>
      <c r="AM674">
        <v>5</v>
      </c>
      <c r="AN674" s="18">
        <v>0</v>
      </c>
      <c r="AO674" s="18">
        <v>0</v>
      </c>
      <c r="AP674" s="18">
        <v>0</v>
      </c>
      <c r="AQ674" s="18">
        <v>0</v>
      </c>
      <c r="AR674" s="29">
        <v>0</v>
      </c>
      <c r="AS674" s="29">
        <v>0</v>
      </c>
      <c r="AT674" s="29">
        <v>24</v>
      </c>
      <c r="AU674" s="24" t="str">
        <f t="shared" si="11"/>
        <v>库存为24</v>
      </c>
      <c r="AV674" s="31" t="str">
        <f>IFERROR(时间!$B$4+AU674,"上周无销量")</f>
        <v>上周无销量</v>
      </c>
    </row>
    <row r="675" spans="1:48">
      <c r="A675" s="16" t="s">
        <v>1297</v>
      </c>
      <c r="B675" t="s">
        <v>478</v>
      </c>
      <c r="C675" t="s">
        <v>1280</v>
      </c>
      <c r="D675" s="24">
        <v>0</v>
      </c>
      <c r="E675" s="24">
        <v>3</v>
      </c>
      <c r="F675" s="24">
        <v>0</v>
      </c>
      <c r="G675" s="24">
        <v>2</v>
      </c>
      <c r="H675" s="25">
        <v>22.98</v>
      </c>
      <c r="I675">
        <v>27</v>
      </c>
      <c r="J675" s="26">
        <v>0</v>
      </c>
      <c r="K675" s="26">
        <v>0</v>
      </c>
      <c r="L675" s="26">
        <v>1</v>
      </c>
      <c r="M675">
        <v>28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28</v>
      </c>
      <c r="AK675">
        <v>22</v>
      </c>
      <c r="AL675">
        <v>11</v>
      </c>
      <c r="AM675">
        <v>8</v>
      </c>
      <c r="AN675" s="18">
        <v>0</v>
      </c>
      <c r="AO675" s="18">
        <v>0.136363636363636</v>
      </c>
      <c r="AP675" s="18">
        <v>0</v>
      </c>
      <c r="AQ675" s="18">
        <v>0.25</v>
      </c>
      <c r="AR675" s="29">
        <v>0</v>
      </c>
      <c r="AS675" s="29">
        <v>0</v>
      </c>
      <c r="AT675" s="29">
        <v>28</v>
      </c>
      <c r="AU675" s="24" t="str">
        <f t="shared" si="11"/>
        <v>库存为28</v>
      </c>
      <c r="AV675" s="31" t="str">
        <f>IFERROR(时间!$B$4+AU675,"上周无销量")</f>
        <v>上周无销量</v>
      </c>
    </row>
    <row r="676" spans="1:48">
      <c r="A676" s="16" t="s">
        <v>1298</v>
      </c>
      <c r="B676" t="s">
        <v>480</v>
      </c>
      <c r="C676" t="s">
        <v>1280</v>
      </c>
      <c r="D676" s="24">
        <v>0</v>
      </c>
      <c r="E676" s="24">
        <v>1</v>
      </c>
      <c r="F676" s="24">
        <v>0</v>
      </c>
      <c r="G676" s="24">
        <v>0</v>
      </c>
      <c r="H676" s="25">
        <v>22.98</v>
      </c>
      <c r="I676">
        <v>17</v>
      </c>
      <c r="J676" s="26">
        <v>0</v>
      </c>
      <c r="K676" s="26">
        <v>0</v>
      </c>
      <c r="L676" s="26">
        <v>0</v>
      </c>
      <c r="M676">
        <v>17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12</v>
      </c>
      <c r="AK676">
        <v>13</v>
      </c>
      <c r="AL676">
        <v>6</v>
      </c>
      <c r="AM676">
        <v>6</v>
      </c>
      <c r="AN676" s="18">
        <v>0</v>
      </c>
      <c r="AO676" s="18">
        <v>0.0769230769230769</v>
      </c>
      <c r="AP676" s="18">
        <v>0</v>
      </c>
      <c r="AQ676" s="18">
        <v>0</v>
      </c>
      <c r="AR676" s="29">
        <v>0</v>
      </c>
      <c r="AS676" s="29">
        <v>0</v>
      </c>
      <c r="AT676" s="29">
        <v>17</v>
      </c>
      <c r="AU676" s="24" t="str">
        <f t="shared" si="11"/>
        <v>库存为17</v>
      </c>
      <c r="AV676" s="31" t="str">
        <f>IFERROR(时间!$B$4+AU676,"上周无销量")</f>
        <v>上周无销量</v>
      </c>
    </row>
    <row r="677" spans="1:48">
      <c r="A677" s="16" t="s">
        <v>1299</v>
      </c>
      <c r="B677" t="s">
        <v>482</v>
      </c>
      <c r="C677" t="s">
        <v>1280</v>
      </c>
      <c r="D677" s="24">
        <v>0</v>
      </c>
      <c r="E677" s="24">
        <v>2</v>
      </c>
      <c r="F677" s="24">
        <v>0</v>
      </c>
      <c r="G677" s="24">
        <v>0</v>
      </c>
      <c r="H677" s="25">
        <v>19.98</v>
      </c>
      <c r="I677">
        <v>16</v>
      </c>
      <c r="J677" s="26">
        <v>0</v>
      </c>
      <c r="K677" s="26">
        <v>0</v>
      </c>
      <c r="L677" s="26">
        <v>0</v>
      </c>
      <c r="M677">
        <v>16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9</v>
      </c>
      <c r="AK677">
        <v>8</v>
      </c>
      <c r="AL677">
        <v>7</v>
      </c>
      <c r="AM677">
        <v>7</v>
      </c>
      <c r="AN677" s="18">
        <v>0</v>
      </c>
      <c r="AO677" s="18">
        <v>0.25</v>
      </c>
      <c r="AP677" s="18">
        <v>0</v>
      </c>
      <c r="AQ677" s="18">
        <v>0</v>
      </c>
      <c r="AR677" s="29">
        <v>0</v>
      </c>
      <c r="AS677" s="29">
        <v>0</v>
      </c>
      <c r="AT677" s="29">
        <v>16</v>
      </c>
      <c r="AU677" s="24" t="str">
        <f t="shared" si="11"/>
        <v>库存为16</v>
      </c>
      <c r="AV677" s="31" t="str">
        <f>IFERROR(时间!$B$4+AU677,"上周无销量")</f>
        <v>上周无销量</v>
      </c>
    </row>
    <row r="678" spans="1:48">
      <c r="A678" s="16" t="s">
        <v>1300</v>
      </c>
      <c r="B678" t="s">
        <v>484</v>
      </c>
      <c r="C678" t="s">
        <v>1280</v>
      </c>
      <c r="D678" s="24">
        <v>1</v>
      </c>
      <c r="E678" s="24">
        <v>0</v>
      </c>
      <c r="F678" s="24">
        <v>0</v>
      </c>
      <c r="G678" s="24">
        <v>0</v>
      </c>
      <c r="H678" s="25">
        <v>22.98</v>
      </c>
      <c r="I678">
        <v>30</v>
      </c>
      <c r="J678" s="26">
        <v>0</v>
      </c>
      <c r="K678" s="26">
        <v>0</v>
      </c>
      <c r="L678" s="26">
        <v>0</v>
      </c>
      <c r="M678">
        <v>30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10</v>
      </c>
      <c r="AK678">
        <v>10</v>
      </c>
      <c r="AL678">
        <v>8</v>
      </c>
      <c r="AM678">
        <v>4</v>
      </c>
      <c r="AN678" s="18">
        <v>0.1</v>
      </c>
      <c r="AO678" s="18">
        <v>0</v>
      </c>
      <c r="AP678" s="18">
        <v>0</v>
      </c>
      <c r="AQ678" s="18">
        <v>0</v>
      </c>
      <c r="AR678" s="29">
        <v>0.142857142857143</v>
      </c>
      <c r="AS678" s="29">
        <v>8.57142857142857</v>
      </c>
      <c r="AT678" s="29">
        <v>21.4285714285714</v>
      </c>
      <c r="AU678" s="24">
        <f t="shared" si="11"/>
        <v>210</v>
      </c>
      <c r="AV678" s="31">
        <f>IFERROR(时间!$B$4+AU678,"上周无销量")</f>
        <v>43528</v>
      </c>
    </row>
    <row r="679" spans="1:48">
      <c r="A679" s="16" t="s">
        <v>1301</v>
      </c>
      <c r="B679" t="s">
        <v>508</v>
      </c>
      <c r="C679" t="s">
        <v>1280</v>
      </c>
      <c r="D679" s="24">
        <v>0</v>
      </c>
      <c r="E679" s="24">
        <v>1</v>
      </c>
      <c r="F679" s="24">
        <v>0</v>
      </c>
      <c r="G679" s="24">
        <v>1</v>
      </c>
      <c r="H679" s="25">
        <v>22.98</v>
      </c>
      <c r="I679">
        <v>28</v>
      </c>
      <c r="J679" s="26">
        <v>0</v>
      </c>
      <c r="K679" s="26">
        <v>0</v>
      </c>
      <c r="L679" s="26">
        <v>0</v>
      </c>
      <c r="M679">
        <v>28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8</v>
      </c>
      <c r="AK679">
        <v>4</v>
      </c>
      <c r="AL679">
        <v>8</v>
      </c>
      <c r="AM679">
        <v>6</v>
      </c>
      <c r="AN679" s="18">
        <v>0</v>
      </c>
      <c r="AO679" s="18">
        <v>0.25</v>
      </c>
      <c r="AP679" s="18">
        <v>0</v>
      </c>
      <c r="AQ679" s="18">
        <v>0.166666666666667</v>
      </c>
      <c r="AR679" s="29">
        <v>0</v>
      </c>
      <c r="AS679" s="29">
        <v>0</v>
      </c>
      <c r="AT679" s="29">
        <v>28</v>
      </c>
      <c r="AU679" s="24" t="str">
        <f t="shared" si="11"/>
        <v>库存为28</v>
      </c>
      <c r="AV679" s="31" t="str">
        <f>IFERROR(时间!$B$4+AU679,"上周无销量")</f>
        <v>上周无销量</v>
      </c>
    </row>
    <row r="680" spans="1:48">
      <c r="A680" s="16" t="s">
        <v>1302</v>
      </c>
      <c r="B680" t="s">
        <v>488</v>
      </c>
      <c r="C680" t="s">
        <v>1280</v>
      </c>
      <c r="D680" s="24">
        <v>0</v>
      </c>
      <c r="E680" s="24">
        <v>0</v>
      </c>
      <c r="F680" s="24">
        <v>0</v>
      </c>
      <c r="G680" s="24">
        <v>0</v>
      </c>
      <c r="H680" s="25">
        <v>0</v>
      </c>
      <c r="I680">
        <v>5</v>
      </c>
      <c r="J680" s="26">
        <v>0</v>
      </c>
      <c r="K680" s="26">
        <v>0</v>
      </c>
      <c r="L680" s="26">
        <v>0</v>
      </c>
      <c r="M680">
        <v>5</v>
      </c>
      <c r="N680">
        <v>0</v>
      </c>
      <c r="O680">
        <v>0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17</v>
      </c>
      <c r="AK680">
        <v>16</v>
      </c>
      <c r="AL680">
        <v>8</v>
      </c>
      <c r="AM680">
        <v>8</v>
      </c>
      <c r="AN680" s="18">
        <v>0</v>
      </c>
      <c r="AO680" s="18">
        <v>0</v>
      </c>
      <c r="AP680" s="18">
        <v>0</v>
      </c>
      <c r="AQ680" s="18">
        <v>0</v>
      </c>
      <c r="AR680" s="29">
        <v>0</v>
      </c>
      <c r="AS680" s="29">
        <v>0</v>
      </c>
      <c r="AT680" s="29">
        <v>5</v>
      </c>
      <c r="AU680" s="24" t="str">
        <f t="shared" si="11"/>
        <v>库存为5</v>
      </c>
      <c r="AV680" s="31" t="str">
        <f>IFERROR(时间!$B$4+AU680,"上周无销量")</f>
        <v>上周无销量</v>
      </c>
    </row>
    <row r="681" spans="1:48">
      <c r="A681" s="16" t="s">
        <v>1303</v>
      </c>
      <c r="B681" t="s">
        <v>490</v>
      </c>
      <c r="C681" t="s">
        <v>1280</v>
      </c>
      <c r="D681" s="24">
        <v>0</v>
      </c>
      <c r="E681" s="24">
        <v>0</v>
      </c>
      <c r="F681" s="24">
        <v>0</v>
      </c>
      <c r="G681" s="24">
        <v>0</v>
      </c>
      <c r="H681" s="25">
        <v>0</v>
      </c>
      <c r="I681">
        <v>0</v>
      </c>
      <c r="J681" s="26">
        <v>0</v>
      </c>
      <c r="K681" s="26">
        <v>0</v>
      </c>
      <c r="L681" s="26">
        <v>0</v>
      </c>
      <c r="M681">
        <v>0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6</v>
      </c>
      <c r="AK681">
        <v>15</v>
      </c>
      <c r="AL681">
        <v>9</v>
      </c>
      <c r="AM681">
        <v>12</v>
      </c>
      <c r="AN681" s="18">
        <v>0</v>
      </c>
      <c r="AO681" s="18">
        <v>0</v>
      </c>
      <c r="AP681" s="18">
        <v>0</v>
      </c>
      <c r="AQ681" s="18">
        <v>0</v>
      </c>
      <c r="AR681" s="29">
        <v>0</v>
      </c>
      <c r="AS681" s="29">
        <v>0</v>
      </c>
      <c r="AT681" s="29">
        <v>0</v>
      </c>
      <c r="AU681" s="24" t="str">
        <f t="shared" si="11"/>
        <v>库存为0</v>
      </c>
      <c r="AV681" s="31" t="str">
        <f>IFERROR(时间!$B$4+AU681,"上周无销量")</f>
        <v>上周无销量</v>
      </c>
    </row>
    <row r="682" spans="1:48">
      <c r="A682" s="16" t="s">
        <v>1304</v>
      </c>
      <c r="B682" t="s">
        <v>492</v>
      </c>
      <c r="C682" t="s">
        <v>1280</v>
      </c>
      <c r="D682" s="24">
        <v>1</v>
      </c>
      <c r="E682" s="24">
        <v>0</v>
      </c>
      <c r="F682" s="24">
        <v>0</v>
      </c>
      <c r="G682" s="24">
        <v>0</v>
      </c>
      <c r="H682" s="25">
        <v>19.98</v>
      </c>
      <c r="I682">
        <v>2</v>
      </c>
      <c r="J682" s="26">
        <v>0</v>
      </c>
      <c r="K682" s="26">
        <v>0</v>
      </c>
      <c r="L682" s="26">
        <v>0</v>
      </c>
      <c r="M682">
        <v>2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9</v>
      </c>
      <c r="AK682">
        <v>6</v>
      </c>
      <c r="AL682">
        <v>6</v>
      </c>
      <c r="AM682">
        <v>5</v>
      </c>
      <c r="AN682" s="18">
        <v>0.111111111111111</v>
      </c>
      <c r="AO682" s="18">
        <v>0</v>
      </c>
      <c r="AP682" s="18">
        <v>0</v>
      </c>
      <c r="AQ682" s="18">
        <v>0</v>
      </c>
      <c r="AR682" s="29">
        <v>0.142857142857143</v>
      </c>
      <c r="AS682" s="29">
        <v>8.57142857142857</v>
      </c>
      <c r="AT682" s="29">
        <v>-6.57142857142857</v>
      </c>
      <c r="AU682" s="24">
        <f t="shared" si="11"/>
        <v>14</v>
      </c>
      <c r="AV682" s="31">
        <f>IFERROR(时间!$B$4+AU682,"上周无销量")</f>
        <v>43332</v>
      </c>
    </row>
    <row r="683" spans="1:48">
      <c r="A683" s="16" t="s">
        <v>1305</v>
      </c>
      <c r="B683" t="s">
        <v>494</v>
      </c>
      <c r="C683" t="s">
        <v>1280</v>
      </c>
      <c r="D683" s="24">
        <v>0</v>
      </c>
      <c r="E683" s="24">
        <v>0</v>
      </c>
      <c r="F683" s="24">
        <v>0</v>
      </c>
      <c r="G683" s="24">
        <v>2</v>
      </c>
      <c r="H683" s="25">
        <v>22.98</v>
      </c>
      <c r="I683">
        <v>7</v>
      </c>
      <c r="J683" s="26">
        <v>0</v>
      </c>
      <c r="K683" s="26">
        <v>0</v>
      </c>
      <c r="L683" s="26">
        <v>0</v>
      </c>
      <c r="M683">
        <v>7</v>
      </c>
      <c r="N683">
        <v>0</v>
      </c>
      <c r="O683">
        <v>0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7</v>
      </c>
      <c r="AK683">
        <v>10</v>
      </c>
      <c r="AL683">
        <v>11</v>
      </c>
      <c r="AM683">
        <v>7</v>
      </c>
      <c r="AN683" s="18">
        <v>0</v>
      </c>
      <c r="AO683" s="18">
        <v>0</v>
      </c>
      <c r="AP683" s="18">
        <v>0</v>
      </c>
      <c r="AQ683" s="18">
        <v>0.285714285714286</v>
      </c>
      <c r="AR683" s="29">
        <v>0</v>
      </c>
      <c r="AS683" s="29">
        <v>0</v>
      </c>
      <c r="AT683" s="29">
        <v>7</v>
      </c>
      <c r="AU683" s="24" t="str">
        <f t="shared" si="11"/>
        <v>库存为7</v>
      </c>
      <c r="AV683" s="31" t="str">
        <f>IFERROR(时间!$B$4+AU683,"上周无销量")</f>
        <v>上周无销量</v>
      </c>
    </row>
    <row r="684" spans="1:48">
      <c r="A684" s="16" t="s">
        <v>1306</v>
      </c>
      <c r="B684" t="s">
        <v>496</v>
      </c>
      <c r="C684" t="s">
        <v>1280</v>
      </c>
      <c r="D684" s="24">
        <v>0</v>
      </c>
      <c r="E684" s="24">
        <v>1</v>
      </c>
      <c r="F684" s="24">
        <v>1</v>
      </c>
      <c r="G684" s="24">
        <v>0</v>
      </c>
      <c r="H684" s="25">
        <v>22.98</v>
      </c>
      <c r="I684">
        <v>0</v>
      </c>
      <c r="J684" s="26">
        <v>0</v>
      </c>
      <c r="K684" s="26">
        <v>0</v>
      </c>
      <c r="L684" s="26">
        <v>0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8</v>
      </c>
      <c r="AK684">
        <v>5</v>
      </c>
      <c r="AL684">
        <v>7</v>
      </c>
      <c r="AM684">
        <v>11</v>
      </c>
      <c r="AN684" s="18">
        <v>0</v>
      </c>
      <c r="AO684" s="18">
        <v>0.2</v>
      </c>
      <c r="AP684" s="18">
        <v>0.142857142857143</v>
      </c>
      <c r="AQ684" s="18">
        <v>0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1307</v>
      </c>
      <c r="B685" t="s">
        <v>498</v>
      </c>
      <c r="C685" t="s">
        <v>1280</v>
      </c>
      <c r="D685" s="24">
        <v>0</v>
      </c>
      <c r="E685" s="24">
        <v>1</v>
      </c>
      <c r="F685" s="24">
        <v>1</v>
      </c>
      <c r="G685" s="24">
        <v>1</v>
      </c>
      <c r="H685" s="25">
        <v>22.98</v>
      </c>
      <c r="I685">
        <v>5</v>
      </c>
      <c r="J685" s="26">
        <v>0</v>
      </c>
      <c r="K685" s="26">
        <v>0</v>
      </c>
      <c r="L685" s="26">
        <v>0</v>
      </c>
      <c r="M685">
        <v>5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19</v>
      </c>
      <c r="AK685">
        <v>17</v>
      </c>
      <c r="AL685">
        <v>12</v>
      </c>
      <c r="AM685">
        <v>14</v>
      </c>
      <c r="AN685" s="18">
        <v>0</v>
      </c>
      <c r="AO685" s="18">
        <v>0.0588235294117647</v>
      </c>
      <c r="AP685" s="18">
        <v>0.0833333333333333</v>
      </c>
      <c r="AQ685" s="18">
        <v>0.0714285714285714</v>
      </c>
      <c r="AR685" s="29">
        <v>0</v>
      </c>
      <c r="AS685" s="29">
        <v>0</v>
      </c>
      <c r="AT685" s="29">
        <v>5</v>
      </c>
      <c r="AU685" s="24" t="str">
        <f t="shared" si="11"/>
        <v>库存为5</v>
      </c>
      <c r="AV685" s="31" t="str">
        <f>IFERROR(时间!$B$4+AU685,"上周无销量")</f>
        <v>上周无销量</v>
      </c>
    </row>
    <row r="686" spans="1:48">
      <c r="A686" s="16" t="s">
        <v>1308</v>
      </c>
      <c r="B686" t="s">
        <v>500</v>
      </c>
      <c r="C686" t="s">
        <v>1280</v>
      </c>
      <c r="D686" s="24">
        <v>0</v>
      </c>
      <c r="E686" s="24">
        <v>0</v>
      </c>
      <c r="F686" s="24">
        <v>0</v>
      </c>
      <c r="G686" s="24">
        <v>0</v>
      </c>
      <c r="H686" s="25">
        <v>0</v>
      </c>
      <c r="I686">
        <v>0</v>
      </c>
      <c r="J686" s="26">
        <v>0</v>
      </c>
      <c r="K686" s="26">
        <v>0</v>
      </c>
      <c r="L686" s="26">
        <v>0</v>
      </c>
      <c r="M686">
        <v>0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17</v>
      </c>
      <c r="AK686">
        <v>4</v>
      </c>
      <c r="AL686">
        <v>0</v>
      </c>
      <c r="AM686">
        <v>25</v>
      </c>
      <c r="AN686" s="18">
        <v>0</v>
      </c>
      <c r="AO686" s="18">
        <v>0</v>
      </c>
      <c r="AP686" s="18" t="s">
        <v>52</v>
      </c>
      <c r="AQ686" s="18">
        <v>0</v>
      </c>
      <c r="AR686" s="29">
        <v>0</v>
      </c>
      <c r="AS686" s="29">
        <v>0</v>
      </c>
      <c r="AT686" s="29">
        <v>0</v>
      </c>
      <c r="AU686" s="24" t="str">
        <f t="shared" si="11"/>
        <v>库存为0</v>
      </c>
      <c r="AV686" s="31" t="str">
        <f>IFERROR(时间!$B$4+AU686,"上周无销量")</f>
        <v>上周无销量</v>
      </c>
    </row>
    <row r="687" spans="1:48">
      <c r="A687" s="16" t="s">
        <v>1309</v>
      </c>
      <c r="B687" t="s">
        <v>502</v>
      </c>
      <c r="C687" t="s">
        <v>1280</v>
      </c>
      <c r="D687" s="24">
        <v>0</v>
      </c>
      <c r="E687" s="24">
        <v>1</v>
      </c>
      <c r="F687" s="24">
        <v>1</v>
      </c>
      <c r="G687" s="24">
        <v>0</v>
      </c>
      <c r="H687" s="25">
        <v>19.98</v>
      </c>
      <c r="I687">
        <v>0</v>
      </c>
      <c r="J687" s="26">
        <v>0</v>
      </c>
      <c r="K687" s="26">
        <v>0</v>
      </c>
      <c r="L687" s="26">
        <v>0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0</v>
      </c>
      <c r="AK687">
        <v>2</v>
      </c>
      <c r="AL687">
        <v>18</v>
      </c>
      <c r="AM687">
        <v>11</v>
      </c>
      <c r="AN687" s="18" t="s">
        <v>52</v>
      </c>
      <c r="AO687" s="18">
        <v>0.5</v>
      </c>
      <c r="AP687" s="18">
        <v>0.0555555555555556</v>
      </c>
      <c r="AQ687" s="18">
        <v>0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1310</v>
      </c>
      <c r="B688" t="s">
        <v>504</v>
      </c>
      <c r="C688" t="s">
        <v>1280</v>
      </c>
      <c r="D688" s="24">
        <v>2</v>
      </c>
      <c r="E688" s="24">
        <v>0</v>
      </c>
      <c r="F688" s="24">
        <v>0</v>
      </c>
      <c r="G688" s="24">
        <v>1</v>
      </c>
      <c r="H688" s="25">
        <v>22.98</v>
      </c>
      <c r="I688">
        <v>6</v>
      </c>
      <c r="J688" s="26">
        <v>0</v>
      </c>
      <c r="K688" s="26">
        <v>0</v>
      </c>
      <c r="L688" s="26">
        <v>0</v>
      </c>
      <c r="M688">
        <v>6</v>
      </c>
      <c r="N688">
        <v>0</v>
      </c>
      <c r="O688">
        <v>0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16</v>
      </c>
      <c r="AK688">
        <v>11</v>
      </c>
      <c r="AL688">
        <v>5</v>
      </c>
      <c r="AM688">
        <v>2</v>
      </c>
      <c r="AN688" s="18">
        <v>0.125</v>
      </c>
      <c r="AO688" s="18">
        <v>0</v>
      </c>
      <c r="AP688" s="18">
        <v>0</v>
      </c>
      <c r="AQ688" s="18">
        <v>0.5</v>
      </c>
      <c r="AR688" s="29">
        <v>0.285714285714286</v>
      </c>
      <c r="AS688" s="29">
        <v>17.1428571428571</v>
      </c>
      <c r="AT688" s="29">
        <v>-11.1428571428571</v>
      </c>
      <c r="AU688" s="24">
        <f t="shared" si="11"/>
        <v>21</v>
      </c>
      <c r="AV688" s="31">
        <f>IFERROR(时间!$B$4+AU688,"上周无销量")</f>
        <v>43339</v>
      </c>
    </row>
    <row r="689" spans="1:48">
      <c r="A689" s="16" t="s">
        <v>1311</v>
      </c>
      <c r="B689" t="s">
        <v>506</v>
      </c>
      <c r="C689" t="s">
        <v>1280</v>
      </c>
      <c r="D689" s="24">
        <v>0</v>
      </c>
      <c r="E689" s="24">
        <v>0</v>
      </c>
      <c r="F689" s="24">
        <v>1</v>
      </c>
      <c r="G689" s="24">
        <v>1</v>
      </c>
      <c r="H689" s="25">
        <v>22.98</v>
      </c>
      <c r="I689">
        <v>0</v>
      </c>
      <c r="J689" s="26">
        <v>0</v>
      </c>
      <c r="K689" s="26">
        <v>0</v>
      </c>
      <c r="L689" s="26">
        <v>0</v>
      </c>
      <c r="M689">
        <v>0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5</v>
      </c>
      <c r="AK689">
        <v>7</v>
      </c>
      <c r="AL689">
        <v>10</v>
      </c>
      <c r="AM689">
        <v>9</v>
      </c>
      <c r="AN689" s="18">
        <v>0</v>
      </c>
      <c r="AO689" s="18">
        <v>0</v>
      </c>
      <c r="AP689" s="18">
        <v>0.1</v>
      </c>
      <c r="AQ689" s="18">
        <v>0.111111111111111</v>
      </c>
      <c r="AR689" s="29">
        <v>0</v>
      </c>
      <c r="AS689" s="29">
        <v>0</v>
      </c>
      <c r="AT689" s="29">
        <v>0</v>
      </c>
      <c r="AU689" s="24" t="str">
        <f t="shared" si="11"/>
        <v>库存为0</v>
      </c>
      <c r="AV689" s="31" t="str">
        <f>IFERROR(时间!$B$4+AU689,"上周无销量")</f>
        <v>上周无销量</v>
      </c>
    </row>
    <row r="690" spans="1:48">
      <c r="A690" s="16" t="s">
        <v>1312</v>
      </c>
      <c r="B690" t="s">
        <v>54</v>
      </c>
      <c r="C690" t="s">
        <v>1313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14</v>
      </c>
      <c r="AK690">
        <v>12</v>
      </c>
      <c r="AL690">
        <v>9</v>
      </c>
      <c r="AM690">
        <v>10</v>
      </c>
      <c r="AN690" s="18">
        <v>0</v>
      </c>
      <c r="AO690" s="18">
        <v>0</v>
      </c>
      <c r="AP690" s="18">
        <v>0</v>
      </c>
      <c r="AQ690" s="18">
        <v>0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1314</v>
      </c>
      <c r="B691" t="s">
        <v>57</v>
      </c>
      <c r="C691" t="s">
        <v>1313</v>
      </c>
      <c r="D691" s="24">
        <v>0</v>
      </c>
      <c r="E691" s="24">
        <v>0</v>
      </c>
      <c r="F691" s="24">
        <v>0</v>
      </c>
      <c r="G691" s="24">
        <v>0</v>
      </c>
      <c r="H691" s="25">
        <v>0</v>
      </c>
      <c r="I691">
        <v>0</v>
      </c>
      <c r="J691" s="26">
        <v>0</v>
      </c>
      <c r="K691" s="26">
        <v>0</v>
      </c>
      <c r="L691" s="26">
        <v>0</v>
      </c>
      <c r="M691">
        <v>0</v>
      </c>
      <c r="N691">
        <v>0</v>
      </c>
      <c r="O691">
        <v>0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14</v>
      </c>
      <c r="AK691">
        <v>9</v>
      </c>
      <c r="AL691">
        <v>9</v>
      </c>
      <c r="AM691">
        <v>8</v>
      </c>
      <c r="AN691" s="18">
        <v>0</v>
      </c>
      <c r="AO691" s="18">
        <v>0</v>
      </c>
      <c r="AP691" s="18">
        <v>0</v>
      </c>
      <c r="AQ691" s="18">
        <v>0</v>
      </c>
      <c r="AR691" s="29">
        <v>0</v>
      </c>
      <c r="AS691" s="29">
        <v>0</v>
      </c>
      <c r="AT691" s="29">
        <v>0</v>
      </c>
      <c r="AU691" s="24" t="str">
        <f t="shared" si="11"/>
        <v>库存为0</v>
      </c>
      <c r="AV691" s="31" t="str">
        <f>IFERROR(时间!$B$4+AU691,"上周无销量")</f>
        <v>上周无销量</v>
      </c>
    </row>
    <row r="692" spans="1:48">
      <c r="A692" s="16" t="s">
        <v>1315</v>
      </c>
      <c r="B692" t="s">
        <v>59</v>
      </c>
      <c r="C692" t="s">
        <v>1313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0</v>
      </c>
      <c r="J692" s="26">
        <v>0</v>
      </c>
      <c r="K692" s="26">
        <v>0</v>
      </c>
      <c r="L692" s="26">
        <v>0</v>
      </c>
      <c r="M692">
        <v>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7</v>
      </c>
      <c r="AK692">
        <v>8</v>
      </c>
      <c r="AL692">
        <v>11</v>
      </c>
      <c r="AM692">
        <v>10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0</v>
      </c>
      <c r="AU692" s="24" t="str">
        <f t="shared" si="11"/>
        <v>库存为0</v>
      </c>
      <c r="AV692" s="31" t="str">
        <f>IFERROR(时间!$B$4+AU692,"上周无销量")</f>
        <v>上周无销量</v>
      </c>
    </row>
    <row r="693" spans="1:48">
      <c r="A693" s="16" t="s">
        <v>1316</v>
      </c>
      <c r="B693" t="s">
        <v>61</v>
      </c>
      <c r="C693" t="s">
        <v>1313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>
        <v>0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8</v>
      </c>
      <c r="AK693">
        <v>5</v>
      </c>
      <c r="AL693">
        <v>6</v>
      </c>
      <c r="AM693">
        <v>7</v>
      </c>
      <c r="AN693" s="18">
        <v>0</v>
      </c>
      <c r="AO693" s="18">
        <v>0</v>
      </c>
      <c r="AP693" s="18">
        <v>0</v>
      </c>
      <c r="AQ693" s="18">
        <v>0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1317</v>
      </c>
      <c r="B694" t="s">
        <v>63</v>
      </c>
      <c r="C694" t="s">
        <v>1313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>
        <v>0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9</v>
      </c>
      <c r="AK694">
        <v>4</v>
      </c>
      <c r="AL694">
        <v>3</v>
      </c>
      <c r="AM694">
        <v>9</v>
      </c>
      <c r="AN694" s="18">
        <v>0</v>
      </c>
      <c r="AO694" s="18">
        <v>0</v>
      </c>
      <c r="AP694" s="18">
        <v>0</v>
      </c>
      <c r="AQ694" s="18">
        <v>0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1318</v>
      </c>
      <c r="B695" t="s">
        <v>65</v>
      </c>
      <c r="C695" t="s">
        <v>1313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16</v>
      </c>
      <c r="AK695">
        <v>12</v>
      </c>
      <c r="AL695">
        <v>12</v>
      </c>
      <c r="AM695">
        <v>14</v>
      </c>
      <c r="AN695" s="18">
        <v>0</v>
      </c>
      <c r="AO695" s="18">
        <v>0</v>
      </c>
      <c r="AP695" s="18">
        <v>0</v>
      </c>
      <c r="AQ695" s="18">
        <v>0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1319</v>
      </c>
      <c r="B696" t="s">
        <v>1320</v>
      </c>
      <c r="C696" t="s">
        <v>1313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0</v>
      </c>
      <c r="AK696">
        <v>0</v>
      </c>
      <c r="AL696">
        <v>0</v>
      </c>
      <c r="AM696">
        <v>0</v>
      </c>
      <c r="AN696" s="18" t="s">
        <v>52</v>
      </c>
      <c r="AO696" s="18" t="s">
        <v>52</v>
      </c>
      <c r="AP696" s="18" t="s">
        <v>52</v>
      </c>
      <c r="AQ696" s="18" t="s">
        <v>52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1321</v>
      </c>
      <c r="B697" t="s">
        <v>69</v>
      </c>
      <c r="C697" t="s">
        <v>1313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0</v>
      </c>
      <c r="K697" s="26">
        <v>0</v>
      </c>
      <c r="L697" s="26">
        <v>0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14</v>
      </c>
      <c r="AK697">
        <v>0</v>
      </c>
      <c r="AL697">
        <v>13</v>
      </c>
      <c r="AM697">
        <v>14</v>
      </c>
      <c r="AN697" s="18">
        <v>0</v>
      </c>
      <c r="AO697" s="18" t="s">
        <v>52</v>
      </c>
      <c r="AP697" s="18">
        <v>0</v>
      </c>
      <c r="AQ697" s="18">
        <v>0</v>
      </c>
      <c r="AR697" s="29">
        <v>0</v>
      </c>
      <c r="AS697" s="29">
        <v>0</v>
      </c>
      <c r="AT697" s="29">
        <v>0</v>
      </c>
      <c r="AU697" s="24" t="str">
        <f t="shared" si="11"/>
        <v>库存为0</v>
      </c>
      <c r="AV697" s="31" t="str">
        <f>IFERROR(时间!$B$4+AU697,"上周无销量")</f>
        <v>上周无销量</v>
      </c>
    </row>
    <row r="698" spans="1:48">
      <c r="A698" s="16" t="s">
        <v>1322</v>
      </c>
      <c r="B698" t="s">
        <v>71</v>
      </c>
      <c r="C698" t="s">
        <v>1313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0</v>
      </c>
      <c r="K698" s="26">
        <v>0</v>
      </c>
      <c r="L698" s="26">
        <v>0</v>
      </c>
      <c r="M698">
        <v>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8</v>
      </c>
      <c r="AK698">
        <v>11</v>
      </c>
      <c r="AL698">
        <v>10</v>
      </c>
      <c r="AM698">
        <v>8</v>
      </c>
      <c r="AN698" s="18">
        <v>0</v>
      </c>
      <c r="AO698" s="18">
        <v>0</v>
      </c>
      <c r="AP698" s="18">
        <v>0</v>
      </c>
      <c r="AQ698" s="18">
        <v>0</v>
      </c>
      <c r="AR698" s="29">
        <v>0</v>
      </c>
      <c r="AS698" s="29">
        <v>0</v>
      </c>
      <c r="AT698" s="29">
        <v>0</v>
      </c>
      <c r="AU698" s="24" t="str">
        <f t="shared" si="11"/>
        <v>库存为0</v>
      </c>
      <c r="AV698" s="31" t="str">
        <f>IFERROR(时间!$B$4+AU698,"上周无销量")</f>
        <v>上周无销量</v>
      </c>
    </row>
    <row r="699" spans="1:48">
      <c r="A699" s="16" t="s">
        <v>1323</v>
      </c>
      <c r="B699" t="s">
        <v>73</v>
      </c>
      <c r="C699" t="s">
        <v>1313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0</v>
      </c>
      <c r="K699" s="26">
        <v>0</v>
      </c>
      <c r="L699" s="26">
        <v>0</v>
      </c>
      <c r="M699">
        <v>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11</v>
      </c>
      <c r="AK699">
        <v>6</v>
      </c>
      <c r="AL699">
        <v>4</v>
      </c>
      <c r="AM699">
        <v>8</v>
      </c>
      <c r="AN699" s="18">
        <v>0</v>
      </c>
      <c r="AO699" s="18">
        <v>0</v>
      </c>
      <c r="AP699" s="18">
        <v>0</v>
      </c>
      <c r="AQ699" s="18">
        <v>0</v>
      </c>
      <c r="AR699" s="29">
        <v>0</v>
      </c>
      <c r="AS699" s="29">
        <v>0</v>
      </c>
      <c r="AT699" s="29">
        <v>0</v>
      </c>
      <c r="AU699" s="24" t="str">
        <f t="shared" si="11"/>
        <v>库存为0</v>
      </c>
      <c r="AV699" s="31" t="str">
        <f>IFERROR(时间!$B$4+AU699,"上周无销量")</f>
        <v>上周无销量</v>
      </c>
    </row>
    <row r="700" spans="1:48">
      <c r="A700" s="16" t="s">
        <v>1324</v>
      </c>
      <c r="B700" t="s">
        <v>75</v>
      </c>
      <c r="C700" t="s">
        <v>1313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0</v>
      </c>
      <c r="K700" s="26">
        <v>0</v>
      </c>
      <c r="L700" s="26">
        <v>0</v>
      </c>
      <c r="M700">
        <v>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0</v>
      </c>
      <c r="AK700">
        <v>0</v>
      </c>
      <c r="AL700">
        <v>0</v>
      </c>
      <c r="AM700">
        <v>0</v>
      </c>
      <c r="AN700" s="18" t="s">
        <v>52</v>
      </c>
      <c r="AO700" s="18" t="s">
        <v>52</v>
      </c>
      <c r="AP700" s="18" t="s">
        <v>52</v>
      </c>
      <c r="AQ700" s="18" t="s">
        <v>52</v>
      </c>
      <c r="AR700" s="29">
        <v>0</v>
      </c>
      <c r="AS700" s="29">
        <v>0</v>
      </c>
      <c r="AT700" s="29">
        <v>0</v>
      </c>
      <c r="AU700" s="24" t="str">
        <f t="shared" si="11"/>
        <v>库存为0</v>
      </c>
      <c r="AV700" s="31" t="str">
        <f>IFERROR(时间!$B$4+AU700,"上周无销量")</f>
        <v>上周无销量</v>
      </c>
    </row>
    <row r="701" spans="1:48">
      <c r="A701" s="16" t="s">
        <v>1325</v>
      </c>
      <c r="B701" t="s">
        <v>1326</v>
      </c>
      <c r="C701" t="s">
        <v>1313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0</v>
      </c>
      <c r="J701" s="26">
        <v>0</v>
      </c>
      <c r="K701" s="26">
        <v>0</v>
      </c>
      <c r="L701" s="26">
        <v>0</v>
      </c>
      <c r="M701">
        <v>0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0</v>
      </c>
      <c r="AK701">
        <v>0</v>
      </c>
      <c r="AL701">
        <v>0</v>
      </c>
      <c r="AM701">
        <v>0</v>
      </c>
      <c r="AN701" s="18" t="s">
        <v>52</v>
      </c>
      <c r="AO701" s="18" t="s">
        <v>52</v>
      </c>
      <c r="AP701" s="18" t="s">
        <v>52</v>
      </c>
      <c r="AQ701" s="18" t="s">
        <v>52</v>
      </c>
      <c r="AR701" s="29">
        <v>0</v>
      </c>
      <c r="AS701" s="29">
        <v>0</v>
      </c>
      <c r="AT701" s="29">
        <v>0</v>
      </c>
      <c r="AU701" s="24" t="str">
        <f t="shared" si="11"/>
        <v>库存为0</v>
      </c>
      <c r="AV701" s="31" t="str">
        <f>IFERROR(时间!$B$4+AU701,"上周无销量")</f>
        <v>上周无销量</v>
      </c>
    </row>
    <row r="702" spans="1:48">
      <c r="A702" s="16" t="s">
        <v>1327</v>
      </c>
      <c r="B702" t="s">
        <v>79</v>
      </c>
      <c r="C702" t="s">
        <v>1313</v>
      </c>
      <c r="D702" s="24">
        <v>0</v>
      </c>
      <c r="E702" s="24">
        <v>0</v>
      </c>
      <c r="F702" s="24">
        <v>0</v>
      </c>
      <c r="G702" s="24">
        <v>0</v>
      </c>
      <c r="H702" s="25">
        <v>0</v>
      </c>
      <c r="I702">
        <v>0</v>
      </c>
      <c r="J702" s="26">
        <v>0</v>
      </c>
      <c r="K702" s="26">
        <v>0</v>
      </c>
      <c r="L702" s="26">
        <v>0</v>
      </c>
      <c r="M702">
        <v>0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0</v>
      </c>
      <c r="AK702">
        <v>0</v>
      </c>
      <c r="AL702">
        <v>0</v>
      </c>
      <c r="AM702">
        <v>0</v>
      </c>
      <c r="AN702" s="18" t="s">
        <v>52</v>
      </c>
      <c r="AO702" s="18" t="s">
        <v>52</v>
      </c>
      <c r="AP702" s="18" t="s">
        <v>52</v>
      </c>
      <c r="AQ702" s="18" t="s">
        <v>52</v>
      </c>
      <c r="AR702" s="29">
        <v>0</v>
      </c>
      <c r="AS702" s="29">
        <v>0</v>
      </c>
      <c r="AT702" s="29">
        <v>0</v>
      </c>
      <c r="AU702" s="24" t="str">
        <f t="shared" si="11"/>
        <v>库存为0</v>
      </c>
      <c r="AV702" s="31" t="str">
        <f>IFERROR(时间!$B$4+AU702,"上周无销量")</f>
        <v>上周无销量</v>
      </c>
    </row>
    <row r="703" spans="1:48">
      <c r="A703" s="16" t="s">
        <v>1328</v>
      </c>
      <c r="B703" t="s">
        <v>81</v>
      </c>
      <c r="C703" t="s">
        <v>1313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0</v>
      </c>
      <c r="J703" s="26">
        <v>0</v>
      </c>
      <c r="K703" s="26">
        <v>0</v>
      </c>
      <c r="L703" s="26">
        <v>0</v>
      </c>
      <c r="M703">
        <v>0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0</v>
      </c>
      <c r="AK703">
        <v>0</v>
      </c>
      <c r="AL703">
        <v>0</v>
      </c>
      <c r="AM703">
        <v>0</v>
      </c>
      <c r="AN703" s="18" t="s">
        <v>52</v>
      </c>
      <c r="AO703" s="18" t="s">
        <v>52</v>
      </c>
      <c r="AP703" s="18" t="s">
        <v>52</v>
      </c>
      <c r="AQ703" s="18" t="s">
        <v>52</v>
      </c>
      <c r="AR703" s="29">
        <v>0</v>
      </c>
      <c r="AS703" s="29">
        <v>0</v>
      </c>
      <c r="AT703" s="29">
        <v>0</v>
      </c>
      <c r="AU703" s="24" t="str">
        <f t="shared" si="11"/>
        <v>库存为0</v>
      </c>
      <c r="AV703" s="31" t="str">
        <f>IFERROR(时间!$B$4+AU703,"上周无销量")</f>
        <v>上周无销量</v>
      </c>
    </row>
    <row r="704" spans="1:48">
      <c r="A704" s="16" t="s">
        <v>1329</v>
      </c>
      <c r="B704" t="s">
        <v>83</v>
      </c>
      <c r="C704" t="s">
        <v>1313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1</v>
      </c>
      <c r="J704" s="26">
        <v>0</v>
      </c>
      <c r="K704" s="26">
        <v>0</v>
      </c>
      <c r="L704" s="26">
        <v>1</v>
      </c>
      <c r="M704">
        <v>2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26</v>
      </c>
      <c r="AK704">
        <v>5</v>
      </c>
      <c r="AL704">
        <v>13</v>
      </c>
      <c r="AM704">
        <v>34</v>
      </c>
      <c r="AN704" s="18">
        <v>0</v>
      </c>
      <c r="AO704" s="18">
        <v>0</v>
      </c>
      <c r="AP704" s="18">
        <v>0</v>
      </c>
      <c r="AQ704" s="18">
        <v>0</v>
      </c>
      <c r="AR704" s="29">
        <v>0</v>
      </c>
      <c r="AS704" s="29">
        <v>0</v>
      </c>
      <c r="AT704" s="29">
        <v>2</v>
      </c>
      <c r="AU704" s="24" t="str">
        <f t="shared" si="11"/>
        <v>库存为2</v>
      </c>
      <c r="AV704" s="31" t="str">
        <f>IFERROR(时间!$B$4+AU704,"上周无销量")</f>
        <v>上周无销量</v>
      </c>
    </row>
    <row r="705" spans="1:48">
      <c r="A705" s="16" t="s">
        <v>1330</v>
      </c>
      <c r="B705" t="s">
        <v>85</v>
      </c>
      <c r="C705" t="s">
        <v>1313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0</v>
      </c>
      <c r="K705" s="26">
        <v>0</v>
      </c>
      <c r="L705" s="26">
        <v>0</v>
      </c>
      <c r="M705">
        <v>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23</v>
      </c>
      <c r="AK705">
        <v>29</v>
      </c>
      <c r="AL705">
        <v>32</v>
      </c>
      <c r="AM705">
        <v>22</v>
      </c>
      <c r="AN705" s="18">
        <v>0</v>
      </c>
      <c r="AO705" s="18">
        <v>0</v>
      </c>
      <c r="AP705" s="18">
        <v>0</v>
      </c>
      <c r="AQ705" s="18">
        <v>0</v>
      </c>
      <c r="AR705" s="29">
        <v>0</v>
      </c>
      <c r="AS705" s="29">
        <v>0</v>
      </c>
      <c r="AT705" s="29">
        <v>0</v>
      </c>
      <c r="AU705" s="24" t="str">
        <f t="shared" si="11"/>
        <v>库存为0</v>
      </c>
      <c r="AV705" s="31" t="str">
        <f>IFERROR(时间!$B$4+AU705,"上周无销量")</f>
        <v>上周无销量</v>
      </c>
    </row>
    <row r="706" spans="1:48">
      <c r="A706" s="16" t="s">
        <v>1331</v>
      </c>
      <c r="B706" t="s">
        <v>87</v>
      </c>
      <c r="C706" t="s">
        <v>1313</v>
      </c>
      <c r="D706" s="24">
        <v>0</v>
      </c>
      <c r="E706" s="24">
        <v>0</v>
      </c>
      <c r="F706" s="24">
        <v>0</v>
      </c>
      <c r="G706" s="24">
        <v>0</v>
      </c>
      <c r="H706" s="25">
        <v>0</v>
      </c>
      <c r="I706">
        <v>0</v>
      </c>
      <c r="J706" s="26">
        <v>0</v>
      </c>
      <c r="K706" s="26">
        <v>0</v>
      </c>
      <c r="L706" s="26">
        <v>0</v>
      </c>
      <c r="M706">
        <v>0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13</v>
      </c>
      <c r="AK706">
        <v>12</v>
      </c>
      <c r="AL706">
        <v>20</v>
      </c>
      <c r="AM706">
        <v>16</v>
      </c>
      <c r="AN706" s="18">
        <v>0</v>
      </c>
      <c r="AO706" s="18">
        <v>0</v>
      </c>
      <c r="AP706" s="18">
        <v>0</v>
      </c>
      <c r="AQ706" s="18">
        <v>0</v>
      </c>
      <c r="AR706" s="29">
        <v>0</v>
      </c>
      <c r="AS706" s="29">
        <v>0</v>
      </c>
      <c r="AT706" s="29">
        <v>0</v>
      </c>
      <c r="AU706" s="24" t="str">
        <f t="shared" si="11"/>
        <v>库存为0</v>
      </c>
      <c r="AV706" s="31" t="str">
        <f>IFERROR(时间!$B$4+AU706,"上周无销量")</f>
        <v>上周无销量</v>
      </c>
    </row>
    <row r="707" spans="1:48">
      <c r="A707" s="16" t="s">
        <v>1332</v>
      </c>
      <c r="B707" t="s">
        <v>89</v>
      </c>
      <c r="C707" t="s">
        <v>1313</v>
      </c>
      <c r="D707" s="24">
        <v>0</v>
      </c>
      <c r="E707" s="24">
        <v>0</v>
      </c>
      <c r="F707" s="24">
        <v>0</v>
      </c>
      <c r="G707" s="24">
        <v>0</v>
      </c>
      <c r="H707" s="25">
        <v>0</v>
      </c>
      <c r="I707">
        <v>0</v>
      </c>
      <c r="J707" s="26">
        <v>0</v>
      </c>
      <c r="K707" s="26">
        <v>0</v>
      </c>
      <c r="L707" s="26">
        <v>0</v>
      </c>
      <c r="M707">
        <v>0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17</v>
      </c>
      <c r="AK707">
        <v>12</v>
      </c>
      <c r="AL707">
        <v>7</v>
      </c>
      <c r="AM707">
        <v>10</v>
      </c>
      <c r="AN707" s="18">
        <v>0</v>
      </c>
      <c r="AO707" s="18">
        <v>0</v>
      </c>
      <c r="AP707" s="18">
        <v>0</v>
      </c>
      <c r="AQ707" s="18">
        <v>0</v>
      </c>
      <c r="AR707" s="29">
        <v>0</v>
      </c>
      <c r="AS707" s="29">
        <v>0</v>
      </c>
      <c r="AT707" s="29">
        <v>0</v>
      </c>
      <c r="AU707" s="24" t="str">
        <f t="shared" si="11"/>
        <v>库存为0</v>
      </c>
      <c r="AV707" s="31" t="str">
        <f>IFERROR(时间!$B$4+AU707,"上周无销量")</f>
        <v>上周无销量</v>
      </c>
    </row>
    <row r="708" spans="1:48">
      <c r="A708" s="16" t="s">
        <v>1333</v>
      </c>
      <c r="B708" t="s">
        <v>91</v>
      </c>
      <c r="C708" t="s">
        <v>1313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0</v>
      </c>
      <c r="J708" s="26">
        <v>0</v>
      </c>
      <c r="K708" s="26">
        <v>0</v>
      </c>
      <c r="L708" s="26">
        <v>0</v>
      </c>
      <c r="M708">
        <v>0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16</v>
      </c>
      <c r="AK708">
        <v>11</v>
      </c>
      <c r="AL708">
        <v>23</v>
      </c>
      <c r="AM708">
        <v>19</v>
      </c>
      <c r="AN708" s="18">
        <v>0</v>
      </c>
      <c r="AO708" s="18">
        <v>0</v>
      </c>
      <c r="AP708" s="18">
        <v>0</v>
      </c>
      <c r="AQ708" s="18">
        <v>0</v>
      </c>
      <c r="AR708" s="29">
        <v>0</v>
      </c>
      <c r="AS708" s="29">
        <v>0</v>
      </c>
      <c r="AT708" s="29">
        <v>0</v>
      </c>
      <c r="AU708" s="24" t="str">
        <f t="shared" si="11"/>
        <v>库存为0</v>
      </c>
      <c r="AV708" s="31" t="str">
        <f>IFERROR(时间!$B$4+AU708,"上周无销量")</f>
        <v>上周无销量</v>
      </c>
    </row>
    <row r="709" spans="1:48">
      <c r="A709" s="16" t="s">
        <v>1334</v>
      </c>
      <c r="B709" t="s">
        <v>93</v>
      </c>
      <c r="C709" t="s">
        <v>1313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8</v>
      </c>
      <c r="AK709">
        <v>7</v>
      </c>
      <c r="AL709">
        <v>5</v>
      </c>
      <c r="AM709">
        <v>3</v>
      </c>
      <c r="AN709" s="18">
        <v>0</v>
      </c>
      <c r="AO709" s="18">
        <v>0</v>
      </c>
      <c r="AP709" s="18">
        <v>0</v>
      </c>
      <c r="AQ709" s="18">
        <v>0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1335</v>
      </c>
      <c r="B710" t="s">
        <v>1336</v>
      </c>
      <c r="C710" t="s">
        <v>1313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0</v>
      </c>
      <c r="J710" s="26">
        <v>0</v>
      </c>
      <c r="K710" s="26">
        <v>0</v>
      </c>
      <c r="L710" s="26">
        <v>0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0</v>
      </c>
      <c r="AK710">
        <v>0</v>
      </c>
      <c r="AL710">
        <v>0</v>
      </c>
      <c r="AM710">
        <v>0</v>
      </c>
      <c r="AN710" s="18" t="s">
        <v>52</v>
      </c>
      <c r="AO710" s="18" t="s">
        <v>52</v>
      </c>
      <c r="AP710" s="18" t="s">
        <v>52</v>
      </c>
      <c r="AQ710" s="18" t="s">
        <v>52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1337</v>
      </c>
      <c r="B711" t="s">
        <v>97</v>
      </c>
      <c r="C711" t="s">
        <v>1313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19</v>
      </c>
      <c r="AK711">
        <v>9</v>
      </c>
      <c r="AL711">
        <v>16</v>
      </c>
      <c r="AM711">
        <v>18</v>
      </c>
      <c r="AN711" s="18">
        <v>0</v>
      </c>
      <c r="AO711" s="18">
        <v>0</v>
      </c>
      <c r="AP711" s="18">
        <v>0</v>
      </c>
      <c r="AQ711" s="18">
        <v>0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1338</v>
      </c>
      <c r="B712" t="s">
        <v>99</v>
      </c>
      <c r="C712" t="s">
        <v>1313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13</v>
      </c>
      <c r="AK712">
        <v>6</v>
      </c>
      <c r="AL712">
        <v>5</v>
      </c>
      <c r="AM712">
        <v>15</v>
      </c>
      <c r="AN712" s="18">
        <v>0</v>
      </c>
      <c r="AO712" s="18">
        <v>0</v>
      </c>
      <c r="AP712" s="18">
        <v>0</v>
      </c>
      <c r="AQ712" s="18">
        <v>0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1339</v>
      </c>
      <c r="B713" t="s">
        <v>101</v>
      </c>
      <c r="C713" t="s">
        <v>1313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>
        <v>0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4</v>
      </c>
      <c r="AK713">
        <v>4</v>
      </c>
      <c r="AL713">
        <v>6</v>
      </c>
      <c r="AM713">
        <v>6</v>
      </c>
      <c r="AN713" s="18">
        <v>0</v>
      </c>
      <c r="AO713" s="18">
        <v>0</v>
      </c>
      <c r="AP713" s="18">
        <v>0</v>
      </c>
      <c r="AQ713" s="18">
        <v>0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1340</v>
      </c>
      <c r="B714" t="s">
        <v>103</v>
      </c>
      <c r="C714" t="s">
        <v>1313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12</v>
      </c>
      <c r="AK714">
        <v>10</v>
      </c>
      <c r="AL714">
        <v>20</v>
      </c>
      <c r="AM714">
        <v>13</v>
      </c>
      <c r="AN714" s="18">
        <v>0</v>
      </c>
      <c r="AO714" s="18">
        <v>0</v>
      </c>
      <c r="AP714" s="18">
        <v>0</v>
      </c>
      <c r="AQ714" s="18">
        <v>0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1341</v>
      </c>
      <c r="B715" t="s">
        <v>105</v>
      </c>
      <c r="C715" t="s">
        <v>1313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0</v>
      </c>
      <c r="K715" s="26">
        <v>0</v>
      </c>
      <c r="L715" s="26">
        <v>0</v>
      </c>
      <c r="M715">
        <v>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16</v>
      </c>
      <c r="AK715">
        <v>11</v>
      </c>
      <c r="AL715">
        <v>10</v>
      </c>
      <c r="AM715">
        <v>14</v>
      </c>
      <c r="AN715" s="18">
        <v>0</v>
      </c>
      <c r="AO715" s="18">
        <v>0</v>
      </c>
      <c r="AP715" s="18">
        <v>0</v>
      </c>
      <c r="AQ715" s="18">
        <v>0</v>
      </c>
      <c r="AR715" s="29">
        <v>0</v>
      </c>
      <c r="AS715" s="29">
        <v>0</v>
      </c>
      <c r="AT715" s="29">
        <v>0</v>
      </c>
      <c r="AU715" s="24" t="str">
        <f t="shared" si="12"/>
        <v>库存为0</v>
      </c>
      <c r="AV715" s="31" t="str">
        <f>IFERROR(时间!$B$4+AU715,"上周无销量")</f>
        <v>上周无销量</v>
      </c>
    </row>
    <row r="716" spans="1:48">
      <c r="A716" s="16" t="s">
        <v>1342</v>
      </c>
      <c r="B716" t="s">
        <v>107</v>
      </c>
      <c r="C716" t="s">
        <v>1313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0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17</v>
      </c>
      <c r="AK716">
        <v>9</v>
      </c>
      <c r="AL716">
        <v>14</v>
      </c>
      <c r="AM716">
        <v>4</v>
      </c>
      <c r="AN716" s="18">
        <v>0</v>
      </c>
      <c r="AO716" s="18">
        <v>0</v>
      </c>
      <c r="AP716" s="18">
        <v>0</v>
      </c>
      <c r="AQ716" s="18">
        <v>0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1343</v>
      </c>
      <c r="B717" t="s">
        <v>109</v>
      </c>
      <c r="C717" t="s">
        <v>1313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33</v>
      </c>
      <c r="AK717">
        <v>26</v>
      </c>
      <c r="AL717">
        <v>27</v>
      </c>
      <c r="AM717">
        <v>30</v>
      </c>
      <c r="AN717" s="18">
        <v>0</v>
      </c>
      <c r="AO717" s="18">
        <v>0</v>
      </c>
      <c r="AP717" s="18">
        <v>0</v>
      </c>
      <c r="AQ717" s="18">
        <v>0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1344</v>
      </c>
      <c r="B718" t="s">
        <v>1345</v>
      </c>
      <c r="C718" t="s">
        <v>1313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0</v>
      </c>
      <c r="K718" s="26">
        <v>0</v>
      </c>
      <c r="L718" s="26">
        <v>0</v>
      </c>
      <c r="M718">
        <v>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0</v>
      </c>
      <c r="AK718">
        <v>0</v>
      </c>
      <c r="AL718">
        <v>0</v>
      </c>
      <c r="AM718">
        <v>0</v>
      </c>
      <c r="AN718" s="18" t="s">
        <v>52</v>
      </c>
      <c r="AO718" s="18" t="s">
        <v>52</v>
      </c>
      <c r="AP718" s="18" t="s">
        <v>52</v>
      </c>
      <c r="AQ718" s="18" t="s">
        <v>52</v>
      </c>
      <c r="AR718" s="29">
        <v>0</v>
      </c>
      <c r="AS718" s="29">
        <v>0</v>
      </c>
      <c r="AT718" s="29">
        <v>0</v>
      </c>
      <c r="AU718" s="24" t="str">
        <f t="shared" si="12"/>
        <v>库存为0</v>
      </c>
      <c r="AV718" s="31" t="str">
        <f>IFERROR(时间!$B$4+AU718,"上周无销量")</f>
        <v>上周无销量</v>
      </c>
    </row>
    <row r="719" spans="1:48">
      <c r="A719" s="16" t="s">
        <v>1346</v>
      </c>
      <c r="B719" t="s">
        <v>113</v>
      </c>
      <c r="C719" t="s">
        <v>1313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0</v>
      </c>
      <c r="K719" s="26">
        <v>0</v>
      </c>
      <c r="L719" s="26">
        <v>0</v>
      </c>
      <c r="M719">
        <v>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11</v>
      </c>
      <c r="AK719">
        <v>8</v>
      </c>
      <c r="AL719">
        <v>7</v>
      </c>
      <c r="AM719">
        <v>7</v>
      </c>
      <c r="AN719" s="18">
        <v>0</v>
      </c>
      <c r="AO719" s="18">
        <v>0</v>
      </c>
      <c r="AP719" s="18">
        <v>0</v>
      </c>
      <c r="AQ719" s="18">
        <v>0</v>
      </c>
      <c r="AR719" s="29">
        <v>0</v>
      </c>
      <c r="AS719" s="29">
        <v>0</v>
      </c>
      <c r="AT719" s="29">
        <v>0</v>
      </c>
      <c r="AU719" s="24" t="str">
        <f t="shared" si="12"/>
        <v>库存为0</v>
      </c>
      <c r="AV719" s="31" t="str">
        <f>IFERROR(时间!$B$4+AU719,"上周无销量")</f>
        <v>上周无销量</v>
      </c>
    </row>
    <row r="720" spans="1:48">
      <c r="A720" s="16" t="s">
        <v>1347</v>
      </c>
      <c r="B720" t="s">
        <v>115</v>
      </c>
      <c r="C720" t="s">
        <v>1313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0</v>
      </c>
      <c r="K720" s="26">
        <v>0</v>
      </c>
      <c r="L720" s="26">
        <v>0</v>
      </c>
      <c r="M720">
        <v>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12</v>
      </c>
      <c r="AK720">
        <v>11</v>
      </c>
      <c r="AL720">
        <v>12</v>
      </c>
      <c r="AM720">
        <v>19</v>
      </c>
      <c r="AN720" s="18">
        <v>0</v>
      </c>
      <c r="AO720" s="18">
        <v>0</v>
      </c>
      <c r="AP720" s="18">
        <v>0</v>
      </c>
      <c r="AQ720" s="18">
        <v>0</v>
      </c>
      <c r="AR720" s="29">
        <v>0</v>
      </c>
      <c r="AS720" s="29">
        <v>0</v>
      </c>
      <c r="AT720" s="29">
        <v>0</v>
      </c>
      <c r="AU720" s="24" t="str">
        <f t="shared" si="12"/>
        <v>库存为0</v>
      </c>
      <c r="AV720" s="31" t="str">
        <f>IFERROR(时间!$B$4+AU720,"上周无销量")</f>
        <v>上周无销量</v>
      </c>
    </row>
    <row r="721" spans="1:48">
      <c r="A721" s="16" t="s">
        <v>1348</v>
      </c>
      <c r="B721" t="s">
        <v>117</v>
      </c>
      <c r="C721" t="s">
        <v>1313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0</v>
      </c>
      <c r="J721" s="26">
        <v>0</v>
      </c>
      <c r="K721" s="26">
        <v>0</v>
      </c>
      <c r="L721" s="26">
        <v>0</v>
      </c>
      <c r="M721">
        <v>0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9</v>
      </c>
      <c r="AK721">
        <v>3</v>
      </c>
      <c r="AL721">
        <v>7</v>
      </c>
      <c r="AM721">
        <v>7</v>
      </c>
      <c r="AN721" s="18">
        <v>0</v>
      </c>
      <c r="AO721" s="18">
        <v>0</v>
      </c>
      <c r="AP721" s="18">
        <v>0</v>
      </c>
      <c r="AQ721" s="18">
        <v>0</v>
      </c>
      <c r="AR721" s="29">
        <v>0</v>
      </c>
      <c r="AS721" s="29">
        <v>0</v>
      </c>
      <c r="AT721" s="29">
        <v>0</v>
      </c>
      <c r="AU721" s="24" t="str">
        <f t="shared" si="12"/>
        <v>库存为0</v>
      </c>
      <c r="AV721" s="31" t="str">
        <f>IFERROR(时间!$B$4+AU721,"上周无销量")</f>
        <v>上周无销量</v>
      </c>
    </row>
    <row r="722" spans="1:48">
      <c r="A722" s="16" t="s">
        <v>1349</v>
      </c>
      <c r="B722" t="s">
        <v>119</v>
      </c>
      <c r="C722" t="s">
        <v>1313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1</v>
      </c>
      <c r="K722" s="26">
        <v>0</v>
      </c>
      <c r="L722" s="26">
        <v>0</v>
      </c>
      <c r="M722">
        <v>1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20</v>
      </c>
      <c r="AK722">
        <v>15</v>
      </c>
      <c r="AL722">
        <v>9</v>
      </c>
      <c r="AM722">
        <v>14</v>
      </c>
      <c r="AN722" s="18">
        <v>0</v>
      </c>
      <c r="AO722" s="18">
        <v>0</v>
      </c>
      <c r="AP722" s="18">
        <v>0</v>
      </c>
      <c r="AQ722" s="18">
        <v>0</v>
      </c>
      <c r="AR722" s="29">
        <v>0</v>
      </c>
      <c r="AS722" s="29">
        <v>0</v>
      </c>
      <c r="AT722" s="29">
        <v>1</v>
      </c>
      <c r="AU722" s="24" t="str">
        <f t="shared" si="12"/>
        <v>库存为1</v>
      </c>
      <c r="AV722" s="31" t="str">
        <f>IFERROR(时间!$B$4+AU722,"上周无销量")</f>
        <v>上周无销量</v>
      </c>
    </row>
    <row r="723" spans="1:48">
      <c r="A723" s="16" t="s">
        <v>1350</v>
      </c>
      <c r="B723" t="s">
        <v>121</v>
      </c>
      <c r="C723" t="s">
        <v>1313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>
        <v>0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12</v>
      </c>
      <c r="AK723">
        <v>8</v>
      </c>
      <c r="AL723">
        <v>11</v>
      </c>
      <c r="AM723">
        <v>13</v>
      </c>
      <c r="AN723" s="18">
        <v>0</v>
      </c>
      <c r="AO723" s="18">
        <v>0</v>
      </c>
      <c r="AP723" s="18">
        <v>0</v>
      </c>
      <c r="AQ723" s="18">
        <v>0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1351</v>
      </c>
      <c r="B724" t="s">
        <v>123</v>
      </c>
      <c r="C724" t="s">
        <v>1313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13</v>
      </c>
      <c r="AK724">
        <v>9</v>
      </c>
      <c r="AL724">
        <v>7</v>
      </c>
      <c r="AM724">
        <v>16</v>
      </c>
      <c r="AN724" s="18">
        <v>0</v>
      </c>
      <c r="AO724" s="18">
        <v>0</v>
      </c>
      <c r="AP724" s="18">
        <v>0</v>
      </c>
      <c r="AQ724" s="18">
        <v>0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1352</v>
      </c>
      <c r="B725" t="s">
        <v>125</v>
      </c>
      <c r="C725" t="s">
        <v>1313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0</v>
      </c>
      <c r="J725" s="26">
        <v>0</v>
      </c>
      <c r="K725" s="26">
        <v>0</v>
      </c>
      <c r="L725" s="26">
        <v>0</v>
      </c>
      <c r="M725">
        <v>0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9</v>
      </c>
      <c r="AK725">
        <v>8</v>
      </c>
      <c r="AL725">
        <v>10</v>
      </c>
      <c r="AM725">
        <v>17</v>
      </c>
      <c r="AN725" s="18">
        <v>0</v>
      </c>
      <c r="AO725" s="18">
        <v>0</v>
      </c>
      <c r="AP725" s="18">
        <v>0</v>
      </c>
      <c r="AQ725" s="18">
        <v>0</v>
      </c>
      <c r="AR725" s="29">
        <v>0</v>
      </c>
      <c r="AS725" s="29">
        <v>0</v>
      </c>
      <c r="AT725" s="29">
        <v>0</v>
      </c>
      <c r="AU725" s="24" t="str">
        <f t="shared" si="12"/>
        <v>库存为0</v>
      </c>
      <c r="AV725" s="31" t="str">
        <f>IFERROR(时间!$B$4+AU725,"上周无销量")</f>
        <v>上周无销量</v>
      </c>
    </row>
    <row r="726" spans="1:48">
      <c r="A726" s="16" t="s">
        <v>1353</v>
      </c>
      <c r="B726" t="s">
        <v>127</v>
      </c>
      <c r="C726" t="s">
        <v>1313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0</v>
      </c>
      <c r="K726" s="26">
        <v>0</v>
      </c>
      <c r="L726" s="26">
        <v>0</v>
      </c>
      <c r="M726">
        <v>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19</v>
      </c>
      <c r="AK726">
        <v>17</v>
      </c>
      <c r="AL726">
        <v>10</v>
      </c>
      <c r="AM726">
        <v>18</v>
      </c>
      <c r="AN726" s="18">
        <v>0</v>
      </c>
      <c r="AO726" s="18">
        <v>0</v>
      </c>
      <c r="AP726" s="18">
        <v>0</v>
      </c>
      <c r="AQ726" s="18">
        <v>0</v>
      </c>
      <c r="AR726" s="29">
        <v>0</v>
      </c>
      <c r="AS726" s="29">
        <v>0</v>
      </c>
      <c r="AT726" s="29">
        <v>0</v>
      </c>
      <c r="AU726" s="24" t="str">
        <f t="shared" si="12"/>
        <v>库存为0</v>
      </c>
      <c r="AV726" s="31" t="str">
        <f>IFERROR(时间!$B$4+AU726,"上周无销量")</f>
        <v>上周无销量</v>
      </c>
    </row>
    <row r="727" spans="1:48">
      <c r="A727" s="16" t="s">
        <v>1354</v>
      </c>
      <c r="B727" t="s">
        <v>129</v>
      </c>
      <c r="C727" t="s">
        <v>1313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0</v>
      </c>
      <c r="J727" s="26">
        <v>0</v>
      </c>
      <c r="K727" s="26">
        <v>0</v>
      </c>
      <c r="L727" s="26">
        <v>0</v>
      </c>
      <c r="M727">
        <v>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0</v>
      </c>
      <c r="AK727">
        <v>0</v>
      </c>
      <c r="AL727">
        <v>0</v>
      </c>
      <c r="AM727">
        <v>0</v>
      </c>
      <c r="AN727" s="18" t="s">
        <v>52</v>
      </c>
      <c r="AO727" s="18" t="s">
        <v>52</v>
      </c>
      <c r="AP727" s="18" t="s">
        <v>52</v>
      </c>
      <c r="AQ727" s="18" t="s">
        <v>52</v>
      </c>
      <c r="AR727" s="29">
        <v>0</v>
      </c>
      <c r="AS727" s="29">
        <v>0</v>
      </c>
      <c r="AT727" s="29">
        <v>0</v>
      </c>
      <c r="AU727" s="24" t="str">
        <f t="shared" si="12"/>
        <v>库存为0</v>
      </c>
      <c r="AV727" s="31" t="str">
        <f>IFERROR(时间!$B$4+AU727,"上周无销量")</f>
        <v>上周无销量</v>
      </c>
    </row>
    <row r="728" spans="1:48">
      <c r="A728" s="16" t="s">
        <v>1355</v>
      </c>
      <c r="B728" t="s">
        <v>131</v>
      </c>
      <c r="C728" t="s">
        <v>1313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0</v>
      </c>
      <c r="K728" s="26">
        <v>0</v>
      </c>
      <c r="L728" s="26">
        <v>0</v>
      </c>
      <c r="M728">
        <v>0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7</v>
      </c>
      <c r="AK728">
        <v>5</v>
      </c>
      <c r="AL728">
        <v>6</v>
      </c>
      <c r="AM728">
        <v>13</v>
      </c>
      <c r="AN728" s="18">
        <v>0</v>
      </c>
      <c r="AO728" s="18">
        <v>0</v>
      </c>
      <c r="AP728" s="18">
        <v>0</v>
      </c>
      <c r="AQ728" s="18">
        <v>0</v>
      </c>
      <c r="AR728" s="29">
        <v>0</v>
      </c>
      <c r="AS728" s="29">
        <v>0</v>
      </c>
      <c r="AT728" s="29">
        <v>0</v>
      </c>
      <c r="AU728" s="24" t="str">
        <f t="shared" si="12"/>
        <v>库存为0</v>
      </c>
      <c r="AV728" s="31" t="str">
        <f>IFERROR(时间!$B$4+AU728,"上周无销量")</f>
        <v>上周无销量</v>
      </c>
    </row>
    <row r="729" spans="1:48">
      <c r="A729" s="16" t="s">
        <v>1356</v>
      </c>
      <c r="B729" t="s">
        <v>133</v>
      </c>
      <c r="C729" t="s">
        <v>1313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0</v>
      </c>
      <c r="K729" s="26">
        <v>0</v>
      </c>
      <c r="L729" s="26">
        <v>0</v>
      </c>
      <c r="M729">
        <v>0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11</v>
      </c>
      <c r="AK729">
        <v>10</v>
      </c>
      <c r="AL729">
        <v>5</v>
      </c>
      <c r="AM729">
        <v>10</v>
      </c>
      <c r="AN729" s="18">
        <v>0</v>
      </c>
      <c r="AO729" s="18">
        <v>0</v>
      </c>
      <c r="AP729" s="18">
        <v>0</v>
      </c>
      <c r="AQ729" s="18">
        <v>0</v>
      </c>
      <c r="AR729" s="29">
        <v>0</v>
      </c>
      <c r="AS729" s="29">
        <v>0</v>
      </c>
      <c r="AT729" s="29">
        <v>0</v>
      </c>
      <c r="AU729" s="24" t="str">
        <f t="shared" si="12"/>
        <v>库存为0</v>
      </c>
      <c r="AV729" s="31" t="str">
        <f>IFERROR(时间!$B$4+AU729,"上周无销量")</f>
        <v>上周无销量</v>
      </c>
    </row>
    <row r="730" spans="1:48">
      <c r="A730" s="16" t="s">
        <v>1357</v>
      </c>
      <c r="B730" t="s">
        <v>135</v>
      </c>
      <c r="C730" t="s">
        <v>1313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0</v>
      </c>
      <c r="AM730">
        <v>0</v>
      </c>
      <c r="AN730" s="18" t="s">
        <v>52</v>
      </c>
      <c r="AO730" s="18" t="s">
        <v>52</v>
      </c>
      <c r="AP730" s="18" t="s">
        <v>52</v>
      </c>
      <c r="AQ730" s="18" t="s">
        <v>52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1358</v>
      </c>
      <c r="B731" t="s">
        <v>137</v>
      </c>
      <c r="C731" t="s">
        <v>1313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0</v>
      </c>
      <c r="K731" s="26">
        <v>0</v>
      </c>
      <c r="L731" s="26">
        <v>0</v>
      </c>
      <c r="M731">
        <v>0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9</v>
      </c>
      <c r="AK731">
        <v>7</v>
      </c>
      <c r="AL731">
        <v>5</v>
      </c>
      <c r="AM731">
        <v>11</v>
      </c>
      <c r="AN731" s="18">
        <v>0</v>
      </c>
      <c r="AO731" s="18">
        <v>0</v>
      </c>
      <c r="AP731" s="18">
        <v>0</v>
      </c>
      <c r="AQ731" s="18">
        <v>0</v>
      </c>
      <c r="AR731" s="29">
        <v>0</v>
      </c>
      <c r="AS731" s="29">
        <v>0</v>
      </c>
      <c r="AT731" s="29">
        <v>0</v>
      </c>
      <c r="AU731" s="24" t="str">
        <f t="shared" si="12"/>
        <v>库存为0</v>
      </c>
      <c r="AV731" s="31" t="str">
        <f>IFERROR(时间!$B$4+AU731,"上周无销量")</f>
        <v>上周无销量</v>
      </c>
    </row>
    <row r="732" spans="1:48">
      <c r="A732" s="16" t="s">
        <v>1359</v>
      </c>
      <c r="B732" t="s">
        <v>139</v>
      </c>
      <c r="C732" t="s">
        <v>1313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0</v>
      </c>
      <c r="K732" s="26">
        <v>0</v>
      </c>
      <c r="L732" s="26">
        <v>0</v>
      </c>
      <c r="M732">
        <v>0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10</v>
      </c>
      <c r="AK732">
        <v>15</v>
      </c>
      <c r="AL732">
        <v>9</v>
      </c>
      <c r="AM732">
        <v>20</v>
      </c>
      <c r="AN732" s="18">
        <v>0</v>
      </c>
      <c r="AO732" s="18">
        <v>0</v>
      </c>
      <c r="AP732" s="18">
        <v>0</v>
      </c>
      <c r="AQ732" s="18">
        <v>0</v>
      </c>
      <c r="AR732" s="29">
        <v>0</v>
      </c>
      <c r="AS732" s="29">
        <v>0</v>
      </c>
      <c r="AT732" s="29">
        <v>0</v>
      </c>
      <c r="AU732" s="24" t="str">
        <f t="shared" si="12"/>
        <v>库存为0</v>
      </c>
      <c r="AV732" s="31" t="str">
        <f>IFERROR(时间!$B$4+AU732,"上周无销量")</f>
        <v>上周无销量</v>
      </c>
    </row>
    <row r="733" spans="1:48">
      <c r="A733" s="16" t="s">
        <v>1360</v>
      </c>
      <c r="B733" t="s">
        <v>1361</v>
      </c>
      <c r="C733" t="s">
        <v>1313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0</v>
      </c>
      <c r="K733" s="26">
        <v>0</v>
      </c>
      <c r="L733" s="26">
        <v>0</v>
      </c>
      <c r="M733">
        <v>0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0</v>
      </c>
      <c r="AK733">
        <v>0</v>
      </c>
      <c r="AL733">
        <v>0</v>
      </c>
      <c r="AM733">
        <v>0</v>
      </c>
      <c r="AN733" s="18" t="s">
        <v>52</v>
      </c>
      <c r="AO733" s="18" t="s">
        <v>52</v>
      </c>
      <c r="AP733" s="18" t="s">
        <v>52</v>
      </c>
      <c r="AQ733" s="18" t="s">
        <v>52</v>
      </c>
      <c r="AR733" s="29">
        <v>0</v>
      </c>
      <c r="AS733" s="29">
        <v>0</v>
      </c>
      <c r="AT733" s="29">
        <v>0</v>
      </c>
      <c r="AU733" s="24" t="str">
        <f t="shared" si="12"/>
        <v>库存为0</v>
      </c>
      <c r="AV733" s="31" t="str">
        <f>IFERROR(时间!$B$4+AU733,"上周无销量")</f>
        <v>上周无销量</v>
      </c>
    </row>
    <row r="734" spans="1:48">
      <c r="A734" s="16" t="s">
        <v>1362</v>
      </c>
      <c r="B734" t="s">
        <v>141</v>
      </c>
      <c r="C734" t="s">
        <v>1313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0</v>
      </c>
      <c r="K734" s="26">
        <v>0</v>
      </c>
      <c r="L734" s="26">
        <v>0</v>
      </c>
      <c r="M734">
        <v>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4</v>
      </c>
      <c r="AK734">
        <v>4</v>
      </c>
      <c r="AL734">
        <v>8</v>
      </c>
      <c r="AM734">
        <v>8</v>
      </c>
      <c r="AN734" s="18">
        <v>0</v>
      </c>
      <c r="AO734" s="18">
        <v>0</v>
      </c>
      <c r="AP734" s="18">
        <v>0</v>
      </c>
      <c r="AQ734" s="18">
        <v>0</v>
      </c>
      <c r="AR734" s="29">
        <v>0</v>
      </c>
      <c r="AS734" s="29">
        <v>0</v>
      </c>
      <c r="AT734" s="29">
        <v>0</v>
      </c>
      <c r="AU734" s="24" t="str">
        <f t="shared" si="12"/>
        <v>库存为0</v>
      </c>
      <c r="AV734" s="31" t="str">
        <f>IFERROR(时间!$B$4+AU734,"上周无销量")</f>
        <v>上周无销量</v>
      </c>
    </row>
    <row r="735" spans="1:48">
      <c r="A735" s="16" t="s">
        <v>1363</v>
      </c>
      <c r="B735" t="s">
        <v>1364</v>
      </c>
      <c r="C735" t="s">
        <v>1365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0</v>
      </c>
      <c r="K735" s="26">
        <v>0</v>
      </c>
      <c r="L735" s="26">
        <v>0</v>
      </c>
      <c r="M735">
        <v>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2</v>
      </c>
      <c r="AK735">
        <v>7</v>
      </c>
      <c r="AL735">
        <v>7</v>
      </c>
      <c r="AM735">
        <v>10</v>
      </c>
      <c r="AN735" s="18">
        <v>0</v>
      </c>
      <c r="AO735" s="18">
        <v>0</v>
      </c>
      <c r="AP735" s="18">
        <v>0</v>
      </c>
      <c r="AQ735" s="18">
        <v>0</v>
      </c>
      <c r="AR735" s="29">
        <v>0</v>
      </c>
      <c r="AS735" s="29">
        <v>0</v>
      </c>
      <c r="AT735" s="29">
        <v>0</v>
      </c>
      <c r="AU735" s="24" t="str">
        <f t="shared" si="12"/>
        <v>库存为0</v>
      </c>
      <c r="AV735" s="31" t="str">
        <f>IFERROR(时间!$B$4+AU735,"上周无销量")</f>
        <v>上周无销量</v>
      </c>
    </row>
    <row r="736" spans="1:48">
      <c r="A736" s="16" t="s">
        <v>1366</v>
      </c>
      <c r="B736" t="s">
        <v>1367</v>
      </c>
      <c r="C736" t="s">
        <v>1365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0</v>
      </c>
      <c r="J736" s="26">
        <v>0</v>
      </c>
      <c r="K736" s="26">
        <v>0</v>
      </c>
      <c r="L736" s="26">
        <v>0</v>
      </c>
      <c r="M736">
        <v>0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0</v>
      </c>
      <c r="AK736">
        <v>0</v>
      </c>
      <c r="AL736">
        <v>0</v>
      </c>
      <c r="AM736">
        <v>0</v>
      </c>
      <c r="AN736" s="18" t="s">
        <v>52</v>
      </c>
      <c r="AO736" s="18" t="s">
        <v>52</v>
      </c>
      <c r="AP736" s="18" t="s">
        <v>52</v>
      </c>
      <c r="AQ736" s="18" t="s">
        <v>52</v>
      </c>
      <c r="AR736" s="29">
        <v>0</v>
      </c>
      <c r="AS736" s="29">
        <v>0</v>
      </c>
      <c r="AT736" s="29">
        <v>0</v>
      </c>
      <c r="AU736" s="24" t="str">
        <f t="shared" si="12"/>
        <v>库存为0</v>
      </c>
      <c r="AV736" s="31" t="str">
        <f>IFERROR(时间!$B$4+AU736,"上周无销量")</f>
        <v>上周无销量</v>
      </c>
    </row>
    <row r="737" spans="1:48">
      <c r="A737" s="16" t="s">
        <v>1368</v>
      </c>
      <c r="B737" t="s">
        <v>1369</v>
      </c>
      <c r="C737" t="s">
        <v>1365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0</v>
      </c>
      <c r="K737" s="26">
        <v>0</v>
      </c>
      <c r="L737" s="26">
        <v>0</v>
      </c>
      <c r="M737">
        <v>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0</v>
      </c>
      <c r="AK737">
        <v>0</v>
      </c>
      <c r="AL737">
        <v>0</v>
      </c>
      <c r="AM737">
        <v>0</v>
      </c>
      <c r="AN737" s="18" t="s">
        <v>52</v>
      </c>
      <c r="AO737" s="18" t="s">
        <v>52</v>
      </c>
      <c r="AP737" s="18" t="s">
        <v>52</v>
      </c>
      <c r="AQ737" s="18" t="s">
        <v>52</v>
      </c>
      <c r="AR737" s="29">
        <v>0</v>
      </c>
      <c r="AS737" s="29">
        <v>0</v>
      </c>
      <c r="AT737" s="29">
        <v>0</v>
      </c>
      <c r="AU737" s="24" t="str">
        <f t="shared" si="12"/>
        <v>库存为0</v>
      </c>
      <c r="AV737" s="31" t="str">
        <f>IFERROR(时间!$B$4+AU737,"上周无销量")</f>
        <v>上周无销量</v>
      </c>
    </row>
    <row r="738" spans="1:48">
      <c r="A738" s="16" t="s">
        <v>1370</v>
      </c>
      <c r="B738" t="s">
        <v>1371</v>
      </c>
      <c r="C738" t="s">
        <v>1365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0</v>
      </c>
      <c r="K738" s="26">
        <v>0</v>
      </c>
      <c r="L738" s="26">
        <v>0</v>
      </c>
      <c r="M738">
        <v>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5</v>
      </c>
      <c r="AK738">
        <v>6</v>
      </c>
      <c r="AL738">
        <v>9</v>
      </c>
      <c r="AM738">
        <v>2</v>
      </c>
      <c r="AN738" s="18">
        <v>0</v>
      </c>
      <c r="AO738" s="18">
        <v>0</v>
      </c>
      <c r="AP738" s="18">
        <v>0</v>
      </c>
      <c r="AQ738" s="18">
        <v>0</v>
      </c>
      <c r="AR738" s="29">
        <v>0</v>
      </c>
      <c r="AS738" s="29">
        <v>0</v>
      </c>
      <c r="AT738" s="29">
        <v>0</v>
      </c>
      <c r="AU738" s="24" t="str">
        <f t="shared" si="12"/>
        <v>库存为0</v>
      </c>
      <c r="AV738" s="31" t="str">
        <f>IFERROR(时间!$B$4+AU738,"上周无销量")</f>
        <v>上周无销量</v>
      </c>
    </row>
    <row r="739" spans="1:48">
      <c r="A739" s="16" t="s">
        <v>1372</v>
      </c>
      <c r="B739" t="s">
        <v>1373</v>
      </c>
      <c r="C739" t="s">
        <v>1365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0</v>
      </c>
      <c r="J739" s="26">
        <v>0</v>
      </c>
      <c r="K739" s="26">
        <v>0</v>
      </c>
      <c r="L739" s="26">
        <v>0</v>
      </c>
      <c r="M739">
        <v>0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0</v>
      </c>
      <c r="AK739">
        <v>0</v>
      </c>
      <c r="AL739">
        <v>0</v>
      </c>
      <c r="AM739">
        <v>0</v>
      </c>
      <c r="AN739" s="18" t="s">
        <v>52</v>
      </c>
      <c r="AO739" s="18" t="s">
        <v>52</v>
      </c>
      <c r="AP739" s="18" t="s">
        <v>52</v>
      </c>
      <c r="AQ739" s="18" t="s">
        <v>52</v>
      </c>
      <c r="AR739" s="29">
        <v>0</v>
      </c>
      <c r="AS739" s="29">
        <v>0</v>
      </c>
      <c r="AT739" s="29">
        <v>0</v>
      </c>
      <c r="AU739" s="24" t="str">
        <f t="shared" si="12"/>
        <v>库存为0</v>
      </c>
      <c r="AV739" s="31" t="str">
        <f>IFERROR(时间!$B$4+AU739,"上周无销量")</f>
        <v>上周无销量</v>
      </c>
    </row>
    <row r="740" spans="1:48">
      <c r="A740" s="16" t="s">
        <v>1374</v>
      </c>
      <c r="B740" t="s">
        <v>1375</v>
      </c>
      <c r="C740" t="s">
        <v>1376</v>
      </c>
      <c r="D740" s="24">
        <v>0</v>
      </c>
      <c r="E740" s="24">
        <v>0</v>
      </c>
      <c r="F740" s="24">
        <v>0</v>
      </c>
      <c r="G740" s="24">
        <v>0</v>
      </c>
      <c r="H740" s="25">
        <v>0</v>
      </c>
      <c r="I740">
        <v>0</v>
      </c>
      <c r="J740" s="26">
        <v>0</v>
      </c>
      <c r="K740" s="26">
        <v>0</v>
      </c>
      <c r="L740" s="26">
        <v>0</v>
      </c>
      <c r="M740">
        <v>0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0</v>
      </c>
      <c r="AK740">
        <v>0</v>
      </c>
      <c r="AL740">
        <v>0</v>
      </c>
      <c r="AM740">
        <v>0</v>
      </c>
      <c r="AN740" s="18" t="s">
        <v>52</v>
      </c>
      <c r="AO740" s="18" t="s">
        <v>52</v>
      </c>
      <c r="AP740" s="18" t="s">
        <v>52</v>
      </c>
      <c r="AQ740" s="18" t="s">
        <v>52</v>
      </c>
      <c r="AR740" s="29">
        <v>0</v>
      </c>
      <c r="AS740" s="29">
        <v>0</v>
      </c>
      <c r="AT740" s="29">
        <v>0</v>
      </c>
      <c r="AU740" s="24" t="str">
        <f t="shared" si="12"/>
        <v>库存为0</v>
      </c>
      <c r="AV740" s="31" t="str">
        <f>IFERROR(时间!$B$4+AU740,"上周无销量")</f>
        <v>上周无销量</v>
      </c>
    </row>
    <row r="741" spans="1:48">
      <c r="A741" s="16" t="s">
        <v>1377</v>
      </c>
      <c r="B741" t="s">
        <v>1378</v>
      </c>
      <c r="C741" t="s">
        <v>1376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0</v>
      </c>
      <c r="J741" s="26">
        <v>0</v>
      </c>
      <c r="K741" s="26">
        <v>0</v>
      </c>
      <c r="L741" s="26">
        <v>0</v>
      </c>
      <c r="M741">
        <v>0</v>
      </c>
      <c r="N741">
        <v>0</v>
      </c>
      <c r="O741">
        <v>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4</v>
      </c>
      <c r="AK741">
        <v>4</v>
      </c>
      <c r="AL741">
        <v>5</v>
      </c>
      <c r="AM741">
        <v>3</v>
      </c>
      <c r="AN741" s="18">
        <v>0</v>
      </c>
      <c r="AO741" s="18">
        <v>0</v>
      </c>
      <c r="AP741" s="18">
        <v>0</v>
      </c>
      <c r="AQ741" s="18">
        <v>0</v>
      </c>
      <c r="AR741" s="29">
        <v>0</v>
      </c>
      <c r="AS741" s="29">
        <v>0</v>
      </c>
      <c r="AT741" s="29">
        <v>0</v>
      </c>
      <c r="AU741" s="24" t="str">
        <f t="shared" si="12"/>
        <v>库存为0</v>
      </c>
      <c r="AV741" s="31" t="str">
        <f>IFERROR(时间!$B$4+AU741,"上周无销量")</f>
        <v>上周无销量</v>
      </c>
    </row>
    <row r="742" spans="1:48">
      <c r="A742" s="16" t="s">
        <v>1379</v>
      </c>
      <c r="B742" t="s">
        <v>1380</v>
      </c>
      <c r="C742" t="s">
        <v>1376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10</v>
      </c>
      <c r="K742" s="26">
        <v>0</v>
      </c>
      <c r="L742" s="26">
        <v>0</v>
      </c>
      <c r="M742">
        <v>10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4</v>
      </c>
      <c r="AK742">
        <v>6</v>
      </c>
      <c r="AL742">
        <v>17</v>
      </c>
      <c r="AM742">
        <v>4</v>
      </c>
      <c r="AN742" s="18">
        <v>0</v>
      </c>
      <c r="AO742" s="18">
        <v>0</v>
      </c>
      <c r="AP742" s="18">
        <v>0</v>
      </c>
      <c r="AQ742" s="18">
        <v>0</v>
      </c>
      <c r="AR742" s="29">
        <v>0</v>
      </c>
      <c r="AS742" s="29">
        <v>0</v>
      </c>
      <c r="AT742" s="29">
        <v>10</v>
      </c>
      <c r="AU742" s="24" t="str">
        <f t="shared" si="12"/>
        <v>库存为10</v>
      </c>
      <c r="AV742" s="31" t="str">
        <f>IFERROR(时间!$B$4+AU742,"上周无销量")</f>
        <v>上周无销量</v>
      </c>
    </row>
    <row r="743" spans="1:48">
      <c r="A743" s="16" t="s">
        <v>1381</v>
      </c>
      <c r="B743" t="s">
        <v>1382</v>
      </c>
      <c r="C743" t="s">
        <v>1376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0</v>
      </c>
      <c r="K743" s="26">
        <v>0</v>
      </c>
      <c r="L743" s="26">
        <v>0</v>
      </c>
      <c r="M743">
        <v>0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9</v>
      </c>
      <c r="AK743">
        <v>4</v>
      </c>
      <c r="AL743">
        <v>5</v>
      </c>
      <c r="AM743">
        <v>2</v>
      </c>
      <c r="AN743" s="18">
        <v>0</v>
      </c>
      <c r="AO743" s="18">
        <v>0</v>
      </c>
      <c r="AP743" s="18">
        <v>0</v>
      </c>
      <c r="AQ743" s="18">
        <v>0</v>
      </c>
      <c r="AR743" s="29">
        <v>0</v>
      </c>
      <c r="AS743" s="29">
        <v>0</v>
      </c>
      <c r="AT743" s="29">
        <v>0</v>
      </c>
      <c r="AU743" s="24" t="str">
        <f t="shared" si="12"/>
        <v>库存为0</v>
      </c>
      <c r="AV743" s="31" t="str">
        <f>IFERROR(时间!$B$4+AU743,"上周无销量")</f>
        <v>上周无销量</v>
      </c>
    </row>
    <row r="744" spans="1:48">
      <c r="A744" s="16" t="s">
        <v>1383</v>
      </c>
      <c r="B744" t="s">
        <v>1384</v>
      </c>
      <c r="C744" t="s">
        <v>1376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0</v>
      </c>
      <c r="J744" s="26">
        <v>0</v>
      </c>
      <c r="K744" s="26">
        <v>0</v>
      </c>
      <c r="L744" s="26">
        <v>0</v>
      </c>
      <c r="M744">
        <v>0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8</v>
      </c>
      <c r="AK744">
        <v>6</v>
      </c>
      <c r="AL744">
        <v>7</v>
      </c>
      <c r="AM744">
        <v>3</v>
      </c>
      <c r="AN744" s="18">
        <v>0</v>
      </c>
      <c r="AO744" s="18">
        <v>0</v>
      </c>
      <c r="AP744" s="18">
        <v>0</v>
      </c>
      <c r="AQ744" s="18">
        <v>0</v>
      </c>
      <c r="AR744" s="29">
        <v>0</v>
      </c>
      <c r="AS744" s="29">
        <v>0</v>
      </c>
      <c r="AT744" s="29">
        <v>0</v>
      </c>
      <c r="AU744" s="24" t="str">
        <f t="shared" si="12"/>
        <v>库存为0</v>
      </c>
      <c r="AV744" s="31" t="str">
        <f>IFERROR(时间!$B$4+AU744,"上周无销量")</f>
        <v>上周无销量</v>
      </c>
    </row>
    <row r="745" spans="1:48">
      <c r="A745" s="16" t="s">
        <v>1385</v>
      </c>
      <c r="B745" t="s">
        <v>1386</v>
      </c>
      <c r="C745" t="s">
        <v>1376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0</v>
      </c>
      <c r="AK745">
        <v>0</v>
      </c>
      <c r="AL745">
        <v>0</v>
      </c>
      <c r="AM745">
        <v>0</v>
      </c>
      <c r="AN745" s="18" t="s">
        <v>52</v>
      </c>
      <c r="AO745" s="18" t="s">
        <v>52</v>
      </c>
      <c r="AP745" s="18" t="s">
        <v>52</v>
      </c>
      <c r="AQ745" s="18" t="s">
        <v>52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1387</v>
      </c>
      <c r="B746" t="s">
        <v>1388</v>
      </c>
      <c r="C746" t="s">
        <v>1376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0</v>
      </c>
      <c r="K746" s="26">
        <v>0</v>
      </c>
      <c r="L746" s="26">
        <v>0</v>
      </c>
      <c r="M746">
        <v>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0</v>
      </c>
      <c r="AK746">
        <v>0</v>
      </c>
      <c r="AL746">
        <v>0</v>
      </c>
      <c r="AM746">
        <v>0</v>
      </c>
      <c r="AN746" s="18" t="s">
        <v>52</v>
      </c>
      <c r="AO746" s="18" t="s">
        <v>52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0</v>
      </c>
      <c r="AU746" s="24" t="str">
        <f t="shared" si="12"/>
        <v>库存为0</v>
      </c>
      <c r="AV746" s="31" t="str">
        <f>IFERROR(时间!$B$4+AU746,"上周无销量")</f>
        <v>上周无销量</v>
      </c>
    </row>
    <row r="747" spans="1:48">
      <c r="A747" s="16" t="s">
        <v>1389</v>
      </c>
      <c r="B747" t="s">
        <v>1390</v>
      </c>
      <c r="C747" t="s">
        <v>1376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0</v>
      </c>
      <c r="K747" s="26">
        <v>0</v>
      </c>
      <c r="L747" s="26">
        <v>0</v>
      </c>
      <c r="M747">
        <v>0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6</v>
      </c>
      <c r="AK747">
        <v>9</v>
      </c>
      <c r="AL747">
        <v>8</v>
      </c>
      <c r="AM747">
        <v>3</v>
      </c>
      <c r="AN747" s="18">
        <v>0</v>
      </c>
      <c r="AO747" s="18">
        <v>0</v>
      </c>
      <c r="AP747" s="18">
        <v>0</v>
      </c>
      <c r="AQ747" s="18">
        <v>0</v>
      </c>
      <c r="AR747" s="29">
        <v>0</v>
      </c>
      <c r="AS747" s="29">
        <v>0</v>
      </c>
      <c r="AT747" s="29">
        <v>0</v>
      </c>
      <c r="AU747" s="24" t="str">
        <f t="shared" si="12"/>
        <v>库存为0</v>
      </c>
      <c r="AV747" s="31" t="str">
        <f>IFERROR(时间!$B$4+AU747,"上周无销量")</f>
        <v>上周无销量</v>
      </c>
    </row>
    <row r="748" spans="1:48">
      <c r="A748" s="16" t="s">
        <v>1391</v>
      </c>
      <c r="B748" t="s">
        <v>1392</v>
      </c>
      <c r="C748" t="s">
        <v>1376</v>
      </c>
      <c r="D748" s="24">
        <v>0</v>
      </c>
      <c r="E748" s="24">
        <v>0</v>
      </c>
      <c r="F748" s="24">
        <v>0</v>
      </c>
      <c r="G748" s="24">
        <v>0</v>
      </c>
      <c r="H748" s="25">
        <v>0</v>
      </c>
      <c r="I748">
        <v>0</v>
      </c>
      <c r="J748" s="26">
        <v>0</v>
      </c>
      <c r="K748" s="26">
        <v>0</v>
      </c>
      <c r="L748" s="26">
        <v>0</v>
      </c>
      <c r="M748">
        <v>0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0</v>
      </c>
      <c r="AK748">
        <v>0</v>
      </c>
      <c r="AL748">
        <v>0</v>
      </c>
      <c r="AM748">
        <v>0</v>
      </c>
      <c r="AN748" s="18" t="s">
        <v>52</v>
      </c>
      <c r="AO748" s="18" t="s">
        <v>52</v>
      </c>
      <c r="AP748" s="18" t="s">
        <v>52</v>
      </c>
      <c r="AQ748" s="18" t="s">
        <v>52</v>
      </c>
      <c r="AR748" s="29">
        <v>0</v>
      </c>
      <c r="AS748" s="29">
        <v>0</v>
      </c>
      <c r="AT748" s="29">
        <v>0</v>
      </c>
      <c r="AU748" s="24" t="str">
        <f t="shared" si="12"/>
        <v>库存为0</v>
      </c>
      <c r="AV748" s="31" t="str">
        <f>IFERROR(时间!$B$4+AU748,"上周无销量")</f>
        <v>上周无销量</v>
      </c>
    </row>
    <row r="749" spans="1:48">
      <c r="A749" s="16" t="s">
        <v>1393</v>
      </c>
      <c r="B749" t="s">
        <v>1394</v>
      </c>
      <c r="C749" t="s">
        <v>1376</v>
      </c>
      <c r="D749" s="24">
        <v>0</v>
      </c>
      <c r="E749" s="24">
        <v>0</v>
      </c>
      <c r="F749" s="24">
        <v>0</v>
      </c>
      <c r="G749" s="24">
        <v>0</v>
      </c>
      <c r="H749" s="25">
        <v>0</v>
      </c>
      <c r="I749">
        <v>0</v>
      </c>
      <c r="J749" s="26">
        <v>0</v>
      </c>
      <c r="K749" s="26">
        <v>0</v>
      </c>
      <c r="L749" s="26">
        <v>0</v>
      </c>
      <c r="M749">
        <v>0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0</v>
      </c>
      <c r="AK749">
        <v>0</v>
      </c>
      <c r="AL749">
        <v>0</v>
      </c>
      <c r="AM749">
        <v>0</v>
      </c>
      <c r="AN749" s="18" t="s">
        <v>52</v>
      </c>
      <c r="AO749" s="18" t="s">
        <v>52</v>
      </c>
      <c r="AP749" s="18" t="s">
        <v>52</v>
      </c>
      <c r="AQ749" s="18" t="s">
        <v>52</v>
      </c>
      <c r="AR749" s="29">
        <v>0</v>
      </c>
      <c r="AS749" s="29">
        <v>0</v>
      </c>
      <c r="AT749" s="29">
        <v>0</v>
      </c>
      <c r="AU749" s="24" t="str">
        <f t="shared" si="12"/>
        <v>库存为0</v>
      </c>
      <c r="AV749" s="31" t="str">
        <f>IFERROR(时间!$B$4+AU749,"上周无销量")</f>
        <v>上周无销量</v>
      </c>
    </row>
    <row r="750" spans="1:48">
      <c r="A750" s="16" t="s">
        <v>1395</v>
      </c>
      <c r="B750" t="s">
        <v>1396</v>
      </c>
      <c r="C750" t="s">
        <v>1376</v>
      </c>
      <c r="D750" s="24">
        <v>0</v>
      </c>
      <c r="E750" s="24">
        <v>0</v>
      </c>
      <c r="F750" s="24">
        <v>0</v>
      </c>
      <c r="G750" s="24">
        <v>0</v>
      </c>
      <c r="H750" s="25">
        <v>0</v>
      </c>
      <c r="I750">
        <v>0</v>
      </c>
      <c r="J750" s="26">
        <v>0</v>
      </c>
      <c r="K750" s="26">
        <v>0</v>
      </c>
      <c r="L750" s="26">
        <v>0</v>
      </c>
      <c r="M750">
        <v>0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0</v>
      </c>
      <c r="AK750">
        <v>0</v>
      </c>
      <c r="AL750">
        <v>0</v>
      </c>
      <c r="AM750">
        <v>0</v>
      </c>
      <c r="AN750" s="18" t="s">
        <v>52</v>
      </c>
      <c r="AO750" s="18" t="s">
        <v>52</v>
      </c>
      <c r="AP750" s="18" t="s">
        <v>52</v>
      </c>
      <c r="AQ750" s="18" t="s">
        <v>52</v>
      </c>
      <c r="AR750" s="29">
        <v>0</v>
      </c>
      <c r="AS750" s="29">
        <v>0</v>
      </c>
      <c r="AT750" s="29">
        <v>0</v>
      </c>
      <c r="AU750" s="24" t="str">
        <f t="shared" si="12"/>
        <v>库存为0</v>
      </c>
      <c r="AV750" s="31" t="str">
        <f>IFERROR(时间!$B$4+AU750,"上周无销量")</f>
        <v>上周无销量</v>
      </c>
    </row>
    <row r="751" spans="1:48">
      <c r="A751" s="16" t="s">
        <v>1397</v>
      </c>
      <c r="B751" t="s">
        <v>1398</v>
      </c>
      <c r="C751" t="s">
        <v>1376</v>
      </c>
      <c r="D751" s="24">
        <v>0</v>
      </c>
      <c r="E751" s="24">
        <v>0</v>
      </c>
      <c r="F751" s="24">
        <v>0</v>
      </c>
      <c r="G751" s="24">
        <v>0</v>
      </c>
      <c r="H751" s="25">
        <v>0</v>
      </c>
      <c r="I751">
        <v>0</v>
      </c>
      <c r="J751" s="26">
        <v>7</v>
      </c>
      <c r="K751" s="26">
        <v>0</v>
      </c>
      <c r="L751" s="26">
        <v>0</v>
      </c>
      <c r="M751">
        <v>7</v>
      </c>
      <c r="N751">
        <v>0</v>
      </c>
      <c r="O751">
        <v>0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17</v>
      </c>
      <c r="AK751">
        <v>20</v>
      </c>
      <c r="AL751">
        <v>13</v>
      </c>
      <c r="AM751">
        <v>6</v>
      </c>
      <c r="AN751" s="18">
        <v>0</v>
      </c>
      <c r="AO751" s="18">
        <v>0</v>
      </c>
      <c r="AP751" s="18">
        <v>0</v>
      </c>
      <c r="AQ751" s="18">
        <v>0</v>
      </c>
      <c r="AR751" s="29">
        <v>0</v>
      </c>
      <c r="AS751" s="29">
        <v>0</v>
      </c>
      <c r="AT751" s="29">
        <v>7</v>
      </c>
      <c r="AU751" s="24" t="str">
        <f t="shared" si="12"/>
        <v>库存为7</v>
      </c>
      <c r="AV751" s="31" t="str">
        <f>IFERROR(时间!$B$4+AU751,"上周无销量")</f>
        <v>上周无销量</v>
      </c>
    </row>
    <row r="752" spans="1:48">
      <c r="A752" s="16" t="s">
        <v>1399</v>
      </c>
      <c r="B752" t="s">
        <v>1400</v>
      </c>
      <c r="C752" t="s">
        <v>1376</v>
      </c>
      <c r="D752" s="24">
        <v>0</v>
      </c>
      <c r="E752" s="24">
        <v>0</v>
      </c>
      <c r="F752" s="24">
        <v>0</v>
      </c>
      <c r="G752" s="24">
        <v>0</v>
      </c>
      <c r="H752" s="25">
        <v>0</v>
      </c>
      <c r="I752">
        <v>0</v>
      </c>
      <c r="J752" s="26">
        <v>9</v>
      </c>
      <c r="K752" s="26">
        <v>0</v>
      </c>
      <c r="L752" s="26">
        <v>0</v>
      </c>
      <c r="M752">
        <v>9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0</v>
      </c>
      <c r="AK752">
        <v>0</v>
      </c>
      <c r="AL752">
        <v>3</v>
      </c>
      <c r="AM752">
        <v>6</v>
      </c>
      <c r="AN752" s="18" t="s">
        <v>52</v>
      </c>
      <c r="AO752" s="18" t="s">
        <v>52</v>
      </c>
      <c r="AP752" s="18">
        <v>0</v>
      </c>
      <c r="AQ752" s="18">
        <v>0</v>
      </c>
      <c r="AR752" s="29">
        <v>0</v>
      </c>
      <c r="AS752" s="29">
        <v>0</v>
      </c>
      <c r="AT752" s="29">
        <v>9</v>
      </c>
      <c r="AU752" s="24" t="str">
        <f t="shared" si="12"/>
        <v>库存为9</v>
      </c>
      <c r="AV752" s="31" t="str">
        <f>IFERROR(时间!$B$4+AU752,"上周无销量")</f>
        <v>上周无销量</v>
      </c>
    </row>
    <row r="753" spans="1:48">
      <c r="A753" s="16" t="s">
        <v>1401</v>
      </c>
      <c r="B753" t="s">
        <v>1402</v>
      </c>
      <c r="C753" t="s">
        <v>1376</v>
      </c>
      <c r="D753" s="24">
        <v>0</v>
      </c>
      <c r="E753" s="24">
        <v>0</v>
      </c>
      <c r="F753" s="24">
        <v>0</v>
      </c>
      <c r="G753" s="24">
        <v>0</v>
      </c>
      <c r="H753" s="25">
        <v>0</v>
      </c>
      <c r="I753">
        <v>0</v>
      </c>
      <c r="J753" s="26">
        <v>12</v>
      </c>
      <c r="K753" s="26">
        <v>0</v>
      </c>
      <c r="L753" s="26">
        <v>0</v>
      </c>
      <c r="M753">
        <v>12</v>
      </c>
      <c r="N753">
        <v>0</v>
      </c>
      <c r="O753">
        <v>0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0</v>
      </c>
      <c r="AK753">
        <v>0</v>
      </c>
      <c r="AL753">
        <v>0</v>
      </c>
      <c r="AM753">
        <v>0</v>
      </c>
      <c r="AN753" s="18" t="s">
        <v>52</v>
      </c>
      <c r="AO753" s="18" t="s">
        <v>52</v>
      </c>
      <c r="AP753" s="18" t="s">
        <v>52</v>
      </c>
      <c r="AQ753" s="18" t="s">
        <v>52</v>
      </c>
      <c r="AR753" s="29">
        <v>0</v>
      </c>
      <c r="AS753" s="29">
        <v>0</v>
      </c>
      <c r="AT753" s="29">
        <v>12</v>
      </c>
      <c r="AU753" s="24" t="str">
        <f t="shared" si="12"/>
        <v>库存为12</v>
      </c>
      <c r="AV753" s="31" t="str">
        <f>IFERROR(时间!$B$4+AU753,"上周无销量")</f>
        <v>上周无销量</v>
      </c>
    </row>
    <row r="754" spans="1:48">
      <c r="A754" s="16" t="s">
        <v>1403</v>
      </c>
      <c r="B754" t="s">
        <v>1404</v>
      </c>
      <c r="C754" t="s">
        <v>1376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0</v>
      </c>
      <c r="J754" s="26">
        <v>0</v>
      </c>
      <c r="K754" s="26">
        <v>0</v>
      </c>
      <c r="L754" s="26">
        <v>0</v>
      </c>
      <c r="M754">
        <v>0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5</v>
      </c>
      <c r="AK754">
        <v>3</v>
      </c>
      <c r="AL754">
        <v>4</v>
      </c>
      <c r="AM754">
        <v>6</v>
      </c>
      <c r="AN754" s="18">
        <v>0</v>
      </c>
      <c r="AO754" s="18">
        <v>0</v>
      </c>
      <c r="AP754" s="18">
        <v>0</v>
      </c>
      <c r="AQ754" s="18">
        <v>0</v>
      </c>
      <c r="AR754" s="29">
        <v>0</v>
      </c>
      <c r="AS754" s="29">
        <v>0</v>
      </c>
      <c r="AT754" s="29">
        <v>0</v>
      </c>
      <c r="AU754" s="24" t="str">
        <f t="shared" si="12"/>
        <v>库存为0</v>
      </c>
      <c r="AV754" s="31" t="str">
        <f>IFERROR(时间!$B$4+AU754,"上周无销量")</f>
        <v>上周无销量</v>
      </c>
    </row>
    <row r="755" spans="1:48">
      <c r="A755" s="16" t="s">
        <v>1405</v>
      </c>
      <c r="B755" t="s">
        <v>1406</v>
      </c>
      <c r="C755" t="s">
        <v>1376</v>
      </c>
      <c r="D755" s="24">
        <v>0</v>
      </c>
      <c r="E755" s="24">
        <v>0</v>
      </c>
      <c r="F755" s="24">
        <v>0</v>
      </c>
      <c r="G755" s="24">
        <v>0</v>
      </c>
      <c r="H755" s="25">
        <v>0</v>
      </c>
      <c r="I755">
        <v>0</v>
      </c>
      <c r="J755" s="26">
        <v>1</v>
      </c>
      <c r="K755" s="26">
        <v>0</v>
      </c>
      <c r="L755" s="26">
        <v>0</v>
      </c>
      <c r="M755">
        <v>1</v>
      </c>
      <c r="N755">
        <v>0</v>
      </c>
      <c r="O755">
        <v>0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6</v>
      </c>
      <c r="AK755">
        <v>8</v>
      </c>
      <c r="AL755">
        <v>4</v>
      </c>
      <c r="AM755">
        <v>6</v>
      </c>
      <c r="AN755" s="18">
        <v>0</v>
      </c>
      <c r="AO755" s="18">
        <v>0</v>
      </c>
      <c r="AP755" s="18">
        <v>0</v>
      </c>
      <c r="AQ755" s="18">
        <v>0</v>
      </c>
      <c r="AR755" s="29">
        <v>0</v>
      </c>
      <c r="AS755" s="29">
        <v>0</v>
      </c>
      <c r="AT755" s="29">
        <v>1</v>
      </c>
      <c r="AU755" s="24" t="str">
        <f t="shared" si="12"/>
        <v>库存为1</v>
      </c>
      <c r="AV755" s="31" t="str">
        <f>IFERROR(时间!$B$4+AU755,"上周无销量")</f>
        <v>上周无销量</v>
      </c>
    </row>
    <row r="756" spans="1:48">
      <c r="A756" s="16" t="s">
        <v>1407</v>
      </c>
      <c r="B756" t="s">
        <v>1408</v>
      </c>
      <c r="C756" t="s">
        <v>1376</v>
      </c>
      <c r="D756" s="24">
        <v>0</v>
      </c>
      <c r="E756" s="24">
        <v>0</v>
      </c>
      <c r="F756" s="24">
        <v>0</v>
      </c>
      <c r="G756" s="24">
        <v>0</v>
      </c>
      <c r="H756" s="25">
        <v>0</v>
      </c>
      <c r="I756">
        <v>0</v>
      </c>
      <c r="J756" s="26">
        <v>0</v>
      </c>
      <c r="K756" s="26">
        <v>0</v>
      </c>
      <c r="L756" s="26">
        <v>0</v>
      </c>
      <c r="M756">
        <v>0</v>
      </c>
      <c r="N756">
        <v>0</v>
      </c>
      <c r="O756">
        <v>0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0</v>
      </c>
      <c r="AK756">
        <v>0</v>
      </c>
      <c r="AL756">
        <v>0</v>
      </c>
      <c r="AM756">
        <v>0</v>
      </c>
      <c r="AN756" s="18" t="s">
        <v>52</v>
      </c>
      <c r="AO756" s="18" t="s">
        <v>52</v>
      </c>
      <c r="AP756" s="18" t="s">
        <v>52</v>
      </c>
      <c r="AQ756" s="18" t="s">
        <v>52</v>
      </c>
      <c r="AR756" s="29">
        <v>0</v>
      </c>
      <c r="AS756" s="29">
        <v>0</v>
      </c>
      <c r="AT756" s="29">
        <v>0</v>
      </c>
      <c r="AU756" s="24" t="str">
        <f t="shared" si="12"/>
        <v>库存为0</v>
      </c>
      <c r="AV756" s="31" t="str">
        <f>IFERROR(时间!$B$4+AU756,"上周无销量")</f>
        <v>上周无销量</v>
      </c>
    </row>
    <row r="757" spans="1:48">
      <c r="A757" s="16" t="s">
        <v>1409</v>
      </c>
      <c r="B757" t="s">
        <v>1410</v>
      </c>
      <c r="C757" t="s">
        <v>1376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0</v>
      </c>
      <c r="K757" s="26">
        <v>0</v>
      </c>
      <c r="L757" s="26">
        <v>0</v>
      </c>
      <c r="M757">
        <v>0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0</v>
      </c>
      <c r="AK757">
        <v>0</v>
      </c>
      <c r="AL757">
        <v>0</v>
      </c>
      <c r="AM757">
        <v>0</v>
      </c>
      <c r="AN757" s="18" t="s">
        <v>52</v>
      </c>
      <c r="AO757" s="18" t="s">
        <v>52</v>
      </c>
      <c r="AP757" s="18" t="s">
        <v>52</v>
      </c>
      <c r="AQ757" s="18" t="s">
        <v>52</v>
      </c>
      <c r="AR757" s="29">
        <v>0</v>
      </c>
      <c r="AS757" s="29">
        <v>0</v>
      </c>
      <c r="AT757" s="29">
        <v>0</v>
      </c>
      <c r="AU757" s="24" t="str">
        <f t="shared" si="12"/>
        <v>库存为0</v>
      </c>
      <c r="AV757" s="31" t="str">
        <f>IFERROR(时间!$B$4+AU757,"上周无销量")</f>
        <v>上周无销量</v>
      </c>
    </row>
    <row r="758" spans="1:48">
      <c r="A758" s="16" t="s">
        <v>1411</v>
      </c>
      <c r="B758" t="s">
        <v>1412</v>
      </c>
      <c r="C758" t="s">
        <v>1376</v>
      </c>
      <c r="D758" s="24">
        <v>0</v>
      </c>
      <c r="E758" s="24">
        <v>0</v>
      </c>
      <c r="F758" s="24">
        <v>0</v>
      </c>
      <c r="G758" s="24">
        <v>0</v>
      </c>
      <c r="H758" s="25">
        <v>0</v>
      </c>
      <c r="I758">
        <v>0</v>
      </c>
      <c r="J758" s="26">
        <v>0</v>
      </c>
      <c r="K758" s="26">
        <v>0</v>
      </c>
      <c r="L758" s="26">
        <v>0</v>
      </c>
      <c r="M758">
        <v>0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0</v>
      </c>
      <c r="AK758">
        <v>0</v>
      </c>
      <c r="AL758">
        <v>0</v>
      </c>
      <c r="AM758">
        <v>0</v>
      </c>
      <c r="AN758" s="18" t="s">
        <v>52</v>
      </c>
      <c r="AO758" s="18" t="s">
        <v>52</v>
      </c>
      <c r="AP758" s="18" t="s">
        <v>52</v>
      </c>
      <c r="AQ758" s="18" t="s">
        <v>52</v>
      </c>
      <c r="AR758" s="29">
        <v>0</v>
      </c>
      <c r="AS758" s="29">
        <v>0</v>
      </c>
      <c r="AT758" s="29">
        <v>0</v>
      </c>
      <c r="AU758" s="24" t="str">
        <f t="shared" si="12"/>
        <v>库存为0</v>
      </c>
      <c r="AV758" s="31" t="str">
        <f>IFERROR(时间!$B$4+AU758,"上周无销量")</f>
        <v>上周无销量</v>
      </c>
    </row>
    <row r="759" spans="1:48">
      <c r="A759" s="16" t="s">
        <v>1413</v>
      </c>
      <c r="B759" t="s">
        <v>1414</v>
      </c>
      <c r="C759" t="s">
        <v>1376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7</v>
      </c>
      <c r="K759" s="26">
        <v>0</v>
      </c>
      <c r="L759" s="26">
        <v>0</v>
      </c>
      <c r="M759">
        <v>7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6</v>
      </c>
      <c r="AK759">
        <v>5</v>
      </c>
      <c r="AL759">
        <v>8</v>
      </c>
      <c r="AM759">
        <v>3</v>
      </c>
      <c r="AN759" s="18">
        <v>0</v>
      </c>
      <c r="AO759" s="18">
        <v>0</v>
      </c>
      <c r="AP759" s="18">
        <v>0</v>
      </c>
      <c r="AQ759" s="18">
        <v>0</v>
      </c>
      <c r="AR759" s="29">
        <v>0</v>
      </c>
      <c r="AS759" s="29">
        <v>0</v>
      </c>
      <c r="AT759" s="29">
        <v>7</v>
      </c>
      <c r="AU759" s="24" t="str">
        <f t="shared" si="12"/>
        <v>库存为7</v>
      </c>
      <c r="AV759" s="31" t="str">
        <f>IFERROR(时间!$B$4+AU759,"上周无销量")</f>
        <v>上周无销量</v>
      </c>
    </row>
    <row r="760" spans="1:48">
      <c r="A760" s="16" t="s">
        <v>1415</v>
      </c>
      <c r="B760" t="s">
        <v>1416</v>
      </c>
      <c r="C760" t="s">
        <v>1376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2</v>
      </c>
      <c r="K760" s="26">
        <v>0</v>
      </c>
      <c r="L760" s="26">
        <v>0</v>
      </c>
      <c r="M760">
        <v>2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0</v>
      </c>
      <c r="AK760">
        <v>0</v>
      </c>
      <c r="AL760">
        <v>0</v>
      </c>
      <c r="AM760">
        <v>0</v>
      </c>
      <c r="AN760" s="18" t="s">
        <v>52</v>
      </c>
      <c r="AO760" s="18" t="s">
        <v>52</v>
      </c>
      <c r="AP760" s="18" t="s">
        <v>52</v>
      </c>
      <c r="AQ760" s="18" t="s">
        <v>52</v>
      </c>
      <c r="AR760" s="29">
        <v>0</v>
      </c>
      <c r="AS760" s="29">
        <v>0</v>
      </c>
      <c r="AT760" s="29">
        <v>2</v>
      </c>
      <c r="AU760" s="24" t="str">
        <f t="shared" si="12"/>
        <v>库存为2</v>
      </c>
      <c r="AV760" s="31" t="str">
        <f>IFERROR(时间!$B$4+AU760,"上周无销量")</f>
        <v>上周无销量</v>
      </c>
    </row>
    <row r="761" spans="1:48">
      <c r="A761" s="16" t="s">
        <v>1417</v>
      </c>
      <c r="B761" t="s">
        <v>1418</v>
      </c>
      <c r="C761" t="s">
        <v>1376</v>
      </c>
      <c r="D761" s="24">
        <v>0</v>
      </c>
      <c r="E761" s="24">
        <v>0</v>
      </c>
      <c r="F761" s="24">
        <v>0</v>
      </c>
      <c r="G761" s="24">
        <v>0</v>
      </c>
      <c r="H761" s="25">
        <v>0</v>
      </c>
      <c r="I761">
        <v>0</v>
      </c>
      <c r="J761" s="26">
        <v>0</v>
      </c>
      <c r="K761" s="26">
        <v>0</v>
      </c>
      <c r="L761" s="26">
        <v>0</v>
      </c>
      <c r="M761">
        <v>0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17</v>
      </c>
      <c r="AK761">
        <v>14</v>
      </c>
      <c r="AL761">
        <v>15</v>
      </c>
      <c r="AM761">
        <v>9</v>
      </c>
      <c r="AN761" s="18">
        <v>0</v>
      </c>
      <c r="AO761" s="18">
        <v>0</v>
      </c>
      <c r="AP761" s="18">
        <v>0</v>
      </c>
      <c r="AQ761" s="18">
        <v>0</v>
      </c>
      <c r="AR761" s="29">
        <v>0</v>
      </c>
      <c r="AS761" s="29">
        <v>0</v>
      </c>
      <c r="AT761" s="29">
        <v>0</v>
      </c>
      <c r="AU761" s="24" t="str">
        <f t="shared" si="12"/>
        <v>库存为0</v>
      </c>
      <c r="AV761" s="31" t="str">
        <f>IFERROR(时间!$B$4+AU761,"上周无销量")</f>
        <v>上周无销量</v>
      </c>
    </row>
    <row r="762" spans="1:48">
      <c r="A762" s="16" t="s">
        <v>1419</v>
      </c>
      <c r="B762" t="s">
        <v>1420</v>
      </c>
      <c r="C762" t="s">
        <v>1376</v>
      </c>
      <c r="D762" s="24">
        <v>0</v>
      </c>
      <c r="E762" s="24">
        <v>0</v>
      </c>
      <c r="F762" s="24">
        <v>0</v>
      </c>
      <c r="G762" s="24">
        <v>0</v>
      </c>
      <c r="H762" s="25">
        <v>0</v>
      </c>
      <c r="I762">
        <v>0</v>
      </c>
      <c r="J762" s="26">
        <v>10</v>
      </c>
      <c r="K762" s="26">
        <v>0</v>
      </c>
      <c r="L762" s="26">
        <v>0</v>
      </c>
      <c r="M762">
        <v>10</v>
      </c>
      <c r="N762">
        <v>0</v>
      </c>
      <c r="O762">
        <v>0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11</v>
      </c>
      <c r="AK762">
        <v>11</v>
      </c>
      <c r="AL762">
        <v>11</v>
      </c>
      <c r="AM762">
        <v>3</v>
      </c>
      <c r="AN762" s="18">
        <v>0</v>
      </c>
      <c r="AO762" s="18">
        <v>0</v>
      </c>
      <c r="AP762" s="18">
        <v>0</v>
      </c>
      <c r="AQ762" s="18">
        <v>0</v>
      </c>
      <c r="AR762" s="29">
        <v>0</v>
      </c>
      <c r="AS762" s="29">
        <v>0</v>
      </c>
      <c r="AT762" s="29">
        <v>10</v>
      </c>
      <c r="AU762" s="24" t="str">
        <f t="shared" si="12"/>
        <v>库存为10</v>
      </c>
      <c r="AV762" s="31" t="str">
        <f>IFERROR(时间!$B$4+AU762,"上周无销量")</f>
        <v>上周无销量</v>
      </c>
    </row>
    <row r="763" spans="1:48">
      <c r="A763" s="16" t="s">
        <v>1421</v>
      </c>
      <c r="B763" t="s">
        <v>1422</v>
      </c>
      <c r="C763" t="s">
        <v>1376</v>
      </c>
      <c r="D763" s="24">
        <v>0</v>
      </c>
      <c r="E763" s="24">
        <v>0</v>
      </c>
      <c r="F763" s="24">
        <v>0</v>
      </c>
      <c r="G763" s="24">
        <v>0</v>
      </c>
      <c r="H763" s="25">
        <v>0</v>
      </c>
      <c r="I763">
        <v>0</v>
      </c>
      <c r="J763" s="26">
        <v>24</v>
      </c>
      <c r="K763" s="26">
        <v>0</v>
      </c>
      <c r="L763" s="26">
        <v>0</v>
      </c>
      <c r="M763">
        <v>24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7</v>
      </c>
      <c r="AK763">
        <v>8</v>
      </c>
      <c r="AL763">
        <v>7</v>
      </c>
      <c r="AM763">
        <v>4</v>
      </c>
      <c r="AN763" s="18">
        <v>0</v>
      </c>
      <c r="AO763" s="18">
        <v>0</v>
      </c>
      <c r="AP763" s="18">
        <v>0</v>
      </c>
      <c r="AQ763" s="18">
        <v>0</v>
      </c>
      <c r="AR763" s="29">
        <v>0</v>
      </c>
      <c r="AS763" s="29">
        <v>0</v>
      </c>
      <c r="AT763" s="29">
        <v>24</v>
      </c>
      <c r="AU763" s="24" t="str">
        <f t="shared" si="12"/>
        <v>库存为24</v>
      </c>
      <c r="AV763" s="31" t="str">
        <f>IFERROR(时间!$B$4+AU763,"上周无销量")</f>
        <v>上周无销量</v>
      </c>
    </row>
    <row r="764" spans="1:48">
      <c r="A764" s="16" t="s">
        <v>1423</v>
      </c>
      <c r="B764" t="s">
        <v>1424</v>
      </c>
      <c r="C764" t="s">
        <v>1376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0</v>
      </c>
      <c r="J764" s="26">
        <v>0</v>
      </c>
      <c r="K764" s="26">
        <v>0</v>
      </c>
      <c r="L764" s="26">
        <v>0</v>
      </c>
      <c r="M764">
        <v>0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0</v>
      </c>
      <c r="AK764">
        <v>0</v>
      </c>
      <c r="AL764">
        <v>0</v>
      </c>
      <c r="AM764">
        <v>0</v>
      </c>
      <c r="AN764" s="18" t="s">
        <v>52</v>
      </c>
      <c r="AO764" s="18" t="s">
        <v>52</v>
      </c>
      <c r="AP764" s="18" t="s">
        <v>52</v>
      </c>
      <c r="AQ764" s="18" t="s">
        <v>52</v>
      </c>
      <c r="AR764" s="29">
        <v>0</v>
      </c>
      <c r="AS764" s="29">
        <v>0</v>
      </c>
      <c r="AT764" s="29">
        <v>0</v>
      </c>
      <c r="AU764" s="24" t="str">
        <f t="shared" si="12"/>
        <v>库存为0</v>
      </c>
      <c r="AV764" s="31" t="str">
        <f>IFERROR(时间!$B$4+AU764,"上周无销量")</f>
        <v>上周无销量</v>
      </c>
    </row>
    <row r="765" spans="1:48">
      <c r="A765" s="16" t="s">
        <v>1425</v>
      </c>
      <c r="B765" t="s">
        <v>1426</v>
      </c>
      <c r="C765" t="s">
        <v>1376</v>
      </c>
      <c r="D765" s="24">
        <v>0</v>
      </c>
      <c r="E765" s="24">
        <v>0</v>
      </c>
      <c r="F765" s="24">
        <v>0</v>
      </c>
      <c r="G765" s="24">
        <v>0</v>
      </c>
      <c r="H765" s="25">
        <v>0</v>
      </c>
      <c r="I765">
        <v>0</v>
      </c>
      <c r="J765" s="26">
        <v>7</v>
      </c>
      <c r="K765" s="26">
        <v>0</v>
      </c>
      <c r="L765" s="26">
        <v>0</v>
      </c>
      <c r="M765">
        <v>7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10</v>
      </c>
      <c r="AK765">
        <v>15</v>
      </c>
      <c r="AL765">
        <v>13</v>
      </c>
      <c r="AM765">
        <v>8</v>
      </c>
      <c r="AN765" s="18">
        <v>0</v>
      </c>
      <c r="AO765" s="18">
        <v>0</v>
      </c>
      <c r="AP765" s="18">
        <v>0</v>
      </c>
      <c r="AQ765" s="18">
        <v>0</v>
      </c>
      <c r="AR765" s="29">
        <v>0</v>
      </c>
      <c r="AS765" s="29">
        <v>0</v>
      </c>
      <c r="AT765" s="29">
        <v>7</v>
      </c>
      <c r="AU765" s="24" t="str">
        <f t="shared" si="12"/>
        <v>库存为7</v>
      </c>
      <c r="AV765" s="31" t="str">
        <f>IFERROR(时间!$B$4+AU765,"上周无销量")</f>
        <v>上周无销量</v>
      </c>
    </row>
    <row r="766" spans="1:48">
      <c r="A766" s="16" t="s">
        <v>1427</v>
      </c>
      <c r="B766" t="s">
        <v>1428</v>
      </c>
      <c r="C766" t="s">
        <v>1376</v>
      </c>
      <c r="D766" s="24">
        <v>0</v>
      </c>
      <c r="E766" s="24">
        <v>0</v>
      </c>
      <c r="F766" s="24">
        <v>0</v>
      </c>
      <c r="G766" s="24">
        <v>0</v>
      </c>
      <c r="H766" s="25">
        <v>0</v>
      </c>
      <c r="I766">
        <v>0</v>
      </c>
      <c r="J766" s="26">
        <v>14</v>
      </c>
      <c r="K766" s="26">
        <v>0</v>
      </c>
      <c r="L766" s="26">
        <v>0</v>
      </c>
      <c r="M766">
        <v>14</v>
      </c>
      <c r="N766">
        <v>0</v>
      </c>
      <c r="O766">
        <v>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12</v>
      </c>
      <c r="AK766">
        <v>8</v>
      </c>
      <c r="AL766">
        <v>11</v>
      </c>
      <c r="AM766">
        <v>14</v>
      </c>
      <c r="AN766" s="18">
        <v>0</v>
      </c>
      <c r="AO766" s="18">
        <v>0</v>
      </c>
      <c r="AP766" s="18">
        <v>0</v>
      </c>
      <c r="AQ766" s="18">
        <v>0</v>
      </c>
      <c r="AR766" s="29">
        <v>0</v>
      </c>
      <c r="AS766" s="29">
        <v>0</v>
      </c>
      <c r="AT766" s="29">
        <v>14</v>
      </c>
      <c r="AU766" s="24" t="str">
        <f t="shared" si="12"/>
        <v>库存为14</v>
      </c>
      <c r="AV766" s="31" t="str">
        <f>IFERROR(时间!$B$4+AU766,"上周无销量")</f>
        <v>上周无销量</v>
      </c>
    </row>
    <row r="767" spans="1:48">
      <c r="A767" s="16" t="s">
        <v>1429</v>
      </c>
      <c r="B767" t="s">
        <v>1430</v>
      </c>
      <c r="C767" t="s">
        <v>1376</v>
      </c>
      <c r="D767" s="24">
        <v>0</v>
      </c>
      <c r="E767" s="24">
        <v>0</v>
      </c>
      <c r="F767" s="24">
        <v>0</v>
      </c>
      <c r="G767" s="24">
        <v>0</v>
      </c>
      <c r="H767" s="25">
        <v>0</v>
      </c>
      <c r="I767">
        <v>0</v>
      </c>
      <c r="J767" s="26">
        <v>14</v>
      </c>
      <c r="K767" s="26">
        <v>0</v>
      </c>
      <c r="L767" s="26">
        <v>0</v>
      </c>
      <c r="M767">
        <v>14</v>
      </c>
      <c r="N767">
        <v>0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11</v>
      </c>
      <c r="AK767">
        <v>7</v>
      </c>
      <c r="AL767">
        <v>11</v>
      </c>
      <c r="AM767">
        <v>0</v>
      </c>
      <c r="AN767" s="18">
        <v>0</v>
      </c>
      <c r="AO767" s="18">
        <v>0</v>
      </c>
      <c r="AP767" s="18">
        <v>0</v>
      </c>
      <c r="AQ767" s="18" t="s">
        <v>52</v>
      </c>
      <c r="AR767" s="29">
        <v>0</v>
      </c>
      <c r="AS767" s="29">
        <v>0</v>
      </c>
      <c r="AT767" s="29">
        <v>14</v>
      </c>
      <c r="AU767" s="24" t="str">
        <f t="shared" si="12"/>
        <v>库存为14</v>
      </c>
      <c r="AV767" s="31" t="str">
        <f>IFERROR(时间!$B$4+AU767,"上周无销量")</f>
        <v>上周无销量</v>
      </c>
    </row>
    <row r="768" spans="1:48">
      <c r="A768" s="16" t="s">
        <v>1431</v>
      </c>
      <c r="B768" t="s">
        <v>1432</v>
      </c>
      <c r="C768" t="s">
        <v>1376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5</v>
      </c>
      <c r="J768" s="26">
        <v>5</v>
      </c>
      <c r="K768" s="26">
        <v>0</v>
      </c>
      <c r="L768" s="26">
        <v>0</v>
      </c>
      <c r="M768">
        <v>10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2</v>
      </c>
      <c r="AK768">
        <v>1</v>
      </c>
      <c r="AL768">
        <v>3</v>
      </c>
      <c r="AM768">
        <v>0</v>
      </c>
      <c r="AN768" s="18">
        <v>0</v>
      </c>
      <c r="AO768" s="18">
        <v>0</v>
      </c>
      <c r="AP768" s="18">
        <v>0</v>
      </c>
      <c r="AQ768" s="18" t="s">
        <v>52</v>
      </c>
      <c r="AR768" s="29">
        <v>0</v>
      </c>
      <c r="AS768" s="29">
        <v>0</v>
      </c>
      <c r="AT768" s="29">
        <v>10</v>
      </c>
      <c r="AU768" s="24" t="str">
        <f t="shared" si="12"/>
        <v>库存为10</v>
      </c>
      <c r="AV768" s="31" t="str">
        <f>IFERROR(时间!$B$4+AU768,"上周无销量")</f>
        <v>上周无销量</v>
      </c>
    </row>
    <row r="769" spans="1:48">
      <c r="A769" s="16" t="s">
        <v>1433</v>
      </c>
      <c r="B769" t="s">
        <v>1434</v>
      </c>
      <c r="C769" t="s">
        <v>1376</v>
      </c>
      <c r="D769" s="24">
        <v>0</v>
      </c>
      <c r="E769" s="24">
        <v>0</v>
      </c>
      <c r="F769" s="24">
        <v>0</v>
      </c>
      <c r="G769" s="24">
        <v>0</v>
      </c>
      <c r="H769" s="25">
        <v>0</v>
      </c>
      <c r="I769">
        <v>5</v>
      </c>
      <c r="J769" s="26">
        <v>5</v>
      </c>
      <c r="K769" s="26">
        <v>0</v>
      </c>
      <c r="L769" s="26">
        <v>0</v>
      </c>
      <c r="M769">
        <v>10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1</v>
      </c>
      <c r="AK769">
        <v>0</v>
      </c>
      <c r="AL769">
        <v>0</v>
      </c>
      <c r="AM769">
        <v>10</v>
      </c>
      <c r="AN769" s="18">
        <v>0</v>
      </c>
      <c r="AO769" s="18" t="s">
        <v>52</v>
      </c>
      <c r="AP769" s="18" t="s">
        <v>52</v>
      </c>
      <c r="AQ769" s="18">
        <v>0</v>
      </c>
      <c r="AR769" s="29">
        <v>0</v>
      </c>
      <c r="AS769" s="29">
        <v>0</v>
      </c>
      <c r="AT769" s="29">
        <v>10</v>
      </c>
      <c r="AU769" s="24" t="str">
        <f t="shared" si="12"/>
        <v>库存为10</v>
      </c>
      <c r="AV769" s="31" t="str">
        <f>IFERROR(时间!$B$4+AU769,"上周无销量")</f>
        <v>上周无销量</v>
      </c>
    </row>
    <row r="770" spans="1:48">
      <c r="A770" s="16" t="s">
        <v>1435</v>
      </c>
      <c r="B770" t="s">
        <v>1436</v>
      </c>
      <c r="C770" t="s">
        <v>1376</v>
      </c>
      <c r="D770" s="24">
        <v>0</v>
      </c>
      <c r="E770" s="24">
        <v>0</v>
      </c>
      <c r="F770" s="24">
        <v>0</v>
      </c>
      <c r="G770" s="24">
        <v>0</v>
      </c>
      <c r="H770" s="25">
        <v>0</v>
      </c>
      <c r="I770">
        <v>0</v>
      </c>
      <c r="J770" s="26">
        <v>0</v>
      </c>
      <c r="K770" s="26">
        <v>0</v>
      </c>
      <c r="L770" s="26">
        <v>0</v>
      </c>
      <c r="M770">
        <v>0</v>
      </c>
      <c r="N770">
        <v>0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0</v>
      </c>
      <c r="AK770">
        <v>0</v>
      </c>
      <c r="AL770">
        <v>0</v>
      </c>
      <c r="AM770">
        <v>0</v>
      </c>
      <c r="AN770" s="18" t="s">
        <v>52</v>
      </c>
      <c r="AO770" s="18" t="s">
        <v>52</v>
      </c>
      <c r="AP770" s="18" t="s">
        <v>52</v>
      </c>
      <c r="AQ770" s="18" t="s">
        <v>52</v>
      </c>
      <c r="AR770" s="29">
        <v>0</v>
      </c>
      <c r="AS770" s="29">
        <v>0</v>
      </c>
      <c r="AT770" s="29">
        <v>0</v>
      </c>
      <c r="AU770" s="24" t="str">
        <f t="shared" si="12"/>
        <v>库存为0</v>
      </c>
      <c r="AV770" s="31" t="str">
        <f>IFERROR(时间!$B$4+AU770,"上周无销量")</f>
        <v>上周无销量</v>
      </c>
    </row>
    <row r="771" spans="1:48">
      <c r="A771" s="16" t="s">
        <v>1437</v>
      </c>
      <c r="B771" t="s">
        <v>1438</v>
      </c>
      <c r="C771" t="s">
        <v>1376</v>
      </c>
      <c r="D771" s="24">
        <v>0</v>
      </c>
      <c r="E771" s="24">
        <v>0</v>
      </c>
      <c r="F771" s="24">
        <v>0</v>
      </c>
      <c r="G771" s="24">
        <v>0</v>
      </c>
      <c r="H771" s="25">
        <v>0</v>
      </c>
      <c r="I771">
        <v>0</v>
      </c>
      <c r="J771" s="26">
        <v>0</v>
      </c>
      <c r="K771" s="26">
        <v>0</v>
      </c>
      <c r="L771" s="26">
        <v>0</v>
      </c>
      <c r="M771">
        <v>0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5</v>
      </c>
      <c r="AK771">
        <v>3</v>
      </c>
      <c r="AL771">
        <v>6</v>
      </c>
      <c r="AM771">
        <v>1</v>
      </c>
      <c r="AN771" s="18">
        <v>0</v>
      </c>
      <c r="AO771" s="18">
        <v>0</v>
      </c>
      <c r="AP771" s="18">
        <v>0</v>
      </c>
      <c r="AQ771" s="18">
        <v>0</v>
      </c>
      <c r="AR771" s="29">
        <v>0</v>
      </c>
      <c r="AS771" s="29">
        <v>0</v>
      </c>
      <c r="AT771" s="29">
        <v>0</v>
      </c>
      <c r="AU771" s="24" t="str">
        <f t="shared" si="12"/>
        <v>库存为0</v>
      </c>
      <c r="AV771" s="31" t="str">
        <f>IFERROR(时间!$B$4+AU771,"上周无销量")</f>
        <v>上周无销量</v>
      </c>
    </row>
    <row r="772" spans="1:48">
      <c r="A772" s="16" t="s">
        <v>1439</v>
      </c>
      <c r="B772" t="s">
        <v>1440</v>
      </c>
      <c r="C772" t="s">
        <v>1376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7</v>
      </c>
      <c r="AK772">
        <v>11</v>
      </c>
      <c r="AL772">
        <v>8</v>
      </c>
      <c r="AM772">
        <v>5</v>
      </c>
      <c r="AN772" s="18">
        <v>0</v>
      </c>
      <c r="AO772" s="18">
        <v>0</v>
      </c>
      <c r="AP772" s="18">
        <v>0</v>
      </c>
      <c r="AQ772" s="18">
        <v>0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1441</v>
      </c>
      <c r="B773" t="s">
        <v>1442</v>
      </c>
      <c r="C773" t="s">
        <v>1376</v>
      </c>
      <c r="D773" s="24">
        <v>0</v>
      </c>
      <c r="E773" s="24">
        <v>0</v>
      </c>
      <c r="F773" s="24">
        <v>0</v>
      </c>
      <c r="G773" s="24">
        <v>0</v>
      </c>
      <c r="H773" s="25">
        <v>0</v>
      </c>
      <c r="I773">
        <v>0</v>
      </c>
      <c r="J773" s="26">
        <v>0</v>
      </c>
      <c r="K773" s="26">
        <v>0</v>
      </c>
      <c r="L773" s="26">
        <v>0</v>
      </c>
      <c r="M773">
        <v>0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10</v>
      </c>
      <c r="AK773">
        <v>10</v>
      </c>
      <c r="AL773">
        <v>9</v>
      </c>
      <c r="AM773">
        <v>7</v>
      </c>
      <c r="AN773" s="18">
        <v>0</v>
      </c>
      <c r="AO773" s="18">
        <v>0</v>
      </c>
      <c r="AP773" s="18">
        <v>0</v>
      </c>
      <c r="AQ773" s="18">
        <v>0</v>
      </c>
      <c r="AR773" s="29">
        <v>0</v>
      </c>
      <c r="AS773" s="29">
        <v>0</v>
      </c>
      <c r="AT773" s="29">
        <v>0</v>
      </c>
      <c r="AU773" s="24" t="str">
        <f t="shared" si="12"/>
        <v>库存为0</v>
      </c>
      <c r="AV773" s="31" t="str">
        <f>IFERROR(时间!$B$4+AU773,"上周无销量")</f>
        <v>上周无销量</v>
      </c>
    </row>
    <row r="774" spans="1:48">
      <c r="A774" s="16" t="s">
        <v>1443</v>
      </c>
      <c r="B774" t="s">
        <v>1444</v>
      </c>
      <c r="C774" t="s">
        <v>1376</v>
      </c>
      <c r="D774" s="24">
        <v>0</v>
      </c>
      <c r="E774" s="24">
        <v>0</v>
      </c>
      <c r="F774" s="24">
        <v>0</v>
      </c>
      <c r="G774" s="24">
        <v>0</v>
      </c>
      <c r="H774" s="25">
        <v>0</v>
      </c>
      <c r="I774">
        <v>0</v>
      </c>
      <c r="J774" s="26">
        <v>0</v>
      </c>
      <c r="K774" s="26">
        <v>0</v>
      </c>
      <c r="L774" s="26">
        <v>0</v>
      </c>
      <c r="M774">
        <v>0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0</v>
      </c>
      <c r="AK774">
        <v>0</v>
      </c>
      <c r="AL774">
        <v>0</v>
      </c>
      <c r="AM774">
        <v>0</v>
      </c>
      <c r="AN774" s="18" t="s">
        <v>52</v>
      </c>
      <c r="AO774" s="18" t="s">
        <v>52</v>
      </c>
      <c r="AP774" s="18" t="s">
        <v>52</v>
      </c>
      <c r="AQ774" s="18" t="s">
        <v>52</v>
      </c>
      <c r="AR774" s="29">
        <v>0</v>
      </c>
      <c r="AS774" s="29">
        <v>0</v>
      </c>
      <c r="AT774" s="29">
        <v>0</v>
      </c>
      <c r="AU774" s="24" t="str">
        <f t="shared" ref="AU774:AU837" si="13">IF(AR774="","库存为"&amp;M774,IF(AS774=0,"库存为"&amp;M774,INT(M774/AR774)))</f>
        <v>库存为0</v>
      </c>
      <c r="AV774" s="31" t="str">
        <f>IFERROR(时间!$B$4+AU774,"上周无销量")</f>
        <v>上周无销量</v>
      </c>
    </row>
    <row r="775" spans="1:48">
      <c r="A775" s="16" t="s">
        <v>1445</v>
      </c>
      <c r="B775" t="s">
        <v>1446</v>
      </c>
      <c r="C775" t="s">
        <v>1376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0</v>
      </c>
      <c r="AK775">
        <v>0</v>
      </c>
      <c r="AL775">
        <v>0</v>
      </c>
      <c r="AM775">
        <v>0</v>
      </c>
      <c r="AN775" s="18" t="s">
        <v>52</v>
      </c>
      <c r="AO775" s="18" t="s">
        <v>52</v>
      </c>
      <c r="AP775" s="18" t="s">
        <v>52</v>
      </c>
      <c r="AQ775" s="18" t="s">
        <v>52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1447</v>
      </c>
      <c r="B776" t="s">
        <v>1448</v>
      </c>
      <c r="C776" t="s">
        <v>1376</v>
      </c>
      <c r="D776" s="24">
        <v>0</v>
      </c>
      <c r="E776" s="24">
        <v>0</v>
      </c>
      <c r="F776" s="24">
        <v>0</v>
      </c>
      <c r="G776" s="24">
        <v>0</v>
      </c>
      <c r="H776" s="25">
        <v>0</v>
      </c>
      <c r="I776">
        <v>0</v>
      </c>
      <c r="J776" s="26">
        <v>0</v>
      </c>
      <c r="K776" s="26">
        <v>0</v>
      </c>
      <c r="L776" s="26">
        <v>0</v>
      </c>
      <c r="M776">
        <v>0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7</v>
      </c>
      <c r="AK776">
        <v>16</v>
      </c>
      <c r="AL776">
        <v>3</v>
      </c>
      <c r="AM776">
        <v>2</v>
      </c>
      <c r="AN776" s="18">
        <v>0</v>
      </c>
      <c r="AO776" s="18">
        <v>0</v>
      </c>
      <c r="AP776" s="18">
        <v>0</v>
      </c>
      <c r="AQ776" s="18">
        <v>0</v>
      </c>
      <c r="AR776" s="29">
        <v>0</v>
      </c>
      <c r="AS776" s="29">
        <v>0</v>
      </c>
      <c r="AT776" s="29">
        <v>0</v>
      </c>
      <c r="AU776" s="24" t="str">
        <f t="shared" si="13"/>
        <v>库存为0</v>
      </c>
      <c r="AV776" s="31" t="str">
        <f>IFERROR(时间!$B$4+AU776,"上周无销量")</f>
        <v>上周无销量</v>
      </c>
    </row>
    <row r="777" spans="1:48">
      <c r="A777" s="16" t="s">
        <v>1449</v>
      </c>
      <c r="B777" t="s">
        <v>1450</v>
      </c>
      <c r="C777" t="s">
        <v>1376</v>
      </c>
      <c r="D777" s="24">
        <v>0</v>
      </c>
      <c r="E777" s="24">
        <v>0</v>
      </c>
      <c r="F777" s="24">
        <v>0</v>
      </c>
      <c r="G777" s="24">
        <v>0</v>
      </c>
      <c r="H777" s="25">
        <v>0</v>
      </c>
      <c r="I777">
        <v>0</v>
      </c>
      <c r="J777" s="26">
        <v>0</v>
      </c>
      <c r="K777" s="26">
        <v>0</v>
      </c>
      <c r="L777" s="26">
        <v>0</v>
      </c>
      <c r="M777">
        <v>0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1</v>
      </c>
      <c r="AK777">
        <v>4</v>
      </c>
      <c r="AL777">
        <v>0</v>
      </c>
      <c r="AM777">
        <v>0</v>
      </c>
      <c r="AN777" s="18">
        <v>0</v>
      </c>
      <c r="AO777" s="18">
        <v>0</v>
      </c>
      <c r="AP777" s="18" t="s">
        <v>52</v>
      </c>
      <c r="AQ777" s="18" t="s">
        <v>52</v>
      </c>
      <c r="AR777" s="29">
        <v>0</v>
      </c>
      <c r="AS777" s="29">
        <v>0</v>
      </c>
      <c r="AT777" s="29">
        <v>0</v>
      </c>
      <c r="AU777" s="24" t="str">
        <f t="shared" si="13"/>
        <v>库存为0</v>
      </c>
      <c r="AV777" s="31" t="str">
        <f>IFERROR(时间!$B$4+AU777,"上周无销量")</f>
        <v>上周无销量</v>
      </c>
    </row>
    <row r="778" spans="1:48">
      <c r="A778" s="16" t="s">
        <v>1451</v>
      </c>
      <c r="B778" t="s">
        <v>1452</v>
      </c>
      <c r="C778" t="s">
        <v>1376</v>
      </c>
      <c r="D778" s="24">
        <v>0</v>
      </c>
      <c r="E778" s="24">
        <v>0</v>
      </c>
      <c r="F778" s="24">
        <v>0</v>
      </c>
      <c r="G778" s="24">
        <v>0</v>
      </c>
      <c r="H778" s="25">
        <v>0</v>
      </c>
      <c r="I778">
        <v>0</v>
      </c>
      <c r="J778" s="26">
        <v>0</v>
      </c>
      <c r="K778" s="26">
        <v>0</v>
      </c>
      <c r="L778" s="26">
        <v>0</v>
      </c>
      <c r="M778">
        <v>0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9</v>
      </c>
      <c r="AK778">
        <v>7</v>
      </c>
      <c r="AL778">
        <v>12</v>
      </c>
      <c r="AM778">
        <v>5</v>
      </c>
      <c r="AN778" s="18">
        <v>0</v>
      </c>
      <c r="AO778" s="18">
        <v>0</v>
      </c>
      <c r="AP778" s="18">
        <v>0</v>
      </c>
      <c r="AQ778" s="18">
        <v>0</v>
      </c>
      <c r="AR778" s="29">
        <v>0</v>
      </c>
      <c r="AS778" s="29">
        <v>0</v>
      </c>
      <c r="AT778" s="29">
        <v>0</v>
      </c>
      <c r="AU778" s="24" t="str">
        <f t="shared" si="13"/>
        <v>库存为0</v>
      </c>
      <c r="AV778" s="31" t="str">
        <f>IFERROR(时间!$B$4+AU778,"上周无销量")</f>
        <v>上周无销量</v>
      </c>
    </row>
    <row r="779" spans="1:48">
      <c r="A779" s="16" t="s">
        <v>1453</v>
      </c>
      <c r="B779" t="s">
        <v>1454</v>
      </c>
      <c r="C779" t="s">
        <v>1376</v>
      </c>
      <c r="D779" s="24">
        <v>0</v>
      </c>
      <c r="E779" s="24">
        <v>0</v>
      </c>
      <c r="F779" s="24">
        <v>0</v>
      </c>
      <c r="G779" s="24">
        <v>0</v>
      </c>
      <c r="H779" s="25">
        <v>0</v>
      </c>
      <c r="I779">
        <v>0</v>
      </c>
      <c r="J779" s="26">
        <v>0</v>
      </c>
      <c r="K779" s="26">
        <v>0</v>
      </c>
      <c r="L779" s="26">
        <v>0</v>
      </c>
      <c r="M779">
        <v>0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6</v>
      </c>
      <c r="AK779">
        <v>1</v>
      </c>
      <c r="AL779">
        <v>4</v>
      </c>
      <c r="AM779">
        <v>5</v>
      </c>
      <c r="AN779" s="18">
        <v>0</v>
      </c>
      <c r="AO779" s="18">
        <v>0</v>
      </c>
      <c r="AP779" s="18">
        <v>0</v>
      </c>
      <c r="AQ779" s="18">
        <v>0</v>
      </c>
      <c r="AR779" s="29">
        <v>0</v>
      </c>
      <c r="AS779" s="29">
        <v>0</v>
      </c>
      <c r="AT779" s="29">
        <v>0</v>
      </c>
      <c r="AU779" s="24" t="str">
        <f t="shared" si="13"/>
        <v>库存为0</v>
      </c>
      <c r="AV779" s="31" t="str">
        <f>IFERROR(时间!$B$4+AU779,"上周无销量")</f>
        <v>上周无销量</v>
      </c>
    </row>
    <row r="780" spans="1:48">
      <c r="A780" s="16" t="s">
        <v>1455</v>
      </c>
      <c r="B780" t="s">
        <v>1456</v>
      </c>
      <c r="C780" t="s">
        <v>1376</v>
      </c>
      <c r="D780" s="24">
        <v>0</v>
      </c>
      <c r="E780" s="24">
        <v>0</v>
      </c>
      <c r="F780" s="24">
        <v>0</v>
      </c>
      <c r="G780" s="24">
        <v>0</v>
      </c>
      <c r="H780" s="25">
        <v>0</v>
      </c>
      <c r="I780">
        <v>0</v>
      </c>
      <c r="J780" s="26">
        <v>0</v>
      </c>
      <c r="K780" s="26">
        <v>0</v>
      </c>
      <c r="L780" s="26">
        <v>0</v>
      </c>
      <c r="M780">
        <v>0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0</v>
      </c>
      <c r="AK780">
        <v>0</v>
      </c>
      <c r="AL780">
        <v>0</v>
      </c>
      <c r="AM780">
        <v>0</v>
      </c>
      <c r="AN780" s="18" t="s">
        <v>52</v>
      </c>
      <c r="AO780" s="18" t="s">
        <v>52</v>
      </c>
      <c r="AP780" s="18" t="s">
        <v>52</v>
      </c>
      <c r="AQ780" s="18" t="s">
        <v>52</v>
      </c>
      <c r="AR780" s="29">
        <v>0</v>
      </c>
      <c r="AS780" s="29">
        <v>0</v>
      </c>
      <c r="AT780" s="29">
        <v>0</v>
      </c>
      <c r="AU780" s="24" t="str">
        <f t="shared" si="13"/>
        <v>库存为0</v>
      </c>
      <c r="AV780" s="31" t="str">
        <f>IFERROR(时间!$B$4+AU780,"上周无销量")</f>
        <v>上周无销量</v>
      </c>
    </row>
    <row r="781" spans="1:48">
      <c r="A781" s="16" t="s">
        <v>1457</v>
      </c>
      <c r="B781" t="s">
        <v>1458</v>
      </c>
      <c r="C781" t="s">
        <v>1376</v>
      </c>
      <c r="D781" s="24">
        <v>0</v>
      </c>
      <c r="E781" s="24">
        <v>0</v>
      </c>
      <c r="F781" s="24">
        <v>0</v>
      </c>
      <c r="G781" s="24">
        <v>0</v>
      </c>
      <c r="H781" s="25">
        <v>0</v>
      </c>
      <c r="I781">
        <v>0</v>
      </c>
      <c r="J781" s="26">
        <v>13</v>
      </c>
      <c r="K781" s="26">
        <v>0</v>
      </c>
      <c r="L781" s="26">
        <v>0</v>
      </c>
      <c r="M781">
        <v>13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0</v>
      </c>
      <c r="AK781">
        <v>0</v>
      </c>
      <c r="AL781">
        <v>0</v>
      </c>
      <c r="AM781">
        <v>0</v>
      </c>
      <c r="AN781" s="18" t="s">
        <v>52</v>
      </c>
      <c r="AO781" s="18" t="s">
        <v>52</v>
      </c>
      <c r="AP781" s="18" t="s">
        <v>52</v>
      </c>
      <c r="AQ781" s="18" t="s">
        <v>52</v>
      </c>
      <c r="AR781" s="29">
        <v>0</v>
      </c>
      <c r="AS781" s="29">
        <v>0</v>
      </c>
      <c r="AT781" s="29">
        <v>13</v>
      </c>
      <c r="AU781" s="24" t="str">
        <f t="shared" si="13"/>
        <v>库存为13</v>
      </c>
      <c r="AV781" s="31" t="str">
        <f>IFERROR(时间!$B$4+AU781,"上周无销量")</f>
        <v>上周无销量</v>
      </c>
    </row>
    <row r="782" spans="1:48">
      <c r="A782" s="16" t="s">
        <v>1459</v>
      </c>
      <c r="B782" t="s">
        <v>1460</v>
      </c>
      <c r="C782" t="s">
        <v>1376</v>
      </c>
      <c r="D782" s="24">
        <v>0</v>
      </c>
      <c r="E782" s="24">
        <v>0</v>
      </c>
      <c r="F782" s="24">
        <v>0</v>
      </c>
      <c r="G782" s="24">
        <v>0</v>
      </c>
      <c r="H782" s="25">
        <v>0</v>
      </c>
      <c r="I782">
        <v>3</v>
      </c>
      <c r="J782" s="26">
        <v>0</v>
      </c>
      <c r="K782" s="26">
        <v>0</v>
      </c>
      <c r="L782" s="26">
        <v>0</v>
      </c>
      <c r="M782">
        <v>3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17</v>
      </c>
      <c r="AK782">
        <v>0</v>
      </c>
      <c r="AL782">
        <v>0</v>
      </c>
      <c r="AM782">
        <v>0</v>
      </c>
      <c r="AN782" s="18">
        <v>0</v>
      </c>
      <c r="AO782" s="18" t="s">
        <v>52</v>
      </c>
      <c r="AP782" s="18" t="s">
        <v>52</v>
      </c>
      <c r="AQ782" s="18" t="s">
        <v>52</v>
      </c>
      <c r="AR782" s="29">
        <v>0</v>
      </c>
      <c r="AS782" s="29">
        <v>0</v>
      </c>
      <c r="AT782" s="29">
        <v>3</v>
      </c>
      <c r="AU782" s="24" t="str">
        <f t="shared" si="13"/>
        <v>库存为3</v>
      </c>
      <c r="AV782" s="31" t="str">
        <f>IFERROR(时间!$B$4+AU782,"上周无销量")</f>
        <v>上周无销量</v>
      </c>
    </row>
    <row r="783" spans="1:48">
      <c r="A783" s="16" t="s">
        <v>1461</v>
      </c>
      <c r="B783" t="s">
        <v>1462</v>
      </c>
      <c r="C783" t="s">
        <v>1376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>
        <v>0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4</v>
      </c>
      <c r="AK783">
        <v>6</v>
      </c>
      <c r="AL783">
        <v>5</v>
      </c>
      <c r="AM783">
        <v>4</v>
      </c>
      <c r="AN783" s="18">
        <v>0</v>
      </c>
      <c r="AO783" s="18">
        <v>0</v>
      </c>
      <c r="AP783" s="18">
        <v>0</v>
      </c>
      <c r="AQ783" s="18">
        <v>0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1463</v>
      </c>
      <c r="B784" t="s">
        <v>1464</v>
      </c>
      <c r="C784" t="s">
        <v>1376</v>
      </c>
      <c r="D784" s="24">
        <v>0</v>
      </c>
      <c r="E784" s="24">
        <v>0</v>
      </c>
      <c r="F784" s="24">
        <v>0</v>
      </c>
      <c r="G784" s="24">
        <v>0</v>
      </c>
      <c r="H784" s="25">
        <v>0</v>
      </c>
      <c r="I784">
        <v>0</v>
      </c>
      <c r="J784" s="26">
        <v>4</v>
      </c>
      <c r="K784" s="26">
        <v>0</v>
      </c>
      <c r="L784" s="26">
        <v>0</v>
      </c>
      <c r="M784">
        <v>4</v>
      </c>
      <c r="N784">
        <v>0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6</v>
      </c>
      <c r="AK784">
        <v>4</v>
      </c>
      <c r="AL784">
        <v>11</v>
      </c>
      <c r="AM784">
        <v>5</v>
      </c>
      <c r="AN784" s="18">
        <v>0</v>
      </c>
      <c r="AO784" s="18">
        <v>0</v>
      </c>
      <c r="AP784" s="18">
        <v>0</v>
      </c>
      <c r="AQ784" s="18">
        <v>0</v>
      </c>
      <c r="AR784" s="29">
        <v>0</v>
      </c>
      <c r="AS784" s="29">
        <v>0</v>
      </c>
      <c r="AT784" s="29">
        <v>4</v>
      </c>
      <c r="AU784" s="24" t="str">
        <f t="shared" si="13"/>
        <v>库存为4</v>
      </c>
      <c r="AV784" s="31" t="str">
        <f>IFERROR(时间!$B$4+AU784,"上周无销量")</f>
        <v>上周无销量</v>
      </c>
    </row>
    <row r="785" spans="1:48">
      <c r="A785" s="16" t="s">
        <v>1465</v>
      </c>
      <c r="B785" t="s">
        <v>1466</v>
      </c>
      <c r="C785" t="s">
        <v>1467</v>
      </c>
      <c r="D785" s="24">
        <v>4</v>
      </c>
      <c r="E785" s="24">
        <v>7</v>
      </c>
      <c r="F785" s="24">
        <v>20</v>
      </c>
      <c r="G785" s="24">
        <v>0</v>
      </c>
      <c r="H785" s="25">
        <v>23.98</v>
      </c>
      <c r="I785">
        <v>0</v>
      </c>
      <c r="J785" s="26">
        <v>20</v>
      </c>
      <c r="K785" s="26">
        <v>0</v>
      </c>
      <c r="L785" s="26">
        <v>0</v>
      </c>
      <c r="M785">
        <v>20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27</v>
      </c>
      <c r="AK785">
        <v>41</v>
      </c>
      <c r="AL785">
        <v>69</v>
      </c>
      <c r="AM785">
        <v>5</v>
      </c>
      <c r="AN785" s="18">
        <v>0.148148148148148</v>
      </c>
      <c r="AO785" s="18">
        <v>0.170731707317073</v>
      </c>
      <c r="AP785" s="18">
        <v>0.289855072463768</v>
      </c>
      <c r="AQ785" s="18">
        <v>0</v>
      </c>
      <c r="AR785" s="29">
        <v>0.571428571428571</v>
      </c>
      <c r="AS785" s="29">
        <v>34.2857142857143</v>
      </c>
      <c r="AT785" s="29">
        <v>-14.2857142857143</v>
      </c>
      <c r="AU785" s="24">
        <f t="shared" si="13"/>
        <v>35</v>
      </c>
      <c r="AV785" s="31">
        <f>IFERROR(时间!$B$4+AU785,"上周无销量")</f>
        <v>43353</v>
      </c>
    </row>
    <row r="786" spans="1:48">
      <c r="A786" s="16" t="s">
        <v>1468</v>
      </c>
      <c r="B786" t="s">
        <v>1469</v>
      </c>
      <c r="C786" t="s">
        <v>1467</v>
      </c>
      <c r="D786" s="24">
        <v>4</v>
      </c>
      <c r="E786" s="24">
        <v>8</v>
      </c>
      <c r="F786" s="24">
        <v>9</v>
      </c>
      <c r="G786" s="24">
        <v>0</v>
      </c>
      <c r="H786" s="25">
        <v>23.98</v>
      </c>
      <c r="I786">
        <v>0</v>
      </c>
      <c r="J786" s="26">
        <v>0</v>
      </c>
      <c r="K786" s="26">
        <v>0</v>
      </c>
      <c r="L786" s="26">
        <v>0</v>
      </c>
      <c r="M786">
        <v>0</v>
      </c>
      <c r="N786">
        <v>1</v>
      </c>
      <c r="O786">
        <v>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83</v>
      </c>
      <c r="AK786">
        <v>113</v>
      </c>
      <c r="AL786">
        <v>164</v>
      </c>
      <c r="AM786">
        <v>22</v>
      </c>
      <c r="AN786" s="18">
        <v>0.0481927710843374</v>
      </c>
      <c r="AO786" s="18">
        <v>0.0707964601769911</v>
      </c>
      <c r="AP786" s="18">
        <v>0.0548780487804878</v>
      </c>
      <c r="AQ786" s="18">
        <v>0</v>
      </c>
      <c r="AR786" s="29">
        <v>0.571428571428571</v>
      </c>
      <c r="AS786" s="29">
        <v>34.2857142857143</v>
      </c>
      <c r="AT786" s="29">
        <v>-34.2857142857143</v>
      </c>
      <c r="AU786" s="24">
        <f t="shared" si="13"/>
        <v>0</v>
      </c>
      <c r="AV786" s="31">
        <f>IFERROR(时间!$B$4+AU786,"上周无销量")</f>
        <v>43318</v>
      </c>
    </row>
    <row r="787" spans="1:48">
      <c r="A787" s="16" t="s">
        <v>1470</v>
      </c>
      <c r="B787" t="s">
        <v>1471</v>
      </c>
      <c r="C787" t="s">
        <v>1467</v>
      </c>
      <c r="D787" s="24">
        <v>6</v>
      </c>
      <c r="E787" s="24">
        <v>0</v>
      </c>
      <c r="F787" s="24">
        <v>3</v>
      </c>
      <c r="G787" s="24">
        <v>1</v>
      </c>
      <c r="H787" s="25">
        <v>23.98</v>
      </c>
      <c r="I787">
        <v>0</v>
      </c>
      <c r="J787" s="26">
        <v>0</v>
      </c>
      <c r="K787" s="26">
        <v>0</v>
      </c>
      <c r="L787" s="26">
        <v>0</v>
      </c>
      <c r="M787">
        <v>0</v>
      </c>
      <c r="N787">
        <v>0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76</v>
      </c>
      <c r="AK787">
        <v>92</v>
      </c>
      <c r="AL787">
        <v>90</v>
      </c>
      <c r="AM787">
        <v>25</v>
      </c>
      <c r="AN787" s="18">
        <v>0.0789473684210526</v>
      </c>
      <c r="AO787" s="18">
        <v>0</v>
      </c>
      <c r="AP787" s="18">
        <v>0.0333333333333333</v>
      </c>
      <c r="AQ787" s="18">
        <v>0.04</v>
      </c>
      <c r="AR787" s="29">
        <v>0.857142857142857</v>
      </c>
      <c r="AS787" s="29">
        <v>51.4285714285714</v>
      </c>
      <c r="AT787" s="29">
        <v>-51.4285714285714</v>
      </c>
      <c r="AU787" s="24">
        <f t="shared" si="13"/>
        <v>0</v>
      </c>
      <c r="AV787" s="31">
        <f>IFERROR(时间!$B$4+AU787,"上周无销量")</f>
        <v>43318</v>
      </c>
    </row>
    <row r="788" spans="1:48">
      <c r="A788" s="16" t="s">
        <v>1472</v>
      </c>
      <c r="B788" t="s">
        <v>1473</v>
      </c>
      <c r="C788" t="s">
        <v>1467</v>
      </c>
      <c r="D788" s="24">
        <v>8</v>
      </c>
      <c r="E788" s="24">
        <v>6</v>
      </c>
      <c r="F788" s="24">
        <v>18</v>
      </c>
      <c r="G788" s="24">
        <v>2</v>
      </c>
      <c r="H788" s="25">
        <v>23.98</v>
      </c>
      <c r="I788">
        <v>0</v>
      </c>
      <c r="J788" s="26">
        <v>10</v>
      </c>
      <c r="K788" s="26">
        <v>0</v>
      </c>
      <c r="L788" s="26">
        <v>0</v>
      </c>
      <c r="M788">
        <v>10</v>
      </c>
      <c r="N788">
        <v>1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15</v>
      </c>
      <c r="AK788">
        <v>29</v>
      </c>
      <c r="AL788">
        <v>37</v>
      </c>
      <c r="AM788">
        <v>5</v>
      </c>
      <c r="AN788" s="18">
        <v>0.533333333333333</v>
      </c>
      <c r="AO788" s="18">
        <v>0.206896551724138</v>
      </c>
      <c r="AP788" s="18">
        <v>0.486486486486487</v>
      </c>
      <c r="AQ788" s="18">
        <v>0.4</v>
      </c>
      <c r="AR788" s="29">
        <v>1.14285714285714</v>
      </c>
      <c r="AS788" s="29">
        <v>68.5714285714286</v>
      </c>
      <c r="AT788" s="29">
        <v>-58.5714285714286</v>
      </c>
      <c r="AU788" s="24">
        <f t="shared" si="13"/>
        <v>8</v>
      </c>
      <c r="AV788" s="31">
        <f>IFERROR(时间!$B$4+AU788,"上周无销量")</f>
        <v>43326</v>
      </c>
    </row>
    <row r="789" spans="1:48">
      <c r="A789" s="16" t="s">
        <v>1474</v>
      </c>
      <c r="B789" t="s">
        <v>1475</v>
      </c>
      <c r="C789" t="s">
        <v>1467</v>
      </c>
      <c r="D789" s="24">
        <v>0</v>
      </c>
      <c r="E789" s="24">
        <v>7</v>
      </c>
      <c r="F789" s="24">
        <v>12</v>
      </c>
      <c r="G789" s="24">
        <v>1</v>
      </c>
      <c r="H789" s="25">
        <v>23.98</v>
      </c>
      <c r="I789">
        <v>0</v>
      </c>
      <c r="J789" s="26">
        <v>10</v>
      </c>
      <c r="K789" s="26">
        <v>0</v>
      </c>
      <c r="L789" s="26">
        <v>0</v>
      </c>
      <c r="M789">
        <v>10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0</v>
      </c>
      <c r="AK789">
        <v>33</v>
      </c>
      <c r="AL789">
        <v>64</v>
      </c>
      <c r="AM789">
        <v>15</v>
      </c>
      <c r="AN789" s="18" t="s">
        <v>52</v>
      </c>
      <c r="AO789" s="18">
        <v>0.212121212121212</v>
      </c>
      <c r="AP789" s="18">
        <v>0.1875</v>
      </c>
      <c r="AQ789" s="18">
        <v>0.0666666666666667</v>
      </c>
      <c r="AR789" s="29">
        <v>0</v>
      </c>
      <c r="AS789" s="29">
        <v>0</v>
      </c>
      <c r="AT789" s="29">
        <v>10</v>
      </c>
      <c r="AU789" s="24" t="str">
        <f t="shared" si="13"/>
        <v>库存为10</v>
      </c>
      <c r="AV789" s="31" t="str">
        <f>IFERROR(时间!$B$4+AU789,"上周无销量")</f>
        <v>上周无销量</v>
      </c>
    </row>
    <row r="790" spans="1:48">
      <c r="A790" s="16" t="s">
        <v>1476</v>
      </c>
      <c r="B790" t="s">
        <v>1477</v>
      </c>
      <c r="C790" t="s">
        <v>1467</v>
      </c>
      <c r="D790" s="24">
        <v>11</v>
      </c>
      <c r="E790" s="24">
        <v>5</v>
      </c>
      <c r="F790" s="24">
        <v>8</v>
      </c>
      <c r="G790" s="24">
        <v>0</v>
      </c>
      <c r="H790" s="25">
        <v>23.98</v>
      </c>
      <c r="I790">
        <v>7</v>
      </c>
      <c r="J790" s="26">
        <v>8</v>
      </c>
      <c r="K790" s="26">
        <v>0</v>
      </c>
      <c r="L790" s="26">
        <v>1</v>
      </c>
      <c r="M790">
        <v>16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39</v>
      </c>
      <c r="AK790">
        <v>19</v>
      </c>
      <c r="AL790">
        <v>41</v>
      </c>
      <c r="AM790">
        <v>28</v>
      </c>
      <c r="AN790" s="18">
        <v>0.282051282051282</v>
      </c>
      <c r="AO790" s="18">
        <v>0.263157894736842</v>
      </c>
      <c r="AP790" s="18">
        <v>0.195121951219512</v>
      </c>
      <c r="AQ790" s="18">
        <v>0</v>
      </c>
      <c r="AR790" s="29">
        <v>1.57142857142857</v>
      </c>
      <c r="AS790" s="29">
        <v>94.2857142857143</v>
      </c>
      <c r="AT790" s="29">
        <v>-78.2857142857143</v>
      </c>
      <c r="AU790" s="24">
        <f t="shared" si="13"/>
        <v>10</v>
      </c>
      <c r="AV790" s="31">
        <f>IFERROR(时间!$B$4+AU790,"上周无销量")</f>
        <v>43328</v>
      </c>
    </row>
    <row r="791" spans="1:48">
      <c r="A791" s="16" t="s">
        <v>1478</v>
      </c>
      <c r="B791" t="s">
        <v>1479</v>
      </c>
      <c r="C791" t="s">
        <v>1467</v>
      </c>
      <c r="D791" s="24">
        <v>0</v>
      </c>
      <c r="E791" s="24">
        <v>0</v>
      </c>
      <c r="F791" s="24">
        <v>0</v>
      </c>
      <c r="G791" s="24">
        <v>0</v>
      </c>
      <c r="H791" s="25">
        <v>0</v>
      </c>
      <c r="I791">
        <v>0</v>
      </c>
      <c r="J791" s="26">
        <v>0</v>
      </c>
      <c r="K791" s="26">
        <v>0</v>
      </c>
      <c r="L791" s="26">
        <v>0</v>
      </c>
      <c r="M791">
        <v>0</v>
      </c>
      <c r="N791">
        <v>0</v>
      </c>
      <c r="O791">
        <v>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21</v>
      </c>
      <c r="AK791">
        <v>20</v>
      </c>
      <c r="AL791">
        <v>35</v>
      </c>
      <c r="AM791">
        <v>30</v>
      </c>
      <c r="AN791" s="18">
        <v>0</v>
      </c>
      <c r="AO791" s="18">
        <v>0</v>
      </c>
      <c r="AP791" s="18">
        <v>0</v>
      </c>
      <c r="AQ791" s="18">
        <v>0</v>
      </c>
      <c r="AR791" s="29">
        <v>0</v>
      </c>
      <c r="AS791" s="29">
        <v>0</v>
      </c>
      <c r="AT791" s="29">
        <v>0</v>
      </c>
      <c r="AU791" s="24" t="str">
        <f t="shared" si="13"/>
        <v>库存为0</v>
      </c>
      <c r="AV791" s="31" t="str">
        <f>IFERROR(时间!$B$4+AU791,"上周无销量")</f>
        <v>上周无销量</v>
      </c>
    </row>
    <row r="792" spans="1:48">
      <c r="A792" s="16" t="s">
        <v>1480</v>
      </c>
      <c r="B792" t="s">
        <v>1481</v>
      </c>
      <c r="C792" t="s">
        <v>1467</v>
      </c>
      <c r="D792" s="24">
        <v>0</v>
      </c>
      <c r="E792" s="24">
        <v>0</v>
      </c>
      <c r="F792" s="24">
        <v>0</v>
      </c>
      <c r="G792" s="24">
        <v>0</v>
      </c>
      <c r="H792" s="25">
        <v>0</v>
      </c>
      <c r="I792">
        <v>0</v>
      </c>
      <c r="J792" s="26">
        <v>0</v>
      </c>
      <c r="K792" s="26">
        <v>0</v>
      </c>
      <c r="L792" s="26">
        <v>0</v>
      </c>
      <c r="M792">
        <v>0</v>
      </c>
      <c r="N792">
        <v>0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18</v>
      </c>
      <c r="AK792">
        <v>21</v>
      </c>
      <c r="AL792">
        <v>4</v>
      </c>
      <c r="AM792">
        <v>2</v>
      </c>
      <c r="AN792" s="18">
        <v>0</v>
      </c>
      <c r="AO792" s="18">
        <v>0</v>
      </c>
      <c r="AP792" s="18">
        <v>0</v>
      </c>
      <c r="AQ792" s="18">
        <v>0</v>
      </c>
      <c r="AR792" s="29">
        <v>0</v>
      </c>
      <c r="AS792" s="29">
        <v>0</v>
      </c>
      <c r="AT792" s="29">
        <v>0</v>
      </c>
      <c r="AU792" s="24" t="str">
        <f t="shared" si="13"/>
        <v>库存为0</v>
      </c>
      <c r="AV792" s="31" t="str">
        <f>IFERROR(时间!$B$4+AU792,"上周无销量")</f>
        <v>上周无销量</v>
      </c>
    </row>
    <row r="793" spans="1:48">
      <c r="A793" s="16" t="s">
        <v>1482</v>
      </c>
      <c r="B793" t="s">
        <v>1483</v>
      </c>
      <c r="C793" t="s">
        <v>1467</v>
      </c>
      <c r="D793" s="24">
        <v>6</v>
      </c>
      <c r="E793" s="24">
        <v>0</v>
      </c>
      <c r="F793" s="24">
        <v>0</v>
      </c>
      <c r="G793" s="24">
        <v>0</v>
      </c>
      <c r="H793" s="25">
        <v>23.98</v>
      </c>
      <c r="I793">
        <v>26</v>
      </c>
      <c r="J793" s="26">
        <v>0</v>
      </c>
      <c r="K793" s="26">
        <v>0</v>
      </c>
      <c r="L793" s="26">
        <v>0</v>
      </c>
      <c r="M793">
        <v>26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67</v>
      </c>
      <c r="AK793">
        <v>55</v>
      </c>
      <c r="AL793">
        <v>51</v>
      </c>
      <c r="AM793">
        <v>56</v>
      </c>
      <c r="AN793" s="18">
        <v>0.0895522388059701</v>
      </c>
      <c r="AO793" s="18">
        <v>0</v>
      </c>
      <c r="AP793" s="18">
        <v>0</v>
      </c>
      <c r="AQ793" s="18">
        <v>0</v>
      </c>
      <c r="AR793" s="29">
        <v>0.857142857142857</v>
      </c>
      <c r="AS793" s="29">
        <v>51.4285714285714</v>
      </c>
      <c r="AT793" s="29">
        <v>-25.4285714285714</v>
      </c>
      <c r="AU793" s="24">
        <f t="shared" si="13"/>
        <v>30</v>
      </c>
      <c r="AV793" s="31">
        <f>IFERROR(时间!$B$4+AU793,"上周无销量")</f>
        <v>43348</v>
      </c>
    </row>
    <row r="794" spans="1:48">
      <c r="A794" s="16" t="s">
        <v>1484</v>
      </c>
      <c r="B794" t="s">
        <v>1485</v>
      </c>
      <c r="C794" t="s">
        <v>1467</v>
      </c>
      <c r="D794" s="24">
        <v>0</v>
      </c>
      <c r="E794" s="24">
        <v>0</v>
      </c>
      <c r="F794" s="24">
        <v>0</v>
      </c>
      <c r="G794" s="24">
        <v>0</v>
      </c>
      <c r="H794" s="25">
        <v>0</v>
      </c>
      <c r="I794">
        <v>0</v>
      </c>
      <c r="J794" s="26">
        <v>0</v>
      </c>
      <c r="K794" s="26">
        <v>0</v>
      </c>
      <c r="L794" s="26">
        <v>0</v>
      </c>
      <c r="M794">
        <v>0</v>
      </c>
      <c r="N794">
        <v>0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35</v>
      </c>
      <c r="AK794">
        <v>15</v>
      </c>
      <c r="AL794">
        <v>46</v>
      </c>
      <c r="AM794">
        <v>36</v>
      </c>
      <c r="AN794" s="18">
        <v>0</v>
      </c>
      <c r="AO794" s="18">
        <v>0</v>
      </c>
      <c r="AP794" s="18">
        <v>0</v>
      </c>
      <c r="AQ794" s="18">
        <v>0</v>
      </c>
      <c r="AR794" s="29">
        <v>0</v>
      </c>
      <c r="AS794" s="29">
        <v>0</v>
      </c>
      <c r="AT794" s="29">
        <v>0</v>
      </c>
      <c r="AU794" s="24" t="str">
        <f t="shared" si="13"/>
        <v>库存为0</v>
      </c>
      <c r="AV794" s="31" t="str">
        <f>IFERROR(时间!$B$4+AU794,"上周无销量")</f>
        <v>上周无销量</v>
      </c>
    </row>
    <row r="795" spans="1:48">
      <c r="A795" s="16" t="s">
        <v>1486</v>
      </c>
      <c r="B795" t="s">
        <v>1487</v>
      </c>
      <c r="C795" t="s">
        <v>1467</v>
      </c>
      <c r="D795" s="24">
        <v>7</v>
      </c>
      <c r="E795" s="24">
        <v>10</v>
      </c>
      <c r="F795" s="24">
        <v>10</v>
      </c>
      <c r="G795" s="24">
        <v>1</v>
      </c>
      <c r="H795" s="25">
        <v>23.98</v>
      </c>
      <c r="I795">
        <v>13</v>
      </c>
      <c r="J795" s="26">
        <v>20</v>
      </c>
      <c r="K795" s="26">
        <v>0</v>
      </c>
      <c r="L795" s="26">
        <v>0</v>
      </c>
      <c r="M795">
        <v>33</v>
      </c>
      <c r="N795">
        <v>0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32</v>
      </c>
      <c r="AK795">
        <v>37</v>
      </c>
      <c r="AL795">
        <v>40</v>
      </c>
      <c r="AM795">
        <v>19</v>
      </c>
      <c r="AN795" s="18">
        <v>0.21875</v>
      </c>
      <c r="AO795" s="18">
        <v>0.27027027027027</v>
      </c>
      <c r="AP795" s="18">
        <v>0.25</v>
      </c>
      <c r="AQ795" s="18">
        <v>0.0526315789473684</v>
      </c>
      <c r="AR795" s="29">
        <v>1</v>
      </c>
      <c r="AS795" s="29">
        <v>60</v>
      </c>
      <c r="AT795" s="29">
        <v>-27</v>
      </c>
      <c r="AU795" s="24">
        <f t="shared" si="13"/>
        <v>33</v>
      </c>
      <c r="AV795" s="31">
        <f>IFERROR(时间!$B$4+AU795,"上周无销量")</f>
        <v>43351</v>
      </c>
    </row>
    <row r="796" spans="1:48">
      <c r="A796" s="16" t="s">
        <v>1488</v>
      </c>
      <c r="B796" t="s">
        <v>1489</v>
      </c>
      <c r="C796" t="s">
        <v>1467</v>
      </c>
      <c r="D796" s="24">
        <v>0</v>
      </c>
      <c r="E796" s="24">
        <v>0</v>
      </c>
      <c r="F796" s="24">
        <v>0</v>
      </c>
      <c r="G796" s="24">
        <v>0</v>
      </c>
      <c r="H796" s="25">
        <v>0</v>
      </c>
      <c r="I796">
        <v>0</v>
      </c>
      <c r="J796" s="26">
        <v>20</v>
      </c>
      <c r="K796" s="26">
        <v>0</v>
      </c>
      <c r="L796" s="26">
        <v>0</v>
      </c>
      <c r="M796">
        <v>20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13</v>
      </c>
      <c r="AK796">
        <v>4</v>
      </c>
      <c r="AL796">
        <v>4</v>
      </c>
      <c r="AM796">
        <v>22</v>
      </c>
      <c r="AN796" s="18">
        <v>0</v>
      </c>
      <c r="AO796" s="18">
        <v>0</v>
      </c>
      <c r="AP796" s="18">
        <v>0</v>
      </c>
      <c r="AQ796" s="18">
        <v>0</v>
      </c>
      <c r="AR796" s="29">
        <v>0</v>
      </c>
      <c r="AS796" s="29">
        <v>0</v>
      </c>
      <c r="AT796" s="29">
        <v>20</v>
      </c>
      <c r="AU796" s="24" t="str">
        <f t="shared" si="13"/>
        <v>库存为20</v>
      </c>
      <c r="AV796" s="31" t="str">
        <f>IFERROR(时间!$B$4+AU796,"上周无销量")</f>
        <v>上周无销量</v>
      </c>
    </row>
    <row r="797" spans="1:48">
      <c r="A797" s="16" t="s">
        <v>1490</v>
      </c>
      <c r="B797" t="s">
        <v>1491</v>
      </c>
      <c r="C797" t="s">
        <v>1467</v>
      </c>
      <c r="D797" s="24">
        <v>8</v>
      </c>
      <c r="E797" s="24">
        <v>1</v>
      </c>
      <c r="F797" s="24">
        <v>0</v>
      </c>
      <c r="G797" s="24">
        <v>2</v>
      </c>
      <c r="H797" s="25">
        <v>17.98</v>
      </c>
      <c r="I797">
        <v>23</v>
      </c>
      <c r="J797" s="26">
        <v>0</v>
      </c>
      <c r="K797" s="26">
        <v>0</v>
      </c>
      <c r="L797" s="26">
        <v>1</v>
      </c>
      <c r="M797">
        <v>24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31</v>
      </c>
      <c r="AK797">
        <v>29</v>
      </c>
      <c r="AL797">
        <v>25</v>
      </c>
      <c r="AM797">
        <v>27</v>
      </c>
      <c r="AN797" s="18">
        <v>0.258064516129032</v>
      </c>
      <c r="AO797" s="18">
        <v>0.0344827586206897</v>
      </c>
      <c r="AP797" s="18">
        <v>0</v>
      </c>
      <c r="AQ797" s="18">
        <v>0.0740740740740741</v>
      </c>
      <c r="AR797" s="29">
        <v>1.14285714285714</v>
      </c>
      <c r="AS797" s="29">
        <v>68.5714285714286</v>
      </c>
      <c r="AT797" s="29">
        <v>-44.5714285714286</v>
      </c>
      <c r="AU797" s="24">
        <f t="shared" si="13"/>
        <v>21</v>
      </c>
      <c r="AV797" s="31">
        <f>IFERROR(时间!$B$4+AU797,"上周无销量")</f>
        <v>43339</v>
      </c>
    </row>
    <row r="798" spans="1:48">
      <c r="A798" s="16" t="s">
        <v>1492</v>
      </c>
      <c r="B798" t="s">
        <v>1493</v>
      </c>
      <c r="C798" t="s">
        <v>1467</v>
      </c>
      <c r="D798" s="24">
        <v>3</v>
      </c>
      <c r="E798" s="24">
        <v>14</v>
      </c>
      <c r="F798" s="24">
        <v>4</v>
      </c>
      <c r="G798" s="24">
        <v>0</v>
      </c>
      <c r="H798" s="25">
        <v>23.98</v>
      </c>
      <c r="I798">
        <v>20</v>
      </c>
      <c r="J798" s="26">
        <v>35</v>
      </c>
      <c r="K798" s="26">
        <v>0</v>
      </c>
      <c r="L798" s="26">
        <v>1</v>
      </c>
      <c r="M798">
        <v>56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25</v>
      </c>
      <c r="AK798">
        <v>31</v>
      </c>
      <c r="AL798">
        <v>47</v>
      </c>
      <c r="AM798">
        <v>12</v>
      </c>
      <c r="AN798" s="18">
        <v>0.12</v>
      </c>
      <c r="AO798" s="18">
        <v>0.451612903225806</v>
      </c>
      <c r="AP798" s="18">
        <v>0.0851063829787234</v>
      </c>
      <c r="AQ798" s="18">
        <v>0</v>
      </c>
      <c r="AR798" s="29">
        <v>0.428571428571429</v>
      </c>
      <c r="AS798" s="29">
        <v>25.7142857142857</v>
      </c>
      <c r="AT798" s="29">
        <v>30.2857142857143</v>
      </c>
      <c r="AU798" s="24">
        <f t="shared" si="13"/>
        <v>130</v>
      </c>
      <c r="AV798" s="31">
        <f>IFERROR(时间!$B$4+AU798,"上周无销量")</f>
        <v>43448</v>
      </c>
    </row>
    <row r="799" spans="1:48">
      <c r="A799" s="16" t="s">
        <v>1494</v>
      </c>
      <c r="B799" t="s">
        <v>1495</v>
      </c>
      <c r="C799" t="s">
        <v>1467</v>
      </c>
      <c r="D799" s="24">
        <v>0</v>
      </c>
      <c r="E799" s="24">
        <v>0</v>
      </c>
      <c r="F799" s="24">
        <v>0</v>
      </c>
      <c r="G799" s="24">
        <v>0</v>
      </c>
      <c r="H799" s="25">
        <v>0</v>
      </c>
      <c r="I799">
        <v>0</v>
      </c>
      <c r="J799" s="26">
        <v>0</v>
      </c>
      <c r="K799" s="26">
        <v>0</v>
      </c>
      <c r="L799" s="26">
        <v>0</v>
      </c>
      <c r="M799">
        <v>0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0</v>
      </c>
      <c r="AK799">
        <v>0</v>
      </c>
      <c r="AL799">
        <v>4</v>
      </c>
      <c r="AM799">
        <v>6</v>
      </c>
      <c r="AN799" s="18" t="s">
        <v>52</v>
      </c>
      <c r="AO799" s="18" t="s">
        <v>52</v>
      </c>
      <c r="AP799" s="18">
        <v>0</v>
      </c>
      <c r="AQ799" s="18">
        <v>0</v>
      </c>
      <c r="AR799" s="29">
        <v>0</v>
      </c>
      <c r="AS799" s="29">
        <v>0</v>
      </c>
      <c r="AT799" s="29">
        <v>0</v>
      </c>
      <c r="AU799" s="24" t="str">
        <f t="shared" si="13"/>
        <v>库存为0</v>
      </c>
      <c r="AV799" s="31" t="str">
        <f>IFERROR(时间!$B$4+AU799,"上周无销量")</f>
        <v>上周无销量</v>
      </c>
    </row>
    <row r="800" spans="1:48">
      <c r="A800" s="16" t="s">
        <v>1496</v>
      </c>
      <c r="B800" t="s">
        <v>1497</v>
      </c>
      <c r="C800" t="s">
        <v>1467</v>
      </c>
      <c r="D800" s="24">
        <v>24</v>
      </c>
      <c r="E800" s="24">
        <v>16</v>
      </c>
      <c r="F800" s="24">
        <v>20</v>
      </c>
      <c r="G800" s="24">
        <v>15</v>
      </c>
      <c r="H800" s="25">
        <v>23.98</v>
      </c>
      <c r="I800">
        <v>97</v>
      </c>
      <c r="J800" s="26">
        <v>35</v>
      </c>
      <c r="K800" s="26">
        <v>30</v>
      </c>
      <c r="L800" s="26">
        <v>3</v>
      </c>
      <c r="M800">
        <v>165</v>
      </c>
      <c r="N800">
        <v>0</v>
      </c>
      <c r="O800">
        <v>0</v>
      </c>
      <c r="P800">
        <v>70711</v>
      </c>
      <c r="Q800">
        <v>0</v>
      </c>
      <c r="R800">
        <v>0</v>
      </c>
      <c r="S800">
        <v>0</v>
      </c>
      <c r="T800">
        <v>123</v>
      </c>
      <c r="U800">
        <v>0</v>
      </c>
      <c r="V800">
        <v>0</v>
      </c>
      <c r="W800">
        <v>0</v>
      </c>
      <c r="X800" s="18">
        <v>0.00173947476347386</v>
      </c>
      <c r="Y800" s="18" t="s">
        <v>52</v>
      </c>
      <c r="Z800" s="18" t="s">
        <v>52</v>
      </c>
      <c r="AA800" s="18" t="s">
        <v>52</v>
      </c>
      <c r="AB800">
        <v>81.15</v>
      </c>
      <c r="AC800">
        <v>0</v>
      </c>
      <c r="AD800">
        <v>0</v>
      </c>
      <c r="AE800">
        <v>0</v>
      </c>
      <c r="AF800" s="18">
        <v>0.141002919099249</v>
      </c>
      <c r="AG800" s="18" t="s">
        <v>52</v>
      </c>
      <c r="AH800" s="18" t="s">
        <v>52</v>
      </c>
      <c r="AI800" s="18" t="s">
        <v>52</v>
      </c>
      <c r="AJ800">
        <v>125</v>
      </c>
      <c r="AK800">
        <v>122</v>
      </c>
      <c r="AL800">
        <v>124</v>
      </c>
      <c r="AM800">
        <v>93</v>
      </c>
      <c r="AN800" s="18">
        <v>0.192</v>
      </c>
      <c r="AO800" s="18">
        <v>0.131147540983607</v>
      </c>
      <c r="AP800" s="18">
        <v>0.161290322580645</v>
      </c>
      <c r="AQ800" s="18">
        <v>0.161290322580645</v>
      </c>
      <c r="AR800" s="29">
        <v>3.42857142857143</v>
      </c>
      <c r="AS800" s="29">
        <v>205.714285714286</v>
      </c>
      <c r="AT800" s="29">
        <v>-40.7142857142857</v>
      </c>
      <c r="AU800" s="24">
        <f t="shared" si="13"/>
        <v>48</v>
      </c>
      <c r="AV800" s="31">
        <f>IFERROR(时间!$B$4+AU800,"上周无销量")</f>
        <v>43366</v>
      </c>
    </row>
    <row r="801" spans="1:48">
      <c r="A801" s="16" t="s">
        <v>1498</v>
      </c>
      <c r="B801" t="s">
        <v>1499</v>
      </c>
      <c r="C801" t="s">
        <v>1467</v>
      </c>
      <c r="D801" s="24">
        <v>28</v>
      </c>
      <c r="E801" s="24">
        <v>4</v>
      </c>
      <c r="F801" s="24">
        <v>0</v>
      </c>
      <c r="G801" s="24">
        <v>0</v>
      </c>
      <c r="H801" s="25">
        <v>23.98</v>
      </c>
      <c r="I801">
        <v>59</v>
      </c>
      <c r="J801" s="26">
        <v>25</v>
      </c>
      <c r="K801" s="26">
        <v>0</v>
      </c>
      <c r="L801" s="26">
        <v>81</v>
      </c>
      <c r="M801">
        <v>165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61</v>
      </c>
      <c r="AK801">
        <v>62</v>
      </c>
      <c r="AL801">
        <v>103</v>
      </c>
      <c r="AM801">
        <v>69</v>
      </c>
      <c r="AN801" s="18">
        <v>0.459016393442623</v>
      </c>
      <c r="AO801" s="18">
        <v>0.0645161290322581</v>
      </c>
      <c r="AP801" s="18">
        <v>0</v>
      </c>
      <c r="AQ801" s="18">
        <v>0</v>
      </c>
      <c r="AR801" s="29">
        <v>4</v>
      </c>
      <c r="AS801" s="29">
        <v>240</v>
      </c>
      <c r="AT801" s="29">
        <v>-75</v>
      </c>
      <c r="AU801" s="24">
        <f t="shared" si="13"/>
        <v>41</v>
      </c>
      <c r="AV801" s="31">
        <f>IFERROR(时间!$B$4+AU801,"上周无销量")</f>
        <v>43359</v>
      </c>
    </row>
    <row r="802" spans="1:48">
      <c r="A802" s="16" t="s">
        <v>1500</v>
      </c>
      <c r="B802" t="s">
        <v>1501</v>
      </c>
      <c r="C802" t="s">
        <v>1467</v>
      </c>
      <c r="D802" s="24">
        <v>0</v>
      </c>
      <c r="E802" s="24">
        <v>0</v>
      </c>
      <c r="F802" s="24">
        <v>0</v>
      </c>
      <c r="G802" s="24">
        <v>0</v>
      </c>
      <c r="H802" s="25">
        <v>0</v>
      </c>
      <c r="I802">
        <v>0</v>
      </c>
      <c r="J802" s="26">
        <v>0</v>
      </c>
      <c r="K802" s="26">
        <v>0</v>
      </c>
      <c r="L802" s="26">
        <v>0</v>
      </c>
      <c r="M802">
        <v>0</v>
      </c>
      <c r="N802">
        <v>0</v>
      </c>
      <c r="O802">
        <v>0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27</v>
      </c>
      <c r="AK802">
        <v>5</v>
      </c>
      <c r="AL802">
        <v>4</v>
      </c>
      <c r="AM802">
        <v>5</v>
      </c>
      <c r="AN802" s="18">
        <v>0</v>
      </c>
      <c r="AO802" s="18">
        <v>0</v>
      </c>
      <c r="AP802" s="18">
        <v>0</v>
      </c>
      <c r="AQ802" s="18">
        <v>0</v>
      </c>
      <c r="AR802" s="29">
        <v>0</v>
      </c>
      <c r="AS802" s="29">
        <v>0</v>
      </c>
      <c r="AT802" s="29">
        <v>0</v>
      </c>
      <c r="AU802" s="24" t="str">
        <f t="shared" si="13"/>
        <v>库存为0</v>
      </c>
      <c r="AV802" s="31" t="str">
        <f>IFERROR(时间!$B$4+AU802,"上周无销量")</f>
        <v>上周无销量</v>
      </c>
    </row>
    <row r="803" spans="1:48">
      <c r="A803" s="16" t="s">
        <v>1502</v>
      </c>
      <c r="B803" t="s">
        <v>1503</v>
      </c>
      <c r="C803" t="s">
        <v>1467</v>
      </c>
      <c r="D803" s="24">
        <v>26</v>
      </c>
      <c r="E803" s="24">
        <v>24</v>
      </c>
      <c r="F803" s="24">
        <v>31</v>
      </c>
      <c r="G803" s="24">
        <v>15</v>
      </c>
      <c r="H803" s="25">
        <v>24.2297916666667</v>
      </c>
      <c r="I803">
        <v>51</v>
      </c>
      <c r="J803" s="26">
        <v>13</v>
      </c>
      <c r="K803" s="26">
        <v>0</v>
      </c>
      <c r="L803" s="26">
        <v>1</v>
      </c>
      <c r="M803">
        <v>65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78</v>
      </c>
      <c r="AK803">
        <v>88</v>
      </c>
      <c r="AL803">
        <v>106</v>
      </c>
      <c r="AM803">
        <v>64</v>
      </c>
      <c r="AN803" s="18">
        <v>0.333333333333333</v>
      </c>
      <c r="AO803" s="18">
        <v>0.272727272727273</v>
      </c>
      <c r="AP803" s="18">
        <v>0.292452830188679</v>
      </c>
      <c r="AQ803" s="18">
        <v>0.234375</v>
      </c>
      <c r="AR803" s="29">
        <v>3.71428571428571</v>
      </c>
      <c r="AS803" s="29">
        <v>222.857142857143</v>
      </c>
      <c r="AT803" s="29">
        <v>-157.857142857143</v>
      </c>
      <c r="AU803" s="24">
        <f t="shared" si="13"/>
        <v>17</v>
      </c>
      <c r="AV803" s="31">
        <f>IFERROR(时间!$B$4+AU803,"上周无销量")</f>
        <v>43335</v>
      </c>
    </row>
    <row r="804" spans="1:48">
      <c r="A804" s="16" t="s">
        <v>1504</v>
      </c>
      <c r="B804" t="s">
        <v>1505</v>
      </c>
      <c r="C804" t="s">
        <v>1467</v>
      </c>
      <c r="D804" s="24">
        <v>9</v>
      </c>
      <c r="E804" s="24">
        <v>5</v>
      </c>
      <c r="F804" s="24">
        <v>9</v>
      </c>
      <c r="G804" s="24">
        <v>5</v>
      </c>
      <c r="H804" s="25">
        <v>23.98</v>
      </c>
      <c r="I804">
        <v>57</v>
      </c>
      <c r="J804" s="26">
        <v>6</v>
      </c>
      <c r="K804" s="26">
        <v>0</v>
      </c>
      <c r="L804" s="26">
        <v>0</v>
      </c>
      <c r="M804">
        <v>63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64</v>
      </c>
      <c r="AK804">
        <v>45</v>
      </c>
      <c r="AL804">
        <v>85</v>
      </c>
      <c r="AM804">
        <v>57</v>
      </c>
      <c r="AN804" s="18">
        <v>0.140625</v>
      </c>
      <c r="AO804" s="18">
        <v>0.111111111111111</v>
      </c>
      <c r="AP804" s="18">
        <v>0.105882352941176</v>
      </c>
      <c r="AQ804" s="18">
        <v>0.087719298245614</v>
      </c>
      <c r="AR804" s="29">
        <v>1.28571428571429</v>
      </c>
      <c r="AS804" s="29">
        <v>77.1428571428572</v>
      </c>
      <c r="AT804" s="29">
        <v>-14.1428571428572</v>
      </c>
      <c r="AU804" s="24">
        <f t="shared" si="13"/>
        <v>49</v>
      </c>
      <c r="AV804" s="31">
        <f>IFERROR(时间!$B$4+AU804,"上周无销量")</f>
        <v>43367</v>
      </c>
    </row>
    <row r="805" spans="1:48">
      <c r="A805" s="16" t="s">
        <v>1506</v>
      </c>
      <c r="B805" t="s">
        <v>1507</v>
      </c>
      <c r="C805" t="s">
        <v>1467</v>
      </c>
      <c r="D805" s="24">
        <v>0</v>
      </c>
      <c r="E805" s="24">
        <v>3</v>
      </c>
      <c r="F805" s="24">
        <v>2</v>
      </c>
      <c r="G805" s="24">
        <v>0</v>
      </c>
      <c r="H805" s="25">
        <v>22.98</v>
      </c>
      <c r="I805">
        <v>0</v>
      </c>
      <c r="J805" s="26">
        <v>15</v>
      </c>
      <c r="K805" s="26">
        <v>0</v>
      </c>
      <c r="L805" s="26">
        <v>0</v>
      </c>
      <c r="M805">
        <v>15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0</v>
      </c>
      <c r="AK805">
        <v>64</v>
      </c>
      <c r="AL805">
        <v>54</v>
      </c>
      <c r="AM805">
        <v>0</v>
      </c>
      <c r="AN805" s="18" t="s">
        <v>52</v>
      </c>
      <c r="AO805" s="18">
        <v>0.046875</v>
      </c>
      <c r="AP805" s="18">
        <v>0.037037037037037</v>
      </c>
      <c r="AQ805" s="18" t="s">
        <v>52</v>
      </c>
      <c r="AR805" s="29">
        <v>0</v>
      </c>
      <c r="AS805" s="29">
        <v>0</v>
      </c>
      <c r="AT805" s="29">
        <v>15</v>
      </c>
      <c r="AU805" s="24" t="str">
        <f t="shared" si="13"/>
        <v>库存为15</v>
      </c>
      <c r="AV805" s="31" t="str">
        <f>IFERROR(时间!$B$4+AU805,"上周无销量")</f>
        <v>上周无销量</v>
      </c>
    </row>
    <row r="806" spans="1:48">
      <c r="A806" s="16" t="s">
        <v>1508</v>
      </c>
      <c r="B806" t="s">
        <v>1509</v>
      </c>
      <c r="C806" t="s">
        <v>1467</v>
      </c>
      <c r="D806" s="24">
        <v>0</v>
      </c>
      <c r="E806" s="24">
        <v>0</v>
      </c>
      <c r="F806" s="24">
        <v>0</v>
      </c>
      <c r="G806" s="24">
        <v>0</v>
      </c>
      <c r="H806" s="25">
        <v>0</v>
      </c>
      <c r="I806">
        <v>0</v>
      </c>
      <c r="J806" s="26">
        <v>0</v>
      </c>
      <c r="K806" s="26">
        <v>0</v>
      </c>
      <c r="L806" s="26">
        <v>0</v>
      </c>
      <c r="M806">
        <v>0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19</v>
      </c>
      <c r="AK806">
        <v>33</v>
      </c>
      <c r="AL806">
        <v>25</v>
      </c>
      <c r="AM806">
        <v>22</v>
      </c>
      <c r="AN806" s="18">
        <v>0</v>
      </c>
      <c r="AO806" s="18">
        <v>0</v>
      </c>
      <c r="AP806" s="18">
        <v>0</v>
      </c>
      <c r="AQ806" s="18">
        <v>0</v>
      </c>
      <c r="AR806" s="29">
        <v>0</v>
      </c>
      <c r="AS806" s="29">
        <v>0</v>
      </c>
      <c r="AT806" s="29">
        <v>0</v>
      </c>
      <c r="AU806" s="24" t="str">
        <f t="shared" si="13"/>
        <v>库存为0</v>
      </c>
      <c r="AV806" s="31" t="str">
        <f>IFERROR(时间!$B$4+AU806,"上周无销量")</f>
        <v>上周无销量</v>
      </c>
    </row>
    <row r="807" spans="1:48">
      <c r="A807" s="16" t="s">
        <v>1510</v>
      </c>
      <c r="B807" t="s">
        <v>1511</v>
      </c>
      <c r="C807" t="s">
        <v>1467</v>
      </c>
      <c r="D807" s="24">
        <v>0</v>
      </c>
      <c r="E807" s="24">
        <v>0</v>
      </c>
      <c r="F807" s="24">
        <v>0</v>
      </c>
      <c r="G807" s="24">
        <v>0</v>
      </c>
      <c r="H807" s="25">
        <v>0</v>
      </c>
      <c r="I807">
        <v>0</v>
      </c>
      <c r="J807" s="26">
        <v>0</v>
      </c>
      <c r="K807" s="26">
        <v>0</v>
      </c>
      <c r="L807" s="26">
        <v>0</v>
      </c>
      <c r="M807">
        <v>0</v>
      </c>
      <c r="N807">
        <v>0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7</v>
      </c>
      <c r="AK807">
        <v>2</v>
      </c>
      <c r="AL807">
        <v>4</v>
      </c>
      <c r="AM807">
        <v>4</v>
      </c>
      <c r="AN807" s="18">
        <v>0</v>
      </c>
      <c r="AO807" s="18">
        <v>0</v>
      </c>
      <c r="AP807" s="18">
        <v>0</v>
      </c>
      <c r="AQ807" s="18">
        <v>0</v>
      </c>
      <c r="AR807" s="29">
        <v>0</v>
      </c>
      <c r="AS807" s="29">
        <v>0</v>
      </c>
      <c r="AT807" s="29">
        <v>0</v>
      </c>
      <c r="AU807" s="24" t="str">
        <f t="shared" si="13"/>
        <v>库存为0</v>
      </c>
      <c r="AV807" s="31" t="str">
        <f>IFERROR(时间!$B$4+AU807,"上周无销量")</f>
        <v>上周无销量</v>
      </c>
    </row>
    <row r="808" spans="1:48">
      <c r="A808" s="16" t="s">
        <v>1512</v>
      </c>
      <c r="B808" t="s">
        <v>1513</v>
      </c>
      <c r="C808" t="s">
        <v>1467</v>
      </c>
      <c r="D808" s="24">
        <v>0</v>
      </c>
      <c r="E808" s="24">
        <v>0</v>
      </c>
      <c r="F808" s="24">
        <v>0</v>
      </c>
      <c r="G808" s="24">
        <v>0</v>
      </c>
      <c r="H808" s="25">
        <v>0</v>
      </c>
      <c r="I808">
        <v>0</v>
      </c>
      <c r="J808" s="26">
        <v>20</v>
      </c>
      <c r="K808" s="26">
        <v>0</v>
      </c>
      <c r="L808" s="26">
        <v>0</v>
      </c>
      <c r="M808">
        <v>20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0</v>
      </c>
      <c r="AK808">
        <v>5</v>
      </c>
      <c r="AL808">
        <v>0</v>
      </c>
      <c r="AM808">
        <v>15</v>
      </c>
      <c r="AN808" s="18" t="s">
        <v>52</v>
      </c>
      <c r="AO808" s="18">
        <v>0</v>
      </c>
      <c r="AP808" s="18" t="s">
        <v>52</v>
      </c>
      <c r="AQ808" s="18">
        <v>0</v>
      </c>
      <c r="AR808" s="29">
        <v>0</v>
      </c>
      <c r="AS808" s="29">
        <v>0</v>
      </c>
      <c r="AT808" s="29">
        <v>20</v>
      </c>
      <c r="AU808" s="24" t="str">
        <f t="shared" si="13"/>
        <v>库存为20</v>
      </c>
      <c r="AV808" s="31" t="str">
        <f>IFERROR(时间!$B$4+AU808,"上周无销量")</f>
        <v>上周无销量</v>
      </c>
    </row>
    <row r="809" spans="1:48">
      <c r="A809" s="16" t="s">
        <v>1514</v>
      </c>
      <c r="B809" t="s">
        <v>1515</v>
      </c>
      <c r="C809" t="s">
        <v>1467</v>
      </c>
      <c r="D809" s="24">
        <v>0</v>
      </c>
      <c r="E809" s="24">
        <v>0</v>
      </c>
      <c r="F809" s="24">
        <v>0</v>
      </c>
      <c r="G809" s="24">
        <v>0</v>
      </c>
      <c r="H809" s="25">
        <v>0</v>
      </c>
      <c r="I809">
        <v>0</v>
      </c>
      <c r="J809" s="26">
        <v>0</v>
      </c>
      <c r="K809" s="26">
        <v>0</v>
      </c>
      <c r="L809" s="26">
        <v>0</v>
      </c>
      <c r="M809">
        <v>0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24</v>
      </c>
      <c r="AK809">
        <v>18</v>
      </c>
      <c r="AL809">
        <v>26</v>
      </c>
      <c r="AM809">
        <v>24</v>
      </c>
      <c r="AN809" s="18">
        <v>0</v>
      </c>
      <c r="AO809" s="18">
        <v>0</v>
      </c>
      <c r="AP809" s="18">
        <v>0</v>
      </c>
      <c r="AQ809" s="18">
        <v>0</v>
      </c>
      <c r="AR809" s="29">
        <v>0</v>
      </c>
      <c r="AS809" s="29">
        <v>0</v>
      </c>
      <c r="AT809" s="29">
        <v>0</v>
      </c>
      <c r="AU809" s="24" t="str">
        <f t="shared" si="13"/>
        <v>库存为0</v>
      </c>
      <c r="AV809" s="31" t="str">
        <f>IFERROR(时间!$B$4+AU809,"上周无销量")</f>
        <v>上周无销量</v>
      </c>
    </row>
    <row r="810" spans="1:48">
      <c r="A810" s="16" t="s">
        <v>1516</v>
      </c>
      <c r="B810" t="s">
        <v>1517</v>
      </c>
      <c r="C810" t="s">
        <v>1467</v>
      </c>
      <c r="D810" s="24">
        <v>11</v>
      </c>
      <c r="E810" s="24">
        <v>12</v>
      </c>
      <c r="F810" s="24">
        <v>21</v>
      </c>
      <c r="G810" s="24">
        <v>0</v>
      </c>
      <c r="H810" s="25">
        <v>23.98</v>
      </c>
      <c r="I810">
        <v>25</v>
      </c>
      <c r="J810" s="26">
        <v>46</v>
      </c>
      <c r="K810" s="26">
        <v>0</v>
      </c>
      <c r="L810" s="26">
        <v>0</v>
      </c>
      <c r="M810">
        <v>71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46</v>
      </c>
      <c r="AK810">
        <v>61</v>
      </c>
      <c r="AL810">
        <v>82</v>
      </c>
      <c r="AM810">
        <v>54</v>
      </c>
      <c r="AN810" s="18">
        <v>0.239130434782609</v>
      </c>
      <c r="AO810" s="18">
        <v>0.19672131147541</v>
      </c>
      <c r="AP810" s="18">
        <v>0.25609756097561</v>
      </c>
      <c r="AQ810" s="18">
        <v>0</v>
      </c>
      <c r="AR810" s="29">
        <v>1.57142857142857</v>
      </c>
      <c r="AS810" s="29">
        <v>94.2857142857143</v>
      </c>
      <c r="AT810" s="29">
        <v>-23.2857142857143</v>
      </c>
      <c r="AU810" s="24">
        <f t="shared" si="13"/>
        <v>45</v>
      </c>
      <c r="AV810" s="31">
        <f>IFERROR(时间!$B$4+AU810,"上周无销量")</f>
        <v>43363</v>
      </c>
    </row>
    <row r="811" spans="1:48">
      <c r="A811" s="16" t="s">
        <v>1518</v>
      </c>
      <c r="B811" t="s">
        <v>1519</v>
      </c>
      <c r="C811" t="s">
        <v>1467</v>
      </c>
      <c r="D811" s="24">
        <v>11</v>
      </c>
      <c r="E811" s="24">
        <v>15</v>
      </c>
      <c r="F811" s="24">
        <v>8</v>
      </c>
      <c r="G811" s="24">
        <v>6</v>
      </c>
      <c r="H811" s="25">
        <v>23.98</v>
      </c>
      <c r="I811">
        <v>0</v>
      </c>
      <c r="J811" s="26">
        <v>60</v>
      </c>
      <c r="K811" s="26">
        <v>0</v>
      </c>
      <c r="L811" s="26">
        <v>0</v>
      </c>
      <c r="M811">
        <v>60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71</v>
      </c>
      <c r="AK811">
        <v>112</v>
      </c>
      <c r="AL811">
        <v>134</v>
      </c>
      <c r="AM811">
        <v>106</v>
      </c>
      <c r="AN811" s="18">
        <v>0.154929577464789</v>
      </c>
      <c r="AO811" s="18">
        <v>0.133928571428571</v>
      </c>
      <c r="AP811" s="18">
        <v>0.0597014925373134</v>
      </c>
      <c r="AQ811" s="18">
        <v>0.0566037735849057</v>
      </c>
      <c r="AR811" s="29">
        <v>1.57142857142857</v>
      </c>
      <c r="AS811" s="29">
        <v>94.2857142857143</v>
      </c>
      <c r="AT811" s="29">
        <v>-34.2857142857143</v>
      </c>
      <c r="AU811" s="24">
        <f t="shared" si="13"/>
        <v>38</v>
      </c>
      <c r="AV811" s="31">
        <f>IFERROR(时间!$B$4+AU811,"上周无销量")</f>
        <v>43356</v>
      </c>
    </row>
    <row r="812" spans="1:48">
      <c r="A812" s="16" t="s">
        <v>1520</v>
      </c>
      <c r="B812" t="s">
        <v>1521</v>
      </c>
      <c r="C812" t="s">
        <v>1467</v>
      </c>
      <c r="D812" s="24">
        <v>2</v>
      </c>
      <c r="E812" s="24">
        <v>0</v>
      </c>
      <c r="F812" s="24">
        <v>0</v>
      </c>
      <c r="G812" s="24">
        <v>0</v>
      </c>
      <c r="H812" s="25">
        <v>22.98</v>
      </c>
      <c r="I812">
        <v>17</v>
      </c>
      <c r="J812" s="26">
        <v>10</v>
      </c>
      <c r="K812" s="26">
        <v>0</v>
      </c>
      <c r="L812" s="26">
        <v>0</v>
      </c>
      <c r="M812">
        <v>27</v>
      </c>
      <c r="N812">
        <v>0</v>
      </c>
      <c r="O812">
        <v>0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40</v>
      </c>
      <c r="AK812">
        <v>39</v>
      </c>
      <c r="AL812">
        <v>39</v>
      </c>
      <c r="AM812">
        <v>25</v>
      </c>
      <c r="AN812" s="18">
        <v>0.05</v>
      </c>
      <c r="AO812" s="18">
        <v>0</v>
      </c>
      <c r="AP812" s="18">
        <v>0</v>
      </c>
      <c r="AQ812" s="18">
        <v>0</v>
      </c>
      <c r="AR812" s="29">
        <v>0.285714285714286</v>
      </c>
      <c r="AS812" s="29">
        <v>17.1428571428571</v>
      </c>
      <c r="AT812" s="29">
        <v>9.85714285714286</v>
      </c>
      <c r="AU812" s="24">
        <f t="shared" si="13"/>
        <v>94</v>
      </c>
      <c r="AV812" s="31">
        <f>IFERROR(时间!$B$4+AU812,"上周无销量")</f>
        <v>43412</v>
      </c>
    </row>
    <row r="813" spans="1:48">
      <c r="A813" s="16" t="s">
        <v>1522</v>
      </c>
      <c r="B813" t="s">
        <v>1523</v>
      </c>
      <c r="C813" t="s">
        <v>1467</v>
      </c>
      <c r="D813" s="24">
        <v>10</v>
      </c>
      <c r="E813" s="24">
        <v>12</v>
      </c>
      <c r="F813" s="24">
        <v>11</v>
      </c>
      <c r="G813" s="24">
        <v>0</v>
      </c>
      <c r="H813" s="25">
        <v>23.98</v>
      </c>
      <c r="I813">
        <v>0</v>
      </c>
      <c r="J813" s="26">
        <v>0</v>
      </c>
      <c r="K813" s="26">
        <v>0</v>
      </c>
      <c r="L813" s="26">
        <v>0</v>
      </c>
      <c r="M813">
        <v>0</v>
      </c>
      <c r="N813">
        <v>0</v>
      </c>
      <c r="O813">
        <v>0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40</v>
      </c>
      <c r="AK813">
        <v>53</v>
      </c>
      <c r="AL813">
        <v>74</v>
      </c>
      <c r="AM813">
        <v>42</v>
      </c>
      <c r="AN813" s="18">
        <v>0.25</v>
      </c>
      <c r="AO813" s="18">
        <v>0.226415094339623</v>
      </c>
      <c r="AP813" s="18">
        <v>0.148648648648649</v>
      </c>
      <c r="AQ813" s="18">
        <v>0</v>
      </c>
      <c r="AR813" s="29">
        <v>1.42857142857143</v>
      </c>
      <c r="AS813" s="29">
        <v>85.7142857142857</v>
      </c>
      <c r="AT813" s="29">
        <v>-85.7142857142857</v>
      </c>
      <c r="AU813" s="24">
        <f t="shared" si="13"/>
        <v>0</v>
      </c>
      <c r="AV813" s="31">
        <f>IFERROR(时间!$B$4+AU813,"上周无销量")</f>
        <v>43318</v>
      </c>
    </row>
    <row r="814" spans="1:48">
      <c r="A814" s="16" t="s">
        <v>1524</v>
      </c>
      <c r="B814" t="s">
        <v>1525</v>
      </c>
      <c r="C814" t="s">
        <v>1467</v>
      </c>
      <c r="D814" s="24">
        <v>13</v>
      </c>
      <c r="E814" s="24">
        <v>9</v>
      </c>
      <c r="F814" s="24">
        <v>3</v>
      </c>
      <c r="G814" s="24">
        <v>0</v>
      </c>
      <c r="H814" s="25">
        <v>23.98</v>
      </c>
      <c r="I814">
        <v>0</v>
      </c>
      <c r="J814" s="26">
        <v>0</v>
      </c>
      <c r="K814" s="26">
        <v>0</v>
      </c>
      <c r="L814" s="26">
        <v>0</v>
      </c>
      <c r="M814">
        <v>0</v>
      </c>
      <c r="N814">
        <v>0</v>
      </c>
      <c r="O814">
        <v>0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39</v>
      </c>
      <c r="AK814">
        <v>56</v>
      </c>
      <c r="AL814">
        <v>44</v>
      </c>
      <c r="AM814">
        <v>29</v>
      </c>
      <c r="AN814" s="18">
        <v>0.333333333333333</v>
      </c>
      <c r="AO814" s="18">
        <v>0.160714285714286</v>
      </c>
      <c r="AP814" s="18">
        <v>0.0681818181818182</v>
      </c>
      <c r="AQ814" s="18">
        <v>0</v>
      </c>
      <c r="AR814" s="29">
        <v>1.85714285714286</v>
      </c>
      <c r="AS814" s="29">
        <v>111.428571428571</v>
      </c>
      <c r="AT814" s="29">
        <v>-111.428571428571</v>
      </c>
      <c r="AU814" s="24">
        <f t="shared" si="13"/>
        <v>0</v>
      </c>
      <c r="AV814" s="31">
        <f>IFERROR(时间!$B$4+AU814,"上周无销量")</f>
        <v>43318</v>
      </c>
    </row>
    <row r="815" spans="1:48">
      <c r="A815" s="16" t="s">
        <v>1526</v>
      </c>
      <c r="B815" t="s">
        <v>1527</v>
      </c>
      <c r="C815" t="s">
        <v>1467</v>
      </c>
      <c r="D815" s="24">
        <v>11</v>
      </c>
      <c r="E815" s="24">
        <v>18</v>
      </c>
      <c r="F815" s="24">
        <v>13</v>
      </c>
      <c r="G815" s="24">
        <v>6</v>
      </c>
      <c r="H815" s="25">
        <v>23.0425</v>
      </c>
      <c r="I815">
        <v>133</v>
      </c>
      <c r="J815" s="26">
        <v>0</v>
      </c>
      <c r="K815" s="26">
        <v>0</v>
      </c>
      <c r="L815" s="26">
        <v>1</v>
      </c>
      <c r="M815">
        <v>134</v>
      </c>
      <c r="N815">
        <v>0</v>
      </c>
      <c r="O815">
        <v>0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66</v>
      </c>
      <c r="AK815">
        <v>48</v>
      </c>
      <c r="AL815">
        <v>74</v>
      </c>
      <c r="AM815">
        <v>49</v>
      </c>
      <c r="AN815" s="18">
        <v>0.166666666666667</v>
      </c>
      <c r="AO815" s="18">
        <v>0.375</v>
      </c>
      <c r="AP815" s="18">
        <v>0.175675675675676</v>
      </c>
      <c r="AQ815" s="18">
        <v>0.122448979591837</v>
      </c>
      <c r="AR815" s="29">
        <v>1.57142857142857</v>
      </c>
      <c r="AS815" s="29">
        <v>94.2857142857143</v>
      </c>
      <c r="AT815" s="29">
        <v>39.7142857142857</v>
      </c>
      <c r="AU815" s="24">
        <f t="shared" si="13"/>
        <v>85</v>
      </c>
      <c r="AV815" s="31">
        <f>IFERROR(时间!$B$4+AU815,"上周无销量")</f>
        <v>43403</v>
      </c>
    </row>
    <row r="816" spans="1:48">
      <c r="A816" s="16" t="s">
        <v>1528</v>
      </c>
      <c r="B816" t="s">
        <v>1529</v>
      </c>
      <c r="C816" t="s">
        <v>1467</v>
      </c>
      <c r="D816" s="24">
        <v>8</v>
      </c>
      <c r="E816" s="24">
        <v>26</v>
      </c>
      <c r="F816" s="24">
        <v>8</v>
      </c>
      <c r="G816" s="24">
        <v>10</v>
      </c>
      <c r="H816" s="25">
        <v>24.4411538461539</v>
      </c>
      <c r="I816">
        <v>65</v>
      </c>
      <c r="J816" s="26">
        <v>0</v>
      </c>
      <c r="K816" s="26">
        <v>0</v>
      </c>
      <c r="L816" s="26">
        <v>1</v>
      </c>
      <c r="M816">
        <v>66</v>
      </c>
      <c r="N816">
        <v>0</v>
      </c>
      <c r="O816">
        <v>0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61</v>
      </c>
      <c r="AK816">
        <v>44</v>
      </c>
      <c r="AL816">
        <v>57</v>
      </c>
      <c r="AM816">
        <v>34</v>
      </c>
      <c r="AN816" s="18">
        <v>0.131147540983607</v>
      </c>
      <c r="AO816" s="18">
        <v>0.590909090909091</v>
      </c>
      <c r="AP816" s="18">
        <v>0.140350877192982</v>
      </c>
      <c r="AQ816" s="18">
        <v>0.294117647058824</v>
      </c>
      <c r="AR816" s="29">
        <v>1.14285714285714</v>
      </c>
      <c r="AS816" s="29">
        <v>68.5714285714286</v>
      </c>
      <c r="AT816" s="29">
        <v>-2.57142857142857</v>
      </c>
      <c r="AU816" s="24">
        <f t="shared" si="13"/>
        <v>57</v>
      </c>
      <c r="AV816" s="31">
        <f>IFERROR(时间!$B$4+AU816,"上周无销量")</f>
        <v>43375</v>
      </c>
    </row>
    <row r="817" spans="1:48">
      <c r="A817" s="16" t="s">
        <v>1530</v>
      </c>
      <c r="B817" t="s">
        <v>1531</v>
      </c>
      <c r="C817" t="s">
        <v>1467</v>
      </c>
      <c r="D817" s="24">
        <v>0</v>
      </c>
      <c r="E817" s="24">
        <v>0</v>
      </c>
      <c r="F817" s="24">
        <v>0</v>
      </c>
      <c r="G817" s="24">
        <v>0</v>
      </c>
      <c r="H817" s="25">
        <v>0</v>
      </c>
      <c r="I817">
        <v>0</v>
      </c>
      <c r="J817" s="26">
        <v>0</v>
      </c>
      <c r="K817" s="26">
        <v>0</v>
      </c>
      <c r="L817" s="26">
        <v>0</v>
      </c>
      <c r="M817">
        <v>0</v>
      </c>
      <c r="N817">
        <v>0</v>
      </c>
      <c r="O817">
        <v>0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30</v>
      </c>
      <c r="AK817">
        <v>37</v>
      </c>
      <c r="AL817">
        <v>28</v>
      </c>
      <c r="AM817">
        <v>27</v>
      </c>
      <c r="AN817" s="18">
        <v>0</v>
      </c>
      <c r="AO817" s="18">
        <v>0</v>
      </c>
      <c r="AP817" s="18">
        <v>0</v>
      </c>
      <c r="AQ817" s="18">
        <v>0</v>
      </c>
      <c r="AR817" s="29">
        <v>0</v>
      </c>
      <c r="AS817" s="29">
        <v>0</v>
      </c>
      <c r="AT817" s="29">
        <v>0</v>
      </c>
      <c r="AU817" s="24" t="str">
        <f t="shared" si="13"/>
        <v>库存为0</v>
      </c>
      <c r="AV817" s="31" t="str">
        <f>IFERROR(时间!$B$4+AU817,"上周无销量")</f>
        <v>上周无销量</v>
      </c>
    </row>
    <row r="818" spans="1:48">
      <c r="A818" s="16" t="s">
        <v>1532</v>
      </c>
      <c r="B818" t="s">
        <v>1533</v>
      </c>
      <c r="C818" t="s">
        <v>1467</v>
      </c>
      <c r="D818" s="24">
        <v>12</v>
      </c>
      <c r="E818" s="24">
        <v>20</v>
      </c>
      <c r="F818" s="24">
        <v>7</v>
      </c>
      <c r="G818" s="24">
        <v>21</v>
      </c>
      <c r="H818" s="25">
        <v>23.98</v>
      </c>
      <c r="I818">
        <v>38</v>
      </c>
      <c r="J818" s="26">
        <v>0</v>
      </c>
      <c r="K818" s="26">
        <v>0</v>
      </c>
      <c r="L818" s="26">
        <v>0</v>
      </c>
      <c r="M818">
        <v>38</v>
      </c>
      <c r="N818">
        <v>1</v>
      </c>
      <c r="O818">
        <v>0</v>
      </c>
      <c r="P818">
        <v>2337</v>
      </c>
      <c r="Q818">
        <v>9268</v>
      </c>
      <c r="R818">
        <v>15560</v>
      </c>
      <c r="S818">
        <v>0</v>
      </c>
      <c r="T818">
        <v>15</v>
      </c>
      <c r="U818">
        <v>28</v>
      </c>
      <c r="V818">
        <v>37</v>
      </c>
      <c r="W818">
        <v>0</v>
      </c>
      <c r="X818" s="18">
        <v>0.00641848523748395</v>
      </c>
      <c r="Y818" s="18">
        <v>0.00302114803625378</v>
      </c>
      <c r="Z818" s="18">
        <v>0.00237789203084833</v>
      </c>
      <c r="AA818" s="18" t="s">
        <v>52</v>
      </c>
      <c r="AB818">
        <v>13.71</v>
      </c>
      <c r="AC818">
        <v>20.03</v>
      </c>
      <c r="AD818">
        <v>26.38</v>
      </c>
      <c r="AE818">
        <v>0</v>
      </c>
      <c r="AF818" s="18">
        <v>0.0476438698915763</v>
      </c>
      <c r="AG818" s="18">
        <v>0.0417639699749792</v>
      </c>
      <c r="AH818" s="18">
        <v>0.157154771833671</v>
      </c>
      <c r="AI818" s="18" t="s">
        <v>52</v>
      </c>
      <c r="AJ818">
        <v>65</v>
      </c>
      <c r="AK818">
        <v>49</v>
      </c>
      <c r="AL818">
        <v>76</v>
      </c>
      <c r="AM818">
        <v>97</v>
      </c>
      <c r="AN818" s="18">
        <v>0.184615384615385</v>
      </c>
      <c r="AO818" s="18">
        <v>0.408163265306122</v>
      </c>
      <c r="AP818" s="18">
        <v>0.0921052631578947</v>
      </c>
      <c r="AQ818" s="18">
        <v>0.216494845360825</v>
      </c>
      <c r="AR818" s="29">
        <v>1.71428571428571</v>
      </c>
      <c r="AS818" s="29">
        <v>102.857142857143</v>
      </c>
      <c r="AT818" s="29">
        <v>-64.8571428571428</v>
      </c>
      <c r="AU818" s="24">
        <f t="shared" si="13"/>
        <v>22</v>
      </c>
      <c r="AV818" s="31">
        <f>IFERROR(时间!$B$4+AU818,"上周无销量")</f>
        <v>43340</v>
      </c>
    </row>
    <row r="819" spans="1:48">
      <c r="A819" s="16" t="s">
        <v>1534</v>
      </c>
      <c r="B819" t="s">
        <v>1535</v>
      </c>
      <c r="C819" t="s">
        <v>1467</v>
      </c>
      <c r="D819" s="24">
        <v>13</v>
      </c>
      <c r="E819" s="24">
        <v>2</v>
      </c>
      <c r="F819" s="24">
        <v>0</v>
      </c>
      <c r="G819" s="24">
        <v>0</v>
      </c>
      <c r="H819" s="25">
        <v>23.98</v>
      </c>
      <c r="I819">
        <v>63</v>
      </c>
      <c r="J819" s="26">
        <v>0</v>
      </c>
      <c r="K819" s="26">
        <v>0</v>
      </c>
      <c r="L819" s="26">
        <v>3</v>
      </c>
      <c r="M819">
        <v>66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138</v>
      </c>
      <c r="AK819">
        <v>97</v>
      </c>
      <c r="AL819">
        <v>150</v>
      </c>
      <c r="AM819">
        <v>129</v>
      </c>
      <c r="AN819" s="18">
        <v>0.0942028985507246</v>
      </c>
      <c r="AO819" s="18">
        <v>0.0206185567010309</v>
      </c>
      <c r="AP819" s="18">
        <v>0</v>
      </c>
      <c r="AQ819" s="18">
        <v>0</v>
      </c>
      <c r="AR819" s="29">
        <v>1.85714285714286</v>
      </c>
      <c r="AS819" s="29">
        <v>111.428571428571</v>
      </c>
      <c r="AT819" s="29">
        <v>-45.4285714285714</v>
      </c>
      <c r="AU819" s="24">
        <f t="shared" si="13"/>
        <v>35</v>
      </c>
      <c r="AV819" s="31">
        <f>IFERROR(时间!$B$4+AU819,"上周无销量")</f>
        <v>43353</v>
      </c>
    </row>
    <row r="820" spans="1:48">
      <c r="A820" s="16" t="s">
        <v>1536</v>
      </c>
      <c r="B820" t="s">
        <v>1537</v>
      </c>
      <c r="C820" t="s">
        <v>1467</v>
      </c>
      <c r="D820" s="24">
        <v>22</v>
      </c>
      <c r="E820" s="24">
        <v>11</v>
      </c>
      <c r="F820" s="24">
        <v>23</v>
      </c>
      <c r="G820" s="24">
        <v>16</v>
      </c>
      <c r="H820" s="25">
        <v>23.98</v>
      </c>
      <c r="I820">
        <v>20</v>
      </c>
      <c r="J820" s="26">
        <v>5</v>
      </c>
      <c r="K820" s="26">
        <v>0</v>
      </c>
      <c r="L820" s="26">
        <v>2</v>
      </c>
      <c r="M820">
        <v>27</v>
      </c>
      <c r="N820">
        <v>1</v>
      </c>
      <c r="O820">
        <v>0</v>
      </c>
      <c r="P820">
        <v>3255</v>
      </c>
      <c r="Q820">
        <v>0</v>
      </c>
      <c r="R820">
        <v>0</v>
      </c>
      <c r="S820">
        <v>0</v>
      </c>
      <c r="T820">
        <v>7</v>
      </c>
      <c r="U820">
        <v>0</v>
      </c>
      <c r="V820">
        <v>0</v>
      </c>
      <c r="W820">
        <v>0</v>
      </c>
      <c r="X820" s="18">
        <v>0.0021505376344086</v>
      </c>
      <c r="Y820" s="18" t="s">
        <v>52</v>
      </c>
      <c r="Z820" s="18" t="s">
        <v>52</v>
      </c>
      <c r="AA820" s="18" t="s">
        <v>52</v>
      </c>
      <c r="AB820">
        <v>3.7</v>
      </c>
      <c r="AC820">
        <v>0</v>
      </c>
      <c r="AD820">
        <v>0</v>
      </c>
      <c r="AE820">
        <v>0</v>
      </c>
      <c r="AF820" s="18">
        <v>0.00701342027447115</v>
      </c>
      <c r="AG820" s="18" t="s">
        <v>52</v>
      </c>
      <c r="AH820" s="18" t="s">
        <v>52</v>
      </c>
      <c r="AI820" s="18" t="s">
        <v>52</v>
      </c>
      <c r="AJ820">
        <v>133</v>
      </c>
      <c r="AK820">
        <v>79</v>
      </c>
      <c r="AL820">
        <v>133</v>
      </c>
      <c r="AM820">
        <v>114</v>
      </c>
      <c r="AN820" s="18">
        <v>0.165413533834586</v>
      </c>
      <c r="AO820" s="18">
        <v>0.139240506329114</v>
      </c>
      <c r="AP820" s="18">
        <v>0.172932330827068</v>
      </c>
      <c r="AQ820" s="18">
        <v>0.140350877192982</v>
      </c>
      <c r="AR820" s="29">
        <v>3.14285714285714</v>
      </c>
      <c r="AS820" s="29">
        <v>188.571428571429</v>
      </c>
      <c r="AT820" s="29">
        <v>-161.571428571429</v>
      </c>
      <c r="AU820" s="24">
        <f t="shared" si="13"/>
        <v>8</v>
      </c>
      <c r="AV820" s="31">
        <f>IFERROR(时间!$B$4+AU820,"上周无销量")</f>
        <v>43326</v>
      </c>
    </row>
    <row r="821" spans="1:48">
      <c r="A821" s="16" t="s">
        <v>1538</v>
      </c>
      <c r="B821" t="s">
        <v>1539</v>
      </c>
      <c r="C821" t="s">
        <v>1467</v>
      </c>
      <c r="D821" s="24">
        <v>0</v>
      </c>
      <c r="E821" s="24">
        <v>0</v>
      </c>
      <c r="F821" s="24">
        <v>0</v>
      </c>
      <c r="G821" s="24">
        <v>0</v>
      </c>
      <c r="H821" s="25">
        <v>0</v>
      </c>
      <c r="I821">
        <v>77</v>
      </c>
      <c r="J821" s="26">
        <v>18</v>
      </c>
      <c r="K821" s="26">
        <v>1</v>
      </c>
      <c r="L821" s="26">
        <v>5</v>
      </c>
      <c r="M821">
        <v>101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59</v>
      </c>
      <c r="AK821">
        <v>68</v>
      </c>
      <c r="AL821">
        <v>114</v>
      </c>
      <c r="AM821">
        <v>78</v>
      </c>
      <c r="AN821" s="18">
        <v>0</v>
      </c>
      <c r="AO821" s="18">
        <v>0</v>
      </c>
      <c r="AP821" s="18">
        <v>0</v>
      </c>
      <c r="AQ821" s="18">
        <v>0</v>
      </c>
      <c r="AR821" s="29">
        <v>0</v>
      </c>
      <c r="AS821" s="29">
        <v>0</v>
      </c>
      <c r="AT821" s="29">
        <v>101</v>
      </c>
      <c r="AU821" s="24" t="str">
        <f t="shared" si="13"/>
        <v>库存为101</v>
      </c>
      <c r="AV821" s="31" t="str">
        <f>IFERROR(时间!$B$4+AU821,"上周无销量")</f>
        <v>上周无销量</v>
      </c>
    </row>
    <row r="822" spans="1:48">
      <c r="A822" s="16" t="s">
        <v>1540</v>
      </c>
      <c r="B822" t="s">
        <v>1541</v>
      </c>
      <c r="C822" t="s">
        <v>1467</v>
      </c>
      <c r="D822" s="24">
        <v>0</v>
      </c>
      <c r="E822" s="24">
        <v>0</v>
      </c>
      <c r="F822" s="24">
        <v>0</v>
      </c>
      <c r="G822" s="24">
        <v>0</v>
      </c>
      <c r="H822" s="25">
        <v>0</v>
      </c>
      <c r="I822">
        <v>0</v>
      </c>
      <c r="J822" s="26">
        <v>10</v>
      </c>
      <c r="K822" s="26">
        <v>0</v>
      </c>
      <c r="L822" s="26">
        <v>0</v>
      </c>
      <c r="M822">
        <v>10</v>
      </c>
      <c r="N822">
        <v>0</v>
      </c>
      <c r="O822">
        <v>0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206</v>
      </c>
      <c r="AK822">
        <v>188</v>
      </c>
      <c r="AL822">
        <v>165</v>
      </c>
      <c r="AM822">
        <v>127</v>
      </c>
      <c r="AN822" s="18">
        <v>0</v>
      </c>
      <c r="AO822" s="18">
        <v>0</v>
      </c>
      <c r="AP822" s="18">
        <v>0</v>
      </c>
      <c r="AQ822" s="18">
        <v>0</v>
      </c>
      <c r="AR822" s="29">
        <v>0</v>
      </c>
      <c r="AS822" s="29">
        <v>0</v>
      </c>
      <c r="AT822" s="29">
        <v>10</v>
      </c>
      <c r="AU822" s="24" t="str">
        <f t="shared" si="13"/>
        <v>库存为10</v>
      </c>
      <c r="AV822" s="31" t="str">
        <f>IFERROR(时间!$B$4+AU822,"上周无销量")</f>
        <v>上周无销量</v>
      </c>
    </row>
    <row r="823" spans="1:48">
      <c r="A823" s="16" t="s">
        <v>1542</v>
      </c>
      <c r="B823" t="s">
        <v>1543</v>
      </c>
      <c r="C823" t="s">
        <v>1467</v>
      </c>
      <c r="D823" s="24">
        <v>29</v>
      </c>
      <c r="E823" s="24">
        <v>8</v>
      </c>
      <c r="F823" s="24">
        <v>35</v>
      </c>
      <c r="G823" s="24">
        <v>0</v>
      </c>
      <c r="H823" s="25">
        <v>23.98</v>
      </c>
      <c r="I823">
        <v>66</v>
      </c>
      <c r="J823" s="26">
        <v>0</v>
      </c>
      <c r="K823" s="26">
        <v>0</v>
      </c>
      <c r="L823" s="26">
        <v>1</v>
      </c>
      <c r="M823">
        <v>67</v>
      </c>
      <c r="N823">
        <v>0</v>
      </c>
      <c r="O823">
        <v>0</v>
      </c>
      <c r="P823">
        <v>0</v>
      </c>
      <c r="Q823">
        <v>12284</v>
      </c>
      <c r="R823">
        <v>0</v>
      </c>
      <c r="S823">
        <v>0</v>
      </c>
      <c r="T823">
        <v>0</v>
      </c>
      <c r="U823">
        <v>35</v>
      </c>
      <c r="V823">
        <v>0</v>
      </c>
      <c r="W823">
        <v>0</v>
      </c>
      <c r="X823" s="18" t="s">
        <v>52</v>
      </c>
      <c r="Y823" s="18">
        <v>0.00284923477694562</v>
      </c>
      <c r="Z823" s="18" t="s">
        <v>52</v>
      </c>
      <c r="AA823" s="18" t="s">
        <v>52</v>
      </c>
      <c r="AB823">
        <v>0</v>
      </c>
      <c r="AC823">
        <v>17.38</v>
      </c>
      <c r="AD823">
        <v>0</v>
      </c>
      <c r="AE823">
        <v>0</v>
      </c>
      <c r="AF823" s="18" t="s">
        <v>52</v>
      </c>
      <c r="AG823" s="18">
        <v>0.0905963302752294</v>
      </c>
      <c r="AH823" s="18" t="s">
        <v>52</v>
      </c>
      <c r="AI823" s="18" t="s">
        <v>52</v>
      </c>
      <c r="AJ823">
        <v>114</v>
      </c>
      <c r="AK823">
        <v>132</v>
      </c>
      <c r="AL823">
        <v>185</v>
      </c>
      <c r="AM823">
        <v>112</v>
      </c>
      <c r="AN823" s="18">
        <v>0.254385964912281</v>
      </c>
      <c r="AO823" s="18">
        <v>0.0606060606060606</v>
      </c>
      <c r="AP823" s="18">
        <v>0.189189189189189</v>
      </c>
      <c r="AQ823" s="18">
        <v>0</v>
      </c>
      <c r="AR823" s="29">
        <v>4.14285714285714</v>
      </c>
      <c r="AS823" s="29">
        <v>248.571428571429</v>
      </c>
      <c r="AT823" s="29">
        <v>-181.571428571429</v>
      </c>
      <c r="AU823" s="24">
        <f t="shared" si="13"/>
        <v>16</v>
      </c>
      <c r="AV823" s="31">
        <f>IFERROR(时间!$B$4+AU823,"上周无销量")</f>
        <v>43334</v>
      </c>
    </row>
    <row r="824" spans="1:48">
      <c r="A824" s="16" t="s">
        <v>1544</v>
      </c>
      <c r="B824" t="s">
        <v>1545</v>
      </c>
      <c r="C824" t="s">
        <v>1467</v>
      </c>
      <c r="D824" s="24">
        <v>19</v>
      </c>
      <c r="E824" s="24">
        <v>19</v>
      </c>
      <c r="F824" s="24">
        <v>38</v>
      </c>
      <c r="G824" s="24">
        <v>13</v>
      </c>
      <c r="H824" s="25">
        <v>23.98</v>
      </c>
      <c r="I824">
        <v>20</v>
      </c>
      <c r="J824" s="26">
        <v>0</v>
      </c>
      <c r="K824" s="26">
        <v>0</v>
      </c>
      <c r="L824" s="26">
        <v>38</v>
      </c>
      <c r="M824">
        <v>58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108</v>
      </c>
      <c r="AK824">
        <v>97</v>
      </c>
      <c r="AL824">
        <v>159</v>
      </c>
      <c r="AM824">
        <v>108</v>
      </c>
      <c r="AN824" s="18">
        <v>0.175925925925926</v>
      </c>
      <c r="AO824" s="18">
        <v>0.195876288659794</v>
      </c>
      <c r="AP824" s="18">
        <v>0.238993710691824</v>
      </c>
      <c r="AQ824" s="18">
        <v>0.12037037037037</v>
      </c>
      <c r="AR824" s="29">
        <v>2.71428571428571</v>
      </c>
      <c r="AS824" s="29">
        <v>162.857142857143</v>
      </c>
      <c r="AT824" s="29">
        <v>-104.857142857143</v>
      </c>
      <c r="AU824" s="24">
        <f t="shared" si="13"/>
        <v>21</v>
      </c>
      <c r="AV824" s="31">
        <f>IFERROR(时间!$B$4+AU824,"上周无销量")</f>
        <v>43339</v>
      </c>
    </row>
    <row r="825" spans="1:48">
      <c r="A825" s="16" t="s">
        <v>1546</v>
      </c>
      <c r="B825" t="s">
        <v>1547</v>
      </c>
      <c r="C825" t="s">
        <v>1467</v>
      </c>
      <c r="D825" s="24">
        <v>42</v>
      </c>
      <c r="E825" s="24">
        <v>34</v>
      </c>
      <c r="F825" s="24">
        <v>28</v>
      </c>
      <c r="G825" s="24">
        <v>24</v>
      </c>
      <c r="H825" s="25">
        <v>24.16734375</v>
      </c>
      <c r="I825">
        <v>127</v>
      </c>
      <c r="J825" s="26">
        <v>75</v>
      </c>
      <c r="K825" s="26">
        <v>20</v>
      </c>
      <c r="L825" s="26">
        <v>10</v>
      </c>
      <c r="M825">
        <v>232</v>
      </c>
      <c r="N825">
        <v>2</v>
      </c>
      <c r="O825">
        <v>0</v>
      </c>
      <c r="P825">
        <v>6038</v>
      </c>
      <c r="Q825">
        <v>1691</v>
      </c>
      <c r="R825">
        <v>994</v>
      </c>
      <c r="S825">
        <v>0</v>
      </c>
      <c r="T825">
        <v>68</v>
      </c>
      <c r="U825">
        <v>39</v>
      </c>
      <c r="V825">
        <v>25</v>
      </c>
      <c r="W825">
        <v>0</v>
      </c>
      <c r="X825" s="18">
        <v>0.0112620072871812</v>
      </c>
      <c r="Y825" s="18">
        <v>0.023063276167948</v>
      </c>
      <c r="Z825" s="18">
        <v>0.0251509054325956</v>
      </c>
      <c r="AA825" s="18" t="s">
        <v>52</v>
      </c>
      <c r="AB825">
        <v>52.09</v>
      </c>
      <c r="AC825">
        <v>31.63</v>
      </c>
      <c r="AD825">
        <v>18.33</v>
      </c>
      <c r="AE825">
        <v>0</v>
      </c>
      <c r="AF825" s="18">
        <v>0.0513187592342702</v>
      </c>
      <c r="AG825" s="18">
        <v>0.0384938505145837</v>
      </c>
      <c r="AH825" s="18">
        <v>0.0270879110221973</v>
      </c>
      <c r="AI825" s="18" t="s">
        <v>52</v>
      </c>
      <c r="AJ825">
        <v>218</v>
      </c>
      <c r="AK825">
        <v>152</v>
      </c>
      <c r="AL825">
        <v>160</v>
      </c>
      <c r="AM825">
        <v>169</v>
      </c>
      <c r="AN825" s="18">
        <v>0.192660550458716</v>
      </c>
      <c r="AO825" s="18">
        <v>0.223684210526316</v>
      </c>
      <c r="AP825" s="18">
        <v>0.175</v>
      </c>
      <c r="AQ825" s="18">
        <v>0.142011834319527</v>
      </c>
      <c r="AR825" s="29">
        <v>6</v>
      </c>
      <c r="AS825" s="29">
        <v>360</v>
      </c>
      <c r="AT825" s="29">
        <v>-128</v>
      </c>
      <c r="AU825" s="24">
        <f t="shared" si="13"/>
        <v>38</v>
      </c>
      <c r="AV825" s="31">
        <f>IFERROR(时间!$B$4+AU825,"上周无销量")</f>
        <v>43356</v>
      </c>
    </row>
    <row r="826" spans="1:48">
      <c r="A826" s="16" t="s">
        <v>1548</v>
      </c>
      <c r="B826" t="s">
        <v>1549</v>
      </c>
      <c r="C826" t="s">
        <v>1467</v>
      </c>
      <c r="D826" s="24">
        <v>33</v>
      </c>
      <c r="E826" s="24">
        <v>20</v>
      </c>
      <c r="F826" s="24">
        <v>11</v>
      </c>
      <c r="G826" s="24">
        <v>5</v>
      </c>
      <c r="H826" s="25">
        <v>23.98</v>
      </c>
      <c r="I826">
        <v>107</v>
      </c>
      <c r="J826" s="26">
        <v>80</v>
      </c>
      <c r="K826" s="26">
        <v>0</v>
      </c>
      <c r="L826" s="26">
        <v>1</v>
      </c>
      <c r="M826">
        <v>188</v>
      </c>
      <c r="N826">
        <v>0</v>
      </c>
      <c r="O826">
        <v>0</v>
      </c>
      <c r="P826" t="s">
        <v>52</v>
      </c>
      <c r="Q826" t="s">
        <v>52</v>
      </c>
      <c r="R826" t="s">
        <v>52</v>
      </c>
      <c r="S826" t="s">
        <v>52</v>
      </c>
      <c r="T826" t="s">
        <v>52</v>
      </c>
      <c r="U826" t="s">
        <v>52</v>
      </c>
      <c r="V826" t="s">
        <v>52</v>
      </c>
      <c r="W826" t="s">
        <v>52</v>
      </c>
      <c r="X826" s="18" t="s">
        <v>52</v>
      </c>
      <c r="Y826" s="18" t="s">
        <v>52</v>
      </c>
      <c r="Z826" s="18" t="s">
        <v>52</v>
      </c>
      <c r="AA826" s="18" t="s">
        <v>52</v>
      </c>
      <c r="AB826" t="s">
        <v>52</v>
      </c>
      <c r="AC826" t="s">
        <v>52</v>
      </c>
      <c r="AD826" t="s">
        <v>52</v>
      </c>
      <c r="AE826" t="s">
        <v>52</v>
      </c>
      <c r="AF826" s="18" t="s">
        <v>52</v>
      </c>
      <c r="AG826" s="18" t="s">
        <v>52</v>
      </c>
      <c r="AH826" s="18" t="s">
        <v>52</v>
      </c>
      <c r="AI826" s="18" t="s">
        <v>52</v>
      </c>
      <c r="AJ826">
        <v>184</v>
      </c>
      <c r="AK826">
        <v>157</v>
      </c>
      <c r="AL826">
        <v>198</v>
      </c>
      <c r="AM826">
        <v>176</v>
      </c>
      <c r="AN826" s="18">
        <v>0.179347826086957</v>
      </c>
      <c r="AO826" s="18">
        <v>0.127388535031847</v>
      </c>
      <c r="AP826" s="18">
        <v>0.0555555555555556</v>
      </c>
      <c r="AQ826" s="18">
        <v>0.0284090909090909</v>
      </c>
      <c r="AR826" s="29">
        <v>4.71428571428571</v>
      </c>
      <c r="AS826" s="29">
        <v>282.857142857143</v>
      </c>
      <c r="AT826" s="29">
        <v>-94.8571428571429</v>
      </c>
      <c r="AU826" s="24">
        <f t="shared" si="13"/>
        <v>39</v>
      </c>
      <c r="AV826" s="31">
        <f>IFERROR(时间!$B$4+AU826,"上周无销量")</f>
        <v>43357</v>
      </c>
    </row>
    <row r="827" spans="1:48">
      <c r="A827" s="16" t="s">
        <v>1550</v>
      </c>
      <c r="B827" t="s">
        <v>1551</v>
      </c>
      <c r="C827" t="s">
        <v>1467</v>
      </c>
      <c r="D827" s="24">
        <v>0</v>
      </c>
      <c r="E827" s="24">
        <v>0</v>
      </c>
      <c r="F827" s="24">
        <v>0</v>
      </c>
      <c r="G827" s="24">
        <v>0</v>
      </c>
      <c r="H827" s="25">
        <v>0</v>
      </c>
      <c r="I827">
        <v>0</v>
      </c>
      <c r="J827" s="26">
        <v>0</v>
      </c>
      <c r="K827" s="26">
        <v>0</v>
      </c>
      <c r="L827" s="26">
        <v>0</v>
      </c>
      <c r="M827">
        <v>0</v>
      </c>
      <c r="N827">
        <v>0</v>
      </c>
      <c r="O827">
        <v>0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70</v>
      </c>
      <c r="AK827">
        <v>59</v>
      </c>
      <c r="AL827">
        <v>62</v>
      </c>
      <c r="AM827">
        <v>49</v>
      </c>
      <c r="AN827" s="18">
        <v>0</v>
      </c>
      <c r="AO827" s="18">
        <v>0</v>
      </c>
      <c r="AP827" s="18">
        <v>0</v>
      </c>
      <c r="AQ827" s="18">
        <v>0</v>
      </c>
      <c r="AR827" s="29">
        <v>0</v>
      </c>
      <c r="AS827" s="29">
        <v>0</v>
      </c>
      <c r="AT827" s="29">
        <v>0</v>
      </c>
      <c r="AU827" s="24" t="str">
        <f t="shared" si="13"/>
        <v>库存为0</v>
      </c>
      <c r="AV827" s="31" t="str">
        <f>IFERROR(时间!$B$4+AU827,"上周无销量")</f>
        <v>上周无销量</v>
      </c>
    </row>
    <row r="828" spans="1:48">
      <c r="A828" s="16" t="s">
        <v>1552</v>
      </c>
      <c r="B828" t="s">
        <v>1553</v>
      </c>
      <c r="C828" t="s">
        <v>1467</v>
      </c>
      <c r="D828" s="24">
        <v>27</v>
      </c>
      <c r="E828" s="24">
        <v>40</v>
      </c>
      <c r="F828" s="24">
        <v>23</v>
      </c>
      <c r="G828" s="24">
        <v>24</v>
      </c>
      <c r="H828" s="25">
        <v>23.98</v>
      </c>
      <c r="I828">
        <v>79</v>
      </c>
      <c r="J828" s="26">
        <v>0</v>
      </c>
      <c r="K828" s="26">
        <v>13</v>
      </c>
      <c r="L828" s="26">
        <v>2</v>
      </c>
      <c r="M828">
        <v>94</v>
      </c>
      <c r="N828">
        <v>1</v>
      </c>
      <c r="O828">
        <v>0</v>
      </c>
      <c r="P828">
        <v>372</v>
      </c>
      <c r="Q828">
        <v>593</v>
      </c>
      <c r="R828">
        <v>380</v>
      </c>
      <c r="S828">
        <v>32</v>
      </c>
      <c r="T828">
        <v>11</v>
      </c>
      <c r="U828">
        <v>13</v>
      </c>
      <c r="V828">
        <v>5</v>
      </c>
      <c r="W828">
        <v>0</v>
      </c>
      <c r="X828" s="18">
        <v>0.0295698924731183</v>
      </c>
      <c r="Y828" s="18">
        <v>0.0219224283305228</v>
      </c>
      <c r="Z828" s="18">
        <v>0.0131578947368421</v>
      </c>
      <c r="AA828" s="18">
        <v>0</v>
      </c>
      <c r="AB828">
        <v>8.22</v>
      </c>
      <c r="AC828">
        <v>9.82</v>
      </c>
      <c r="AD828">
        <v>3.88</v>
      </c>
      <c r="AE828">
        <v>0</v>
      </c>
      <c r="AF828" s="18">
        <v>0.012695764989343</v>
      </c>
      <c r="AG828" s="18">
        <v>0.0102376980817348</v>
      </c>
      <c r="AH828" s="18">
        <v>0.00703484788048011</v>
      </c>
      <c r="AI828" s="18" t="s">
        <v>52</v>
      </c>
      <c r="AJ828">
        <v>125</v>
      </c>
      <c r="AK828">
        <v>141</v>
      </c>
      <c r="AL828">
        <v>98</v>
      </c>
      <c r="AM828">
        <v>83</v>
      </c>
      <c r="AN828" s="18">
        <v>0.216</v>
      </c>
      <c r="AO828" s="18">
        <v>0.283687943262411</v>
      </c>
      <c r="AP828" s="18">
        <v>0.23469387755102</v>
      </c>
      <c r="AQ828" s="18">
        <v>0.289156626506024</v>
      </c>
      <c r="AR828" s="29">
        <v>3.85714285714286</v>
      </c>
      <c r="AS828" s="29">
        <v>231.428571428571</v>
      </c>
      <c r="AT828" s="29">
        <v>-137.428571428571</v>
      </c>
      <c r="AU828" s="24">
        <f t="shared" si="13"/>
        <v>24</v>
      </c>
      <c r="AV828" s="31">
        <f>IFERROR(时间!$B$4+AU828,"上周无销量")</f>
        <v>43342</v>
      </c>
    </row>
    <row r="829" spans="1:48">
      <c r="A829" s="16" t="s">
        <v>1554</v>
      </c>
      <c r="B829" t="s">
        <v>1555</v>
      </c>
      <c r="C829" t="s">
        <v>1467</v>
      </c>
      <c r="D829" s="24">
        <v>32</v>
      </c>
      <c r="E829" s="24">
        <v>21</v>
      </c>
      <c r="F829" s="24">
        <v>20</v>
      </c>
      <c r="G829" s="24">
        <v>36</v>
      </c>
      <c r="H829" s="25">
        <v>23.98</v>
      </c>
      <c r="I829">
        <v>82</v>
      </c>
      <c r="J829" s="26">
        <v>52</v>
      </c>
      <c r="K829" s="26">
        <v>0</v>
      </c>
      <c r="L829" s="26">
        <v>4</v>
      </c>
      <c r="M829">
        <v>138</v>
      </c>
      <c r="N829">
        <v>1</v>
      </c>
      <c r="O829">
        <v>0</v>
      </c>
      <c r="P829">
        <v>2453</v>
      </c>
      <c r="Q829">
        <v>4797</v>
      </c>
      <c r="R829">
        <v>1866</v>
      </c>
      <c r="S829">
        <v>318</v>
      </c>
      <c r="T829">
        <v>18</v>
      </c>
      <c r="U829">
        <v>36</v>
      </c>
      <c r="V829">
        <v>18</v>
      </c>
      <c r="W829">
        <v>1</v>
      </c>
      <c r="X829" s="18">
        <v>0.00733795352629433</v>
      </c>
      <c r="Y829" s="18">
        <v>0.0075046904315197</v>
      </c>
      <c r="Z829" s="18">
        <v>0.00964630225080386</v>
      </c>
      <c r="AA829" s="18">
        <v>0.00314465408805031</v>
      </c>
      <c r="AB829">
        <v>15.33</v>
      </c>
      <c r="AC829">
        <v>37.12</v>
      </c>
      <c r="AD829">
        <v>18.95</v>
      </c>
      <c r="AE829">
        <v>0.95</v>
      </c>
      <c r="AF829" s="18">
        <v>0.0199775854879066</v>
      </c>
      <c r="AG829" s="18">
        <v>0.0737122205012113</v>
      </c>
      <c r="AH829" s="18">
        <v>0.039512093411176</v>
      </c>
      <c r="AI829" s="18">
        <v>0.00110045408210546</v>
      </c>
      <c r="AJ829">
        <v>143</v>
      </c>
      <c r="AK829">
        <v>116</v>
      </c>
      <c r="AL829">
        <v>99</v>
      </c>
      <c r="AM829">
        <v>96</v>
      </c>
      <c r="AN829" s="18">
        <v>0.223776223776224</v>
      </c>
      <c r="AO829" s="18">
        <v>0.181034482758621</v>
      </c>
      <c r="AP829" s="18">
        <v>0.202020202020202</v>
      </c>
      <c r="AQ829" s="18">
        <v>0.375</v>
      </c>
      <c r="AR829" s="29">
        <v>4.57142857142857</v>
      </c>
      <c r="AS829" s="29">
        <v>274.285714285714</v>
      </c>
      <c r="AT829" s="29">
        <v>-136.285714285714</v>
      </c>
      <c r="AU829" s="24">
        <f t="shared" si="13"/>
        <v>30</v>
      </c>
      <c r="AV829" s="31">
        <f>IFERROR(时间!$B$4+AU829,"上周无销量")</f>
        <v>43348</v>
      </c>
    </row>
    <row r="830" spans="1:48">
      <c r="A830" s="16" t="s">
        <v>1556</v>
      </c>
      <c r="B830" t="s">
        <v>1557</v>
      </c>
      <c r="C830" t="s">
        <v>1467</v>
      </c>
      <c r="D830" s="24">
        <v>6</v>
      </c>
      <c r="E830" s="24">
        <v>5</v>
      </c>
      <c r="F830" s="24">
        <v>2</v>
      </c>
      <c r="G830" s="24">
        <v>0</v>
      </c>
      <c r="H830" s="25">
        <v>22.98</v>
      </c>
      <c r="I830">
        <v>0</v>
      </c>
      <c r="J830" s="26">
        <v>5</v>
      </c>
      <c r="K830" s="26">
        <v>0</v>
      </c>
      <c r="L830" s="26">
        <v>2</v>
      </c>
      <c r="M830">
        <v>7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33</v>
      </c>
      <c r="AK830">
        <v>12</v>
      </c>
      <c r="AL830">
        <v>34</v>
      </c>
      <c r="AM830">
        <v>9</v>
      </c>
      <c r="AN830" s="18">
        <v>0.181818181818182</v>
      </c>
      <c r="AO830" s="18">
        <v>0.416666666666667</v>
      </c>
      <c r="AP830" s="18">
        <v>0.0588235294117647</v>
      </c>
      <c r="AQ830" s="18">
        <v>0</v>
      </c>
      <c r="AR830" s="29">
        <v>0.857142857142857</v>
      </c>
      <c r="AS830" s="29">
        <v>51.4285714285714</v>
      </c>
      <c r="AT830" s="29">
        <v>-44.4285714285714</v>
      </c>
      <c r="AU830" s="24">
        <f t="shared" si="13"/>
        <v>8</v>
      </c>
      <c r="AV830" s="31">
        <f>IFERROR(时间!$B$4+AU830,"上周无销量")</f>
        <v>43326</v>
      </c>
    </row>
    <row r="831" spans="1:48">
      <c r="A831" s="16" t="s">
        <v>1558</v>
      </c>
      <c r="B831" t="s">
        <v>143</v>
      </c>
      <c r="C831" t="s">
        <v>1559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0</v>
      </c>
      <c r="J831" s="26">
        <v>0</v>
      </c>
      <c r="K831" s="26">
        <v>0</v>
      </c>
      <c r="L831" s="26">
        <v>0</v>
      </c>
      <c r="M831">
        <v>0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5</v>
      </c>
      <c r="AK831">
        <v>12</v>
      </c>
      <c r="AL831">
        <v>25</v>
      </c>
      <c r="AM831">
        <v>15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0</v>
      </c>
      <c r="AU831" s="24" t="str">
        <f t="shared" si="13"/>
        <v>库存为0</v>
      </c>
      <c r="AV831" s="31" t="str">
        <f>IFERROR(时间!$B$4+AU831,"上周无销量")</f>
        <v>上周无销量</v>
      </c>
    </row>
    <row r="832" spans="1:48">
      <c r="A832" s="16" t="s">
        <v>1560</v>
      </c>
      <c r="B832" t="s">
        <v>146</v>
      </c>
      <c r="C832" t="s">
        <v>1559</v>
      </c>
      <c r="D832" s="24">
        <v>0</v>
      </c>
      <c r="E832" s="24">
        <v>0</v>
      </c>
      <c r="F832" s="24">
        <v>0</v>
      </c>
      <c r="G832" s="24">
        <v>0</v>
      </c>
      <c r="H832" s="25">
        <v>0</v>
      </c>
      <c r="I832">
        <v>0</v>
      </c>
      <c r="J832" s="26">
        <v>0</v>
      </c>
      <c r="K832" s="26">
        <v>0</v>
      </c>
      <c r="L832" s="26">
        <v>0</v>
      </c>
      <c r="M832">
        <v>0</v>
      </c>
      <c r="N832">
        <v>0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9</v>
      </c>
      <c r="AK832">
        <v>15</v>
      </c>
      <c r="AL832">
        <v>14</v>
      </c>
      <c r="AM832">
        <v>9</v>
      </c>
      <c r="AN832" s="18">
        <v>0</v>
      </c>
      <c r="AO832" s="18">
        <v>0</v>
      </c>
      <c r="AP832" s="18">
        <v>0</v>
      </c>
      <c r="AQ832" s="18">
        <v>0</v>
      </c>
      <c r="AR832" s="29">
        <v>0</v>
      </c>
      <c r="AS832" s="29">
        <v>0</v>
      </c>
      <c r="AT832" s="29">
        <v>0</v>
      </c>
      <c r="AU832" s="24" t="str">
        <f t="shared" si="13"/>
        <v>库存为0</v>
      </c>
      <c r="AV832" s="31" t="str">
        <f>IFERROR(时间!$B$4+AU832,"上周无销量")</f>
        <v>上周无销量</v>
      </c>
    </row>
    <row r="833" spans="1:48">
      <c r="A833" s="16" t="s">
        <v>1561</v>
      </c>
      <c r="B833" t="s">
        <v>148</v>
      </c>
      <c r="C833" t="s">
        <v>1559</v>
      </c>
      <c r="D833" s="24">
        <v>0</v>
      </c>
      <c r="E833" s="24">
        <v>0</v>
      </c>
      <c r="F833" s="24">
        <v>0</v>
      </c>
      <c r="G833" s="24">
        <v>0</v>
      </c>
      <c r="H833" s="25">
        <v>0</v>
      </c>
      <c r="I833">
        <v>0</v>
      </c>
      <c r="J833" s="26">
        <v>0</v>
      </c>
      <c r="K833" s="26">
        <v>0</v>
      </c>
      <c r="L833" s="26">
        <v>0</v>
      </c>
      <c r="M833">
        <v>0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4</v>
      </c>
      <c r="AK833">
        <v>8</v>
      </c>
      <c r="AL833">
        <v>19</v>
      </c>
      <c r="AM833">
        <v>9</v>
      </c>
      <c r="AN833" s="18">
        <v>0</v>
      </c>
      <c r="AO833" s="18">
        <v>0</v>
      </c>
      <c r="AP833" s="18">
        <v>0</v>
      </c>
      <c r="AQ833" s="18">
        <v>0</v>
      </c>
      <c r="AR833" s="29">
        <v>0</v>
      </c>
      <c r="AS833" s="29">
        <v>0</v>
      </c>
      <c r="AT833" s="29">
        <v>0</v>
      </c>
      <c r="AU833" s="24" t="str">
        <f t="shared" si="13"/>
        <v>库存为0</v>
      </c>
      <c r="AV833" s="31" t="str">
        <f>IFERROR(时间!$B$4+AU833,"上周无销量")</f>
        <v>上周无销量</v>
      </c>
    </row>
    <row r="834" spans="1:48">
      <c r="A834" s="16" t="s">
        <v>1562</v>
      </c>
      <c r="B834" t="s">
        <v>150</v>
      </c>
      <c r="C834" t="s">
        <v>1559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16</v>
      </c>
      <c r="AK834">
        <v>18</v>
      </c>
      <c r="AL834">
        <v>42</v>
      </c>
      <c r="AM834">
        <v>31</v>
      </c>
      <c r="AN834" s="18">
        <v>0</v>
      </c>
      <c r="AO834" s="18">
        <v>0</v>
      </c>
      <c r="AP834" s="18">
        <v>0</v>
      </c>
      <c r="AQ834" s="18">
        <v>0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1563</v>
      </c>
      <c r="B835" t="s">
        <v>1564</v>
      </c>
      <c r="C835" t="s">
        <v>1559</v>
      </c>
      <c r="D835" s="24">
        <v>0</v>
      </c>
      <c r="E835" s="24">
        <v>0</v>
      </c>
      <c r="F835" s="24">
        <v>0</v>
      </c>
      <c r="G835" s="24">
        <v>0</v>
      </c>
      <c r="H835" s="25">
        <v>0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0</v>
      </c>
      <c r="AK835">
        <v>0</v>
      </c>
      <c r="AL835">
        <v>0</v>
      </c>
      <c r="AM835">
        <v>0</v>
      </c>
      <c r="AN835" s="18" t="s">
        <v>52</v>
      </c>
      <c r="AO835" s="18" t="s">
        <v>52</v>
      </c>
      <c r="AP835" s="18" t="s">
        <v>52</v>
      </c>
      <c r="AQ835" s="18" t="s">
        <v>52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1565</v>
      </c>
      <c r="B836" t="s">
        <v>154</v>
      </c>
      <c r="C836" t="s">
        <v>1559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19</v>
      </c>
      <c r="AK836">
        <v>17</v>
      </c>
      <c r="AL836">
        <v>14</v>
      </c>
      <c r="AM836">
        <v>11</v>
      </c>
      <c r="AN836" s="18">
        <v>0</v>
      </c>
      <c r="AO836" s="18">
        <v>0</v>
      </c>
      <c r="AP836" s="18">
        <v>0</v>
      </c>
      <c r="AQ836" s="18">
        <v>0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1566</v>
      </c>
      <c r="B837" t="s">
        <v>156</v>
      </c>
      <c r="C837" t="s">
        <v>1559</v>
      </c>
      <c r="D837" s="24">
        <v>0</v>
      </c>
      <c r="E837" s="24">
        <v>0</v>
      </c>
      <c r="F837" s="24">
        <v>0</v>
      </c>
      <c r="G837" s="24">
        <v>0</v>
      </c>
      <c r="H837" s="25">
        <v>0</v>
      </c>
      <c r="I837">
        <v>0</v>
      </c>
      <c r="J837" s="26">
        <v>0</v>
      </c>
      <c r="K837" s="26">
        <v>0</v>
      </c>
      <c r="L837" s="26">
        <v>0</v>
      </c>
      <c r="M837">
        <v>0</v>
      </c>
      <c r="N837">
        <v>0</v>
      </c>
      <c r="O837">
        <v>0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12</v>
      </c>
      <c r="AK837">
        <v>20</v>
      </c>
      <c r="AL837">
        <v>10</v>
      </c>
      <c r="AM837">
        <v>4</v>
      </c>
      <c r="AN837" s="18">
        <v>0</v>
      </c>
      <c r="AO837" s="18">
        <v>0</v>
      </c>
      <c r="AP837" s="18">
        <v>0</v>
      </c>
      <c r="AQ837" s="18">
        <v>0</v>
      </c>
      <c r="AR837" s="29">
        <v>0</v>
      </c>
      <c r="AS837" s="29">
        <v>0</v>
      </c>
      <c r="AT837" s="29">
        <v>0</v>
      </c>
      <c r="AU837" s="24" t="str">
        <f t="shared" si="13"/>
        <v>库存为0</v>
      </c>
      <c r="AV837" s="31" t="str">
        <f>IFERROR(时间!$B$4+AU837,"上周无销量")</f>
        <v>上周无销量</v>
      </c>
    </row>
    <row r="838" spans="1:48">
      <c r="A838" s="16" t="s">
        <v>1567</v>
      </c>
      <c r="B838" t="s">
        <v>158</v>
      </c>
      <c r="C838" t="s">
        <v>1559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13</v>
      </c>
      <c r="AK838">
        <v>14</v>
      </c>
      <c r="AL838">
        <v>7</v>
      </c>
      <c r="AM838">
        <v>14</v>
      </c>
      <c r="AN838" s="18">
        <v>0</v>
      </c>
      <c r="AO838" s="18">
        <v>0</v>
      </c>
      <c r="AP838" s="18">
        <v>0</v>
      </c>
      <c r="AQ838" s="18">
        <v>0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1568</v>
      </c>
      <c r="B839" t="s">
        <v>160</v>
      </c>
      <c r="C839" t="s">
        <v>1559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12</v>
      </c>
      <c r="AK839">
        <v>22</v>
      </c>
      <c r="AL839">
        <v>48</v>
      </c>
      <c r="AM839">
        <v>29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1569</v>
      </c>
      <c r="B840" t="s">
        <v>1570</v>
      </c>
      <c r="C840" t="s">
        <v>1559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0</v>
      </c>
      <c r="AK840">
        <v>0</v>
      </c>
      <c r="AL840">
        <v>0</v>
      </c>
      <c r="AM840">
        <v>0</v>
      </c>
      <c r="AN840" s="18" t="s">
        <v>52</v>
      </c>
      <c r="AO840" s="18" t="s">
        <v>52</v>
      </c>
      <c r="AP840" s="18" t="s">
        <v>52</v>
      </c>
      <c r="AQ840" s="18" t="s">
        <v>52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1571</v>
      </c>
      <c r="B841" t="s">
        <v>1572</v>
      </c>
      <c r="C841" t="s">
        <v>1559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13</v>
      </c>
      <c r="AK841">
        <v>30</v>
      </c>
      <c r="AL841">
        <v>19</v>
      </c>
      <c r="AM841">
        <v>19</v>
      </c>
      <c r="AN841" s="18">
        <v>0</v>
      </c>
      <c r="AO841" s="18">
        <v>0</v>
      </c>
      <c r="AP841" s="18">
        <v>0</v>
      </c>
      <c r="AQ841" s="18">
        <v>0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1573</v>
      </c>
      <c r="B842" t="s">
        <v>166</v>
      </c>
      <c r="C842" t="s">
        <v>1559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28</v>
      </c>
      <c r="AK842">
        <v>31</v>
      </c>
      <c r="AL842">
        <v>35</v>
      </c>
      <c r="AM842">
        <v>15</v>
      </c>
      <c r="AN842" s="18">
        <v>0</v>
      </c>
      <c r="AO842" s="18">
        <v>0</v>
      </c>
      <c r="AP842" s="18">
        <v>0</v>
      </c>
      <c r="AQ842" s="18">
        <v>0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1574</v>
      </c>
      <c r="B843" t="s">
        <v>168</v>
      </c>
      <c r="C843" t="s">
        <v>1559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0</v>
      </c>
      <c r="J843" s="26">
        <v>0</v>
      </c>
      <c r="K843" s="26">
        <v>0</v>
      </c>
      <c r="L843" s="26">
        <v>0</v>
      </c>
      <c r="M843">
        <v>0</v>
      </c>
      <c r="N843">
        <v>0</v>
      </c>
      <c r="O843">
        <v>0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0</v>
      </c>
      <c r="AK843">
        <v>0</v>
      </c>
      <c r="AL843">
        <v>10</v>
      </c>
      <c r="AM843">
        <v>10</v>
      </c>
      <c r="AN843" s="18" t="s">
        <v>52</v>
      </c>
      <c r="AO843" s="18" t="s">
        <v>52</v>
      </c>
      <c r="AP843" s="18">
        <v>0</v>
      </c>
      <c r="AQ843" s="18">
        <v>0</v>
      </c>
      <c r="AR843" s="29">
        <v>0</v>
      </c>
      <c r="AS843" s="29">
        <v>0</v>
      </c>
      <c r="AT843" s="29">
        <v>0</v>
      </c>
      <c r="AU843" s="24" t="str">
        <f t="shared" si="14"/>
        <v>库存为0</v>
      </c>
      <c r="AV843" s="31" t="str">
        <f>IFERROR(时间!$B$4+AU843,"上周无销量")</f>
        <v>上周无销量</v>
      </c>
    </row>
    <row r="844" spans="1:48">
      <c r="A844" s="16" t="s">
        <v>1575</v>
      </c>
      <c r="B844" t="s">
        <v>1576</v>
      </c>
      <c r="C844" t="s">
        <v>1559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22</v>
      </c>
      <c r="AK844">
        <v>23</v>
      </c>
      <c r="AL844">
        <v>17</v>
      </c>
      <c r="AM844">
        <v>11</v>
      </c>
      <c r="AN844" s="18">
        <v>0</v>
      </c>
      <c r="AO844" s="18">
        <v>0</v>
      </c>
      <c r="AP844" s="18">
        <v>0</v>
      </c>
      <c r="AQ844" s="18">
        <v>0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1577</v>
      </c>
      <c r="B845" t="s">
        <v>172</v>
      </c>
      <c r="C845" t="s">
        <v>1559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0</v>
      </c>
      <c r="J845" s="26">
        <v>0</v>
      </c>
      <c r="K845" s="26">
        <v>0</v>
      </c>
      <c r="L845" s="26">
        <v>0</v>
      </c>
      <c r="M845">
        <v>0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8</v>
      </c>
      <c r="AK845">
        <v>16</v>
      </c>
      <c r="AL845">
        <v>43</v>
      </c>
      <c r="AM845">
        <v>30</v>
      </c>
      <c r="AN845" s="18">
        <v>0</v>
      </c>
      <c r="AO845" s="18">
        <v>0</v>
      </c>
      <c r="AP845" s="18">
        <v>0</v>
      </c>
      <c r="AQ845" s="18">
        <v>0</v>
      </c>
      <c r="AR845" s="29">
        <v>0</v>
      </c>
      <c r="AS845" s="29">
        <v>0</v>
      </c>
      <c r="AT845" s="29">
        <v>0</v>
      </c>
      <c r="AU845" s="24" t="str">
        <f t="shared" si="14"/>
        <v>库存为0</v>
      </c>
      <c r="AV845" s="31" t="str">
        <f>IFERROR(时间!$B$4+AU845,"上周无销量")</f>
        <v>上周无销量</v>
      </c>
    </row>
    <row r="846" spans="1:48">
      <c r="A846" s="16" t="s">
        <v>1578</v>
      </c>
      <c r="B846" t="s">
        <v>1579</v>
      </c>
      <c r="C846" t="s">
        <v>1559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16</v>
      </c>
      <c r="AK846">
        <v>26</v>
      </c>
      <c r="AL846">
        <v>23</v>
      </c>
      <c r="AM846">
        <v>25</v>
      </c>
      <c r="AN846" s="18">
        <v>0</v>
      </c>
      <c r="AO846" s="18">
        <v>0</v>
      </c>
      <c r="AP846" s="18">
        <v>0</v>
      </c>
      <c r="AQ846" s="18">
        <v>0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1580</v>
      </c>
      <c r="B847" t="s">
        <v>1581</v>
      </c>
      <c r="C847" t="s">
        <v>1559</v>
      </c>
      <c r="D847" s="24">
        <v>0</v>
      </c>
      <c r="E847" s="24">
        <v>0</v>
      </c>
      <c r="F847" s="24">
        <v>0</v>
      </c>
      <c r="G847" s="24">
        <v>0</v>
      </c>
      <c r="H847" s="25">
        <v>0</v>
      </c>
      <c r="I847">
        <v>0</v>
      </c>
      <c r="J847" s="26">
        <v>0</v>
      </c>
      <c r="K847" s="26">
        <v>0</v>
      </c>
      <c r="L847" s="26">
        <v>0</v>
      </c>
      <c r="M847">
        <v>0</v>
      </c>
      <c r="N847">
        <v>0</v>
      </c>
      <c r="O847">
        <v>0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3</v>
      </c>
      <c r="AK847">
        <v>13</v>
      </c>
      <c r="AL847">
        <v>8</v>
      </c>
      <c r="AM847">
        <v>8</v>
      </c>
      <c r="AN847" s="18">
        <v>0</v>
      </c>
      <c r="AO847" s="18">
        <v>0</v>
      </c>
      <c r="AP847" s="18">
        <v>0</v>
      </c>
      <c r="AQ847" s="18">
        <v>0</v>
      </c>
      <c r="AR847" s="29">
        <v>0</v>
      </c>
      <c r="AS847" s="29">
        <v>0</v>
      </c>
      <c r="AT847" s="29">
        <v>0</v>
      </c>
      <c r="AU847" s="24" t="str">
        <f t="shared" si="14"/>
        <v>库存为0</v>
      </c>
      <c r="AV847" s="31" t="str">
        <f>IFERROR(时间!$B$4+AU847,"上周无销量")</f>
        <v>上周无销量</v>
      </c>
    </row>
    <row r="848" spans="1:48">
      <c r="A848" s="16" t="s">
        <v>1582</v>
      </c>
      <c r="B848" t="s">
        <v>1583</v>
      </c>
      <c r="C848" t="s">
        <v>1559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7</v>
      </c>
      <c r="AK848">
        <v>11</v>
      </c>
      <c r="AL848">
        <v>13</v>
      </c>
      <c r="AM848">
        <v>3</v>
      </c>
      <c r="AN848" s="18">
        <v>0</v>
      </c>
      <c r="AO848" s="18">
        <v>0</v>
      </c>
      <c r="AP848" s="18">
        <v>0</v>
      </c>
      <c r="AQ848" s="18">
        <v>0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1584</v>
      </c>
      <c r="B849" t="s">
        <v>1585</v>
      </c>
      <c r="C849" t="s">
        <v>1559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6</v>
      </c>
      <c r="AK849">
        <v>6</v>
      </c>
      <c r="AL849">
        <v>3</v>
      </c>
      <c r="AM849">
        <v>8</v>
      </c>
      <c r="AN849" s="18">
        <v>0</v>
      </c>
      <c r="AO849" s="18">
        <v>0</v>
      </c>
      <c r="AP849" s="18">
        <v>0</v>
      </c>
      <c r="AQ849" s="18">
        <v>0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1586</v>
      </c>
      <c r="B850" t="s">
        <v>1587</v>
      </c>
      <c r="C850" t="s">
        <v>1559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0</v>
      </c>
      <c r="J850" s="26">
        <v>0</v>
      </c>
      <c r="K850" s="26">
        <v>0</v>
      </c>
      <c r="L850" s="26">
        <v>0</v>
      </c>
      <c r="M850">
        <v>0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4</v>
      </c>
      <c r="AK850">
        <v>8</v>
      </c>
      <c r="AL850">
        <v>1</v>
      </c>
      <c r="AM850">
        <v>4</v>
      </c>
      <c r="AN850" s="18">
        <v>0</v>
      </c>
      <c r="AO850" s="18">
        <v>0</v>
      </c>
      <c r="AP850" s="18">
        <v>0</v>
      </c>
      <c r="AQ850" s="18">
        <v>0</v>
      </c>
      <c r="AR850" s="29">
        <v>0</v>
      </c>
      <c r="AS850" s="29">
        <v>0</v>
      </c>
      <c r="AT850" s="29">
        <v>0</v>
      </c>
      <c r="AU850" s="24" t="str">
        <f t="shared" si="14"/>
        <v>库存为0</v>
      </c>
      <c r="AV850" s="31" t="str">
        <f>IFERROR(时间!$B$4+AU850,"上周无销量")</f>
        <v>上周无销量</v>
      </c>
    </row>
    <row r="851" spans="1:48">
      <c r="A851" s="16" t="s">
        <v>1588</v>
      </c>
      <c r="B851" t="s">
        <v>194</v>
      </c>
      <c r="C851" t="s">
        <v>1559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0</v>
      </c>
      <c r="J851" s="26">
        <v>0</v>
      </c>
      <c r="K851" s="26">
        <v>0</v>
      </c>
      <c r="L851" s="26">
        <v>0</v>
      </c>
      <c r="M851">
        <v>0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0</v>
      </c>
      <c r="AK851">
        <v>0</v>
      </c>
      <c r="AL851">
        <v>0</v>
      </c>
      <c r="AM851">
        <v>0</v>
      </c>
      <c r="AN851" s="18" t="s">
        <v>52</v>
      </c>
      <c r="AO851" s="18" t="s">
        <v>52</v>
      </c>
      <c r="AP851" s="18" t="s">
        <v>52</v>
      </c>
      <c r="AQ851" s="18" t="s">
        <v>52</v>
      </c>
      <c r="AR851" s="29">
        <v>0</v>
      </c>
      <c r="AS851" s="29">
        <v>0</v>
      </c>
      <c r="AT851" s="29">
        <v>0</v>
      </c>
      <c r="AU851" s="24" t="str">
        <f t="shared" si="14"/>
        <v>库存为0</v>
      </c>
      <c r="AV851" s="31" t="str">
        <f>IFERROR(时间!$B$4+AU851,"上周无销量")</f>
        <v>上周无销量</v>
      </c>
    </row>
    <row r="852" spans="1:48">
      <c r="A852" s="16" t="s">
        <v>1589</v>
      </c>
      <c r="B852" t="s">
        <v>196</v>
      </c>
      <c r="C852" t="s">
        <v>1559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0</v>
      </c>
      <c r="AK852">
        <v>0</v>
      </c>
      <c r="AL852">
        <v>0</v>
      </c>
      <c r="AM852">
        <v>0</v>
      </c>
      <c r="AN852" s="18" t="s">
        <v>52</v>
      </c>
      <c r="AO852" s="18" t="s">
        <v>52</v>
      </c>
      <c r="AP852" s="18" t="s">
        <v>52</v>
      </c>
      <c r="AQ852" s="18" t="s">
        <v>52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1590</v>
      </c>
      <c r="B853" t="s">
        <v>1591</v>
      </c>
      <c r="C853" t="s">
        <v>1559</v>
      </c>
      <c r="D853" s="24">
        <v>0</v>
      </c>
      <c r="E853" s="24">
        <v>0</v>
      </c>
      <c r="F853" s="24">
        <v>0</v>
      </c>
      <c r="G853" s="24">
        <v>0</v>
      </c>
      <c r="H853" s="25">
        <v>0</v>
      </c>
      <c r="I853">
        <v>0</v>
      </c>
      <c r="J853" s="26">
        <v>0</v>
      </c>
      <c r="K853" s="26">
        <v>0</v>
      </c>
      <c r="L853" s="26">
        <v>0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0</v>
      </c>
      <c r="AK853">
        <v>0</v>
      </c>
      <c r="AL853">
        <v>0</v>
      </c>
      <c r="AM853">
        <v>0</v>
      </c>
      <c r="AN853" s="18" t="s">
        <v>52</v>
      </c>
      <c r="AO853" s="18" t="s">
        <v>52</v>
      </c>
      <c r="AP853" s="18" t="s">
        <v>52</v>
      </c>
      <c r="AQ853" s="18" t="s">
        <v>52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1592</v>
      </c>
      <c r="B854" t="s">
        <v>198</v>
      </c>
      <c r="C854" t="s">
        <v>1559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>
        <v>0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0</v>
      </c>
      <c r="AK854">
        <v>0</v>
      </c>
      <c r="AL854">
        <v>0</v>
      </c>
      <c r="AM854">
        <v>0</v>
      </c>
      <c r="AN854" s="18" t="s">
        <v>52</v>
      </c>
      <c r="AO854" s="18" t="s">
        <v>52</v>
      </c>
      <c r="AP854" s="18" t="s">
        <v>52</v>
      </c>
      <c r="AQ854" s="18" t="s">
        <v>52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1593</v>
      </c>
      <c r="B855" t="s">
        <v>200</v>
      </c>
      <c r="C855" t="s">
        <v>1559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0</v>
      </c>
      <c r="J855" s="26">
        <v>0</v>
      </c>
      <c r="K855" s="26">
        <v>0</v>
      </c>
      <c r="L855" s="26">
        <v>0</v>
      </c>
      <c r="M855">
        <v>0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0</v>
      </c>
      <c r="AK855">
        <v>0</v>
      </c>
      <c r="AL855">
        <v>0</v>
      </c>
      <c r="AM855">
        <v>0</v>
      </c>
      <c r="AN855" s="18" t="s">
        <v>52</v>
      </c>
      <c r="AO855" s="18" t="s">
        <v>52</v>
      </c>
      <c r="AP855" s="18" t="s">
        <v>52</v>
      </c>
      <c r="AQ855" s="18" t="s">
        <v>52</v>
      </c>
      <c r="AR855" s="29">
        <v>0</v>
      </c>
      <c r="AS855" s="29">
        <v>0</v>
      </c>
      <c r="AT855" s="29">
        <v>0</v>
      </c>
      <c r="AU855" s="24" t="str">
        <f t="shared" si="14"/>
        <v>库存为0</v>
      </c>
      <c r="AV855" s="31" t="str">
        <f>IFERROR(时间!$B$4+AU855,"上周无销量")</f>
        <v>上周无销量</v>
      </c>
    </row>
    <row r="856" spans="1:48">
      <c r="A856" s="16" t="s">
        <v>1594</v>
      </c>
      <c r="B856" t="s">
        <v>1595</v>
      </c>
      <c r="C856" t="s">
        <v>1559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25</v>
      </c>
      <c r="AK856">
        <v>19</v>
      </c>
      <c r="AL856">
        <v>16</v>
      </c>
      <c r="AM856">
        <v>7</v>
      </c>
      <c r="AN856" s="18">
        <v>0</v>
      </c>
      <c r="AO856" s="18">
        <v>0</v>
      </c>
      <c r="AP856" s="18">
        <v>0</v>
      </c>
      <c r="AQ856" s="18">
        <v>0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1596</v>
      </c>
      <c r="B857" t="s">
        <v>1597</v>
      </c>
      <c r="C857" t="s">
        <v>1559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0</v>
      </c>
      <c r="J857" s="26">
        <v>0</v>
      </c>
      <c r="K857" s="26">
        <v>0</v>
      </c>
      <c r="L857" s="26">
        <v>0</v>
      </c>
      <c r="M857">
        <v>0</v>
      </c>
      <c r="N857">
        <v>0</v>
      </c>
      <c r="O857">
        <v>0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27</v>
      </c>
      <c r="AK857">
        <v>48</v>
      </c>
      <c r="AL857">
        <v>59</v>
      </c>
      <c r="AM857">
        <v>42</v>
      </c>
      <c r="AN857" s="18">
        <v>0</v>
      </c>
      <c r="AO857" s="18">
        <v>0</v>
      </c>
      <c r="AP857" s="18">
        <v>0</v>
      </c>
      <c r="AQ857" s="18">
        <v>0</v>
      </c>
      <c r="AR857" s="29">
        <v>0</v>
      </c>
      <c r="AS857" s="29">
        <v>0</v>
      </c>
      <c r="AT857" s="29">
        <v>0</v>
      </c>
      <c r="AU857" s="24" t="str">
        <f t="shared" si="14"/>
        <v>库存为0</v>
      </c>
      <c r="AV857" s="31" t="str">
        <f>IFERROR(时间!$B$4+AU857,"上周无销量")</f>
        <v>上周无销量</v>
      </c>
    </row>
    <row r="858" spans="1:48">
      <c r="A858" s="16" t="s">
        <v>1598</v>
      </c>
      <c r="B858" t="s">
        <v>1599</v>
      </c>
      <c r="C858" t="s">
        <v>1559</v>
      </c>
      <c r="D858" s="24">
        <v>0</v>
      </c>
      <c r="E858" s="24">
        <v>0</v>
      </c>
      <c r="F858" s="24">
        <v>0</v>
      </c>
      <c r="G858" s="24">
        <v>0</v>
      </c>
      <c r="H858" s="25">
        <v>0</v>
      </c>
      <c r="I858">
        <v>0</v>
      </c>
      <c r="J858" s="26">
        <v>0</v>
      </c>
      <c r="K858" s="26">
        <v>0</v>
      </c>
      <c r="L858" s="26">
        <v>0</v>
      </c>
      <c r="M858">
        <v>0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0</v>
      </c>
      <c r="AK858">
        <v>0</v>
      </c>
      <c r="AL858">
        <v>0</v>
      </c>
      <c r="AM858">
        <v>0</v>
      </c>
      <c r="AN858" s="18" t="s">
        <v>52</v>
      </c>
      <c r="AO858" s="18" t="s">
        <v>52</v>
      </c>
      <c r="AP858" s="18" t="s">
        <v>52</v>
      </c>
      <c r="AQ858" s="18" t="s">
        <v>52</v>
      </c>
      <c r="AR858" s="29">
        <v>0</v>
      </c>
      <c r="AS858" s="29">
        <v>0</v>
      </c>
      <c r="AT858" s="29">
        <v>0</v>
      </c>
      <c r="AU858" s="24" t="str">
        <f t="shared" si="14"/>
        <v>库存为0</v>
      </c>
      <c r="AV858" s="31" t="str">
        <f>IFERROR(时间!$B$4+AU858,"上周无销量")</f>
        <v>上周无销量</v>
      </c>
    </row>
    <row r="859" spans="1:48">
      <c r="A859" s="16" t="s">
        <v>1600</v>
      </c>
      <c r="B859" t="s">
        <v>1601</v>
      </c>
      <c r="C859" t="s">
        <v>1559</v>
      </c>
      <c r="D859" s="24">
        <v>0</v>
      </c>
      <c r="E859" s="24">
        <v>0</v>
      </c>
      <c r="F859" s="24">
        <v>0</v>
      </c>
      <c r="G859" s="24">
        <v>0</v>
      </c>
      <c r="H859" s="25">
        <v>0</v>
      </c>
      <c r="I859">
        <v>0</v>
      </c>
      <c r="J859" s="26">
        <v>0</v>
      </c>
      <c r="K859" s="26">
        <v>0</v>
      </c>
      <c r="L859" s="26">
        <v>0</v>
      </c>
      <c r="M859">
        <v>0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12</v>
      </c>
      <c r="AK859">
        <v>13</v>
      </c>
      <c r="AL859">
        <v>16</v>
      </c>
      <c r="AM859">
        <v>13</v>
      </c>
      <c r="AN859" s="18">
        <v>0</v>
      </c>
      <c r="AO859" s="18">
        <v>0</v>
      </c>
      <c r="AP859" s="18">
        <v>0</v>
      </c>
      <c r="AQ859" s="18">
        <v>0</v>
      </c>
      <c r="AR859" s="29">
        <v>0</v>
      </c>
      <c r="AS859" s="29">
        <v>0</v>
      </c>
      <c r="AT859" s="29">
        <v>0</v>
      </c>
      <c r="AU859" s="24" t="str">
        <f t="shared" si="14"/>
        <v>库存为0</v>
      </c>
      <c r="AV859" s="31" t="str">
        <f>IFERROR(时间!$B$4+AU859,"上周无销量")</f>
        <v>上周无销量</v>
      </c>
    </row>
    <row r="860" spans="1:48">
      <c r="A860" s="16" t="s">
        <v>1602</v>
      </c>
      <c r="B860" t="s">
        <v>1603</v>
      </c>
      <c r="C860" t="s">
        <v>1559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>
        <v>0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23</v>
      </c>
      <c r="AK860">
        <v>23</v>
      </c>
      <c r="AL860">
        <v>6</v>
      </c>
      <c r="AM860">
        <v>28</v>
      </c>
      <c r="AN860" s="18">
        <v>0</v>
      </c>
      <c r="AO860" s="18">
        <v>0</v>
      </c>
      <c r="AP860" s="18">
        <v>0</v>
      </c>
      <c r="AQ860" s="18">
        <v>0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1604</v>
      </c>
      <c r="B861" t="s">
        <v>1605</v>
      </c>
      <c r="C861" t="s">
        <v>1559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0</v>
      </c>
      <c r="J861" s="26">
        <v>0</v>
      </c>
      <c r="K861" s="26">
        <v>0</v>
      </c>
      <c r="L861" s="26">
        <v>0</v>
      </c>
      <c r="M861">
        <v>0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18</v>
      </c>
      <c r="AK861">
        <v>18</v>
      </c>
      <c r="AL861">
        <v>75</v>
      </c>
      <c r="AM861">
        <v>35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0</v>
      </c>
      <c r="AU861" s="24" t="str">
        <f t="shared" si="14"/>
        <v>库存为0</v>
      </c>
      <c r="AV861" s="31" t="str">
        <f>IFERROR(时间!$B$4+AU861,"上周无销量")</f>
        <v>上周无销量</v>
      </c>
    </row>
    <row r="862" spans="1:48">
      <c r="A862" s="16" t="s">
        <v>1606</v>
      </c>
      <c r="B862" t="s">
        <v>1607</v>
      </c>
      <c r="C862" t="s">
        <v>1559</v>
      </c>
      <c r="D862" s="24">
        <v>0</v>
      </c>
      <c r="E862" s="24">
        <v>0</v>
      </c>
      <c r="F862" s="24">
        <v>0</v>
      </c>
      <c r="G862" s="24">
        <v>0</v>
      </c>
      <c r="H862" s="25">
        <v>0</v>
      </c>
      <c r="I862">
        <v>0</v>
      </c>
      <c r="J862" s="26">
        <v>0</v>
      </c>
      <c r="K862" s="26">
        <v>0</v>
      </c>
      <c r="L862" s="26">
        <v>0</v>
      </c>
      <c r="M862">
        <v>0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16</v>
      </c>
      <c r="AK862">
        <v>30</v>
      </c>
      <c r="AL862">
        <v>71</v>
      </c>
      <c r="AM862">
        <v>43</v>
      </c>
      <c r="AN862" s="18">
        <v>0</v>
      </c>
      <c r="AO862" s="18">
        <v>0</v>
      </c>
      <c r="AP862" s="18">
        <v>0</v>
      </c>
      <c r="AQ862" s="18">
        <v>0</v>
      </c>
      <c r="AR862" s="29">
        <v>0</v>
      </c>
      <c r="AS862" s="29">
        <v>0</v>
      </c>
      <c r="AT862" s="29">
        <v>0</v>
      </c>
      <c r="AU862" s="24" t="str">
        <f t="shared" si="14"/>
        <v>库存为0</v>
      </c>
      <c r="AV862" s="31" t="str">
        <f>IFERROR(时间!$B$4+AU862,"上周无销量")</f>
        <v>上周无销量</v>
      </c>
    </row>
    <row r="863" spans="1:48">
      <c r="A863" s="16" t="s">
        <v>1608</v>
      </c>
      <c r="B863" t="s">
        <v>210</v>
      </c>
      <c r="C863" t="s">
        <v>1559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11</v>
      </c>
      <c r="AK863">
        <v>29</v>
      </c>
      <c r="AL863">
        <v>33</v>
      </c>
      <c r="AM863">
        <v>31</v>
      </c>
      <c r="AN863" s="18">
        <v>0</v>
      </c>
      <c r="AO863" s="18">
        <v>0</v>
      </c>
      <c r="AP863" s="18">
        <v>0</v>
      </c>
      <c r="AQ863" s="18">
        <v>0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1609</v>
      </c>
      <c r="B864" t="s">
        <v>1610</v>
      </c>
      <c r="C864" t="s">
        <v>1559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0</v>
      </c>
      <c r="AK864">
        <v>0</v>
      </c>
      <c r="AL864">
        <v>0</v>
      </c>
      <c r="AM864">
        <v>0</v>
      </c>
      <c r="AN864" s="18" t="s">
        <v>52</v>
      </c>
      <c r="AO864" s="18" t="s">
        <v>52</v>
      </c>
      <c r="AP864" s="18" t="s">
        <v>52</v>
      </c>
      <c r="AQ864" s="18" t="s">
        <v>52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1611</v>
      </c>
      <c r="B865" t="s">
        <v>1612</v>
      </c>
      <c r="C865" t="s">
        <v>1559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16</v>
      </c>
      <c r="AK865">
        <v>12</v>
      </c>
      <c r="AL865">
        <v>27</v>
      </c>
      <c r="AM865">
        <v>25</v>
      </c>
      <c r="AN865" s="18">
        <v>0</v>
      </c>
      <c r="AO865" s="18">
        <v>0</v>
      </c>
      <c r="AP865" s="18">
        <v>0</v>
      </c>
      <c r="AQ865" s="18">
        <v>0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1613</v>
      </c>
      <c r="B866" t="s">
        <v>1614</v>
      </c>
      <c r="C866" t="s">
        <v>1615</v>
      </c>
      <c r="D866" s="24">
        <v>0</v>
      </c>
      <c r="E866" s="24">
        <v>0</v>
      </c>
      <c r="F866" s="24">
        <v>0</v>
      </c>
      <c r="G866" s="24">
        <v>0</v>
      </c>
      <c r="H866" s="25">
        <v>0</v>
      </c>
      <c r="I866">
        <v>0</v>
      </c>
      <c r="J866" s="26">
        <v>0</v>
      </c>
      <c r="K866" s="26">
        <v>0</v>
      </c>
      <c r="L866" s="26">
        <v>0</v>
      </c>
      <c r="M866">
        <v>0</v>
      </c>
      <c r="N866">
        <v>0</v>
      </c>
      <c r="O866">
        <v>0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0</v>
      </c>
      <c r="AK866">
        <v>0</v>
      </c>
      <c r="AL866">
        <v>0</v>
      </c>
      <c r="AM866">
        <v>0</v>
      </c>
      <c r="AN866" s="18" t="s">
        <v>52</v>
      </c>
      <c r="AO866" s="18" t="s">
        <v>52</v>
      </c>
      <c r="AP866" s="18" t="s">
        <v>52</v>
      </c>
      <c r="AQ866" s="18" t="s">
        <v>52</v>
      </c>
      <c r="AR866" s="29">
        <v>0</v>
      </c>
      <c r="AS866" s="29">
        <v>0</v>
      </c>
      <c r="AT866" s="29">
        <v>0</v>
      </c>
      <c r="AU866" s="24" t="str">
        <f t="shared" si="14"/>
        <v>库存为0</v>
      </c>
      <c r="AV866" s="31" t="str">
        <f>IFERROR(时间!$B$4+AU866,"上周无销量")</f>
        <v>上周无销量</v>
      </c>
    </row>
    <row r="867" spans="1:48">
      <c r="A867" s="16" t="s">
        <v>1616</v>
      </c>
      <c r="B867" t="s">
        <v>1617</v>
      </c>
      <c r="C867" t="s">
        <v>1615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0</v>
      </c>
      <c r="J867" s="26">
        <v>0</v>
      </c>
      <c r="K867" s="26">
        <v>0</v>
      </c>
      <c r="L867" s="26">
        <v>0</v>
      </c>
      <c r="M867">
        <v>0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0</v>
      </c>
      <c r="AK867">
        <v>0</v>
      </c>
      <c r="AL867">
        <v>5</v>
      </c>
      <c r="AM867">
        <v>16</v>
      </c>
      <c r="AN867" s="18" t="s">
        <v>52</v>
      </c>
      <c r="AO867" s="18" t="s">
        <v>52</v>
      </c>
      <c r="AP867" s="18">
        <v>0</v>
      </c>
      <c r="AQ867" s="18">
        <v>0</v>
      </c>
      <c r="AR867" s="29">
        <v>0</v>
      </c>
      <c r="AS867" s="29">
        <v>0</v>
      </c>
      <c r="AT867" s="29">
        <v>0</v>
      </c>
      <c r="AU867" s="24" t="str">
        <f t="shared" si="14"/>
        <v>库存为0</v>
      </c>
      <c r="AV867" s="31" t="str">
        <f>IFERROR(时间!$B$4+AU867,"上周无销量")</f>
        <v>上周无销量</v>
      </c>
    </row>
    <row r="868" spans="1:48">
      <c r="A868" s="16" t="s">
        <v>1618</v>
      </c>
      <c r="B868" t="s">
        <v>1619</v>
      </c>
      <c r="C868" t="s">
        <v>1615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0</v>
      </c>
      <c r="J868" s="26">
        <v>0</v>
      </c>
      <c r="K868" s="26">
        <v>0</v>
      </c>
      <c r="L868" s="26">
        <v>0</v>
      </c>
      <c r="M868">
        <v>0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40</v>
      </c>
      <c r="AK868">
        <v>51</v>
      </c>
      <c r="AL868">
        <v>36</v>
      </c>
      <c r="AM868">
        <v>25</v>
      </c>
      <c r="AN868" s="18">
        <v>0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0</v>
      </c>
      <c r="AU868" s="24" t="str">
        <f t="shared" si="14"/>
        <v>库存为0</v>
      </c>
      <c r="AV868" s="31" t="str">
        <f>IFERROR(时间!$B$4+AU868,"上周无销量")</f>
        <v>上周无销量</v>
      </c>
    </row>
    <row r="869" spans="1:48">
      <c r="A869" s="16" t="s">
        <v>1620</v>
      </c>
      <c r="B869" t="s">
        <v>1621</v>
      </c>
      <c r="C869" t="s">
        <v>1615</v>
      </c>
      <c r="D869" s="24">
        <v>0</v>
      </c>
      <c r="E869" s="24">
        <v>0</v>
      </c>
      <c r="F869" s="24">
        <v>0</v>
      </c>
      <c r="G869" s="24">
        <v>0</v>
      </c>
      <c r="H869" s="25">
        <v>0</v>
      </c>
      <c r="I869">
        <v>0</v>
      </c>
      <c r="J869" s="26">
        <v>0</v>
      </c>
      <c r="K869" s="26">
        <v>0</v>
      </c>
      <c r="L869" s="26">
        <v>0</v>
      </c>
      <c r="M869">
        <v>0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0</v>
      </c>
      <c r="AK869">
        <v>0</v>
      </c>
      <c r="AL869">
        <v>0</v>
      </c>
      <c r="AM869">
        <v>0</v>
      </c>
      <c r="AN869" s="18" t="s">
        <v>52</v>
      </c>
      <c r="AO869" s="18" t="s">
        <v>52</v>
      </c>
      <c r="AP869" s="18" t="s">
        <v>52</v>
      </c>
      <c r="AQ869" s="18" t="s">
        <v>52</v>
      </c>
      <c r="AR869" s="29">
        <v>0</v>
      </c>
      <c r="AS869" s="29">
        <v>0</v>
      </c>
      <c r="AT869" s="29">
        <v>0</v>
      </c>
      <c r="AU869" s="24" t="str">
        <f t="shared" si="14"/>
        <v>库存为0</v>
      </c>
      <c r="AV869" s="31" t="str">
        <f>IFERROR(时间!$B$4+AU869,"上周无销量")</f>
        <v>上周无销量</v>
      </c>
    </row>
    <row r="870" spans="1:48">
      <c r="A870" s="16" t="s">
        <v>1622</v>
      </c>
      <c r="B870" t="s">
        <v>1623</v>
      </c>
      <c r="C870" t="s">
        <v>1615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0</v>
      </c>
      <c r="J870" s="26">
        <v>0</v>
      </c>
      <c r="K870" s="26">
        <v>0</v>
      </c>
      <c r="L870" s="26">
        <v>0</v>
      </c>
      <c r="M870">
        <v>0</v>
      </c>
      <c r="N870">
        <v>0</v>
      </c>
      <c r="O870">
        <v>0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9</v>
      </c>
      <c r="AK870">
        <v>10</v>
      </c>
      <c r="AL870">
        <v>20</v>
      </c>
      <c r="AM870">
        <v>3</v>
      </c>
      <c r="AN870" s="18">
        <v>0</v>
      </c>
      <c r="AO870" s="18">
        <v>0</v>
      </c>
      <c r="AP870" s="18">
        <v>0</v>
      </c>
      <c r="AQ870" s="18">
        <v>0</v>
      </c>
      <c r="AR870" s="29">
        <v>0</v>
      </c>
      <c r="AS870" s="29">
        <v>0</v>
      </c>
      <c r="AT870" s="29">
        <v>0</v>
      </c>
      <c r="AU870" s="24" t="str">
        <f t="shared" si="14"/>
        <v>库存为0</v>
      </c>
      <c r="AV870" s="31" t="str">
        <f>IFERROR(时间!$B$4+AU870,"上周无销量")</f>
        <v>上周无销量</v>
      </c>
    </row>
    <row r="871" spans="1:48">
      <c r="A871" s="16" t="s">
        <v>1624</v>
      </c>
      <c r="B871" t="s">
        <v>1625</v>
      </c>
      <c r="C871" t="s">
        <v>1615</v>
      </c>
      <c r="D871" s="24">
        <v>0</v>
      </c>
      <c r="E871" s="24">
        <v>0</v>
      </c>
      <c r="F871" s="24">
        <v>0</v>
      </c>
      <c r="G871" s="24">
        <v>0</v>
      </c>
      <c r="H871" s="25">
        <v>0</v>
      </c>
      <c r="I871">
        <v>0</v>
      </c>
      <c r="J871" s="26">
        <v>0</v>
      </c>
      <c r="K871" s="26">
        <v>0</v>
      </c>
      <c r="L871" s="26">
        <v>0</v>
      </c>
      <c r="M871">
        <v>0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11</v>
      </c>
      <c r="AK871">
        <v>15</v>
      </c>
      <c r="AL871">
        <v>4</v>
      </c>
      <c r="AM871">
        <v>12</v>
      </c>
      <c r="AN871" s="18">
        <v>0</v>
      </c>
      <c r="AO871" s="18">
        <v>0</v>
      </c>
      <c r="AP871" s="18">
        <v>0</v>
      </c>
      <c r="AQ871" s="18">
        <v>0</v>
      </c>
      <c r="AR871" s="29">
        <v>0</v>
      </c>
      <c r="AS871" s="29">
        <v>0</v>
      </c>
      <c r="AT871" s="29">
        <v>0</v>
      </c>
      <c r="AU871" s="24" t="str">
        <f t="shared" si="14"/>
        <v>库存为0</v>
      </c>
      <c r="AV871" s="31" t="str">
        <f>IFERROR(时间!$B$4+AU871,"上周无销量")</f>
        <v>上周无销量</v>
      </c>
    </row>
    <row r="872" spans="1:48">
      <c r="A872" s="16" t="s">
        <v>1626</v>
      </c>
      <c r="B872" t="s">
        <v>1627</v>
      </c>
      <c r="C872" t="s">
        <v>1615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0</v>
      </c>
      <c r="J872" s="26">
        <v>0</v>
      </c>
      <c r="K872" s="26">
        <v>0</v>
      </c>
      <c r="L872" s="26">
        <v>0</v>
      </c>
      <c r="M872">
        <v>0</v>
      </c>
      <c r="N872">
        <v>0</v>
      </c>
      <c r="O872">
        <v>0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14</v>
      </c>
      <c r="AK872">
        <v>24</v>
      </c>
      <c r="AL872">
        <v>30</v>
      </c>
      <c r="AM872">
        <v>18</v>
      </c>
      <c r="AN872" s="18">
        <v>0</v>
      </c>
      <c r="AO872" s="18">
        <v>0</v>
      </c>
      <c r="AP872" s="18">
        <v>0</v>
      </c>
      <c r="AQ872" s="18">
        <v>0</v>
      </c>
      <c r="AR872" s="29">
        <v>0</v>
      </c>
      <c r="AS872" s="29">
        <v>0</v>
      </c>
      <c r="AT872" s="29">
        <v>0</v>
      </c>
      <c r="AU872" s="24" t="str">
        <f t="shared" si="14"/>
        <v>库存为0</v>
      </c>
      <c r="AV872" s="31" t="str">
        <f>IFERROR(时间!$B$4+AU872,"上周无销量")</f>
        <v>上周无销量</v>
      </c>
    </row>
    <row r="873" spans="1:48">
      <c r="A873" s="16" t="s">
        <v>1628</v>
      </c>
      <c r="B873" t="s">
        <v>1629</v>
      </c>
      <c r="C873" t="s">
        <v>1615</v>
      </c>
      <c r="D873" s="24">
        <v>0</v>
      </c>
      <c r="E873" s="24">
        <v>0</v>
      </c>
      <c r="F873" s="24">
        <v>0</v>
      </c>
      <c r="G873" s="24">
        <v>0</v>
      </c>
      <c r="H873" s="25">
        <v>0</v>
      </c>
      <c r="I873">
        <v>0</v>
      </c>
      <c r="J873" s="26">
        <v>0</v>
      </c>
      <c r="K873" s="26">
        <v>0</v>
      </c>
      <c r="L873" s="26">
        <v>0</v>
      </c>
      <c r="M873">
        <v>0</v>
      </c>
      <c r="N873">
        <v>0</v>
      </c>
      <c r="O873">
        <v>0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12</v>
      </c>
      <c r="AK873">
        <v>9</v>
      </c>
      <c r="AL873">
        <v>12</v>
      </c>
      <c r="AM873">
        <v>11</v>
      </c>
      <c r="AN873" s="18">
        <v>0</v>
      </c>
      <c r="AO873" s="18">
        <v>0</v>
      </c>
      <c r="AP873" s="18">
        <v>0</v>
      </c>
      <c r="AQ873" s="18">
        <v>0</v>
      </c>
      <c r="AR873" s="29">
        <v>0</v>
      </c>
      <c r="AS873" s="29">
        <v>0</v>
      </c>
      <c r="AT873" s="29">
        <v>0</v>
      </c>
      <c r="AU873" s="24" t="str">
        <f t="shared" si="14"/>
        <v>库存为0</v>
      </c>
      <c r="AV873" s="31" t="str">
        <f>IFERROR(时间!$B$4+AU873,"上周无销量")</f>
        <v>上周无销量</v>
      </c>
    </row>
    <row r="874" spans="1:48">
      <c r="A874" s="16" t="s">
        <v>1630</v>
      </c>
      <c r="B874" t="s">
        <v>1631</v>
      </c>
      <c r="C874" t="s">
        <v>1615</v>
      </c>
      <c r="D874" s="24">
        <v>0</v>
      </c>
      <c r="E874" s="24">
        <v>0</v>
      </c>
      <c r="F874" s="24">
        <v>0</v>
      </c>
      <c r="G874" s="24">
        <v>0</v>
      </c>
      <c r="H874" s="25">
        <v>0</v>
      </c>
      <c r="I874">
        <v>0</v>
      </c>
      <c r="J874" s="26">
        <v>0</v>
      </c>
      <c r="K874" s="26">
        <v>0</v>
      </c>
      <c r="L874" s="26">
        <v>0</v>
      </c>
      <c r="M874">
        <v>0</v>
      </c>
      <c r="N874">
        <v>0</v>
      </c>
      <c r="O874">
        <v>0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5</v>
      </c>
      <c r="AK874">
        <v>4</v>
      </c>
      <c r="AL874">
        <v>6</v>
      </c>
      <c r="AM874">
        <v>14</v>
      </c>
      <c r="AN874" s="18">
        <v>0</v>
      </c>
      <c r="AO874" s="18">
        <v>0</v>
      </c>
      <c r="AP874" s="18">
        <v>0</v>
      </c>
      <c r="AQ874" s="18">
        <v>0</v>
      </c>
      <c r="AR874" s="29">
        <v>0</v>
      </c>
      <c r="AS874" s="29">
        <v>0</v>
      </c>
      <c r="AT874" s="29">
        <v>0</v>
      </c>
      <c r="AU874" s="24" t="str">
        <f t="shared" si="14"/>
        <v>库存为0</v>
      </c>
      <c r="AV874" s="31" t="str">
        <f>IFERROR(时间!$B$4+AU874,"上周无销量")</f>
        <v>上周无销量</v>
      </c>
    </row>
    <row r="875" spans="1:48">
      <c r="A875" s="16" t="s">
        <v>1632</v>
      </c>
      <c r="B875" t="s">
        <v>1633</v>
      </c>
      <c r="C875" t="s">
        <v>1615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0</v>
      </c>
      <c r="J875" s="26">
        <v>0</v>
      </c>
      <c r="K875" s="26">
        <v>0</v>
      </c>
      <c r="L875" s="26">
        <v>0</v>
      </c>
      <c r="M875">
        <v>0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7</v>
      </c>
      <c r="AK875">
        <v>7</v>
      </c>
      <c r="AL875">
        <v>9</v>
      </c>
      <c r="AM875">
        <v>8</v>
      </c>
      <c r="AN875" s="18">
        <v>0</v>
      </c>
      <c r="AO875" s="18">
        <v>0</v>
      </c>
      <c r="AP875" s="18">
        <v>0</v>
      </c>
      <c r="AQ875" s="18">
        <v>0</v>
      </c>
      <c r="AR875" s="29">
        <v>0</v>
      </c>
      <c r="AS875" s="29">
        <v>0</v>
      </c>
      <c r="AT875" s="29">
        <v>0</v>
      </c>
      <c r="AU875" s="24" t="str">
        <f t="shared" si="14"/>
        <v>库存为0</v>
      </c>
      <c r="AV875" s="31" t="str">
        <f>IFERROR(时间!$B$4+AU875,"上周无销量")</f>
        <v>上周无销量</v>
      </c>
    </row>
    <row r="876" spans="1:48">
      <c r="A876" s="16" t="s">
        <v>1634</v>
      </c>
      <c r="B876" t="s">
        <v>1635</v>
      </c>
      <c r="C876" t="s">
        <v>1615</v>
      </c>
      <c r="D876" s="24">
        <v>0</v>
      </c>
      <c r="E876" s="24">
        <v>0</v>
      </c>
      <c r="F876" s="24">
        <v>0</v>
      </c>
      <c r="G876" s="24">
        <v>0</v>
      </c>
      <c r="H876" s="25">
        <v>0</v>
      </c>
      <c r="I876">
        <v>0</v>
      </c>
      <c r="J876" s="26">
        <v>0</v>
      </c>
      <c r="K876" s="26">
        <v>0</v>
      </c>
      <c r="L876" s="26">
        <v>0</v>
      </c>
      <c r="M876">
        <v>0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0</v>
      </c>
      <c r="AK876">
        <v>0</v>
      </c>
      <c r="AL876">
        <v>0</v>
      </c>
      <c r="AM876">
        <v>0</v>
      </c>
      <c r="AN876" s="18" t="s">
        <v>52</v>
      </c>
      <c r="AO876" s="18" t="s">
        <v>52</v>
      </c>
      <c r="AP876" s="18" t="s">
        <v>52</v>
      </c>
      <c r="AQ876" s="18" t="s">
        <v>52</v>
      </c>
      <c r="AR876" s="29">
        <v>0</v>
      </c>
      <c r="AS876" s="29">
        <v>0</v>
      </c>
      <c r="AT876" s="29">
        <v>0</v>
      </c>
      <c r="AU876" s="24" t="str">
        <f t="shared" si="14"/>
        <v>库存为0</v>
      </c>
      <c r="AV876" s="31" t="str">
        <f>IFERROR(时间!$B$4+AU876,"上周无销量")</f>
        <v>上周无销量</v>
      </c>
    </row>
    <row r="877" spans="1:48">
      <c r="A877" s="16" t="s">
        <v>1636</v>
      </c>
      <c r="B877" t="s">
        <v>1637</v>
      </c>
      <c r="C877" t="s">
        <v>1615</v>
      </c>
      <c r="D877" s="24">
        <v>0</v>
      </c>
      <c r="E877" s="24">
        <v>0</v>
      </c>
      <c r="F877" s="24">
        <v>0</v>
      </c>
      <c r="G877" s="24">
        <v>0</v>
      </c>
      <c r="H877" s="25">
        <v>0</v>
      </c>
      <c r="I877">
        <v>0</v>
      </c>
      <c r="J877" s="26">
        <v>0</v>
      </c>
      <c r="K877" s="26">
        <v>0</v>
      </c>
      <c r="L877" s="26">
        <v>0</v>
      </c>
      <c r="M877">
        <v>0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31</v>
      </c>
      <c r="AK877">
        <v>24</v>
      </c>
      <c r="AL877">
        <v>22</v>
      </c>
      <c r="AM877">
        <v>20</v>
      </c>
      <c r="AN877" s="18">
        <v>0</v>
      </c>
      <c r="AO877" s="18">
        <v>0</v>
      </c>
      <c r="AP877" s="18">
        <v>0</v>
      </c>
      <c r="AQ877" s="18">
        <v>0</v>
      </c>
      <c r="AR877" s="29">
        <v>0</v>
      </c>
      <c r="AS877" s="29">
        <v>0</v>
      </c>
      <c r="AT877" s="29">
        <v>0</v>
      </c>
      <c r="AU877" s="24" t="str">
        <f t="shared" si="14"/>
        <v>库存为0</v>
      </c>
      <c r="AV877" s="31" t="str">
        <f>IFERROR(时间!$B$4+AU877,"上周无销量")</f>
        <v>上周无销量</v>
      </c>
    </row>
    <row r="878" spans="1:48">
      <c r="A878" s="16" t="s">
        <v>1638</v>
      </c>
      <c r="B878" t="s">
        <v>1639</v>
      </c>
      <c r="C878" t="s">
        <v>1615</v>
      </c>
      <c r="D878" s="24">
        <v>0</v>
      </c>
      <c r="E878" s="24">
        <v>0</v>
      </c>
      <c r="F878" s="24">
        <v>0</v>
      </c>
      <c r="G878" s="24">
        <v>0</v>
      </c>
      <c r="H878" s="25">
        <v>0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14</v>
      </c>
      <c r="AK878">
        <v>16</v>
      </c>
      <c r="AL878">
        <v>4</v>
      </c>
      <c r="AM878">
        <v>12</v>
      </c>
      <c r="AN878" s="18">
        <v>0</v>
      </c>
      <c r="AO878" s="18">
        <v>0</v>
      </c>
      <c r="AP878" s="18">
        <v>0</v>
      </c>
      <c r="AQ878" s="18">
        <v>0</v>
      </c>
      <c r="AR878" s="29">
        <v>0</v>
      </c>
      <c r="AS878" s="29">
        <v>0</v>
      </c>
      <c r="AT878" s="29">
        <v>0</v>
      </c>
      <c r="AU878" s="24" t="str">
        <f t="shared" si="14"/>
        <v>库存为0</v>
      </c>
      <c r="AV878" s="31" t="str">
        <f>IFERROR(时间!$B$4+AU878,"上周无销量")</f>
        <v>上周无销量</v>
      </c>
    </row>
    <row r="879" spans="1:48">
      <c r="A879" s="16" t="s">
        <v>1640</v>
      </c>
      <c r="B879" t="s">
        <v>1641</v>
      </c>
      <c r="C879" t="s">
        <v>1615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0</v>
      </c>
      <c r="AK879">
        <v>0</v>
      </c>
      <c r="AL879">
        <v>0</v>
      </c>
      <c r="AM879">
        <v>0</v>
      </c>
      <c r="AN879" s="18" t="s">
        <v>52</v>
      </c>
      <c r="AO879" s="18" t="s">
        <v>52</v>
      </c>
      <c r="AP879" s="18" t="s">
        <v>52</v>
      </c>
      <c r="AQ879" s="18" t="s">
        <v>52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1642</v>
      </c>
      <c r="B880" t="s">
        <v>1643</v>
      </c>
      <c r="C880" t="s">
        <v>1615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0</v>
      </c>
      <c r="AK880">
        <v>0</v>
      </c>
      <c r="AL880">
        <v>0</v>
      </c>
      <c r="AM880">
        <v>0</v>
      </c>
      <c r="AN880" s="18" t="s">
        <v>52</v>
      </c>
      <c r="AO880" s="18" t="s">
        <v>52</v>
      </c>
      <c r="AP880" s="18" t="s">
        <v>52</v>
      </c>
      <c r="AQ880" s="18" t="s">
        <v>52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1644</v>
      </c>
      <c r="B881" t="s">
        <v>1645</v>
      </c>
      <c r="C881" t="s">
        <v>1615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0</v>
      </c>
      <c r="AK881">
        <v>0</v>
      </c>
      <c r="AL881">
        <v>0</v>
      </c>
      <c r="AM881">
        <v>0</v>
      </c>
      <c r="AN881" s="18" t="s">
        <v>52</v>
      </c>
      <c r="AO881" s="18" t="s">
        <v>52</v>
      </c>
      <c r="AP881" s="18" t="s">
        <v>52</v>
      </c>
      <c r="AQ881" s="18" t="s">
        <v>52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1646</v>
      </c>
      <c r="B882" t="s">
        <v>1647</v>
      </c>
      <c r="C882" t="s">
        <v>1615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10</v>
      </c>
      <c r="AK882">
        <v>10</v>
      </c>
      <c r="AL882">
        <v>11</v>
      </c>
      <c r="AM882">
        <v>9</v>
      </c>
      <c r="AN882" s="18">
        <v>0</v>
      </c>
      <c r="AO882" s="18">
        <v>0</v>
      </c>
      <c r="AP882" s="18">
        <v>0</v>
      </c>
      <c r="AQ882" s="18">
        <v>0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1648</v>
      </c>
      <c r="B883" t="s">
        <v>1649</v>
      </c>
      <c r="C883" t="s">
        <v>1615</v>
      </c>
      <c r="D883" s="24">
        <v>0</v>
      </c>
      <c r="E883" s="24">
        <v>0</v>
      </c>
      <c r="F883" s="24">
        <v>0</v>
      </c>
      <c r="G883" s="24">
        <v>0</v>
      </c>
      <c r="H883" s="25">
        <v>0</v>
      </c>
      <c r="I883">
        <v>0</v>
      </c>
      <c r="J883" s="26">
        <v>0</v>
      </c>
      <c r="K883" s="26">
        <v>0</v>
      </c>
      <c r="L883" s="26">
        <v>0</v>
      </c>
      <c r="M883">
        <v>0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7</v>
      </c>
      <c r="AK883">
        <v>7</v>
      </c>
      <c r="AL883">
        <v>8</v>
      </c>
      <c r="AM883">
        <v>14</v>
      </c>
      <c r="AN883" s="18">
        <v>0</v>
      </c>
      <c r="AO883" s="18">
        <v>0</v>
      </c>
      <c r="AP883" s="18">
        <v>0</v>
      </c>
      <c r="AQ883" s="18">
        <v>0</v>
      </c>
      <c r="AR883" s="29">
        <v>0</v>
      </c>
      <c r="AS883" s="29">
        <v>0</v>
      </c>
      <c r="AT883" s="29">
        <v>0</v>
      </c>
      <c r="AU883" s="24" t="str">
        <f t="shared" si="14"/>
        <v>库存为0</v>
      </c>
      <c r="AV883" s="31" t="str">
        <f>IFERROR(时间!$B$4+AU883,"上周无销量")</f>
        <v>上周无销量</v>
      </c>
    </row>
    <row r="884" spans="1:48">
      <c r="A884" s="16" t="s">
        <v>1650</v>
      </c>
      <c r="B884" t="s">
        <v>1651</v>
      </c>
      <c r="C884" t="s">
        <v>1615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2</v>
      </c>
      <c r="AK884">
        <v>7</v>
      </c>
      <c r="AL884">
        <v>5</v>
      </c>
      <c r="AM884">
        <v>3</v>
      </c>
      <c r="AN884" s="18">
        <v>0</v>
      </c>
      <c r="AO884" s="18">
        <v>0</v>
      </c>
      <c r="AP884" s="18">
        <v>0</v>
      </c>
      <c r="AQ884" s="18">
        <v>0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1652</v>
      </c>
      <c r="B885" t="s">
        <v>1653</v>
      </c>
      <c r="C885" t="s">
        <v>1615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10</v>
      </c>
      <c r="AK885">
        <v>7</v>
      </c>
      <c r="AL885">
        <v>7</v>
      </c>
      <c r="AM885">
        <v>5</v>
      </c>
      <c r="AN885" s="18">
        <v>0</v>
      </c>
      <c r="AO885" s="18">
        <v>0</v>
      </c>
      <c r="AP885" s="18">
        <v>0</v>
      </c>
      <c r="AQ885" s="18">
        <v>0</v>
      </c>
      <c r="AR885" s="29">
        <v>0</v>
      </c>
      <c r="AS885" s="29">
        <v>0</v>
      </c>
      <c r="AT885" s="29">
        <v>0</v>
      </c>
      <c r="AU885" s="24" t="str">
        <f t="shared" si="14"/>
        <v>库存为0</v>
      </c>
      <c r="AV885" s="31" t="str">
        <f>IFERROR(时间!$B$4+AU885,"上周无销量")</f>
        <v>上周无销量</v>
      </c>
    </row>
    <row r="886" spans="1:48">
      <c r="A886" s="16" t="s">
        <v>1654</v>
      </c>
      <c r="B886" t="s">
        <v>1655</v>
      </c>
      <c r="C886" t="s">
        <v>1615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16</v>
      </c>
      <c r="AK886">
        <v>18</v>
      </c>
      <c r="AL886">
        <v>25</v>
      </c>
      <c r="AM886">
        <v>16</v>
      </c>
      <c r="AN886" s="18">
        <v>0</v>
      </c>
      <c r="AO886" s="18">
        <v>0</v>
      </c>
      <c r="AP886" s="18">
        <v>0</v>
      </c>
      <c r="AQ886" s="18">
        <v>0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1656</v>
      </c>
      <c r="B887" t="s">
        <v>1657</v>
      </c>
      <c r="C887" t="s">
        <v>1615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0</v>
      </c>
      <c r="J887" s="26">
        <v>0</v>
      </c>
      <c r="K887" s="26">
        <v>0</v>
      </c>
      <c r="L887" s="26">
        <v>0</v>
      </c>
      <c r="M887">
        <v>0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13</v>
      </c>
      <c r="AK887">
        <v>11</v>
      </c>
      <c r="AL887">
        <v>10</v>
      </c>
      <c r="AM887">
        <v>8</v>
      </c>
      <c r="AN887" s="18">
        <v>0</v>
      </c>
      <c r="AO887" s="18">
        <v>0</v>
      </c>
      <c r="AP887" s="18">
        <v>0</v>
      </c>
      <c r="AQ887" s="18">
        <v>0</v>
      </c>
      <c r="AR887" s="29">
        <v>0</v>
      </c>
      <c r="AS887" s="29">
        <v>0</v>
      </c>
      <c r="AT887" s="29">
        <v>0</v>
      </c>
      <c r="AU887" s="24" t="str">
        <f t="shared" si="14"/>
        <v>库存为0</v>
      </c>
      <c r="AV887" s="31" t="str">
        <f>IFERROR(时间!$B$4+AU887,"上周无销量")</f>
        <v>上周无销量</v>
      </c>
    </row>
    <row r="888" spans="1:48">
      <c r="A888" s="16" t="s">
        <v>1658</v>
      </c>
      <c r="B888" t="s">
        <v>1659</v>
      </c>
      <c r="C888" t="s">
        <v>1615</v>
      </c>
      <c r="D888" s="24">
        <v>0</v>
      </c>
      <c r="E888" s="24">
        <v>0</v>
      </c>
      <c r="F888" s="24">
        <v>0</v>
      </c>
      <c r="G888" s="24">
        <v>0</v>
      </c>
      <c r="H888" s="25">
        <v>0</v>
      </c>
      <c r="I888">
        <v>0</v>
      </c>
      <c r="J888" s="26">
        <v>0</v>
      </c>
      <c r="K888" s="26">
        <v>0</v>
      </c>
      <c r="L888" s="26">
        <v>0</v>
      </c>
      <c r="M888">
        <v>0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15</v>
      </c>
      <c r="AK888">
        <v>8</v>
      </c>
      <c r="AL888">
        <v>11</v>
      </c>
      <c r="AM888">
        <v>13</v>
      </c>
      <c r="AN888" s="18">
        <v>0</v>
      </c>
      <c r="AO888" s="18">
        <v>0</v>
      </c>
      <c r="AP888" s="18">
        <v>0</v>
      </c>
      <c r="AQ888" s="18">
        <v>0</v>
      </c>
      <c r="AR888" s="29">
        <v>0</v>
      </c>
      <c r="AS888" s="29">
        <v>0</v>
      </c>
      <c r="AT888" s="29">
        <v>0</v>
      </c>
      <c r="AU888" s="24" t="str">
        <f t="shared" si="14"/>
        <v>库存为0</v>
      </c>
      <c r="AV888" s="31" t="str">
        <f>IFERROR(时间!$B$4+AU888,"上周无销量")</f>
        <v>上周无销量</v>
      </c>
    </row>
    <row r="889" spans="1:48">
      <c r="A889" s="16" t="s">
        <v>1660</v>
      </c>
      <c r="B889" t="s">
        <v>1661</v>
      </c>
      <c r="C889" t="s">
        <v>1615</v>
      </c>
      <c r="D889" s="24">
        <v>0</v>
      </c>
      <c r="E889" s="24">
        <v>0</v>
      </c>
      <c r="F889" s="24">
        <v>0</v>
      </c>
      <c r="G889" s="24">
        <v>0</v>
      </c>
      <c r="H889" s="25">
        <v>0</v>
      </c>
      <c r="I889">
        <v>0</v>
      </c>
      <c r="J889" s="26">
        <v>0</v>
      </c>
      <c r="K889" s="26">
        <v>0</v>
      </c>
      <c r="L889" s="26">
        <v>0</v>
      </c>
      <c r="M889">
        <v>0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8</v>
      </c>
      <c r="AK889">
        <v>11</v>
      </c>
      <c r="AL889">
        <v>9</v>
      </c>
      <c r="AM889">
        <v>2</v>
      </c>
      <c r="AN889" s="18">
        <v>0</v>
      </c>
      <c r="AO889" s="18">
        <v>0</v>
      </c>
      <c r="AP889" s="18">
        <v>0</v>
      </c>
      <c r="AQ889" s="18">
        <v>0</v>
      </c>
      <c r="AR889" s="29">
        <v>0</v>
      </c>
      <c r="AS889" s="29">
        <v>0</v>
      </c>
      <c r="AT889" s="29">
        <v>0</v>
      </c>
      <c r="AU889" s="24" t="str">
        <f t="shared" si="14"/>
        <v>库存为0</v>
      </c>
      <c r="AV889" s="31" t="str">
        <f>IFERROR(时间!$B$4+AU889,"上周无销量")</f>
        <v>上周无销量</v>
      </c>
    </row>
    <row r="890" spans="1:48">
      <c r="A890" s="16" t="s">
        <v>1662</v>
      </c>
      <c r="B890" t="s">
        <v>1663</v>
      </c>
      <c r="C890" t="s">
        <v>1615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0</v>
      </c>
      <c r="J890" s="26">
        <v>0</v>
      </c>
      <c r="K890" s="26">
        <v>0</v>
      </c>
      <c r="L890" s="26">
        <v>0</v>
      </c>
      <c r="M890">
        <v>0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0</v>
      </c>
      <c r="AK890">
        <v>0</v>
      </c>
      <c r="AL890">
        <v>0</v>
      </c>
      <c r="AM890">
        <v>0</v>
      </c>
      <c r="AN890" s="18" t="s">
        <v>52</v>
      </c>
      <c r="AO890" s="18" t="s">
        <v>52</v>
      </c>
      <c r="AP890" s="18" t="s">
        <v>52</v>
      </c>
      <c r="AQ890" s="18" t="s">
        <v>52</v>
      </c>
      <c r="AR890" s="29">
        <v>0</v>
      </c>
      <c r="AS890" s="29">
        <v>0</v>
      </c>
      <c r="AT890" s="29">
        <v>0</v>
      </c>
      <c r="AU890" s="24" t="str">
        <f t="shared" si="14"/>
        <v>库存为0</v>
      </c>
      <c r="AV890" s="31" t="str">
        <f>IFERROR(时间!$B$4+AU890,"上周无销量")</f>
        <v>上周无销量</v>
      </c>
    </row>
    <row r="891" spans="1:48">
      <c r="A891" s="16" t="s">
        <v>1664</v>
      </c>
      <c r="B891" t="s">
        <v>1665</v>
      </c>
      <c r="C891" t="s">
        <v>1615</v>
      </c>
      <c r="D891" s="24">
        <v>0</v>
      </c>
      <c r="E891" s="24">
        <v>0</v>
      </c>
      <c r="F891" s="24">
        <v>0</v>
      </c>
      <c r="G891" s="24">
        <v>0</v>
      </c>
      <c r="H891" s="25">
        <v>0</v>
      </c>
      <c r="I891">
        <v>0</v>
      </c>
      <c r="J891" s="26">
        <v>0</v>
      </c>
      <c r="K891" s="26">
        <v>0</v>
      </c>
      <c r="L891" s="26">
        <v>0</v>
      </c>
      <c r="M891">
        <v>0</v>
      </c>
      <c r="N891">
        <v>0</v>
      </c>
      <c r="O891">
        <v>0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14</v>
      </c>
      <c r="AK891">
        <v>20</v>
      </c>
      <c r="AL891">
        <v>4</v>
      </c>
      <c r="AM891">
        <v>13</v>
      </c>
      <c r="AN891" s="18">
        <v>0</v>
      </c>
      <c r="AO891" s="18">
        <v>0</v>
      </c>
      <c r="AP891" s="18">
        <v>0</v>
      </c>
      <c r="AQ891" s="18">
        <v>0</v>
      </c>
      <c r="AR891" s="29">
        <v>0</v>
      </c>
      <c r="AS891" s="29">
        <v>0</v>
      </c>
      <c r="AT891" s="29">
        <v>0</v>
      </c>
      <c r="AU891" s="24" t="str">
        <f t="shared" si="14"/>
        <v>库存为0</v>
      </c>
      <c r="AV891" s="31" t="str">
        <f>IFERROR(时间!$B$4+AU891,"上周无销量")</f>
        <v>上周无销量</v>
      </c>
    </row>
    <row r="892" spans="1:48">
      <c r="A892" s="16" t="s">
        <v>1666</v>
      </c>
      <c r="B892" t="s">
        <v>1667</v>
      </c>
      <c r="C892" t="s">
        <v>1615</v>
      </c>
      <c r="D892" s="24">
        <v>0</v>
      </c>
      <c r="E892" s="24">
        <v>0</v>
      </c>
      <c r="F892" s="24">
        <v>0</v>
      </c>
      <c r="G892" s="24">
        <v>0</v>
      </c>
      <c r="H892" s="25">
        <v>0</v>
      </c>
      <c r="I892">
        <v>0</v>
      </c>
      <c r="J892" s="26">
        <v>0</v>
      </c>
      <c r="K892" s="26">
        <v>0</v>
      </c>
      <c r="L892" s="26">
        <v>0</v>
      </c>
      <c r="M892">
        <v>0</v>
      </c>
      <c r="N892">
        <v>0</v>
      </c>
      <c r="O892">
        <v>0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11</v>
      </c>
      <c r="AK892">
        <v>24</v>
      </c>
      <c r="AL892">
        <v>14</v>
      </c>
      <c r="AM892">
        <v>21</v>
      </c>
      <c r="AN892" s="18">
        <v>0</v>
      </c>
      <c r="AO892" s="18">
        <v>0</v>
      </c>
      <c r="AP892" s="18">
        <v>0</v>
      </c>
      <c r="AQ892" s="18">
        <v>0</v>
      </c>
      <c r="AR892" s="29">
        <v>0</v>
      </c>
      <c r="AS892" s="29">
        <v>0</v>
      </c>
      <c r="AT892" s="29">
        <v>0</v>
      </c>
      <c r="AU892" s="24" t="str">
        <f t="shared" si="14"/>
        <v>库存为0</v>
      </c>
      <c r="AV892" s="31" t="str">
        <f>IFERROR(时间!$B$4+AU892,"上周无销量")</f>
        <v>上周无销量</v>
      </c>
    </row>
    <row r="893" spans="1:48">
      <c r="A893" s="16" t="s">
        <v>1668</v>
      </c>
      <c r="B893" t="s">
        <v>1669</v>
      </c>
      <c r="C893" t="s">
        <v>1615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0</v>
      </c>
      <c r="J893" s="26">
        <v>0</v>
      </c>
      <c r="K893" s="26">
        <v>0</v>
      </c>
      <c r="L893" s="26">
        <v>0</v>
      </c>
      <c r="M893">
        <v>0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0</v>
      </c>
      <c r="AK893">
        <v>0</v>
      </c>
      <c r="AL893">
        <v>0</v>
      </c>
      <c r="AM893">
        <v>0</v>
      </c>
      <c r="AN893" s="18" t="s">
        <v>52</v>
      </c>
      <c r="AO893" s="18" t="s">
        <v>52</v>
      </c>
      <c r="AP893" s="18" t="s">
        <v>52</v>
      </c>
      <c r="AQ893" s="18" t="s">
        <v>52</v>
      </c>
      <c r="AR893" s="29">
        <v>0</v>
      </c>
      <c r="AS893" s="29">
        <v>0</v>
      </c>
      <c r="AT893" s="29">
        <v>0</v>
      </c>
      <c r="AU893" s="24" t="str">
        <f t="shared" si="14"/>
        <v>库存为0</v>
      </c>
      <c r="AV893" s="31" t="str">
        <f>IFERROR(时间!$B$4+AU893,"上周无销量")</f>
        <v>上周无销量</v>
      </c>
    </row>
    <row r="894" spans="1:48">
      <c r="A894" s="16" t="s">
        <v>1670</v>
      </c>
      <c r="B894" t="s">
        <v>1671</v>
      </c>
      <c r="C894" t="s">
        <v>1615</v>
      </c>
      <c r="D894" s="24">
        <v>0</v>
      </c>
      <c r="E894" s="24">
        <v>0</v>
      </c>
      <c r="F894" s="24">
        <v>0</v>
      </c>
      <c r="G894" s="24">
        <v>0</v>
      </c>
      <c r="H894" s="25">
        <v>0</v>
      </c>
      <c r="I894">
        <v>0</v>
      </c>
      <c r="J894" s="26">
        <v>0</v>
      </c>
      <c r="K894" s="26">
        <v>0</v>
      </c>
      <c r="L894" s="26">
        <v>0</v>
      </c>
      <c r="M894">
        <v>0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5</v>
      </c>
      <c r="AK894">
        <v>14</v>
      </c>
      <c r="AL894">
        <v>1</v>
      </c>
      <c r="AM894">
        <v>18</v>
      </c>
      <c r="AN894" s="18">
        <v>0</v>
      </c>
      <c r="AO894" s="18">
        <v>0</v>
      </c>
      <c r="AP894" s="18">
        <v>0</v>
      </c>
      <c r="AQ894" s="18">
        <v>0</v>
      </c>
      <c r="AR894" s="29">
        <v>0</v>
      </c>
      <c r="AS894" s="29">
        <v>0</v>
      </c>
      <c r="AT894" s="29">
        <v>0</v>
      </c>
      <c r="AU894" s="24" t="str">
        <f t="shared" si="14"/>
        <v>库存为0</v>
      </c>
      <c r="AV894" s="31" t="str">
        <f>IFERROR(时间!$B$4+AU894,"上周无销量")</f>
        <v>上周无销量</v>
      </c>
    </row>
    <row r="895" spans="1:48">
      <c r="A895" s="16" t="s">
        <v>1672</v>
      </c>
      <c r="B895" t="s">
        <v>1673</v>
      </c>
      <c r="C895" t="s">
        <v>1615</v>
      </c>
      <c r="D895" s="24">
        <v>0</v>
      </c>
      <c r="E895" s="24">
        <v>0</v>
      </c>
      <c r="F895" s="24">
        <v>0</v>
      </c>
      <c r="G895" s="24">
        <v>0</v>
      </c>
      <c r="H895" s="25">
        <v>0</v>
      </c>
      <c r="I895">
        <v>0</v>
      </c>
      <c r="J895" s="26">
        <v>0</v>
      </c>
      <c r="K895" s="26">
        <v>0</v>
      </c>
      <c r="L895" s="26">
        <v>0</v>
      </c>
      <c r="M895">
        <v>0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14</v>
      </c>
      <c r="AK895">
        <v>13</v>
      </c>
      <c r="AL895">
        <v>2</v>
      </c>
      <c r="AM895">
        <v>14</v>
      </c>
      <c r="AN895" s="18">
        <v>0</v>
      </c>
      <c r="AO895" s="18">
        <v>0</v>
      </c>
      <c r="AP895" s="18">
        <v>0</v>
      </c>
      <c r="AQ895" s="18">
        <v>0</v>
      </c>
      <c r="AR895" s="29">
        <v>0</v>
      </c>
      <c r="AS895" s="29">
        <v>0</v>
      </c>
      <c r="AT895" s="29">
        <v>0</v>
      </c>
      <c r="AU895" s="24" t="str">
        <f t="shared" si="14"/>
        <v>库存为0</v>
      </c>
      <c r="AV895" s="31" t="str">
        <f>IFERROR(时间!$B$4+AU895,"上周无销量")</f>
        <v>上周无销量</v>
      </c>
    </row>
    <row r="896" spans="1:48">
      <c r="A896" s="16" t="s">
        <v>1674</v>
      </c>
      <c r="B896" t="s">
        <v>1675</v>
      </c>
      <c r="C896" t="s">
        <v>1615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0</v>
      </c>
      <c r="J896" s="26">
        <v>0</v>
      </c>
      <c r="K896" s="26">
        <v>0</v>
      </c>
      <c r="L896" s="26">
        <v>0</v>
      </c>
      <c r="M896">
        <v>0</v>
      </c>
      <c r="N896">
        <v>0</v>
      </c>
      <c r="O896">
        <v>0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0</v>
      </c>
      <c r="AK896">
        <v>0</v>
      </c>
      <c r="AL896">
        <v>0</v>
      </c>
      <c r="AM896">
        <v>0</v>
      </c>
      <c r="AN896" s="18" t="s">
        <v>52</v>
      </c>
      <c r="AO896" s="18" t="s">
        <v>52</v>
      </c>
      <c r="AP896" s="18" t="s">
        <v>52</v>
      </c>
      <c r="AQ896" s="18" t="s">
        <v>52</v>
      </c>
      <c r="AR896" s="29">
        <v>0</v>
      </c>
      <c r="AS896" s="29">
        <v>0</v>
      </c>
      <c r="AT896" s="29">
        <v>0</v>
      </c>
      <c r="AU896" s="24" t="str">
        <f t="shared" si="14"/>
        <v>库存为0</v>
      </c>
      <c r="AV896" s="31" t="str">
        <f>IFERROR(时间!$B$4+AU896,"上周无销量")</f>
        <v>上周无销量</v>
      </c>
    </row>
    <row r="897" spans="1:48">
      <c r="A897" s="16" t="s">
        <v>1676</v>
      </c>
      <c r="B897" t="s">
        <v>1677</v>
      </c>
      <c r="C897" t="s">
        <v>1615</v>
      </c>
      <c r="D897" s="24">
        <v>0</v>
      </c>
      <c r="E897" s="24">
        <v>0</v>
      </c>
      <c r="F897" s="24">
        <v>0</v>
      </c>
      <c r="G897" s="24">
        <v>0</v>
      </c>
      <c r="H897" s="25">
        <v>0</v>
      </c>
      <c r="I897">
        <v>0</v>
      </c>
      <c r="J897" s="26">
        <v>0</v>
      </c>
      <c r="K897" s="26">
        <v>0</v>
      </c>
      <c r="L897" s="26">
        <v>0</v>
      </c>
      <c r="M897">
        <v>0</v>
      </c>
      <c r="N897">
        <v>0</v>
      </c>
      <c r="O897">
        <v>0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0</v>
      </c>
      <c r="AK897">
        <v>0</v>
      </c>
      <c r="AL897">
        <v>0</v>
      </c>
      <c r="AM897">
        <v>0</v>
      </c>
      <c r="AN897" s="18" t="s">
        <v>52</v>
      </c>
      <c r="AO897" s="18" t="s">
        <v>52</v>
      </c>
      <c r="AP897" s="18" t="s">
        <v>52</v>
      </c>
      <c r="AQ897" s="18" t="s">
        <v>52</v>
      </c>
      <c r="AR897" s="29">
        <v>0</v>
      </c>
      <c r="AS897" s="29">
        <v>0</v>
      </c>
      <c r="AT897" s="29">
        <v>0</v>
      </c>
      <c r="AU897" s="24" t="str">
        <f t="shared" si="14"/>
        <v>库存为0</v>
      </c>
      <c r="AV897" s="31" t="str">
        <f>IFERROR(时间!$B$4+AU897,"上周无销量")</f>
        <v>上周无销量</v>
      </c>
    </row>
    <row r="898" spans="1:48">
      <c r="A898" s="16" t="s">
        <v>1678</v>
      </c>
      <c r="B898" t="s">
        <v>1679</v>
      </c>
      <c r="C898" t="s">
        <v>1615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0</v>
      </c>
      <c r="J898" s="26">
        <v>0</v>
      </c>
      <c r="K898" s="26">
        <v>0</v>
      </c>
      <c r="L898" s="26">
        <v>0</v>
      </c>
      <c r="M898">
        <v>0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0</v>
      </c>
      <c r="AK898">
        <v>0</v>
      </c>
      <c r="AL898">
        <v>0</v>
      </c>
      <c r="AM898">
        <v>0</v>
      </c>
      <c r="AN898" s="18" t="s">
        <v>52</v>
      </c>
      <c r="AO898" s="18" t="s">
        <v>52</v>
      </c>
      <c r="AP898" s="18" t="s">
        <v>52</v>
      </c>
      <c r="AQ898" s="18" t="s">
        <v>52</v>
      </c>
      <c r="AR898" s="29">
        <v>0</v>
      </c>
      <c r="AS898" s="29">
        <v>0</v>
      </c>
      <c r="AT898" s="29">
        <v>0</v>
      </c>
      <c r="AU898" s="24" t="str">
        <f t="shared" si="14"/>
        <v>库存为0</v>
      </c>
      <c r="AV898" s="31" t="str">
        <f>IFERROR(时间!$B$4+AU898,"上周无销量")</f>
        <v>上周无销量</v>
      </c>
    </row>
    <row r="899" spans="1:48">
      <c r="A899" s="16" t="s">
        <v>1680</v>
      </c>
      <c r="B899" t="s">
        <v>1681</v>
      </c>
      <c r="C899" t="s">
        <v>1615</v>
      </c>
      <c r="D899" s="24">
        <v>0</v>
      </c>
      <c r="E899" s="24">
        <v>0</v>
      </c>
      <c r="F899" s="24">
        <v>0</v>
      </c>
      <c r="G899" s="24">
        <v>0</v>
      </c>
      <c r="H899" s="25">
        <v>0</v>
      </c>
      <c r="I899">
        <v>0</v>
      </c>
      <c r="J899" s="26">
        <v>0</v>
      </c>
      <c r="K899" s="26">
        <v>0</v>
      </c>
      <c r="L899" s="26">
        <v>0</v>
      </c>
      <c r="M899">
        <v>0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0</v>
      </c>
      <c r="AK899">
        <v>0</v>
      </c>
      <c r="AL899">
        <v>0</v>
      </c>
      <c r="AM899">
        <v>0</v>
      </c>
      <c r="AN899" s="18" t="s">
        <v>52</v>
      </c>
      <c r="AO899" s="18" t="s">
        <v>52</v>
      </c>
      <c r="AP899" s="18" t="s">
        <v>52</v>
      </c>
      <c r="AQ899" s="18" t="s">
        <v>52</v>
      </c>
      <c r="AR899" s="29">
        <v>0</v>
      </c>
      <c r="AS899" s="29">
        <v>0</v>
      </c>
      <c r="AT899" s="29">
        <v>0</v>
      </c>
      <c r="AU899" s="24" t="str">
        <f t="shared" si="14"/>
        <v>库存为0</v>
      </c>
      <c r="AV899" s="31" t="str">
        <f>IFERROR(时间!$B$4+AU899,"上周无销量")</f>
        <v>上周无销量</v>
      </c>
    </row>
    <row r="900" spans="1:48">
      <c r="A900" s="16" t="s">
        <v>1682</v>
      </c>
      <c r="B900" t="s">
        <v>1683</v>
      </c>
      <c r="C900" t="s">
        <v>1615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0</v>
      </c>
      <c r="J900" s="26">
        <v>0</v>
      </c>
      <c r="K900" s="26">
        <v>0</v>
      </c>
      <c r="L900" s="26">
        <v>0</v>
      </c>
      <c r="M900">
        <v>0</v>
      </c>
      <c r="N900">
        <v>0</v>
      </c>
      <c r="O900">
        <v>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0</v>
      </c>
      <c r="AK900">
        <v>0</v>
      </c>
      <c r="AL900">
        <v>0</v>
      </c>
      <c r="AM900">
        <v>0</v>
      </c>
      <c r="AN900" s="18" t="s">
        <v>52</v>
      </c>
      <c r="AO900" s="18" t="s">
        <v>52</v>
      </c>
      <c r="AP900" s="18" t="s">
        <v>52</v>
      </c>
      <c r="AQ900" s="18" t="s">
        <v>52</v>
      </c>
      <c r="AR900" s="29">
        <v>0</v>
      </c>
      <c r="AS900" s="29">
        <v>0</v>
      </c>
      <c r="AT900" s="29">
        <v>0</v>
      </c>
      <c r="AU900" s="24" t="str">
        <f t="shared" si="14"/>
        <v>库存为0</v>
      </c>
      <c r="AV900" s="31" t="str">
        <f>IFERROR(时间!$B$4+AU900,"上周无销量")</f>
        <v>上周无销量</v>
      </c>
    </row>
    <row r="901" spans="1:48">
      <c r="A901" s="16" t="s">
        <v>1684</v>
      </c>
      <c r="B901" t="s">
        <v>1685</v>
      </c>
      <c r="C901" t="s">
        <v>1615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0</v>
      </c>
      <c r="J901" s="26">
        <v>0</v>
      </c>
      <c r="K901" s="26">
        <v>0</v>
      </c>
      <c r="L901" s="26">
        <v>0</v>
      </c>
      <c r="M901">
        <v>0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9</v>
      </c>
      <c r="AK901">
        <v>13</v>
      </c>
      <c r="AL901">
        <v>5</v>
      </c>
      <c r="AM901">
        <v>4</v>
      </c>
      <c r="AN901" s="18">
        <v>0</v>
      </c>
      <c r="AO901" s="18">
        <v>0</v>
      </c>
      <c r="AP901" s="18">
        <v>0</v>
      </c>
      <c r="AQ901" s="18">
        <v>0</v>
      </c>
      <c r="AR901" s="29">
        <v>0</v>
      </c>
      <c r="AS901" s="29">
        <v>0</v>
      </c>
      <c r="AT901" s="29">
        <v>0</v>
      </c>
      <c r="AU901" s="24" t="str">
        <f t="shared" si="14"/>
        <v>库存为0</v>
      </c>
      <c r="AV901" s="31" t="str">
        <f>IFERROR(时间!$B$4+AU901,"上周无销量")</f>
        <v>上周无销量</v>
      </c>
    </row>
    <row r="902" spans="1:48">
      <c r="A902" s="16" t="s">
        <v>1686</v>
      </c>
      <c r="B902" t="s">
        <v>1687</v>
      </c>
      <c r="C902" t="s">
        <v>1615</v>
      </c>
      <c r="D902" s="24">
        <v>0</v>
      </c>
      <c r="E902" s="24">
        <v>0</v>
      </c>
      <c r="F902" s="24">
        <v>0</v>
      </c>
      <c r="G902" s="24">
        <v>0</v>
      </c>
      <c r="H902" s="25">
        <v>0</v>
      </c>
      <c r="I902">
        <v>0</v>
      </c>
      <c r="J902" s="26">
        <v>0</v>
      </c>
      <c r="K902" s="26">
        <v>0</v>
      </c>
      <c r="L902" s="26">
        <v>0</v>
      </c>
      <c r="M902">
        <v>0</v>
      </c>
      <c r="N902">
        <v>0</v>
      </c>
      <c r="O902">
        <v>0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12</v>
      </c>
      <c r="AK902">
        <v>27</v>
      </c>
      <c r="AL902">
        <v>16</v>
      </c>
      <c r="AM902">
        <v>17</v>
      </c>
      <c r="AN902" s="18">
        <v>0</v>
      </c>
      <c r="AO902" s="18">
        <v>0</v>
      </c>
      <c r="AP902" s="18">
        <v>0</v>
      </c>
      <c r="AQ902" s="18">
        <v>0</v>
      </c>
      <c r="AR902" s="29">
        <v>0</v>
      </c>
      <c r="AS902" s="29">
        <v>0</v>
      </c>
      <c r="AT902" s="29">
        <v>0</v>
      </c>
      <c r="AU902" s="24" t="str">
        <f t="shared" ref="AU902:AU965" si="15">IF(AR902="","库存为"&amp;M902,IF(AS902=0,"库存为"&amp;M902,INT(M902/AR902)))</f>
        <v>库存为0</v>
      </c>
      <c r="AV902" s="31" t="str">
        <f>IFERROR(时间!$B$4+AU902,"上周无销量")</f>
        <v>上周无销量</v>
      </c>
    </row>
    <row r="903" spans="1:48">
      <c r="A903" s="16" t="s">
        <v>1688</v>
      </c>
      <c r="B903" t="s">
        <v>1689</v>
      </c>
      <c r="C903" t="s">
        <v>1615</v>
      </c>
      <c r="D903" s="24">
        <v>0</v>
      </c>
      <c r="E903" s="24">
        <v>0</v>
      </c>
      <c r="F903" s="24">
        <v>0</v>
      </c>
      <c r="G903" s="24">
        <v>0</v>
      </c>
      <c r="H903" s="25">
        <v>0</v>
      </c>
      <c r="I903">
        <v>0</v>
      </c>
      <c r="J903" s="26">
        <v>0</v>
      </c>
      <c r="K903" s="26">
        <v>0</v>
      </c>
      <c r="L903" s="26">
        <v>0</v>
      </c>
      <c r="M903">
        <v>0</v>
      </c>
      <c r="N903">
        <v>0</v>
      </c>
      <c r="O903">
        <v>0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13</v>
      </c>
      <c r="AK903">
        <v>19</v>
      </c>
      <c r="AL903">
        <v>13</v>
      </c>
      <c r="AM903">
        <v>25</v>
      </c>
      <c r="AN903" s="18">
        <v>0</v>
      </c>
      <c r="AO903" s="18">
        <v>0</v>
      </c>
      <c r="AP903" s="18">
        <v>0</v>
      </c>
      <c r="AQ903" s="18">
        <v>0</v>
      </c>
      <c r="AR903" s="29">
        <v>0</v>
      </c>
      <c r="AS903" s="29">
        <v>0</v>
      </c>
      <c r="AT903" s="29">
        <v>0</v>
      </c>
      <c r="AU903" s="24" t="str">
        <f t="shared" si="15"/>
        <v>库存为0</v>
      </c>
      <c r="AV903" s="31" t="str">
        <f>IFERROR(时间!$B$4+AU903,"上周无销量")</f>
        <v>上周无销量</v>
      </c>
    </row>
    <row r="904" spans="1:48">
      <c r="A904" s="16" t="s">
        <v>1690</v>
      </c>
      <c r="B904" t="s">
        <v>1691</v>
      </c>
      <c r="C904" t="s">
        <v>1615</v>
      </c>
      <c r="D904" s="24">
        <v>0</v>
      </c>
      <c r="E904" s="24">
        <v>0</v>
      </c>
      <c r="F904" s="24">
        <v>0</v>
      </c>
      <c r="G904" s="24">
        <v>0</v>
      </c>
      <c r="H904" s="25">
        <v>0</v>
      </c>
      <c r="I904">
        <v>0</v>
      </c>
      <c r="J904" s="26">
        <v>0</v>
      </c>
      <c r="K904" s="26">
        <v>0</v>
      </c>
      <c r="L904" s="26">
        <v>0</v>
      </c>
      <c r="M904">
        <v>0</v>
      </c>
      <c r="N904">
        <v>0</v>
      </c>
      <c r="O904">
        <v>0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5</v>
      </c>
      <c r="AK904">
        <v>24</v>
      </c>
      <c r="AL904">
        <v>0</v>
      </c>
      <c r="AM904">
        <v>58</v>
      </c>
      <c r="AN904" s="18">
        <v>0</v>
      </c>
      <c r="AO904" s="18">
        <v>0</v>
      </c>
      <c r="AP904" s="18" t="s">
        <v>52</v>
      </c>
      <c r="AQ904" s="18">
        <v>0</v>
      </c>
      <c r="AR904" s="29">
        <v>0</v>
      </c>
      <c r="AS904" s="29">
        <v>0</v>
      </c>
      <c r="AT904" s="29">
        <v>0</v>
      </c>
      <c r="AU904" s="24" t="str">
        <f t="shared" si="15"/>
        <v>库存为0</v>
      </c>
      <c r="AV904" s="31" t="str">
        <f>IFERROR(时间!$B$4+AU904,"上周无销量")</f>
        <v>上周无销量</v>
      </c>
    </row>
    <row r="905" spans="1:48">
      <c r="A905" s="16" t="s">
        <v>1692</v>
      </c>
      <c r="B905" t="s">
        <v>1693</v>
      </c>
      <c r="C905" t="s">
        <v>1615</v>
      </c>
      <c r="D905" s="24">
        <v>0</v>
      </c>
      <c r="E905" s="24">
        <v>0</v>
      </c>
      <c r="F905" s="24">
        <v>0</v>
      </c>
      <c r="G905" s="24">
        <v>0</v>
      </c>
      <c r="H905" s="25">
        <v>0</v>
      </c>
      <c r="I905">
        <v>0</v>
      </c>
      <c r="J905" s="26">
        <v>0</v>
      </c>
      <c r="K905" s="26">
        <v>0</v>
      </c>
      <c r="L905" s="26">
        <v>0</v>
      </c>
      <c r="M905">
        <v>0</v>
      </c>
      <c r="N905">
        <v>0</v>
      </c>
      <c r="O905">
        <v>0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0</v>
      </c>
      <c r="AK905">
        <v>0</v>
      </c>
      <c r="AL905">
        <v>0</v>
      </c>
      <c r="AM905">
        <v>0</v>
      </c>
      <c r="AN905" s="18" t="s">
        <v>52</v>
      </c>
      <c r="AO905" s="18" t="s">
        <v>52</v>
      </c>
      <c r="AP905" s="18" t="s">
        <v>52</v>
      </c>
      <c r="AQ905" s="18" t="s">
        <v>52</v>
      </c>
      <c r="AR905" s="29">
        <v>0</v>
      </c>
      <c r="AS905" s="29">
        <v>0</v>
      </c>
      <c r="AT905" s="29">
        <v>0</v>
      </c>
      <c r="AU905" s="24" t="str">
        <f t="shared" si="15"/>
        <v>库存为0</v>
      </c>
      <c r="AV905" s="31" t="str">
        <f>IFERROR(时间!$B$4+AU905,"上周无销量")</f>
        <v>上周无销量</v>
      </c>
    </row>
    <row r="906" spans="1:48">
      <c r="A906" s="16" t="s">
        <v>1694</v>
      </c>
      <c r="B906" t="s">
        <v>1695</v>
      </c>
      <c r="C906" t="s">
        <v>1696</v>
      </c>
      <c r="D906" s="24">
        <v>0</v>
      </c>
      <c r="E906" s="24">
        <v>0</v>
      </c>
      <c r="F906" s="24">
        <v>0</v>
      </c>
      <c r="G906" s="24">
        <v>0</v>
      </c>
      <c r="H906" s="25">
        <v>0</v>
      </c>
      <c r="I906">
        <v>0</v>
      </c>
      <c r="J906" s="26">
        <v>0</v>
      </c>
      <c r="K906" s="26">
        <v>0</v>
      </c>
      <c r="L906" s="26">
        <v>0</v>
      </c>
      <c r="M906">
        <v>0</v>
      </c>
      <c r="N906">
        <v>0</v>
      </c>
      <c r="O906">
        <v>0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0</v>
      </c>
      <c r="AK906">
        <v>0</v>
      </c>
      <c r="AL906">
        <v>0</v>
      </c>
      <c r="AM906">
        <v>0</v>
      </c>
      <c r="AN906" s="18" t="s">
        <v>52</v>
      </c>
      <c r="AO906" s="18" t="s">
        <v>52</v>
      </c>
      <c r="AP906" s="18" t="s">
        <v>52</v>
      </c>
      <c r="AQ906" s="18" t="s">
        <v>52</v>
      </c>
      <c r="AR906" s="29">
        <v>0</v>
      </c>
      <c r="AS906" s="29">
        <v>0</v>
      </c>
      <c r="AT906" s="29">
        <v>0</v>
      </c>
      <c r="AU906" s="24" t="str">
        <f t="shared" si="15"/>
        <v>库存为0</v>
      </c>
      <c r="AV906" s="31" t="str">
        <f>IFERROR(时间!$B$4+AU906,"上周无销量")</f>
        <v>上周无销量</v>
      </c>
    </row>
    <row r="907" spans="1:48">
      <c r="A907" s="16" t="s">
        <v>1697</v>
      </c>
      <c r="B907" t="s">
        <v>1698</v>
      </c>
      <c r="C907" t="s">
        <v>1696</v>
      </c>
      <c r="D907" s="24">
        <v>0</v>
      </c>
      <c r="E907" s="24">
        <v>0</v>
      </c>
      <c r="F907" s="24">
        <v>0</v>
      </c>
      <c r="G907" s="24">
        <v>0</v>
      </c>
      <c r="H907" s="25">
        <v>0</v>
      </c>
      <c r="I907">
        <v>0</v>
      </c>
      <c r="J907" s="26">
        <v>0</v>
      </c>
      <c r="K907" s="26">
        <v>0</v>
      </c>
      <c r="L907" s="26">
        <v>0</v>
      </c>
      <c r="M907">
        <v>0</v>
      </c>
      <c r="N907">
        <v>0</v>
      </c>
      <c r="O907">
        <v>0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0</v>
      </c>
      <c r="AK907">
        <v>0</v>
      </c>
      <c r="AL907">
        <v>0</v>
      </c>
      <c r="AM907">
        <v>0</v>
      </c>
      <c r="AN907" s="18" t="s">
        <v>52</v>
      </c>
      <c r="AO907" s="18" t="s">
        <v>52</v>
      </c>
      <c r="AP907" s="18" t="s">
        <v>52</v>
      </c>
      <c r="AQ907" s="18" t="s">
        <v>52</v>
      </c>
      <c r="AR907" s="29">
        <v>0</v>
      </c>
      <c r="AS907" s="29">
        <v>0</v>
      </c>
      <c r="AT907" s="29">
        <v>0</v>
      </c>
      <c r="AU907" s="24" t="str">
        <f t="shared" si="15"/>
        <v>库存为0</v>
      </c>
      <c r="AV907" s="31" t="str">
        <f>IFERROR(时间!$B$4+AU907,"上周无销量")</f>
        <v>上周无销量</v>
      </c>
    </row>
    <row r="908" spans="1:48">
      <c r="A908" s="16" t="s">
        <v>1699</v>
      </c>
      <c r="B908" t="s">
        <v>54</v>
      </c>
      <c r="C908" t="s">
        <v>1700</v>
      </c>
      <c r="D908" s="24">
        <v>2</v>
      </c>
      <c r="E908" s="24">
        <v>0</v>
      </c>
      <c r="F908" s="24">
        <v>0</v>
      </c>
      <c r="G908" s="24">
        <v>0</v>
      </c>
      <c r="H908" s="25">
        <v>22.98</v>
      </c>
      <c r="I908">
        <v>8</v>
      </c>
      <c r="J908" s="26">
        <v>0</v>
      </c>
      <c r="K908" s="26">
        <v>0</v>
      </c>
      <c r="L908" s="26">
        <v>1</v>
      </c>
      <c r="M908">
        <v>9</v>
      </c>
      <c r="N908">
        <v>0</v>
      </c>
      <c r="O908">
        <v>11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14</v>
      </c>
      <c r="AK908">
        <v>12</v>
      </c>
      <c r="AL908">
        <v>9</v>
      </c>
      <c r="AM908">
        <v>10</v>
      </c>
      <c r="AN908" s="18">
        <v>0.142857142857143</v>
      </c>
      <c r="AO908" s="18">
        <v>0</v>
      </c>
      <c r="AP908" s="18">
        <v>0</v>
      </c>
      <c r="AQ908" s="18">
        <v>0</v>
      </c>
      <c r="AR908" s="29">
        <v>0.285714285714286</v>
      </c>
      <c r="AS908" s="29">
        <v>17.1428571428571</v>
      </c>
      <c r="AT908" s="29">
        <v>-8.14285714285714</v>
      </c>
      <c r="AU908" s="24">
        <f t="shared" si="15"/>
        <v>31</v>
      </c>
      <c r="AV908" s="31">
        <f>IFERROR(时间!$B$4+AU908,"上周无销量")</f>
        <v>43349</v>
      </c>
    </row>
    <row r="909" spans="1:48">
      <c r="A909" s="16" t="s">
        <v>1701</v>
      </c>
      <c r="B909" t="s">
        <v>57</v>
      </c>
      <c r="C909" t="s">
        <v>1700</v>
      </c>
      <c r="D909" s="24">
        <v>1</v>
      </c>
      <c r="E909" s="24">
        <v>0</v>
      </c>
      <c r="F909" s="24">
        <v>1</v>
      </c>
      <c r="G909" s="24">
        <v>0</v>
      </c>
      <c r="H909" s="25">
        <v>21.48</v>
      </c>
      <c r="I909">
        <v>41</v>
      </c>
      <c r="J909" s="26">
        <v>0</v>
      </c>
      <c r="K909" s="26">
        <v>0</v>
      </c>
      <c r="L909" s="26">
        <v>0</v>
      </c>
      <c r="M909">
        <v>41</v>
      </c>
      <c r="N909">
        <v>0</v>
      </c>
      <c r="O909">
        <v>43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14</v>
      </c>
      <c r="AK909">
        <v>9</v>
      </c>
      <c r="AL909">
        <v>9</v>
      </c>
      <c r="AM909">
        <v>8</v>
      </c>
      <c r="AN909" s="18">
        <v>0.0714285714285714</v>
      </c>
      <c r="AO909" s="18">
        <v>0</v>
      </c>
      <c r="AP909" s="18">
        <v>0.111111111111111</v>
      </c>
      <c r="AQ909" s="18">
        <v>0</v>
      </c>
      <c r="AR909" s="29">
        <v>0.142857142857143</v>
      </c>
      <c r="AS909" s="29">
        <v>8.57142857142857</v>
      </c>
      <c r="AT909" s="29">
        <v>32.4285714285714</v>
      </c>
      <c r="AU909" s="24">
        <f t="shared" si="15"/>
        <v>287</v>
      </c>
      <c r="AV909" s="31">
        <f>IFERROR(时间!$B$4+AU909,"上周无销量")</f>
        <v>43605</v>
      </c>
    </row>
    <row r="910" spans="1:48">
      <c r="A910" s="16" t="s">
        <v>1702</v>
      </c>
      <c r="B910" t="s">
        <v>59</v>
      </c>
      <c r="C910" t="s">
        <v>1700</v>
      </c>
      <c r="D910" s="24">
        <v>2</v>
      </c>
      <c r="E910" s="24">
        <v>0</v>
      </c>
      <c r="F910" s="24">
        <v>0</v>
      </c>
      <c r="G910" s="24">
        <v>0</v>
      </c>
      <c r="H910" s="25">
        <v>18.98</v>
      </c>
      <c r="I910">
        <v>6</v>
      </c>
      <c r="J910" s="26">
        <v>0</v>
      </c>
      <c r="K910" s="26">
        <v>0</v>
      </c>
      <c r="L910" s="26">
        <v>0</v>
      </c>
      <c r="M910">
        <v>6</v>
      </c>
      <c r="N910">
        <v>0</v>
      </c>
      <c r="O910">
        <v>6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7</v>
      </c>
      <c r="AK910">
        <v>8</v>
      </c>
      <c r="AL910">
        <v>11</v>
      </c>
      <c r="AM910">
        <v>10</v>
      </c>
      <c r="AN910" s="18">
        <v>0.285714285714286</v>
      </c>
      <c r="AO910" s="18">
        <v>0</v>
      </c>
      <c r="AP910" s="18">
        <v>0</v>
      </c>
      <c r="AQ910" s="18">
        <v>0</v>
      </c>
      <c r="AR910" s="29">
        <v>0.285714285714286</v>
      </c>
      <c r="AS910" s="29">
        <v>17.1428571428571</v>
      </c>
      <c r="AT910" s="29">
        <v>-11.1428571428571</v>
      </c>
      <c r="AU910" s="24">
        <f t="shared" si="15"/>
        <v>21</v>
      </c>
      <c r="AV910" s="31">
        <f>IFERROR(时间!$B$4+AU910,"上周无销量")</f>
        <v>43339</v>
      </c>
    </row>
    <row r="911" spans="1:48">
      <c r="A911" s="16" t="s">
        <v>1703</v>
      </c>
      <c r="B911" t="s">
        <v>61</v>
      </c>
      <c r="C911" t="s">
        <v>1700</v>
      </c>
      <c r="D911" s="24">
        <v>0</v>
      </c>
      <c r="E911" s="24">
        <v>0</v>
      </c>
      <c r="F911" s="24">
        <v>0</v>
      </c>
      <c r="G911" s="24">
        <v>1</v>
      </c>
      <c r="H911" s="25">
        <v>22.98</v>
      </c>
      <c r="I911">
        <v>22</v>
      </c>
      <c r="J911" s="26">
        <v>0</v>
      </c>
      <c r="K911" s="26">
        <v>0</v>
      </c>
      <c r="L911" s="26">
        <v>0</v>
      </c>
      <c r="M911">
        <v>22</v>
      </c>
      <c r="N911">
        <v>0</v>
      </c>
      <c r="O911">
        <v>20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8</v>
      </c>
      <c r="AK911">
        <v>5</v>
      </c>
      <c r="AL911">
        <v>6</v>
      </c>
      <c r="AM911">
        <v>7</v>
      </c>
      <c r="AN911" s="18">
        <v>0</v>
      </c>
      <c r="AO911" s="18">
        <v>0</v>
      </c>
      <c r="AP911" s="18">
        <v>0</v>
      </c>
      <c r="AQ911" s="18">
        <v>0.142857142857143</v>
      </c>
      <c r="AR911" s="29">
        <v>0</v>
      </c>
      <c r="AS911" s="29">
        <v>0</v>
      </c>
      <c r="AT911" s="29">
        <v>22</v>
      </c>
      <c r="AU911" s="24" t="str">
        <f t="shared" si="15"/>
        <v>库存为22</v>
      </c>
      <c r="AV911" s="31" t="str">
        <f>IFERROR(时间!$B$4+AU911,"上周无销量")</f>
        <v>上周无销量</v>
      </c>
    </row>
    <row r="912" spans="1:48">
      <c r="A912" s="16" t="s">
        <v>1704</v>
      </c>
      <c r="B912" t="s">
        <v>63</v>
      </c>
      <c r="C912" t="s">
        <v>1700</v>
      </c>
      <c r="D912" s="24">
        <v>0</v>
      </c>
      <c r="E912" s="24">
        <v>0</v>
      </c>
      <c r="F912" s="24">
        <v>0</v>
      </c>
      <c r="G912" s="24">
        <v>0</v>
      </c>
      <c r="H912" s="25">
        <v>0</v>
      </c>
      <c r="I912">
        <v>14</v>
      </c>
      <c r="J912" s="26">
        <v>0</v>
      </c>
      <c r="K912" s="26">
        <v>0</v>
      </c>
      <c r="L912" s="26">
        <v>0</v>
      </c>
      <c r="M912">
        <v>14</v>
      </c>
      <c r="N912">
        <v>0</v>
      </c>
      <c r="O912">
        <v>12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9</v>
      </c>
      <c r="AK912">
        <v>4</v>
      </c>
      <c r="AL912">
        <v>3</v>
      </c>
      <c r="AM912">
        <v>9</v>
      </c>
      <c r="AN912" s="18">
        <v>0</v>
      </c>
      <c r="AO912" s="18">
        <v>0</v>
      </c>
      <c r="AP912" s="18">
        <v>0</v>
      </c>
      <c r="AQ912" s="18">
        <v>0</v>
      </c>
      <c r="AR912" s="29">
        <v>0</v>
      </c>
      <c r="AS912" s="29">
        <v>0</v>
      </c>
      <c r="AT912" s="29">
        <v>14</v>
      </c>
      <c r="AU912" s="24" t="str">
        <f t="shared" si="15"/>
        <v>库存为14</v>
      </c>
      <c r="AV912" s="31" t="str">
        <f>IFERROR(时间!$B$4+AU912,"上周无销量")</f>
        <v>上周无销量</v>
      </c>
    </row>
    <row r="913" spans="1:48">
      <c r="A913" s="16" t="s">
        <v>1705</v>
      </c>
      <c r="B913" t="s">
        <v>65</v>
      </c>
      <c r="C913" t="s">
        <v>1700</v>
      </c>
      <c r="D913" s="24">
        <v>1</v>
      </c>
      <c r="E913" s="24">
        <v>1</v>
      </c>
      <c r="F913" s="24">
        <v>8</v>
      </c>
      <c r="G913" s="24">
        <v>1</v>
      </c>
      <c r="H913" s="25">
        <v>22.98</v>
      </c>
      <c r="I913">
        <v>17</v>
      </c>
      <c r="J913" s="26">
        <v>0</v>
      </c>
      <c r="K913" s="26">
        <v>0</v>
      </c>
      <c r="L913" s="26">
        <v>0</v>
      </c>
      <c r="M913">
        <v>17</v>
      </c>
      <c r="N913">
        <v>0</v>
      </c>
      <c r="O913">
        <v>6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16</v>
      </c>
      <c r="AK913">
        <v>12</v>
      </c>
      <c r="AL913">
        <v>12</v>
      </c>
      <c r="AM913">
        <v>14</v>
      </c>
      <c r="AN913" s="18">
        <v>0.0625</v>
      </c>
      <c r="AO913" s="18">
        <v>0.0833333333333333</v>
      </c>
      <c r="AP913" s="18">
        <v>0.666666666666667</v>
      </c>
      <c r="AQ913" s="18">
        <v>0.0714285714285714</v>
      </c>
      <c r="AR913" s="29">
        <v>0.142857142857143</v>
      </c>
      <c r="AS913" s="29">
        <v>8.57142857142857</v>
      </c>
      <c r="AT913" s="29">
        <v>8.42857142857143</v>
      </c>
      <c r="AU913" s="24">
        <f t="shared" si="15"/>
        <v>119</v>
      </c>
      <c r="AV913" s="31">
        <f>IFERROR(时间!$B$4+AU913,"上周无销量")</f>
        <v>43437</v>
      </c>
    </row>
    <row r="914" spans="1:48">
      <c r="A914" s="16" t="s">
        <v>1706</v>
      </c>
      <c r="B914" t="s">
        <v>67</v>
      </c>
      <c r="C914" t="s">
        <v>1700</v>
      </c>
      <c r="D914" s="24">
        <v>1</v>
      </c>
      <c r="E914" s="24">
        <v>0</v>
      </c>
      <c r="F914" s="24">
        <v>3</v>
      </c>
      <c r="G914" s="24">
        <v>1</v>
      </c>
      <c r="H914" s="25">
        <v>22.98</v>
      </c>
      <c r="I914">
        <v>0</v>
      </c>
      <c r="J914" s="26">
        <v>0</v>
      </c>
      <c r="K914" s="26">
        <v>0</v>
      </c>
      <c r="L914" s="26">
        <v>0</v>
      </c>
      <c r="M914">
        <v>0</v>
      </c>
      <c r="N914">
        <v>0</v>
      </c>
      <c r="O914">
        <v>0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0</v>
      </c>
      <c r="AK914">
        <v>12</v>
      </c>
      <c r="AL914">
        <v>10</v>
      </c>
      <c r="AM914">
        <v>18</v>
      </c>
      <c r="AN914" s="18" t="s">
        <v>52</v>
      </c>
      <c r="AO914" s="18">
        <v>0</v>
      </c>
      <c r="AP914" s="18">
        <v>0.3</v>
      </c>
      <c r="AQ914" s="18">
        <v>0.0555555555555556</v>
      </c>
      <c r="AR914" s="29">
        <v>0.142857142857143</v>
      </c>
      <c r="AS914" s="29">
        <v>8.57142857142857</v>
      </c>
      <c r="AT914" s="29">
        <v>-8.57142857142857</v>
      </c>
      <c r="AU914" s="24">
        <f t="shared" si="15"/>
        <v>0</v>
      </c>
      <c r="AV914" s="31">
        <f>IFERROR(时间!$B$4+AU914,"上周无销量")</f>
        <v>43318</v>
      </c>
    </row>
    <row r="915" spans="1:48">
      <c r="A915" s="16" t="s">
        <v>1707</v>
      </c>
      <c r="B915" t="s">
        <v>69</v>
      </c>
      <c r="C915" t="s">
        <v>1700</v>
      </c>
      <c r="D915" s="24">
        <v>0</v>
      </c>
      <c r="E915" s="24">
        <v>0</v>
      </c>
      <c r="F915" s="24">
        <v>9</v>
      </c>
      <c r="G915" s="24">
        <v>0</v>
      </c>
      <c r="H915" s="25">
        <v>14.43</v>
      </c>
      <c r="I915">
        <v>1</v>
      </c>
      <c r="J915" s="26">
        <v>0</v>
      </c>
      <c r="K915" s="26">
        <v>0</v>
      </c>
      <c r="L915" s="26">
        <v>1</v>
      </c>
      <c r="M915">
        <v>2</v>
      </c>
      <c r="N915">
        <v>0</v>
      </c>
      <c r="O915">
        <v>0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14</v>
      </c>
      <c r="AK915">
        <v>0</v>
      </c>
      <c r="AL915">
        <v>13</v>
      </c>
      <c r="AM915">
        <v>14</v>
      </c>
      <c r="AN915" s="18">
        <v>0</v>
      </c>
      <c r="AO915" s="18" t="s">
        <v>52</v>
      </c>
      <c r="AP915" s="18">
        <v>0.692307692307692</v>
      </c>
      <c r="AQ915" s="18">
        <v>0</v>
      </c>
      <c r="AR915" s="29">
        <v>0</v>
      </c>
      <c r="AS915" s="29">
        <v>0</v>
      </c>
      <c r="AT915" s="29">
        <v>2</v>
      </c>
      <c r="AU915" s="24" t="str">
        <f t="shared" si="15"/>
        <v>库存为2</v>
      </c>
      <c r="AV915" s="31" t="str">
        <f>IFERROR(时间!$B$4+AU915,"上周无销量")</f>
        <v>上周无销量</v>
      </c>
    </row>
    <row r="916" spans="1:48">
      <c r="A916" s="16" t="s">
        <v>1708</v>
      </c>
      <c r="B916" t="s">
        <v>71</v>
      </c>
      <c r="C916" t="s">
        <v>1700</v>
      </c>
      <c r="D916" s="24">
        <v>1</v>
      </c>
      <c r="E916" s="24">
        <v>2</v>
      </c>
      <c r="F916" s="24">
        <v>1</v>
      </c>
      <c r="G916" s="24">
        <v>0</v>
      </c>
      <c r="H916" s="25">
        <v>22.98</v>
      </c>
      <c r="I916">
        <v>16</v>
      </c>
      <c r="J916" s="26">
        <v>0</v>
      </c>
      <c r="K916" s="26">
        <v>0</v>
      </c>
      <c r="L916" s="26">
        <v>0</v>
      </c>
      <c r="M916">
        <v>16</v>
      </c>
      <c r="N916">
        <v>0</v>
      </c>
      <c r="O916">
        <v>15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8</v>
      </c>
      <c r="AK916">
        <v>11</v>
      </c>
      <c r="AL916">
        <v>10</v>
      </c>
      <c r="AM916">
        <v>8</v>
      </c>
      <c r="AN916" s="18">
        <v>0.125</v>
      </c>
      <c r="AO916" s="18">
        <v>0.181818181818182</v>
      </c>
      <c r="AP916" s="18">
        <v>0.1</v>
      </c>
      <c r="AQ916" s="18">
        <v>0</v>
      </c>
      <c r="AR916" s="29">
        <v>0.142857142857143</v>
      </c>
      <c r="AS916" s="29">
        <v>8.57142857142857</v>
      </c>
      <c r="AT916" s="29">
        <v>7.42857142857143</v>
      </c>
      <c r="AU916" s="24">
        <f t="shared" si="15"/>
        <v>112</v>
      </c>
      <c r="AV916" s="31">
        <f>IFERROR(时间!$B$4+AU916,"上周无销量")</f>
        <v>43430</v>
      </c>
    </row>
    <row r="917" spans="1:48">
      <c r="A917" s="16" t="s">
        <v>1709</v>
      </c>
      <c r="B917" t="s">
        <v>73</v>
      </c>
      <c r="C917" t="s">
        <v>1700</v>
      </c>
      <c r="D917" s="24">
        <v>1</v>
      </c>
      <c r="E917" s="24">
        <v>1</v>
      </c>
      <c r="F917" s="24">
        <v>1</v>
      </c>
      <c r="G917" s="24">
        <v>0</v>
      </c>
      <c r="H917" s="25">
        <v>22.98</v>
      </c>
      <c r="I917">
        <v>10</v>
      </c>
      <c r="J917" s="26">
        <v>0</v>
      </c>
      <c r="K917" s="26">
        <v>0</v>
      </c>
      <c r="L917" s="26">
        <v>0</v>
      </c>
      <c r="M917">
        <v>10</v>
      </c>
      <c r="N917">
        <v>0</v>
      </c>
      <c r="O917">
        <v>11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11</v>
      </c>
      <c r="AK917">
        <v>6</v>
      </c>
      <c r="AL917">
        <v>4</v>
      </c>
      <c r="AM917">
        <v>8</v>
      </c>
      <c r="AN917" s="18">
        <v>0.0909090909090909</v>
      </c>
      <c r="AO917" s="18">
        <v>0.166666666666667</v>
      </c>
      <c r="AP917" s="18">
        <v>0.25</v>
      </c>
      <c r="AQ917" s="18">
        <v>0</v>
      </c>
      <c r="AR917" s="29">
        <v>0.142857142857143</v>
      </c>
      <c r="AS917" s="29">
        <v>8.57142857142857</v>
      </c>
      <c r="AT917" s="29">
        <v>1.42857142857143</v>
      </c>
      <c r="AU917" s="24">
        <f t="shared" si="15"/>
        <v>70</v>
      </c>
      <c r="AV917" s="31">
        <f>IFERROR(时间!$B$4+AU917,"上周无销量")</f>
        <v>43388</v>
      </c>
    </row>
    <row r="918" spans="1:48">
      <c r="A918" s="16" t="s">
        <v>1710</v>
      </c>
      <c r="B918" t="s">
        <v>75</v>
      </c>
      <c r="C918" t="s">
        <v>1700</v>
      </c>
      <c r="D918" s="24">
        <v>0</v>
      </c>
      <c r="E918" s="24">
        <v>0</v>
      </c>
      <c r="F918" s="24">
        <v>0</v>
      </c>
      <c r="G918" s="24">
        <v>0</v>
      </c>
      <c r="H918" s="25">
        <v>0</v>
      </c>
      <c r="I918">
        <v>0</v>
      </c>
      <c r="J918" s="26">
        <v>0</v>
      </c>
      <c r="K918" s="26">
        <v>0</v>
      </c>
      <c r="L918" s="26">
        <v>0</v>
      </c>
      <c r="M918">
        <v>0</v>
      </c>
      <c r="N918">
        <v>0</v>
      </c>
      <c r="O918">
        <v>0</v>
      </c>
      <c r="P918" t="s">
        <v>52</v>
      </c>
      <c r="Q918" t="s">
        <v>52</v>
      </c>
      <c r="R918" t="s">
        <v>52</v>
      </c>
      <c r="S918" t="s">
        <v>52</v>
      </c>
      <c r="T918" t="s">
        <v>52</v>
      </c>
      <c r="U918" t="s">
        <v>52</v>
      </c>
      <c r="V918" t="s">
        <v>52</v>
      </c>
      <c r="W918" t="s">
        <v>52</v>
      </c>
      <c r="X918" s="18" t="s">
        <v>52</v>
      </c>
      <c r="Y918" s="18" t="s">
        <v>52</v>
      </c>
      <c r="Z918" s="18" t="s">
        <v>52</v>
      </c>
      <c r="AA918" s="18" t="s">
        <v>52</v>
      </c>
      <c r="AB918" t="s">
        <v>52</v>
      </c>
      <c r="AC918" t="s">
        <v>52</v>
      </c>
      <c r="AD918" t="s">
        <v>52</v>
      </c>
      <c r="AE918" t="s">
        <v>52</v>
      </c>
      <c r="AF918" s="18" t="s">
        <v>52</v>
      </c>
      <c r="AG918" s="18" t="s">
        <v>52</v>
      </c>
      <c r="AH918" s="18" t="s">
        <v>52</v>
      </c>
      <c r="AI918" s="18" t="s">
        <v>52</v>
      </c>
      <c r="AJ918">
        <v>0</v>
      </c>
      <c r="AK918">
        <v>0</v>
      </c>
      <c r="AL918">
        <v>0</v>
      </c>
      <c r="AM918">
        <v>0</v>
      </c>
      <c r="AN918" s="18" t="s">
        <v>52</v>
      </c>
      <c r="AO918" s="18" t="s">
        <v>52</v>
      </c>
      <c r="AP918" s="18" t="s">
        <v>52</v>
      </c>
      <c r="AQ918" s="18" t="s">
        <v>52</v>
      </c>
      <c r="AR918" s="29">
        <v>0</v>
      </c>
      <c r="AS918" s="29">
        <v>0</v>
      </c>
      <c r="AT918" s="29">
        <v>0</v>
      </c>
      <c r="AU918" s="24" t="str">
        <f t="shared" si="15"/>
        <v>库存为0</v>
      </c>
      <c r="AV918" s="31" t="str">
        <f>IFERROR(时间!$B$4+AU918,"上周无销量")</f>
        <v>上周无销量</v>
      </c>
    </row>
    <row r="919" spans="1:48">
      <c r="A919" s="16" t="s">
        <v>1711</v>
      </c>
      <c r="B919" t="s">
        <v>77</v>
      </c>
      <c r="C919" t="s">
        <v>1700</v>
      </c>
      <c r="D919" s="24">
        <v>1</v>
      </c>
      <c r="E919" s="24">
        <v>1</v>
      </c>
      <c r="F919" s="24">
        <v>6</v>
      </c>
      <c r="G919" s="24">
        <v>5</v>
      </c>
      <c r="H919" s="25">
        <v>20.9030769230769</v>
      </c>
      <c r="I919">
        <v>0</v>
      </c>
      <c r="J919" s="26">
        <v>0</v>
      </c>
      <c r="K919" s="26">
        <v>0</v>
      </c>
      <c r="L919" s="26">
        <v>0</v>
      </c>
      <c r="M919">
        <v>0</v>
      </c>
      <c r="N919">
        <v>0</v>
      </c>
      <c r="O919">
        <v>0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8</v>
      </c>
      <c r="AK919">
        <v>24</v>
      </c>
      <c r="AL919">
        <v>25</v>
      </c>
      <c r="AM919">
        <v>29</v>
      </c>
      <c r="AN919" s="18">
        <v>0.125</v>
      </c>
      <c r="AO919" s="18">
        <v>0.0416666666666667</v>
      </c>
      <c r="AP919" s="18">
        <v>0.24</v>
      </c>
      <c r="AQ919" s="18">
        <v>0.172413793103448</v>
      </c>
      <c r="AR919" s="29">
        <v>0.142857142857143</v>
      </c>
      <c r="AS919" s="29">
        <v>8.57142857142857</v>
      </c>
      <c r="AT919" s="29">
        <v>-8.57142857142857</v>
      </c>
      <c r="AU919" s="24">
        <f t="shared" si="15"/>
        <v>0</v>
      </c>
      <c r="AV919" s="31">
        <f>IFERROR(时间!$B$4+AU919,"上周无销量")</f>
        <v>43318</v>
      </c>
    </row>
    <row r="920" spans="1:48">
      <c r="A920" s="16" t="s">
        <v>1712</v>
      </c>
      <c r="B920" t="s">
        <v>79</v>
      </c>
      <c r="C920" t="s">
        <v>1700</v>
      </c>
      <c r="D920" s="24">
        <v>0</v>
      </c>
      <c r="E920" s="24">
        <v>0</v>
      </c>
      <c r="F920" s="24">
        <v>0</v>
      </c>
      <c r="G920" s="24">
        <v>0</v>
      </c>
      <c r="H920" s="25">
        <v>0</v>
      </c>
      <c r="I920">
        <v>0</v>
      </c>
      <c r="J920" s="26">
        <v>0</v>
      </c>
      <c r="K920" s="26">
        <v>0</v>
      </c>
      <c r="L920" s="26">
        <v>0</v>
      </c>
      <c r="M920">
        <v>0</v>
      </c>
      <c r="N920">
        <v>0</v>
      </c>
      <c r="O920">
        <v>0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0</v>
      </c>
      <c r="AK920">
        <v>0</v>
      </c>
      <c r="AL920">
        <v>0</v>
      </c>
      <c r="AM920">
        <v>0</v>
      </c>
      <c r="AN920" s="18" t="s">
        <v>52</v>
      </c>
      <c r="AO920" s="18" t="s">
        <v>52</v>
      </c>
      <c r="AP920" s="18" t="s">
        <v>52</v>
      </c>
      <c r="AQ920" s="18" t="s">
        <v>52</v>
      </c>
      <c r="AR920" s="29">
        <v>0</v>
      </c>
      <c r="AS920" s="29">
        <v>0</v>
      </c>
      <c r="AT920" s="29">
        <v>0</v>
      </c>
      <c r="AU920" s="24" t="str">
        <f t="shared" si="15"/>
        <v>库存为0</v>
      </c>
      <c r="AV920" s="31" t="str">
        <f>IFERROR(时间!$B$4+AU920,"上周无销量")</f>
        <v>上周无销量</v>
      </c>
    </row>
    <row r="921" spans="1:48">
      <c r="A921" s="16" t="s">
        <v>1713</v>
      </c>
      <c r="B921" t="s">
        <v>81</v>
      </c>
      <c r="C921" t="s">
        <v>1700</v>
      </c>
      <c r="D921" s="24">
        <v>0</v>
      </c>
      <c r="E921" s="24">
        <v>0</v>
      </c>
      <c r="F921" s="24">
        <v>0</v>
      </c>
      <c r="G921" s="24">
        <v>0</v>
      </c>
      <c r="H921" s="25">
        <v>0</v>
      </c>
      <c r="I921">
        <v>0</v>
      </c>
      <c r="J921" s="26">
        <v>0</v>
      </c>
      <c r="K921" s="26">
        <v>0</v>
      </c>
      <c r="L921" s="26">
        <v>0</v>
      </c>
      <c r="M921">
        <v>0</v>
      </c>
      <c r="N921">
        <v>0</v>
      </c>
      <c r="O921">
        <v>0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0</v>
      </c>
      <c r="AK921">
        <v>0</v>
      </c>
      <c r="AL921">
        <v>0</v>
      </c>
      <c r="AM921">
        <v>0</v>
      </c>
      <c r="AN921" s="18" t="s">
        <v>52</v>
      </c>
      <c r="AO921" s="18" t="s">
        <v>52</v>
      </c>
      <c r="AP921" s="18" t="s">
        <v>52</v>
      </c>
      <c r="AQ921" s="18" t="s">
        <v>52</v>
      </c>
      <c r="AR921" s="29">
        <v>0</v>
      </c>
      <c r="AS921" s="29">
        <v>0</v>
      </c>
      <c r="AT921" s="29">
        <v>0</v>
      </c>
      <c r="AU921" s="24" t="str">
        <f t="shared" si="15"/>
        <v>库存为0</v>
      </c>
      <c r="AV921" s="31" t="str">
        <f>IFERROR(时间!$B$4+AU921,"上周无销量")</f>
        <v>上周无销量</v>
      </c>
    </row>
    <row r="922" spans="1:48">
      <c r="A922" s="16" t="s">
        <v>1714</v>
      </c>
      <c r="B922" t="s">
        <v>83</v>
      </c>
      <c r="C922" t="s">
        <v>1700</v>
      </c>
      <c r="D922" s="24">
        <v>1</v>
      </c>
      <c r="E922" s="24">
        <v>2</v>
      </c>
      <c r="F922" s="24">
        <v>6</v>
      </c>
      <c r="G922" s="24">
        <v>0</v>
      </c>
      <c r="H922" s="25">
        <v>21.98</v>
      </c>
      <c r="I922">
        <v>5</v>
      </c>
      <c r="J922" s="26">
        <v>0</v>
      </c>
      <c r="K922" s="26">
        <v>0</v>
      </c>
      <c r="L922" s="26">
        <v>0</v>
      </c>
      <c r="M922">
        <v>5</v>
      </c>
      <c r="N922">
        <v>0</v>
      </c>
      <c r="O922">
        <v>1</v>
      </c>
      <c r="P922">
        <v>1482</v>
      </c>
      <c r="Q922">
        <v>2546</v>
      </c>
      <c r="R922">
        <v>5394</v>
      </c>
      <c r="S922">
        <v>3932</v>
      </c>
      <c r="T922">
        <v>13</v>
      </c>
      <c r="U922">
        <v>13</v>
      </c>
      <c r="V922">
        <v>34</v>
      </c>
      <c r="W922">
        <v>31</v>
      </c>
      <c r="X922" s="18">
        <v>0.0087719298245614</v>
      </c>
      <c r="Y922" s="18">
        <v>0.00510604870384918</v>
      </c>
      <c r="Z922" s="18">
        <v>0.00630329996292176</v>
      </c>
      <c r="AA922" s="18">
        <v>0.00788402848423194</v>
      </c>
      <c r="AB922">
        <v>7.95</v>
      </c>
      <c r="AC922">
        <v>6.87</v>
      </c>
      <c r="AD922">
        <v>17.42</v>
      </c>
      <c r="AE922">
        <v>18.33</v>
      </c>
      <c r="AF922" s="18">
        <v>0.361692447679709</v>
      </c>
      <c r="AG922" s="18">
        <v>0.156278434940855</v>
      </c>
      <c r="AH922" s="18">
        <v>0.132089778586594</v>
      </c>
      <c r="AI922" s="18" t="s">
        <v>1715</v>
      </c>
      <c r="AJ922">
        <v>26</v>
      </c>
      <c r="AK922">
        <v>5</v>
      </c>
      <c r="AL922">
        <v>13</v>
      </c>
      <c r="AM922">
        <v>34</v>
      </c>
      <c r="AN922" s="18">
        <v>0.0384615384615385</v>
      </c>
      <c r="AO922" s="18">
        <v>0.4</v>
      </c>
      <c r="AP922" s="18">
        <v>0.461538461538462</v>
      </c>
      <c r="AQ922" s="18">
        <v>0</v>
      </c>
      <c r="AR922" s="29">
        <v>0.142857142857143</v>
      </c>
      <c r="AS922" s="29">
        <v>8.57142857142857</v>
      </c>
      <c r="AT922" s="29">
        <v>-3.57142857142857</v>
      </c>
      <c r="AU922" s="24">
        <f t="shared" si="15"/>
        <v>35</v>
      </c>
      <c r="AV922" s="31">
        <f>IFERROR(时间!$B$4+AU922,"上周无销量")</f>
        <v>43353</v>
      </c>
    </row>
    <row r="923" spans="1:48">
      <c r="A923" s="16" t="s">
        <v>1716</v>
      </c>
      <c r="B923" t="s">
        <v>85</v>
      </c>
      <c r="C923" t="s">
        <v>1700</v>
      </c>
      <c r="D923" s="24">
        <v>6</v>
      </c>
      <c r="E923" s="24">
        <v>1</v>
      </c>
      <c r="F923" s="24">
        <v>4</v>
      </c>
      <c r="G923" s="24">
        <v>1</v>
      </c>
      <c r="H923" s="25">
        <v>22.98</v>
      </c>
      <c r="I923">
        <v>18</v>
      </c>
      <c r="J923" s="26">
        <v>0</v>
      </c>
      <c r="K923" s="26">
        <v>0</v>
      </c>
      <c r="L923" s="26">
        <v>0</v>
      </c>
      <c r="M923">
        <v>18</v>
      </c>
      <c r="N923">
        <v>0</v>
      </c>
      <c r="O923">
        <v>0</v>
      </c>
      <c r="P923">
        <v>8382</v>
      </c>
      <c r="Q923">
        <v>0</v>
      </c>
      <c r="R923">
        <v>0</v>
      </c>
      <c r="S923">
        <v>0</v>
      </c>
      <c r="T923">
        <v>14</v>
      </c>
      <c r="U923">
        <v>0</v>
      </c>
      <c r="V923">
        <v>0</v>
      </c>
      <c r="W923">
        <v>0</v>
      </c>
      <c r="X923" s="18">
        <v>0.00167024576473395</v>
      </c>
      <c r="Y923" s="18" t="s">
        <v>52</v>
      </c>
      <c r="Z923" s="18" t="s">
        <v>52</v>
      </c>
      <c r="AA923" s="18" t="s">
        <v>52</v>
      </c>
      <c r="AB923">
        <v>8.15</v>
      </c>
      <c r="AC923">
        <v>0</v>
      </c>
      <c r="AD923">
        <v>0</v>
      </c>
      <c r="AE923">
        <v>0</v>
      </c>
      <c r="AF923" s="18">
        <v>0.0591093704670728</v>
      </c>
      <c r="AG923" s="18" t="s">
        <v>52</v>
      </c>
      <c r="AH923" s="18" t="s">
        <v>52</v>
      </c>
      <c r="AI923" s="18" t="s">
        <v>52</v>
      </c>
      <c r="AJ923">
        <v>23</v>
      </c>
      <c r="AK923">
        <v>29</v>
      </c>
      <c r="AL923">
        <v>32</v>
      </c>
      <c r="AM923">
        <v>22</v>
      </c>
      <c r="AN923" s="18">
        <v>0.260869565217391</v>
      </c>
      <c r="AO923" s="18">
        <v>0.0344827586206897</v>
      </c>
      <c r="AP923" s="18">
        <v>0.125</v>
      </c>
      <c r="AQ923" s="18">
        <v>0.0454545454545455</v>
      </c>
      <c r="AR923" s="29">
        <v>0.857142857142857</v>
      </c>
      <c r="AS923" s="29">
        <v>51.4285714285714</v>
      </c>
      <c r="AT923" s="29">
        <v>-33.4285714285714</v>
      </c>
      <c r="AU923" s="24">
        <f t="shared" si="15"/>
        <v>21</v>
      </c>
      <c r="AV923" s="31">
        <f>IFERROR(时间!$B$4+AU923,"上周无销量")</f>
        <v>43339</v>
      </c>
    </row>
    <row r="924" spans="1:48">
      <c r="A924" s="16" t="s">
        <v>1717</v>
      </c>
      <c r="B924" t="s">
        <v>87</v>
      </c>
      <c r="C924" t="s">
        <v>1700</v>
      </c>
      <c r="D924" s="24">
        <v>1</v>
      </c>
      <c r="E924" s="24">
        <v>2</v>
      </c>
      <c r="F924" s="24">
        <v>2</v>
      </c>
      <c r="G924" s="24">
        <v>3</v>
      </c>
      <c r="H924" s="25">
        <v>22.98</v>
      </c>
      <c r="I924">
        <v>25</v>
      </c>
      <c r="J924" s="26">
        <v>0</v>
      </c>
      <c r="K924" s="26">
        <v>0</v>
      </c>
      <c r="L924" s="26">
        <v>0</v>
      </c>
      <c r="M924">
        <v>25</v>
      </c>
      <c r="N924">
        <v>0</v>
      </c>
      <c r="O924">
        <v>25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13</v>
      </c>
      <c r="AK924">
        <v>12</v>
      </c>
      <c r="AL924">
        <v>20</v>
      </c>
      <c r="AM924">
        <v>16</v>
      </c>
      <c r="AN924" s="18">
        <v>0.0769230769230769</v>
      </c>
      <c r="AO924" s="18">
        <v>0.166666666666667</v>
      </c>
      <c r="AP924" s="18">
        <v>0.1</v>
      </c>
      <c r="AQ924" s="18">
        <v>0.1875</v>
      </c>
      <c r="AR924" s="29">
        <v>0.142857142857143</v>
      </c>
      <c r="AS924" s="29">
        <v>8.57142857142857</v>
      </c>
      <c r="AT924" s="29">
        <v>16.4285714285714</v>
      </c>
      <c r="AU924" s="24">
        <f t="shared" si="15"/>
        <v>175</v>
      </c>
      <c r="AV924" s="31">
        <f>IFERROR(时间!$B$4+AU924,"上周无销量")</f>
        <v>43493</v>
      </c>
    </row>
    <row r="925" spans="1:48">
      <c r="A925" s="16" t="s">
        <v>1718</v>
      </c>
      <c r="B925" t="s">
        <v>89</v>
      </c>
      <c r="C925" t="s">
        <v>1700</v>
      </c>
      <c r="D925" s="24">
        <v>3</v>
      </c>
      <c r="E925" s="24">
        <v>2</v>
      </c>
      <c r="F925" s="24">
        <v>0</v>
      </c>
      <c r="G925" s="24">
        <v>0</v>
      </c>
      <c r="H925" s="25">
        <v>15.18</v>
      </c>
      <c r="I925">
        <v>31</v>
      </c>
      <c r="J925" s="26">
        <v>0</v>
      </c>
      <c r="K925" s="26">
        <v>0</v>
      </c>
      <c r="L925" s="26">
        <v>1</v>
      </c>
      <c r="M925">
        <v>32</v>
      </c>
      <c r="N925">
        <v>0</v>
      </c>
      <c r="O925">
        <v>33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17</v>
      </c>
      <c r="AK925">
        <v>12</v>
      </c>
      <c r="AL925">
        <v>7</v>
      </c>
      <c r="AM925">
        <v>10</v>
      </c>
      <c r="AN925" s="18">
        <v>0.176470588235294</v>
      </c>
      <c r="AO925" s="18">
        <v>0.166666666666667</v>
      </c>
      <c r="AP925" s="18">
        <v>0</v>
      </c>
      <c r="AQ925" s="18">
        <v>0</v>
      </c>
      <c r="AR925" s="29">
        <v>0.428571428571429</v>
      </c>
      <c r="AS925" s="29">
        <v>25.7142857142857</v>
      </c>
      <c r="AT925" s="29">
        <v>6.28571428571429</v>
      </c>
      <c r="AU925" s="24">
        <f t="shared" si="15"/>
        <v>74</v>
      </c>
      <c r="AV925" s="31">
        <f>IFERROR(时间!$B$4+AU925,"上周无销量")</f>
        <v>43392</v>
      </c>
    </row>
    <row r="926" spans="1:48">
      <c r="A926" s="16" t="s">
        <v>1719</v>
      </c>
      <c r="B926" t="s">
        <v>91</v>
      </c>
      <c r="C926" t="s">
        <v>1700</v>
      </c>
      <c r="D926" s="24">
        <v>1</v>
      </c>
      <c r="E926" s="24">
        <v>3</v>
      </c>
      <c r="F926" s="24">
        <v>6</v>
      </c>
      <c r="G926" s="24">
        <v>1</v>
      </c>
      <c r="H926" s="25">
        <v>22.98</v>
      </c>
      <c r="I926">
        <v>76</v>
      </c>
      <c r="J926" s="26">
        <v>0</v>
      </c>
      <c r="K926" s="26">
        <v>0</v>
      </c>
      <c r="L926" s="26">
        <v>0</v>
      </c>
      <c r="M926">
        <v>76</v>
      </c>
      <c r="N926">
        <v>0</v>
      </c>
      <c r="O926">
        <v>55</v>
      </c>
      <c r="P926">
        <v>504</v>
      </c>
      <c r="Q926">
        <v>431</v>
      </c>
      <c r="R926">
        <v>514</v>
      </c>
      <c r="S926">
        <v>545</v>
      </c>
      <c r="T926">
        <v>1</v>
      </c>
      <c r="U926">
        <v>2</v>
      </c>
      <c r="V926">
        <v>2</v>
      </c>
      <c r="W926">
        <v>0</v>
      </c>
      <c r="X926" s="18">
        <v>0.00198412698412698</v>
      </c>
      <c r="Y926" s="18">
        <v>0.00464037122969838</v>
      </c>
      <c r="Z926" s="18">
        <v>0.00389105058365759</v>
      </c>
      <c r="AA926" s="18">
        <v>0</v>
      </c>
      <c r="AB926">
        <v>0.66</v>
      </c>
      <c r="AC926">
        <v>1</v>
      </c>
      <c r="AD926">
        <v>0.9</v>
      </c>
      <c r="AE926">
        <v>0</v>
      </c>
      <c r="AF926" s="18">
        <v>0.0287206266318538</v>
      </c>
      <c r="AG926" s="18">
        <v>0.0145053669857847</v>
      </c>
      <c r="AH926" s="18">
        <v>0.00652741514360313</v>
      </c>
      <c r="AI926" s="18" t="s">
        <v>52</v>
      </c>
      <c r="AJ926">
        <v>16</v>
      </c>
      <c r="AK926">
        <v>11</v>
      </c>
      <c r="AL926">
        <v>23</v>
      </c>
      <c r="AM926">
        <v>19</v>
      </c>
      <c r="AN926" s="18">
        <v>0.0625</v>
      </c>
      <c r="AO926" s="18">
        <v>0.272727272727273</v>
      </c>
      <c r="AP926" s="18">
        <v>0.260869565217391</v>
      </c>
      <c r="AQ926" s="18">
        <v>0.0526315789473684</v>
      </c>
      <c r="AR926" s="29">
        <v>0.142857142857143</v>
      </c>
      <c r="AS926" s="29">
        <v>8.57142857142857</v>
      </c>
      <c r="AT926" s="29">
        <v>67.4285714285714</v>
      </c>
      <c r="AU926" s="24">
        <f t="shared" si="15"/>
        <v>532</v>
      </c>
      <c r="AV926" s="31">
        <f>IFERROR(时间!$B$4+AU926,"上周无销量")</f>
        <v>43850</v>
      </c>
    </row>
    <row r="927" spans="1:48">
      <c r="A927" s="16" t="s">
        <v>1720</v>
      </c>
      <c r="B927" t="s">
        <v>93</v>
      </c>
      <c r="C927" t="s">
        <v>1700</v>
      </c>
      <c r="D927" s="24">
        <v>0</v>
      </c>
      <c r="E927" s="24">
        <v>0</v>
      </c>
      <c r="F927" s="24">
        <v>0</v>
      </c>
      <c r="G927" s="24">
        <v>0</v>
      </c>
      <c r="H927" s="25">
        <v>0</v>
      </c>
      <c r="I927">
        <v>31</v>
      </c>
      <c r="J927" s="26">
        <v>0</v>
      </c>
      <c r="K927" s="26">
        <v>0</v>
      </c>
      <c r="L927" s="26">
        <v>0</v>
      </c>
      <c r="M927">
        <v>31</v>
      </c>
      <c r="N927">
        <v>0</v>
      </c>
      <c r="O927">
        <v>31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8</v>
      </c>
      <c r="AK927">
        <v>7</v>
      </c>
      <c r="AL927">
        <v>5</v>
      </c>
      <c r="AM927">
        <v>3</v>
      </c>
      <c r="AN927" s="18">
        <v>0</v>
      </c>
      <c r="AO927" s="18">
        <v>0</v>
      </c>
      <c r="AP927" s="18">
        <v>0</v>
      </c>
      <c r="AQ927" s="18">
        <v>0</v>
      </c>
      <c r="AR927" s="29">
        <v>0</v>
      </c>
      <c r="AS927" s="29">
        <v>0</v>
      </c>
      <c r="AT927" s="29">
        <v>31</v>
      </c>
      <c r="AU927" s="24" t="str">
        <f t="shared" si="15"/>
        <v>库存为31</v>
      </c>
      <c r="AV927" s="31" t="str">
        <f>IFERROR(时间!$B$4+AU927,"上周无销量")</f>
        <v>上周无销量</v>
      </c>
    </row>
    <row r="928" spans="1:48">
      <c r="A928" s="16" t="s">
        <v>1721</v>
      </c>
      <c r="B928" t="s">
        <v>95</v>
      </c>
      <c r="C928" t="s">
        <v>1700</v>
      </c>
      <c r="D928" s="24">
        <v>1</v>
      </c>
      <c r="E928" s="24">
        <v>1</v>
      </c>
      <c r="F928" s="24">
        <v>3</v>
      </c>
      <c r="G928" s="24">
        <v>1</v>
      </c>
      <c r="H928" s="25">
        <v>22.48</v>
      </c>
      <c r="I928">
        <v>37</v>
      </c>
      <c r="J928" s="26">
        <v>0</v>
      </c>
      <c r="K928" s="26">
        <v>0</v>
      </c>
      <c r="L928" s="26">
        <v>0</v>
      </c>
      <c r="M928">
        <v>37</v>
      </c>
      <c r="N928">
        <v>0</v>
      </c>
      <c r="O928">
        <v>36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28</v>
      </c>
      <c r="AK928">
        <v>10</v>
      </c>
      <c r="AL928">
        <v>15</v>
      </c>
      <c r="AM928">
        <v>25</v>
      </c>
      <c r="AN928" s="18">
        <v>0.0357142857142857</v>
      </c>
      <c r="AO928" s="18">
        <v>0.1</v>
      </c>
      <c r="AP928" s="18">
        <v>0.2</v>
      </c>
      <c r="AQ928" s="18">
        <v>0.04</v>
      </c>
      <c r="AR928" s="29">
        <v>0.142857142857143</v>
      </c>
      <c r="AS928" s="29">
        <v>8.57142857142857</v>
      </c>
      <c r="AT928" s="29">
        <v>28.4285714285714</v>
      </c>
      <c r="AU928" s="24">
        <f t="shared" si="15"/>
        <v>259</v>
      </c>
      <c r="AV928" s="31">
        <f>IFERROR(时间!$B$4+AU928,"上周无销量")</f>
        <v>43577</v>
      </c>
    </row>
    <row r="929" spans="1:48">
      <c r="A929" s="16" t="s">
        <v>1722</v>
      </c>
      <c r="B929" t="s">
        <v>97</v>
      </c>
      <c r="C929" t="s">
        <v>1700</v>
      </c>
      <c r="D929" s="24">
        <v>2</v>
      </c>
      <c r="E929" s="24">
        <v>1</v>
      </c>
      <c r="F929" s="24">
        <v>2</v>
      </c>
      <c r="G929" s="24">
        <v>0</v>
      </c>
      <c r="H929" s="25">
        <v>22.38</v>
      </c>
      <c r="I929">
        <v>13</v>
      </c>
      <c r="J929" s="26">
        <v>0</v>
      </c>
      <c r="K929" s="26">
        <v>0</v>
      </c>
      <c r="L929" s="26">
        <v>0</v>
      </c>
      <c r="M929">
        <v>13</v>
      </c>
      <c r="N929">
        <v>0</v>
      </c>
      <c r="O929">
        <v>14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19</v>
      </c>
      <c r="AK929">
        <v>9</v>
      </c>
      <c r="AL929">
        <v>16</v>
      </c>
      <c r="AM929">
        <v>18</v>
      </c>
      <c r="AN929" s="18">
        <v>0.105263157894737</v>
      </c>
      <c r="AO929" s="18">
        <v>0.111111111111111</v>
      </c>
      <c r="AP929" s="18">
        <v>0.125</v>
      </c>
      <c r="AQ929" s="18">
        <v>0</v>
      </c>
      <c r="AR929" s="29">
        <v>0.285714285714286</v>
      </c>
      <c r="AS929" s="29">
        <v>17.1428571428571</v>
      </c>
      <c r="AT929" s="29">
        <v>-4.14285714285714</v>
      </c>
      <c r="AU929" s="24">
        <f t="shared" si="15"/>
        <v>45</v>
      </c>
      <c r="AV929" s="31">
        <f>IFERROR(时间!$B$4+AU929,"上周无销量")</f>
        <v>43363</v>
      </c>
    </row>
    <row r="930" spans="1:48">
      <c r="A930" s="16" t="s">
        <v>1723</v>
      </c>
      <c r="B930" t="s">
        <v>99</v>
      </c>
      <c r="C930" t="s">
        <v>1700</v>
      </c>
      <c r="D930" s="24">
        <v>2</v>
      </c>
      <c r="E930" s="24">
        <v>0</v>
      </c>
      <c r="F930" s="24">
        <v>0</v>
      </c>
      <c r="G930" s="24">
        <v>0</v>
      </c>
      <c r="H930" s="25">
        <v>19.98</v>
      </c>
      <c r="I930">
        <v>7</v>
      </c>
      <c r="J930" s="26">
        <v>0</v>
      </c>
      <c r="K930" s="26">
        <v>0</v>
      </c>
      <c r="L930" s="26">
        <v>0</v>
      </c>
      <c r="M930">
        <v>7</v>
      </c>
      <c r="N930">
        <v>0</v>
      </c>
      <c r="O930">
        <v>6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13</v>
      </c>
      <c r="AK930">
        <v>6</v>
      </c>
      <c r="AL930">
        <v>5</v>
      </c>
      <c r="AM930">
        <v>15</v>
      </c>
      <c r="AN930" s="18">
        <v>0.153846153846154</v>
      </c>
      <c r="AO930" s="18">
        <v>0</v>
      </c>
      <c r="AP930" s="18">
        <v>0</v>
      </c>
      <c r="AQ930" s="18">
        <v>0</v>
      </c>
      <c r="AR930" s="29">
        <v>0.285714285714286</v>
      </c>
      <c r="AS930" s="29">
        <v>17.1428571428571</v>
      </c>
      <c r="AT930" s="29">
        <v>-10.1428571428571</v>
      </c>
      <c r="AU930" s="24">
        <f t="shared" si="15"/>
        <v>24</v>
      </c>
      <c r="AV930" s="31">
        <f>IFERROR(时间!$B$4+AU930,"上周无销量")</f>
        <v>43342</v>
      </c>
    </row>
    <row r="931" spans="1:48">
      <c r="A931" s="16" t="s">
        <v>1724</v>
      </c>
      <c r="B931" t="s">
        <v>101</v>
      </c>
      <c r="C931" t="s">
        <v>1700</v>
      </c>
      <c r="D931" s="24">
        <v>0</v>
      </c>
      <c r="E931" s="24">
        <v>2</v>
      </c>
      <c r="F931" s="24">
        <v>1</v>
      </c>
      <c r="G931" s="24">
        <v>0</v>
      </c>
      <c r="H931" s="25">
        <v>21.98</v>
      </c>
      <c r="I931">
        <v>40</v>
      </c>
      <c r="J931" s="26">
        <v>0</v>
      </c>
      <c r="K931" s="26">
        <v>0</v>
      </c>
      <c r="L931" s="26">
        <v>1</v>
      </c>
      <c r="M931">
        <v>41</v>
      </c>
      <c r="N931">
        <v>0</v>
      </c>
      <c r="O931">
        <v>39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4</v>
      </c>
      <c r="AK931">
        <v>4</v>
      </c>
      <c r="AL931">
        <v>6</v>
      </c>
      <c r="AM931">
        <v>6</v>
      </c>
      <c r="AN931" s="18">
        <v>0</v>
      </c>
      <c r="AO931" s="18">
        <v>0.5</v>
      </c>
      <c r="AP931" s="18">
        <v>0.166666666666667</v>
      </c>
      <c r="AQ931" s="18">
        <v>0</v>
      </c>
      <c r="AR931" s="29">
        <v>0</v>
      </c>
      <c r="AS931" s="29">
        <v>0</v>
      </c>
      <c r="AT931" s="29">
        <v>41</v>
      </c>
      <c r="AU931" s="24" t="str">
        <f t="shared" si="15"/>
        <v>库存为41</v>
      </c>
      <c r="AV931" s="31" t="str">
        <f>IFERROR(时间!$B$4+AU931,"上周无销量")</f>
        <v>上周无销量</v>
      </c>
    </row>
    <row r="932" spans="1:48">
      <c r="A932" s="16" t="s">
        <v>1725</v>
      </c>
      <c r="B932" t="s">
        <v>105</v>
      </c>
      <c r="C932" t="s">
        <v>1700</v>
      </c>
      <c r="D932" s="24">
        <v>6</v>
      </c>
      <c r="E932" s="24">
        <v>2</v>
      </c>
      <c r="F932" s="24">
        <v>0</v>
      </c>
      <c r="G932" s="24">
        <v>1</v>
      </c>
      <c r="H932" s="25">
        <v>22.6466666666667</v>
      </c>
      <c r="I932">
        <v>4</v>
      </c>
      <c r="J932" s="26">
        <v>0</v>
      </c>
      <c r="K932" s="26">
        <v>0</v>
      </c>
      <c r="L932" s="26">
        <v>0</v>
      </c>
      <c r="M932">
        <v>4</v>
      </c>
      <c r="N932">
        <v>0</v>
      </c>
      <c r="O932">
        <v>1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16</v>
      </c>
      <c r="AK932">
        <v>11</v>
      </c>
      <c r="AL932">
        <v>10</v>
      </c>
      <c r="AM932">
        <v>14</v>
      </c>
      <c r="AN932" s="18">
        <v>0.375</v>
      </c>
      <c r="AO932" s="18">
        <v>0.181818181818182</v>
      </c>
      <c r="AP932" s="18">
        <v>0</v>
      </c>
      <c r="AQ932" s="18">
        <v>0.0714285714285714</v>
      </c>
      <c r="AR932" s="29">
        <v>0.857142857142857</v>
      </c>
      <c r="AS932" s="29">
        <v>51.4285714285714</v>
      </c>
      <c r="AT932" s="29">
        <v>-47.4285714285714</v>
      </c>
      <c r="AU932" s="24">
        <f t="shared" si="15"/>
        <v>4</v>
      </c>
      <c r="AV932" s="31">
        <f>IFERROR(时间!$B$4+AU932,"上周无销量")</f>
        <v>43322</v>
      </c>
    </row>
    <row r="933" spans="1:48">
      <c r="A933" s="16" t="s">
        <v>1726</v>
      </c>
      <c r="B933" t="s">
        <v>107</v>
      </c>
      <c r="C933" t="s">
        <v>1700</v>
      </c>
      <c r="D933" s="24">
        <v>2</v>
      </c>
      <c r="E933" s="24">
        <v>1</v>
      </c>
      <c r="F933" s="24">
        <v>2</v>
      </c>
      <c r="G933" s="24">
        <v>0</v>
      </c>
      <c r="H933" s="25">
        <v>22.98</v>
      </c>
      <c r="I933">
        <v>20</v>
      </c>
      <c r="J933" s="26">
        <v>0</v>
      </c>
      <c r="K933" s="26">
        <v>0</v>
      </c>
      <c r="L933" s="26">
        <v>0</v>
      </c>
      <c r="M933">
        <v>20</v>
      </c>
      <c r="N933">
        <v>0</v>
      </c>
      <c r="O933">
        <v>20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17</v>
      </c>
      <c r="AK933">
        <v>9</v>
      </c>
      <c r="AL933">
        <v>14</v>
      </c>
      <c r="AM933">
        <v>4</v>
      </c>
      <c r="AN933" s="18">
        <v>0.117647058823529</v>
      </c>
      <c r="AO933" s="18">
        <v>0.111111111111111</v>
      </c>
      <c r="AP933" s="18">
        <v>0.142857142857143</v>
      </c>
      <c r="AQ933" s="18">
        <v>0</v>
      </c>
      <c r="AR933" s="29">
        <v>0.285714285714286</v>
      </c>
      <c r="AS933" s="29">
        <v>17.1428571428571</v>
      </c>
      <c r="AT933" s="29">
        <v>2.85714285714286</v>
      </c>
      <c r="AU933" s="24">
        <f t="shared" si="15"/>
        <v>70</v>
      </c>
      <c r="AV933" s="31">
        <f>IFERROR(时间!$B$4+AU933,"上周无销量")</f>
        <v>43388</v>
      </c>
    </row>
    <row r="934" spans="1:48">
      <c r="A934" s="16" t="s">
        <v>1727</v>
      </c>
      <c r="B934" t="s">
        <v>109</v>
      </c>
      <c r="C934" t="s">
        <v>1700</v>
      </c>
      <c r="D934" s="24">
        <v>4</v>
      </c>
      <c r="E934" s="24">
        <v>0</v>
      </c>
      <c r="F934" s="24">
        <v>1</v>
      </c>
      <c r="G934" s="24">
        <v>0</v>
      </c>
      <c r="H934" s="25">
        <v>16.98</v>
      </c>
      <c r="I934">
        <v>6</v>
      </c>
      <c r="J934" s="26">
        <v>0</v>
      </c>
      <c r="K934" s="26">
        <v>0</v>
      </c>
      <c r="L934" s="26">
        <v>0</v>
      </c>
      <c r="M934">
        <v>6</v>
      </c>
      <c r="N934">
        <v>0</v>
      </c>
      <c r="O934">
        <v>6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33</v>
      </c>
      <c r="AK934">
        <v>26</v>
      </c>
      <c r="AL934">
        <v>27</v>
      </c>
      <c r="AM934">
        <v>30</v>
      </c>
      <c r="AN934" s="18">
        <v>0.121212121212121</v>
      </c>
      <c r="AO934" s="18">
        <v>0</v>
      </c>
      <c r="AP934" s="18">
        <v>0.037037037037037</v>
      </c>
      <c r="AQ934" s="18">
        <v>0</v>
      </c>
      <c r="AR934" s="29">
        <v>0.571428571428571</v>
      </c>
      <c r="AS934" s="29">
        <v>34.2857142857143</v>
      </c>
      <c r="AT934" s="29">
        <v>-28.2857142857143</v>
      </c>
      <c r="AU934" s="24">
        <f t="shared" si="15"/>
        <v>10</v>
      </c>
      <c r="AV934" s="31">
        <f>IFERROR(时间!$B$4+AU934,"上周无销量")</f>
        <v>43328</v>
      </c>
    </row>
    <row r="935" spans="1:48">
      <c r="A935" s="16" t="s">
        <v>1728</v>
      </c>
      <c r="B935" t="s">
        <v>111</v>
      </c>
      <c r="C935" t="s">
        <v>1700</v>
      </c>
      <c r="D935" s="24">
        <v>0</v>
      </c>
      <c r="E935" s="24">
        <v>1</v>
      </c>
      <c r="F935" s="24">
        <v>0</v>
      </c>
      <c r="G935" s="24">
        <v>0</v>
      </c>
      <c r="H935" s="25">
        <v>22.98</v>
      </c>
      <c r="I935">
        <v>32</v>
      </c>
      <c r="J935" s="26">
        <v>0</v>
      </c>
      <c r="K935" s="26">
        <v>0</v>
      </c>
      <c r="L935" s="26">
        <v>0</v>
      </c>
      <c r="M935">
        <v>32</v>
      </c>
      <c r="N935">
        <v>0</v>
      </c>
      <c r="O935">
        <v>32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7</v>
      </c>
      <c r="AK935">
        <v>11</v>
      </c>
      <c r="AL935">
        <v>10</v>
      </c>
      <c r="AM935">
        <v>7</v>
      </c>
      <c r="AN935" s="18">
        <v>0</v>
      </c>
      <c r="AO935" s="18">
        <v>0.0909090909090909</v>
      </c>
      <c r="AP935" s="18">
        <v>0</v>
      </c>
      <c r="AQ935" s="18">
        <v>0</v>
      </c>
      <c r="AR935" s="29">
        <v>0</v>
      </c>
      <c r="AS935" s="29">
        <v>0</v>
      </c>
      <c r="AT935" s="29">
        <v>32</v>
      </c>
      <c r="AU935" s="24" t="str">
        <f t="shared" si="15"/>
        <v>库存为32</v>
      </c>
      <c r="AV935" s="31" t="str">
        <f>IFERROR(时间!$B$4+AU935,"上周无销量")</f>
        <v>上周无销量</v>
      </c>
    </row>
    <row r="936" spans="1:48">
      <c r="A936" s="16" t="s">
        <v>1729</v>
      </c>
      <c r="B936" t="s">
        <v>113</v>
      </c>
      <c r="C936" t="s">
        <v>1700</v>
      </c>
      <c r="D936" s="24">
        <v>0</v>
      </c>
      <c r="E936" s="24">
        <v>1</v>
      </c>
      <c r="F936" s="24">
        <v>0</v>
      </c>
      <c r="G936" s="24">
        <v>2</v>
      </c>
      <c r="H936" s="25">
        <v>22.98</v>
      </c>
      <c r="I936">
        <v>17</v>
      </c>
      <c r="J936" s="26">
        <v>0</v>
      </c>
      <c r="K936" s="26">
        <v>0</v>
      </c>
      <c r="L936" s="26">
        <v>0</v>
      </c>
      <c r="M936">
        <v>17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11</v>
      </c>
      <c r="AK936">
        <v>8</v>
      </c>
      <c r="AL936">
        <v>7</v>
      </c>
      <c r="AM936">
        <v>7</v>
      </c>
      <c r="AN936" s="18">
        <v>0</v>
      </c>
      <c r="AO936" s="18">
        <v>0.125</v>
      </c>
      <c r="AP936" s="18">
        <v>0</v>
      </c>
      <c r="AQ936" s="18">
        <v>0.285714285714286</v>
      </c>
      <c r="AR936" s="29">
        <v>0</v>
      </c>
      <c r="AS936" s="29">
        <v>0</v>
      </c>
      <c r="AT936" s="29">
        <v>17</v>
      </c>
      <c r="AU936" s="24" t="str">
        <f t="shared" si="15"/>
        <v>库存为17</v>
      </c>
      <c r="AV936" s="31" t="str">
        <f>IFERROR(时间!$B$4+AU936,"上周无销量")</f>
        <v>上周无销量</v>
      </c>
    </row>
    <row r="937" spans="1:48">
      <c r="A937" s="16" t="s">
        <v>1730</v>
      </c>
      <c r="B937" t="s">
        <v>115</v>
      </c>
      <c r="C937" t="s">
        <v>1700</v>
      </c>
      <c r="D937" s="24">
        <v>1</v>
      </c>
      <c r="E937" s="24">
        <v>2</v>
      </c>
      <c r="F937" s="24">
        <v>1</v>
      </c>
      <c r="G937" s="24">
        <v>2</v>
      </c>
      <c r="H937" s="25">
        <v>22.98</v>
      </c>
      <c r="I937">
        <v>28</v>
      </c>
      <c r="J937" s="26">
        <v>0</v>
      </c>
      <c r="K937" s="26">
        <v>0</v>
      </c>
      <c r="L937" s="26">
        <v>0</v>
      </c>
      <c r="M937">
        <v>28</v>
      </c>
      <c r="N937">
        <v>0</v>
      </c>
      <c r="O937">
        <v>13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12</v>
      </c>
      <c r="AK937">
        <v>11</v>
      </c>
      <c r="AL937">
        <v>12</v>
      </c>
      <c r="AM937">
        <v>19</v>
      </c>
      <c r="AN937" s="18">
        <v>0.0833333333333333</v>
      </c>
      <c r="AO937" s="18">
        <v>0.181818181818182</v>
      </c>
      <c r="AP937" s="18">
        <v>0.0833333333333333</v>
      </c>
      <c r="AQ937" s="18">
        <v>0.105263157894737</v>
      </c>
      <c r="AR937" s="29">
        <v>0.142857142857143</v>
      </c>
      <c r="AS937" s="29">
        <v>8.57142857142857</v>
      </c>
      <c r="AT937" s="29">
        <v>19.4285714285714</v>
      </c>
      <c r="AU937" s="24">
        <f t="shared" si="15"/>
        <v>196</v>
      </c>
      <c r="AV937" s="31">
        <f>IFERROR(时间!$B$4+AU937,"上周无销量")</f>
        <v>43514</v>
      </c>
    </row>
    <row r="938" spans="1:48">
      <c r="A938" s="16" t="s">
        <v>1731</v>
      </c>
      <c r="B938" t="s">
        <v>117</v>
      </c>
      <c r="C938" t="s">
        <v>1700</v>
      </c>
      <c r="D938" s="24">
        <v>0</v>
      </c>
      <c r="E938" s="24">
        <v>1</v>
      </c>
      <c r="F938" s="24">
        <v>0</v>
      </c>
      <c r="G938" s="24">
        <v>0</v>
      </c>
      <c r="H938" s="25">
        <v>22.98</v>
      </c>
      <c r="I938">
        <v>30</v>
      </c>
      <c r="J938" s="26">
        <v>0</v>
      </c>
      <c r="K938" s="26">
        <v>0</v>
      </c>
      <c r="L938" s="26">
        <v>2</v>
      </c>
      <c r="M938">
        <v>32</v>
      </c>
      <c r="N938">
        <v>0</v>
      </c>
      <c r="O938">
        <v>28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9</v>
      </c>
      <c r="AK938">
        <v>3</v>
      </c>
      <c r="AL938">
        <v>7</v>
      </c>
      <c r="AM938">
        <v>7</v>
      </c>
      <c r="AN938" s="18">
        <v>0</v>
      </c>
      <c r="AO938" s="18">
        <v>0.333333333333333</v>
      </c>
      <c r="AP938" s="18">
        <v>0</v>
      </c>
      <c r="AQ938" s="18">
        <v>0</v>
      </c>
      <c r="AR938" s="29">
        <v>0</v>
      </c>
      <c r="AS938" s="29">
        <v>0</v>
      </c>
      <c r="AT938" s="29">
        <v>32</v>
      </c>
      <c r="AU938" s="24" t="str">
        <f t="shared" si="15"/>
        <v>库存为32</v>
      </c>
      <c r="AV938" s="31" t="str">
        <f>IFERROR(时间!$B$4+AU938,"上周无销量")</f>
        <v>上周无销量</v>
      </c>
    </row>
    <row r="939" spans="1:48">
      <c r="A939" s="16" t="s">
        <v>1732</v>
      </c>
      <c r="B939" t="s">
        <v>119</v>
      </c>
      <c r="C939" t="s">
        <v>1700</v>
      </c>
      <c r="D939" s="24">
        <v>1</v>
      </c>
      <c r="E939" s="24">
        <v>0</v>
      </c>
      <c r="F939" s="24">
        <v>1</v>
      </c>
      <c r="G939" s="24">
        <v>0</v>
      </c>
      <c r="H939" s="25">
        <v>18.98</v>
      </c>
      <c r="I939">
        <v>9</v>
      </c>
      <c r="J939" s="26">
        <v>0</v>
      </c>
      <c r="K939" s="26">
        <v>0</v>
      </c>
      <c r="L939" s="26">
        <v>0</v>
      </c>
      <c r="M939">
        <v>9</v>
      </c>
      <c r="N939">
        <v>0</v>
      </c>
      <c r="O939">
        <v>9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20</v>
      </c>
      <c r="AK939">
        <v>15</v>
      </c>
      <c r="AL939">
        <v>9</v>
      </c>
      <c r="AM939">
        <v>14</v>
      </c>
      <c r="AN939" s="18">
        <v>0.05</v>
      </c>
      <c r="AO939" s="18">
        <v>0</v>
      </c>
      <c r="AP939" s="18">
        <v>0.111111111111111</v>
      </c>
      <c r="AQ939" s="18">
        <v>0</v>
      </c>
      <c r="AR939" s="29">
        <v>0.142857142857143</v>
      </c>
      <c r="AS939" s="29">
        <v>8.57142857142857</v>
      </c>
      <c r="AT939" s="29">
        <v>0.428571428571429</v>
      </c>
      <c r="AU939" s="24">
        <f t="shared" si="15"/>
        <v>63</v>
      </c>
      <c r="AV939" s="31">
        <f>IFERROR(时间!$B$4+AU939,"上周无销量")</f>
        <v>43381</v>
      </c>
    </row>
    <row r="940" spans="1:48">
      <c r="A940" s="16" t="s">
        <v>1733</v>
      </c>
      <c r="B940" t="s">
        <v>121</v>
      </c>
      <c r="C940" t="s">
        <v>1700</v>
      </c>
      <c r="D940" s="24">
        <v>0</v>
      </c>
      <c r="E940" s="24">
        <v>0</v>
      </c>
      <c r="F940" s="24">
        <v>2</v>
      </c>
      <c r="G940" s="24">
        <v>0</v>
      </c>
      <c r="H940" s="25">
        <v>22.98</v>
      </c>
      <c r="I940">
        <v>1</v>
      </c>
      <c r="J940" s="26">
        <v>0</v>
      </c>
      <c r="K940" s="26">
        <v>0</v>
      </c>
      <c r="L940" s="26">
        <v>0</v>
      </c>
      <c r="M940">
        <v>1</v>
      </c>
      <c r="N940">
        <v>0</v>
      </c>
      <c r="O940">
        <v>0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12</v>
      </c>
      <c r="AK940">
        <v>8</v>
      </c>
      <c r="AL940">
        <v>11</v>
      </c>
      <c r="AM940">
        <v>13</v>
      </c>
      <c r="AN940" s="18">
        <v>0</v>
      </c>
      <c r="AO940" s="18">
        <v>0</v>
      </c>
      <c r="AP940" s="18">
        <v>0.181818181818182</v>
      </c>
      <c r="AQ940" s="18">
        <v>0</v>
      </c>
      <c r="AR940" s="29">
        <v>0</v>
      </c>
      <c r="AS940" s="29">
        <v>0</v>
      </c>
      <c r="AT940" s="29">
        <v>1</v>
      </c>
      <c r="AU940" s="24" t="str">
        <f t="shared" si="15"/>
        <v>库存为1</v>
      </c>
      <c r="AV940" s="31" t="str">
        <f>IFERROR(时间!$B$4+AU940,"上周无销量")</f>
        <v>上周无销量</v>
      </c>
    </row>
    <row r="941" spans="1:48">
      <c r="A941" s="16" t="s">
        <v>1734</v>
      </c>
      <c r="B941" t="s">
        <v>123</v>
      </c>
      <c r="C941" t="s">
        <v>1700</v>
      </c>
      <c r="D941" s="24">
        <v>1</v>
      </c>
      <c r="E941" s="24">
        <v>0</v>
      </c>
      <c r="F941" s="24">
        <v>0</v>
      </c>
      <c r="G941" s="24">
        <v>1</v>
      </c>
      <c r="H941" s="25">
        <v>34.47</v>
      </c>
      <c r="I941">
        <v>5</v>
      </c>
      <c r="J941" s="26">
        <v>0</v>
      </c>
      <c r="K941" s="26">
        <v>0</v>
      </c>
      <c r="L941" s="26">
        <v>0</v>
      </c>
      <c r="M941">
        <v>5</v>
      </c>
      <c r="N941">
        <v>0</v>
      </c>
      <c r="O941">
        <v>3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13</v>
      </c>
      <c r="AK941">
        <v>9</v>
      </c>
      <c r="AL941">
        <v>7</v>
      </c>
      <c r="AM941">
        <v>16</v>
      </c>
      <c r="AN941" s="18">
        <v>0.0769230769230769</v>
      </c>
      <c r="AO941" s="18">
        <v>0</v>
      </c>
      <c r="AP941" s="18">
        <v>0</v>
      </c>
      <c r="AQ941" s="18">
        <v>0.0625</v>
      </c>
      <c r="AR941" s="29">
        <v>0.142857142857143</v>
      </c>
      <c r="AS941" s="29">
        <v>8.57142857142857</v>
      </c>
      <c r="AT941" s="29">
        <v>-3.57142857142857</v>
      </c>
      <c r="AU941" s="24">
        <f t="shared" si="15"/>
        <v>35</v>
      </c>
      <c r="AV941" s="31">
        <f>IFERROR(时间!$B$4+AU941,"上周无销量")</f>
        <v>43353</v>
      </c>
    </row>
    <row r="942" spans="1:48">
      <c r="A942" s="16" t="s">
        <v>1735</v>
      </c>
      <c r="B942" t="s">
        <v>125</v>
      </c>
      <c r="C942" t="s">
        <v>1700</v>
      </c>
      <c r="D942" s="24">
        <v>3</v>
      </c>
      <c r="E942" s="24">
        <v>0</v>
      </c>
      <c r="F942" s="24">
        <v>0</v>
      </c>
      <c r="G942" s="24">
        <v>13</v>
      </c>
      <c r="H942" s="25">
        <v>22.98</v>
      </c>
      <c r="I942">
        <v>33</v>
      </c>
      <c r="J942" s="26">
        <v>0</v>
      </c>
      <c r="K942" s="26">
        <v>0</v>
      </c>
      <c r="L942" s="26">
        <v>0</v>
      </c>
      <c r="M942">
        <v>33</v>
      </c>
      <c r="N942">
        <v>0</v>
      </c>
      <c r="O942">
        <v>33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9</v>
      </c>
      <c r="AK942">
        <v>8</v>
      </c>
      <c r="AL942">
        <v>10</v>
      </c>
      <c r="AM942">
        <v>17</v>
      </c>
      <c r="AN942" s="18">
        <v>0.333333333333333</v>
      </c>
      <c r="AO942" s="18">
        <v>0</v>
      </c>
      <c r="AP942" s="18">
        <v>0</v>
      </c>
      <c r="AQ942" s="18">
        <v>0.764705882352941</v>
      </c>
      <c r="AR942" s="29">
        <v>0.428571428571429</v>
      </c>
      <c r="AS942" s="29">
        <v>25.7142857142857</v>
      </c>
      <c r="AT942" s="29">
        <v>7.28571428571429</v>
      </c>
      <c r="AU942" s="24">
        <f t="shared" si="15"/>
        <v>77</v>
      </c>
      <c r="AV942" s="31">
        <f>IFERROR(时间!$B$4+AU942,"上周无销量")</f>
        <v>43395</v>
      </c>
    </row>
    <row r="943" spans="1:48">
      <c r="A943" s="16" t="s">
        <v>1736</v>
      </c>
      <c r="B943" t="s">
        <v>127</v>
      </c>
      <c r="C943" t="s">
        <v>1700</v>
      </c>
      <c r="D943" s="24">
        <v>0</v>
      </c>
      <c r="E943" s="24">
        <v>2</v>
      </c>
      <c r="F943" s="24">
        <v>1</v>
      </c>
      <c r="G943" s="24">
        <v>10</v>
      </c>
      <c r="H943" s="25">
        <v>22.98</v>
      </c>
      <c r="I943">
        <v>14</v>
      </c>
      <c r="J943" s="26">
        <v>0</v>
      </c>
      <c r="K943" s="26">
        <v>0</v>
      </c>
      <c r="L943" s="26">
        <v>1</v>
      </c>
      <c r="M943">
        <v>15</v>
      </c>
      <c r="N943">
        <v>0</v>
      </c>
      <c r="O943">
        <v>16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19</v>
      </c>
      <c r="AK943">
        <v>17</v>
      </c>
      <c r="AL943">
        <v>10</v>
      </c>
      <c r="AM943">
        <v>18</v>
      </c>
      <c r="AN943" s="18">
        <v>0</v>
      </c>
      <c r="AO943" s="18">
        <v>0.117647058823529</v>
      </c>
      <c r="AP943" s="18">
        <v>0.1</v>
      </c>
      <c r="AQ943" s="18">
        <v>0.555555555555556</v>
      </c>
      <c r="AR943" s="29">
        <v>0</v>
      </c>
      <c r="AS943" s="29">
        <v>0</v>
      </c>
      <c r="AT943" s="29">
        <v>15</v>
      </c>
      <c r="AU943" s="24" t="str">
        <f t="shared" si="15"/>
        <v>库存为15</v>
      </c>
      <c r="AV943" s="31" t="str">
        <f>IFERROR(时间!$B$4+AU943,"上周无销量")</f>
        <v>上周无销量</v>
      </c>
    </row>
    <row r="944" spans="1:48">
      <c r="A944" s="16" t="s">
        <v>1737</v>
      </c>
      <c r="B944" t="s">
        <v>129</v>
      </c>
      <c r="C944" t="s">
        <v>1700</v>
      </c>
      <c r="D944" s="24">
        <v>0</v>
      </c>
      <c r="E944" s="24">
        <v>0</v>
      </c>
      <c r="F944" s="24">
        <v>0</v>
      </c>
      <c r="G944" s="24">
        <v>0</v>
      </c>
      <c r="H944" s="25">
        <v>0</v>
      </c>
      <c r="I944">
        <v>0</v>
      </c>
      <c r="J944" s="26">
        <v>0</v>
      </c>
      <c r="K944" s="26">
        <v>0</v>
      </c>
      <c r="L944" s="26">
        <v>0</v>
      </c>
      <c r="M944">
        <v>0</v>
      </c>
      <c r="N944">
        <v>0</v>
      </c>
      <c r="O944">
        <v>0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0</v>
      </c>
      <c r="AK944">
        <v>0</v>
      </c>
      <c r="AL944">
        <v>0</v>
      </c>
      <c r="AM944">
        <v>0</v>
      </c>
      <c r="AN944" s="18" t="s">
        <v>52</v>
      </c>
      <c r="AO944" s="18" t="s">
        <v>52</v>
      </c>
      <c r="AP944" s="18" t="s">
        <v>52</v>
      </c>
      <c r="AQ944" s="18" t="s">
        <v>52</v>
      </c>
      <c r="AR944" s="29">
        <v>0</v>
      </c>
      <c r="AS944" s="29">
        <v>0</v>
      </c>
      <c r="AT944" s="29">
        <v>0</v>
      </c>
      <c r="AU944" s="24" t="str">
        <f t="shared" si="15"/>
        <v>库存为0</v>
      </c>
      <c r="AV944" s="31" t="str">
        <f>IFERROR(时间!$B$4+AU944,"上周无销量")</f>
        <v>上周无销量</v>
      </c>
    </row>
    <row r="945" spans="1:48">
      <c r="A945" s="16" t="s">
        <v>1738</v>
      </c>
      <c r="B945" t="s">
        <v>131</v>
      </c>
      <c r="C945" t="s">
        <v>1700</v>
      </c>
      <c r="D945" s="24">
        <v>0</v>
      </c>
      <c r="E945" s="24">
        <v>0</v>
      </c>
      <c r="F945" s="24">
        <v>1</v>
      </c>
      <c r="G945" s="24">
        <v>6</v>
      </c>
      <c r="H945" s="25">
        <v>22.98</v>
      </c>
      <c r="I945">
        <v>35</v>
      </c>
      <c r="J945" s="26">
        <v>0</v>
      </c>
      <c r="K945" s="26">
        <v>0</v>
      </c>
      <c r="L945" s="26">
        <v>0</v>
      </c>
      <c r="M945">
        <v>35</v>
      </c>
      <c r="N945">
        <v>0</v>
      </c>
      <c r="O945">
        <v>31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7</v>
      </c>
      <c r="AK945">
        <v>5</v>
      </c>
      <c r="AL945">
        <v>6</v>
      </c>
      <c r="AM945">
        <v>13</v>
      </c>
      <c r="AN945" s="18">
        <v>0</v>
      </c>
      <c r="AO945" s="18">
        <v>0</v>
      </c>
      <c r="AP945" s="18">
        <v>0.166666666666667</v>
      </c>
      <c r="AQ945" s="18">
        <v>0.461538461538462</v>
      </c>
      <c r="AR945" s="29">
        <v>0</v>
      </c>
      <c r="AS945" s="29">
        <v>0</v>
      </c>
      <c r="AT945" s="29">
        <v>35</v>
      </c>
      <c r="AU945" s="24" t="str">
        <f t="shared" si="15"/>
        <v>库存为35</v>
      </c>
      <c r="AV945" s="31" t="str">
        <f>IFERROR(时间!$B$4+AU945,"上周无销量")</f>
        <v>上周无销量</v>
      </c>
    </row>
    <row r="946" spans="1:48">
      <c r="A946" s="16" t="s">
        <v>1739</v>
      </c>
      <c r="B946" t="s">
        <v>133</v>
      </c>
      <c r="C946" t="s">
        <v>1700</v>
      </c>
      <c r="D946" s="24">
        <v>0</v>
      </c>
      <c r="E946" s="24">
        <v>0</v>
      </c>
      <c r="F946" s="24">
        <v>0</v>
      </c>
      <c r="G946" s="24">
        <v>1</v>
      </c>
      <c r="H946" s="25">
        <v>22.98</v>
      </c>
      <c r="I946">
        <v>47</v>
      </c>
      <c r="J946" s="26">
        <v>0</v>
      </c>
      <c r="K946" s="26">
        <v>0</v>
      </c>
      <c r="L946" s="26">
        <v>0</v>
      </c>
      <c r="M946">
        <v>47</v>
      </c>
      <c r="N946">
        <v>0</v>
      </c>
      <c r="O946">
        <v>45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11</v>
      </c>
      <c r="AK946">
        <v>10</v>
      </c>
      <c r="AL946">
        <v>5</v>
      </c>
      <c r="AM946">
        <v>10</v>
      </c>
      <c r="AN946" s="18">
        <v>0</v>
      </c>
      <c r="AO946" s="18">
        <v>0</v>
      </c>
      <c r="AP946" s="18">
        <v>0</v>
      </c>
      <c r="AQ946" s="18">
        <v>0.1</v>
      </c>
      <c r="AR946" s="29">
        <v>0</v>
      </c>
      <c r="AS946" s="29">
        <v>0</v>
      </c>
      <c r="AT946" s="29">
        <v>47</v>
      </c>
      <c r="AU946" s="24" t="str">
        <f t="shared" si="15"/>
        <v>库存为47</v>
      </c>
      <c r="AV946" s="31" t="str">
        <f>IFERROR(时间!$B$4+AU946,"上周无销量")</f>
        <v>上周无销量</v>
      </c>
    </row>
    <row r="947" spans="1:48">
      <c r="A947" s="16" t="s">
        <v>1740</v>
      </c>
      <c r="B947" t="s">
        <v>135</v>
      </c>
      <c r="C947" t="s">
        <v>1700</v>
      </c>
      <c r="D947" s="24">
        <v>0</v>
      </c>
      <c r="E947" s="24">
        <v>0</v>
      </c>
      <c r="F947" s="24">
        <v>0</v>
      </c>
      <c r="G947" s="24">
        <v>0</v>
      </c>
      <c r="H947" s="25">
        <v>0</v>
      </c>
      <c r="I947">
        <v>0</v>
      </c>
      <c r="J947" s="26">
        <v>0</v>
      </c>
      <c r="K947" s="26">
        <v>0</v>
      </c>
      <c r="L947" s="26">
        <v>0</v>
      </c>
      <c r="M947">
        <v>0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0</v>
      </c>
      <c r="AK947">
        <v>0</v>
      </c>
      <c r="AL947">
        <v>0</v>
      </c>
      <c r="AM947">
        <v>0</v>
      </c>
      <c r="AN947" s="18" t="s">
        <v>52</v>
      </c>
      <c r="AO947" s="18" t="s">
        <v>52</v>
      </c>
      <c r="AP947" s="18" t="s">
        <v>52</v>
      </c>
      <c r="AQ947" s="18" t="s">
        <v>52</v>
      </c>
      <c r="AR947" s="29">
        <v>0</v>
      </c>
      <c r="AS947" s="29">
        <v>0</v>
      </c>
      <c r="AT947" s="29">
        <v>0</v>
      </c>
      <c r="AU947" s="24" t="str">
        <f t="shared" si="15"/>
        <v>库存为0</v>
      </c>
      <c r="AV947" s="31" t="str">
        <f>IFERROR(时间!$B$4+AU947,"上周无销量")</f>
        <v>上周无销量</v>
      </c>
    </row>
    <row r="948" spans="1:48">
      <c r="A948" s="16" t="s">
        <v>1741</v>
      </c>
      <c r="B948" t="s">
        <v>137</v>
      </c>
      <c r="C948" t="s">
        <v>1700</v>
      </c>
      <c r="D948" s="24">
        <v>0</v>
      </c>
      <c r="E948" s="24">
        <v>1</v>
      </c>
      <c r="F948" s="24">
        <v>1</v>
      </c>
      <c r="G948" s="24">
        <v>1</v>
      </c>
      <c r="H948" s="25">
        <v>22.98</v>
      </c>
      <c r="I948">
        <v>3</v>
      </c>
      <c r="J948" s="26">
        <v>0</v>
      </c>
      <c r="K948" s="26">
        <v>0</v>
      </c>
      <c r="L948" s="26">
        <v>0</v>
      </c>
      <c r="M948">
        <v>3</v>
      </c>
      <c r="N948">
        <v>0</v>
      </c>
      <c r="O948">
        <v>2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9</v>
      </c>
      <c r="AK948">
        <v>7</v>
      </c>
      <c r="AL948">
        <v>5</v>
      </c>
      <c r="AM948">
        <v>11</v>
      </c>
      <c r="AN948" s="18">
        <v>0</v>
      </c>
      <c r="AO948" s="18">
        <v>0.142857142857143</v>
      </c>
      <c r="AP948" s="18">
        <v>0.2</v>
      </c>
      <c r="AQ948" s="18">
        <v>0.0909090909090909</v>
      </c>
      <c r="AR948" s="29">
        <v>0</v>
      </c>
      <c r="AS948" s="29">
        <v>0</v>
      </c>
      <c r="AT948" s="29">
        <v>3</v>
      </c>
      <c r="AU948" s="24" t="str">
        <f t="shared" si="15"/>
        <v>库存为3</v>
      </c>
      <c r="AV948" s="31" t="str">
        <f>IFERROR(时间!$B$4+AU948,"上周无销量")</f>
        <v>上周无销量</v>
      </c>
    </row>
    <row r="949" spans="1:48">
      <c r="A949" s="16" t="s">
        <v>1742</v>
      </c>
      <c r="B949" t="s">
        <v>139</v>
      </c>
      <c r="C949" t="s">
        <v>1700</v>
      </c>
      <c r="D949" s="24">
        <v>0</v>
      </c>
      <c r="E949" s="24">
        <v>0</v>
      </c>
      <c r="F949" s="24">
        <v>0</v>
      </c>
      <c r="G949" s="24">
        <v>0</v>
      </c>
      <c r="H949" s="25">
        <v>0</v>
      </c>
      <c r="I949">
        <v>3</v>
      </c>
      <c r="J949" s="26">
        <v>0</v>
      </c>
      <c r="K949" s="26">
        <v>0</v>
      </c>
      <c r="L949" s="26">
        <v>0</v>
      </c>
      <c r="M949">
        <v>3</v>
      </c>
      <c r="N949">
        <v>0</v>
      </c>
      <c r="O949">
        <v>1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10</v>
      </c>
      <c r="AK949">
        <v>15</v>
      </c>
      <c r="AL949">
        <v>9</v>
      </c>
      <c r="AM949">
        <v>20</v>
      </c>
      <c r="AN949" s="18">
        <v>0</v>
      </c>
      <c r="AO949" s="18">
        <v>0</v>
      </c>
      <c r="AP949" s="18">
        <v>0</v>
      </c>
      <c r="AQ949" s="18">
        <v>0</v>
      </c>
      <c r="AR949" s="29">
        <v>0</v>
      </c>
      <c r="AS949" s="29">
        <v>0</v>
      </c>
      <c r="AT949" s="29">
        <v>3</v>
      </c>
      <c r="AU949" s="24" t="str">
        <f t="shared" si="15"/>
        <v>库存为3</v>
      </c>
      <c r="AV949" s="31" t="str">
        <f>IFERROR(时间!$B$4+AU949,"上周无销量")</f>
        <v>上周无销量</v>
      </c>
    </row>
    <row r="950" spans="1:48">
      <c r="A950" s="16" t="s">
        <v>1743</v>
      </c>
      <c r="B950" t="s">
        <v>141</v>
      </c>
      <c r="C950" t="s">
        <v>1700</v>
      </c>
      <c r="D950" s="24">
        <v>0</v>
      </c>
      <c r="E950" s="24">
        <v>0</v>
      </c>
      <c r="F950" s="24">
        <v>1</v>
      </c>
      <c r="G950" s="24">
        <v>0</v>
      </c>
      <c r="H950" s="25">
        <v>22.98</v>
      </c>
      <c r="I950">
        <v>8</v>
      </c>
      <c r="J950" s="26">
        <v>0</v>
      </c>
      <c r="K950" s="26">
        <v>0</v>
      </c>
      <c r="L950" s="26">
        <v>0</v>
      </c>
      <c r="M950">
        <v>8</v>
      </c>
      <c r="N950">
        <v>0</v>
      </c>
      <c r="O950">
        <v>7</v>
      </c>
      <c r="P950">
        <v>0</v>
      </c>
      <c r="Q950">
        <v>54</v>
      </c>
      <c r="R950">
        <v>159</v>
      </c>
      <c r="S950">
        <v>162</v>
      </c>
      <c r="T950">
        <v>0</v>
      </c>
      <c r="U950">
        <v>1</v>
      </c>
      <c r="V950">
        <v>0</v>
      </c>
      <c r="W950">
        <v>0</v>
      </c>
      <c r="X950" s="18" t="s">
        <v>52</v>
      </c>
      <c r="Y950" s="18">
        <v>0.0185185185185185</v>
      </c>
      <c r="Z950" s="18">
        <v>0</v>
      </c>
      <c r="AA950" s="18">
        <v>0</v>
      </c>
      <c r="AB950">
        <v>0</v>
      </c>
      <c r="AC950">
        <v>0.44</v>
      </c>
      <c r="AD950">
        <v>0</v>
      </c>
      <c r="AE950">
        <v>0</v>
      </c>
      <c r="AF950" s="18" t="s">
        <v>52</v>
      </c>
      <c r="AG950" s="18" t="s">
        <v>1744</v>
      </c>
      <c r="AH950" s="18" t="s">
        <v>52</v>
      </c>
      <c r="AI950" s="18" t="s">
        <v>52</v>
      </c>
      <c r="AJ950">
        <v>4</v>
      </c>
      <c r="AK950">
        <v>4</v>
      </c>
      <c r="AL950">
        <v>8</v>
      </c>
      <c r="AM950">
        <v>8</v>
      </c>
      <c r="AN950" s="18">
        <v>0</v>
      </c>
      <c r="AO950" s="18">
        <v>0</v>
      </c>
      <c r="AP950" s="18">
        <v>0.125</v>
      </c>
      <c r="AQ950" s="18">
        <v>0</v>
      </c>
      <c r="AR950" s="29">
        <v>0</v>
      </c>
      <c r="AS950" s="29">
        <v>0</v>
      </c>
      <c r="AT950" s="29">
        <v>8</v>
      </c>
      <c r="AU950" s="24" t="str">
        <f t="shared" si="15"/>
        <v>库存为8</v>
      </c>
      <c r="AV950" s="31" t="str">
        <f>IFERROR(时间!$B$4+AU950,"上周无销量")</f>
        <v>上周无销量</v>
      </c>
    </row>
    <row r="951" spans="1:48">
      <c r="A951" s="16" t="s">
        <v>1745</v>
      </c>
      <c r="B951" t="s">
        <v>1746</v>
      </c>
      <c r="C951" t="s">
        <v>1747</v>
      </c>
      <c r="D951" s="24">
        <v>0</v>
      </c>
      <c r="E951" s="24">
        <v>0</v>
      </c>
      <c r="F951" s="24">
        <v>0</v>
      </c>
      <c r="G951" s="24">
        <v>0</v>
      </c>
      <c r="H951" s="25">
        <v>0</v>
      </c>
      <c r="I951">
        <v>0</v>
      </c>
      <c r="J951" s="26">
        <v>0</v>
      </c>
      <c r="K951" s="26">
        <v>0</v>
      </c>
      <c r="L951" s="26">
        <v>0</v>
      </c>
      <c r="M951">
        <v>0</v>
      </c>
      <c r="N951">
        <v>0</v>
      </c>
      <c r="O951">
        <v>0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0</v>
      </c>
      <c r="AK951">
        <v>0</v>
      </c>
      <c r="AL951">
        <v>0</v>
      </c>
      <c r="AM951">
        <v>0</v>
      </c>
      <c r="AN951" s="18" t="s">
        <v>52</v>
      </c>
      <c r="AO951" s="18" t="s">
        <v>52</v>
      </c>
      <c r="AP951" s="18" t="s">
        <v>52</v>
      </c>
      <c r="AQ951" s="18" t="s">
        <v>52</v>
      </c>
      <c r="AR951" s="29">
        <v>0</v>
      </c>
      <c r="AS951" s="29">
        <v>0</v>
      </c>
      <c r="AT951" s="29">
        <v>0</v>
      </c>
      <c r="AU951" s="24" t="str">
        <f t="shared" si="15"/>
        <v>库存为0</v>
      </c>
      <c r="AV951" s="31" t="str">
        <f>IFERROR(时间!$B$4+AU951,"上周无销量")</f>
        <v>上周无销量</v>
      </c>
    </row>
    <row r="952" spans="1:48">
      <c r="A952" s="16" t="s">
        <v>1748</v>
      </c>
      <c r="B952" t="s">
        <v>1749</v>
      </c>
      <c r="C952" t="s">
        <v>1747</v>
      </c>
      <c r="D952" s="24">
        <v>0</v>
      </c>
      <c r="E952" s="24">
        <v>0</v>
      </c>
      <c r="F952" s="24">
        <v>0</v>
      </c>
      <c r="G952" s="24">
        <v>0</v>
      </c>
      <c r="H952" s="25">
        <v>0</v>
      </c>
      <c r="I952">
        <v>4</v>
      </c>
      <c r="J952" s="26">
        <v>0</v>
      </c>
      <c r="K952" s="26">
        <v>0</v>
      </c>
      <c r="L952" s="26">
        <v>0</v>
      </c>
      <c r="M952">
        <v>4</v>
      </c>
      <c r="N952">
        <v>0</v>
      </c>
      <c r="O952">
        <v>0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13</v>
      </c>
      <c r="AK952">
        <v>23</v>
      </c>
      <c r="AL952">
        <v>33</v>
      </c>
      <c r="AM952">
        <v>28</v>
      </c>
      <c r="AN952" s="18">
        <v>0</v>
      </c>
      <c r="AO952" s="18">
        <v>0</v>
      </c>
      <c r="AP952" s="18">
        <v>0</v>
      </c>
      <c r="AQ952" s="18">
        <v>0</v>
      </c>
      <c r="AR952" s="29">
        <v>0</v>
      </c>
      <c r="AS952" s="29">
        <v>0</v>
      </c>
      <c r="AT952" s="29">
        <v>4</v>
      </c>
      <c r="AU952" s="24" t="str">
        <f t="shared" si="15"/>
        <v>库存为4</v>
      </c>
      <c r="AV952" s="31" t="str">
        <f>IFERROR(时间!$B$4+AU952,"上周无销量")</f>
        <v>上周无销量</v>
      </c>
    </row>
    <row r="953" spans="1:48">
      <c r="A953" s="16" t="s">
        <v>1750</v>
      </c>
      <c r="B953" t="s">
        <v>1751</v>
      </c>
      <c r="C953" t="s">
        <v>1747</v>
      </c>
      <c r="D953" s="24">
        <v>0</v>
      </c>
      <c r="E953" s="24">
        <v>0</v>
      </c>
      <c r="F953" s="24">
        <v>0</v>
      </c>
      <c r="G953" s="24">
        <v>0</v>
      </c>
      <c r="H953" s="25">
        <v>0</v>
      </c>
      <c r="I953">
        <v>0</v>
      </c>
      <c r="J953" s="26">
        <v>0</v>
      </c>
      <c r="K953" s="26">
        <v>0</v>
      </c>
      <c r="L953" s="26">
        <v>0</v>
      </c>
      <c r="M953">
        <v>0</v>
      </c>
      <c r="N953">
        <v>0</v>
      </c>
      <c r="O953">
        <v>0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0</v>
      </c>
      <c r="AK953">
        <v>0</v>
      </c>
      <c r="AL953">
        <v>0</v>
      </c>
      <c r="AM953">
        <v>0</v>
      </c>
      <c r="AN953" s="18" t="s">
        <v>52</v>
      </c>
      <c r="AO953" s="18" t="s">
        <v>52</v>
      </c>
      <c r="AP953" s="18" t="s">
        <v>52</v>
      </c>
      <c r="AQ953" s="18" t="s">
        <v>52</v>
      </c>
      <c r="AR953" s="29">
        <v>0</v>
      </c>
      <c r="AS953" s="29">
        <v>0</v>
      </c>
      <c r="AT953" s="29">
        <v>0</v>
      </c>
      <c r="AU953" s="24" t="str">
        <f t="shared" si="15"/>
        <v>库存为0</v>
      </c>
      <c r="AV953" s="31" t="str">
        <f>IFERROR(时间!$B$4+AU953,"上周无销量")</f>
        <v>上周无销量</v>
      </c>
    </row>
    <row r="954" spans="1:48">
      <c r="A954" s="16" t="s">
        <v>1752</v>
      </c>
      <c r="B954" t="s">
        <v>1753</v>
      </c>
      <c r="C954" t="s">
        <v>1747</v>
      </c>
      <c r="D954" s="24">
        <v>0</v>
      </c>
      <c r="E954" s="24">
        <v>0</v>
      </c>
      <c r="F954" s="24">
        <v>0</v>
      </c>
      <c r="G954" s="24">
        <v>0</v>
      </c>
      <c r="H954" s="25">
        <v>0</v>
      </c>
      <c r="I954">
        <v>2</v>
      </c>
      <c r="J954" s="26">
        <v>0</v>
      </c>
      <c r="K954" s="26">
        <v>0</v>
      </c>
      <c r="L954" s="26">
        <v>0</v>
      </c>
      <c r="M954">
        <v>2</v>
      </c>
      <c r="N954">
        <v>0</v>
      </c>
      <c r="O954">
        <v>1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3</v>
      </c>
      <c r="AK954">
        <v>9</v>
      </c>
      <c r="AL954">
        <v>3</v>
      </c>
      <c r="AM954">
        <v>6</v>
      </c>
      <c r="AN954" s="18">
        <v>0</v>
      </c>
      <c r="AO954" s="18">
        <v>0</v>
      </c>
      <c r="AP954" s="18">
        <v>0</v>
      </c>
      <c r="AQ954" s="18">
        <v>0</v>
      </c>
      <c r="AR954" s="29">
        <v>0</v>
      </c>
      <c r="AS954" s="29">
        <v>0</v>
      </c>
      <c r="AT954" s="29">
        <v>2</v>
      </c>
      <c r="AU954" s="24" t="str">
        <f t="shared" si="15"/>
        <v>库存为2</v>
      </c>
      <c r="AV954" s="31" t="str">
        <f>IFERROR(时间!$B$4+AU954,"上周无销量")</f>
        <v>上周无销量</v>
      </c>
    </row>
    <row r="955" spans="1:48">
      <c r="A955" s="16" t="s">
        <v>1754</v>
      </c>
      <c r="B955" t="s">
        <v>1755</v>
      </c>
      <c r="C955" t="s">
        <v>1747</v>
      </c>
      <c r="D955" s="24">
        <v>0</v>
      </c>
      <c r="E955" s="24">
        <v>2</v>
      </c>
      <c r="F955" s="24">
        <v>1</v>
      </c>
      <c r="G955" s="24">
        <v>0</v>
      </c>
      <c r="H955" s="25">
        <v>14.98</v>
      </c>
      <c r="I955">
        <v>14</v>
      </c>
      <c r="J955" s="26">
        <v>0</v>
      </c>
      <c r="K955" s="26">
        <v>0</v>
      </c>
      <c r="L955" s="26">
        <v>0</v>
      </c>
      <c r="M955">
        <v>14</v>
      </c>
      <c r="N955">
        <v>0</v>
      </c>
      <c r="O955">
        <v>12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8</v>
      </c>
      <c r="AK955">
        <v>13</v>
      </c>
      <c r="AL955">
        <v>11</v>
      </c>
      <c r="AM955">
        <v>13</v>
      </c>
      <c r="AN955" s="18">
        <v>0</v>
      </c>
      <c r="AO955" s="18">
        <v>0.153846153846154</v>
      </c>
      <c r="AP955" s="18">
        <v>0.0909090909090909</v>
      </c>
      <c r="AQ955" s="18">
        <v>0</v>
      </c>
      <c r="AR955" s="29">
        <v>0</v>
      </c>
      <c r="AS955" s="29">
        <v>0</v>
      </c>
      <c r="AT955" s="29">
        <v>14</v>
      </c>
      <c r="AU955" s="24" t="str">
        <f t="shared" si="15"/>
        <v>库存为14</v>
      </c>
      <c r="AV955" s="31" t="str">
        <f>IFERROR(时间!$B$4+AU955,"上周无销量")</f>
        <v>上周无销量</v>
      </c>
    </row>
    <row r="956" spans="1:48">
      <c r="A956" s="16" t="s">
        <v>1756</v>
      </c>
      <c r="B956" t="s">
        <v>1757</v>
      </c>
      <c r="C956" t="s">
        <v>1747</v>
      </c>
      <c r="D956" s="24">
        <v>0</v>
      </c>
      <c r="E956" s="24">
        <v>1</v>
      </c>
      <c r="F956" s="24">
        <v>0</v>
      </c>
      <c r="G956" s="24">
        <v>0</v>
      </c>
      <c r="H956" s="25">
        <v>14.98</v>
      </c>
      <c r="I956">
        <v>31</v>
      </c>
      <c r="J956" s="26">
        <v>0</v>
      </c>
      <c r="K956" s="26">
        <v>0</v>
      </c>
      <c r="L956" s="26">
        <v>0</v>
      </c>
      <c r="M956">
        <v>31</v>
      </c>
      <c r="N956">
        <v>0</v>
      </c>
      <c r="O956">
        <v>31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18</v>
      </c>
      <c r="AK956">
        <v>21</v>
      </c>
      <c r="AL956">
        <v>27</v>
      </c>
      <c r="AM956">
        <v>21</v>
      </c>
      <c r="AN956" s="18">
        <v>0</v>
      </c>
      <c r="AO956" s="18">
        <v>0.0476190476190476</v>
      </c>
      <c r="AP956" s="18">
        <v>0</v>
      </c>
      <c r="AQ956" s="18">
        <v>0</v>
      </c>
      <c r="AR956" s="29">
        <v>0</v>
      </c>
      <c r="AS956" s="29">
        <v>0</v>
      </c>
      <c r="AT956" s="29">
        <v>31</v>
      </c>
      <c r="AU956" s="24" t="str">
        <f t="shared" si="15"/>
        <v>库存为31</v>
      </c>
      <c r="AV956" s="31" t="str">
        <f>IFERROR(时间!$B$4+AU956,"上周无销量")</f>
        <v>上周无销量</v>
      </c>
    </row>
    <row r="957" spans="1:48">
      <c r="A957" s="16" t="s">
        <v>1758</v>
      </c>
      <c r="B957" t="s">
        <v>1759</v>
      </c>
      <c r="C957" t="s">
        <v>1747</v>
      </c>
      <c r="D957" s="24">
        <v>0</v>
      </c>
      <c r="E957" s="24">
        <v>0</v>
      </c>
      <c r="F957" s="24">
        <v>0</v>
      </c>
      <c r="G957" s="24">
        <v>0</v>
      </c>
      <c r="H957" s="25">
        <v>0</v>
      </c>
      <c r="I957">
        <v>18</v>
      </c>
      <c r="J957" s="26">
        <v>0</v>
      </c>
      <c r="K957" s="26">
        <v>0</v>
      </c>
      <c r="L957" s="26">
        <v>0</v>
      </c>
      <c r="M957">
        <v>18</v>
      </c>
      <c r="N957">
        <v>0</v>
      </c>
      <c r="O957">
        <v>18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4</v>
      </c>
      <c r="AK957">
        <v>6</v>
      </c>
      <c r="AL957">
        <v>6</v>
      </c>
      <c r="AM957">
        <v>5</v>
      </c>
      <c r="AN957" s="18">
        <v>0</v>
      </c>
      <c r="AO957" s="18">
        <v>0</v>
      </c>
      <c r="AP957" s="18">
        <v>0</v>
      </c>
      <c r="AQ957" s="18">
        <v>0</v>
      </c>
      <c r="AR957" s="29">
        <v>0</v>
      </c>
      <c r="AS957" s="29">
        <v>0</v>
      </c>
      <c r="AT957" s="29">
        <v>18</v>
      </c>
      <c r="AU957" s="24" t="str">
        <f t="shared" si="15"/>
        <v>库存为18</v>
      </c>
      <c r="AV957" s="31" t="str">
        <f>IFERROR(时间!$B$4+AU957,"上周无销量")</f>
        <v>上周无销量</v>
      </c>
    </row>
    <row r="958" spans="1:48">
      <c r="A958" s="16" t="s">
        <v>1760</v>
      </c>
      <c r="B958" t="s">
        <v>1761</v>
      </c>
      <c r="C958" t="s">
        <v>1747</v>
      </c>
      <c r="D958" s="24">
        <v>3</v>
      </c>
      <c r="E958" s="24">
        <v>1</v>
      </c>
      <c r="F958" s="24">
        <v>0</v>
      </c>
      <c r="G958" s="24">
        <v>0</v>
      </c>
      <c r="H958" s="25">
        <v>14.98</v>
      </c>
      <c r="I958">
        <v>5</v>
      </c>
      <c r="J958" s="26">
        <v>0</v>
      </c>
      <c r="K958" s="26">
        <v>0</v>
      </c>
      <c r="L958" s="26">
        <v>0</v>
      </c>
      <c r="M958">
        <v>5</v>
      </c>
      <c r="N958">
        <v>0</v>
      </c>
      <c r="O958">
        <v>7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6</v>
      </c>
      <c r="AK958">
        <v>4</v>
      </c>
      <c r="AL958">
        <v>6</v>
      </c>
      <c r="AM958">
        <v>7</v>
      </c>
      <c r="AN958" s="18">
        <v>0.5</v>
      </c>
      <c r="AO958" s="18">
        <v>0.25</v>
      </c>
      <c r="AP958" s="18">
        <v>0</v>
      </c>
      <c r="AQ958" s="18">
        <v>0</v>
      </c>
      <c r="AR958" s="29">
        <v>0.428571428571429</v>
      </c>
      <c r="AS958" s="29">
        <v>25.7142857142857</v>
      </c>
      <c r="AT958" s="29">
        <v>-20.7142857142857</v>
      </c>
      <c r="AU958" s="24">
        <f t="shared" si="15"/>
        <v>11</v>
      </c>
      <c r="AV958" s="31">
        <f>IFERROR(时间!$B$4+AU958,"上周无销量")</f>
        <v>43329</v>
      </c>
    </row>
    <row r="959" spans="1:48">
      <c r="A959" s="16" t="s">
        <v>1762</v>
      </c>
      <c r="B959" t="s">
        <v>1763</v>
      </c>
      <c r="C959" t="s">
        <v>1747</v>
      </c>
      <c r="D959" s="24">
        <v>0</v>
      </c>
      <c r="E959" s="24">
        <v>0</v>
      </c>
      <c r="F959" s="24">
        <v>0</v>
      </c>
      <c r="G959" s="24">
        <v>0</v>
      </c>
      <c r="H959" s="25">
        <v>0</v>
      </c>
      <c r="I959">
        <v>0</v>
      </c>
      <c r="J959" s="26">
        <v>0</v>
      </c>
      <c r="K959" s="26">
        <v>0</v>
      </c>
      <c r="L959" s="26">
        <v>0</v>
      </c>
      <c r="M959">
        <v>0</v>
      </c>
      <c r="N959">
        <v>0</v>
      </c>
      <c r="O959">
        <v>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0</v>
      </c>
      <c r="AK959">
        <v>0</v>
      </c>
      <c r="AL959">
        <v>0</v>
      </c>
      <c r="AM959">
        <v>0</v>
      </c>
      <c r="AN959" s="18" t="s">
        <v>52</v>
      </c>
      <c r="AO959" s="18" t="s">
        <v>52</v>
      </c>
      <c r="AP959" s="18" t="s">
        <v>52</v>
      </c>
      <c r="AQ959" s="18" t="s">
        <v>52</v>
      </c>
      <c r="AR959" s="29">
        <v>0</v>
      </c>
      <c r="AS959" s="29">
        <v>0</v>
      </c>
      <c r="AT959" s="29">
        <v>0</v>
      </c>
      <c r="AU959" s="24" t="str">
        <f t="shared" si="15"/>
        <v>库存为0</v>
      </c>
      <c r="AV959" s="31" t="str">
        <f>IFERROR(时间!$B$4+AU959,"上周无销量")</f>
        <v>上周无销量</v>
      </c>
    </row>
    <row r="960" spans="1:48">
      <c r="A960" s="16" t="s">
        <v>1764</v>
      </c>
      <c r="B960" t="s">
        <v>1765</v>
      </c>
      <c r="C960" t="s">
        <v>1747</v>
      </c>
      <c r="D960" s="24">
        <v>1</v>
      </c>
      <c r="E960" s="24">
        <v>1</v>
      </c>
      <c r="F960" s="24">
        <v>9</v>
      </c>
      <c r="G960" s="24">
        <v>2</v>
      </c>
      <c r="H960" s="25">
        <v>19.4415384615385</v>
      </c>
      <c r="I960">
        <v>0</v>
      </c>
      <c r="J960" s="26">
        <v>0</v>
      </c>
      <c r="K960" s="26">
        <v>0</v>
      </c>
      <c r="L960" s="26">
        <v>0</v>
      </c>
      <c r="M960">
        <v>0</v>
      </c>
      <c r="N960">
        <v>0</v>
      </c>
      <c r="O960">
        <v>0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2</v>
      </c>
      <c r="AK960">
        <v>0</v>
      </c>
      <c r="AL960">
        <v>30</v>
      </c>
      <c r="AM960">
        <v>31</v>
      </c>
      <c r="AN960" s="18">
        <v>0.5</v>
      </c>
      <c r="AO960" s="18" t="s">
        <v>52</v>
      </c>
      <c r="AP960" s="18">
        <v>0.3</v>
      </c>
      <c r="AQ960" s="18">
        <v>0.0645161290322581</v>
      </c>
      <c r="AR960" s="29">
        <v>0.142857142857143</v>
      </c>
      <c r="AS960" s="29">
        <v>8.57142857142857</v>
      </c>
      <c r="AT960" s="29">
        <v>-8.57142857142857</v>
      </c>
      <c r="AU960" s="24">
        <f t="shared" si="15"/>
        <v>0</v>
      </c>
      <c r="AV960" s="31">
        <f>IFERROR(时间!$B$4+AU960,"上周无销量")</f>
        <v>43318</v>
      </c>
    </row>
    <row r="961" spans="1:48">
      <c r="A961" s="16" t="s">
        <v>1766</v>
      </c>
      <c r="B961" t="s">
        <v>1767</v>
      </c>
      <c r="C961" t="s">
        <v>1747</v>
      </c>
      <c r="D961" s="24">
        <v>3</v>
      </c>
      <c r="E961" s="24">
        <v>3</v>
      </c>
      <c r="F961" s="24">
        <v>1</v>
      </c>
      <c r="G961" s="24">
        <v>0</v>
      </c>
      <c r="H961" s="25">
        <v>14.98</v>
      </c>
      <c r="I961">
        <v>6</v>
      </c>
      <c r="J961" s="26">
        <v>0</v>
      </c>
      <c r="K961" s="26">
        <v>0</v>
      </c>
      <c r="L961" s="26">
        <v>0</v>
      </c>
      <c r="M961">
        <v>6</v>
      </c>
      <c r="N961">
        <v>0</v>
      </c>
      <c r="O961">
        <v>6</v>
      </c>
      <c r="P961">
        <v>5486</v>
      </c>
      <c r="Q961">
        <v>9832</v>
      </c>
      <c r="R961">
        <v>3241</v>
      </c>
      <c r="S961">
        <v>3362</v>
      </c>
      <c r="T961">
        <v>18</v>
      </c>
      <c r="U961">
        <v>21</v>
      </c>
      <c r="V961">
        <v>11</v>
      </c>
      <c r="W961">
        <v>2</v>
      </c>
      <c r="X961" s="18">
        <v>0.003281079110463</v>
      </c>
      <c r="Y961" s="18">
        <v>0.00213588283157038</v>
      </c>
      <c r="Z961" s="18">
        <v>0.00339401419315026</v>
      </c>
      <c r="AA961" s="18">
        <v>0.000594883997620464</v>
      </c>
      <c r="AB961">
        <v>9.18</v>
      </c>
      <c r="AC961">
        <v>9.58</v>
      </c>
      <c r="AD961">
        <v>4.79</v>
      </c>
      <c r="AE961">
        <v>1.44</v>
      </c>
      <c r="AF961" s="18">
        <v>0.204272363150868</v>
      </c>
      <c r="AG961" s="18">
        <v>0.213173119715176</v>
      </c>
      <c r="AH961" s="18">
        <v>0.319759679572764</v>
      </c>
      <c r="AI961" s="18" t="s">
        <v>1768</v>
      </c>
      <c r="AJ961">
        <v>44</v>
      </c>
      <c r="AK961">
        <v>29</v>
      </c>
      <c r="AL961">
        <v>40</v>
      </c>
      <c r="AM961">
        <v>33</v>
      </c>
      <c r="AN961" s="18">
        <v>0.0681818181818182</v>
      </c>
      <c r="AO961" s="18">
        <v>0.103448275862069</v>
      </c>
      <c r="AP961" s="18">
        <v>0.025</v>
      </c>
      <c r="AQ961" s="18">
        <v>0</v>
      </c>
      <c r="AR961" s="29">
        <v>0.428571428571429</v>
      </c>
      <c r="AS961" s="29">
        <v>25.7142857142857</v>
      </c>
      <c r="AT961" s="29">
        <v>-19.7142857142857</v>
      </c>
      <c r="AU961" s="24">
        <f t="shared" si="15"/>
        <v>14</v>
      </c>
      <c r="AV961" s="31">
        <f>IFERROR(时间!$B$4+AU961,"上周无销量")</f>
        <v>43332</v>
      </c>
    </row>
    <row r="962" spans="1:48">
      <c r="A962" s="16" t="s">
        <v>1769</v>
      </c>
      <c r="B962" t="s">
        <v>1770</v>
      </c>
      <c r="C962" t="s">
        <v>1747</v>
      </c>
      <c r="D962" s="24">
        <v>1</v>
      </c>
      <c r="E962" s="24">
        <v>0</v>
      </c>
      <c r="F962" s="24">
        <v>0</v>
      </c>
      <c r="G962" s="24">
        <v>0</v>
      </c>
      <c r="H962" s="25">
        <v>14.98</v>
      </c>
      <c r="I962">
        <v>0</v>
      </c>
      <c r="J962" s="26">
        <v>0</v>
      </c>
      <c r="K962" s="26">
        <v>0</v>
      </c>
      <c r="L962" s="26">
        <v>0</v>
      </c>
      <c r="M962">
        <v>0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0</v>
      </c>
      <c r="AK962">
        <v>0</v>
      </c>
      <c r="AL962">
        <v>0</v>
      </c>
      <c r="AM962">
        <v>0</v>
      </c>
      <c r="AN962" s="18" t="s">
        <v>52</v>
      </c>
      <c r="AO962" s="18" t="s">
        <v>52</v>
      </c>
      <c r="AP962" s="18" t="s">
        <v>52</v>
      </c>
      <c r="AQ962" s="18" t="s">
        <v>52</v>
      </c>
      <c r="AR962" s="29">
        <v>0.142857142857143</v>
      </c>
      <c r="AS962" s="29">
        <v>8.57142857142857</v>
      </c>
      <c r="AT962" s="29">
        <v>-8.57142857142857</v>
      </c>
      <c r="AU962" s="24">
        <f t="shared" si="15"/>
        <v>0</v>
      </c>
      <c r="AV962" s="31">
        <f>IFERROR(时间!$B$4+AU962,"上周无销量")</f>
        <v>43318</v>
      </c>
    </row>
    <row r="963" spans="1:48">
      <c r="A963" s="16" t="s">
        <v>1771</v>
      </c>
      <c r="B963" t="s">
        <v>1772</v>
      </c>
      <c r="C963" t="s">
        <v>1747</v>
      </c>
      <c r="D963" s="24">
        <v>0</v>
      </c>
      <c r="E963" s="24">
        <v>3</v>
      </c>
      <c r="F963" s="24">
        <v>4</v>
      </c>
      <c r="G963" s="24">
        <v>2</v>
      </c>
      <c r="H963" s="25">
        <v>18.0911111111111</v>
      </c>
      <c r="I963">
        <v>0</v>
      </c>
      <c r="J963" s="26">
        <v>0</v>
      </c>
      <c r="K963" s="26">
        <v>0</v>
      </c>
      <c r="L963" s="26">
        <v>0</v>
      </c>
      <c r="M963">
        <v>0</v>
      </c>
      <c r="N963">
        <v>0</v>
      </c>
      <c r="O963">
        <v>0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0</v>
      </c>
      <c r="AK963">
        <v>8</v>
      </c>
      <c r="AL963">
        <v>11</v>
      </c>
      <c r="AM963">
        <v>24</v>
      </c>
      <c r="AN963" s="18" t="s">
        <v>52</v>
      </c>
      <c r="AO963" s="18">
        <v>0.375</v>
      </c>
      <c r="AP963" s="18">
        <v>0.363636363636364</v>
      </c>
      <c r="AQ963" s="18">
        <v>0.0833333333333333</v>
      </c>
      <c r="AR963" s="29">
        <v>0</v>
      </c>
      <c r="AS963" s="29">
        <v>0</v>
      </c>
      <c r="AT963" s="29">
        <v>0</v>
      </c>
      <c r="AU963" s="24" t="str">
        <f t="shared" si="15"/>
        <v>库存为0</v>
      </c>
      <c r="AV963" s="31" t="str">
        <f>IFERROR(时间!$B$4+AU963,"上周无销量")</f>
        <v>上周无销量</v>
      </c>
    </row>
    <row r="964" spans="1:48">
      <c r="A964" s="16" t="s">
        <v>1773</v>
      </c>
      <c r="B964" t="s">
        <v>1774</v>
      </c>
      <c r="C964" t="s">
        <v>1747</v>
      </c>
      <c r="D964" s="24">
        <v>4</v>
      </c>
      <c r="E964" s="24">
        <v>2</v>
      </c>
      <c r="F964" s="24">
        <v>2</v>
      </c>
      <c r="G964" s="24">
        <v>0</v>
      </c>
      <c r="H964" s="25">
        <v>16.48</v>
      </c>
      <c r="I964">
        <v>23</v>
      </c>
      <c r="J964" s="26">
        <v>0</v>
      </c>
      <c r="K964" s="26">
        <v>0</v>
      </c>
      <c r="L964" s="26">
        <v>0</v>
      </c>
      <c r="M964">
        <v>23</v>
      </c>
      <c r="N964">
        <v>0</v>
      </c>
      <c r="O964">
        <v>23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10</v>
      </c>
      <c r="AK964">
        <v>9</v>
      </c>
      <c r="AL964">
        <v>12</v>
      </c>
      <c r="AM964">
        <v>11</v>
      </c>
      <c r="AN964" s="18">
        <v>0.4</v>
      </c>
      <c r="AO964" s="18">
        <v>0.222222222222222</v>
      </c>
      <c r="AP964" s="18">
        <v>0.166666666666667</v>
      </c>
      <c r="AQ964" s="18">
        <v>0</v>
      </c>
      <c r="AR964" s="29">
        <v>0.571428571428571</v>
      </c>
      <c r="AS964" s="29">
        <v>34.2857142857143</v>
      </c>
      <c r="AT964" s="29">
        <v>-11.2857142857143</v>
      </c>
      <c r="AU964" s="24">
        <f t="shared" si="15"/>
        <v>40</v>
      </c>
      <c r="AV964" s="31">
        <f>IFERROR(时间!$B$4+AU964,"上周无销量")</f>
        <v>43358</v>
      </c>
    </row>
    <row r="965" spans="1:48">
      <c r="A965" s="16" t="s">
        <v>1775</v>
      </c>
      <c r="B965" t="s">
        <v>1776</v>
      </c>
      <c r="C965" t="s">
        <v>1747</v>
      </c>
      <c r="D965" s="24">
        <v>0</v>
      </c>
      <c r="E965" s="24">
        <v>2</v>
      </c>
      <c r="F965" s="24">
        <v>2</v>
      </c>
      <c r="G965" s="24">
        <v>0</v>
      </c>
      <c r="H965" s="25">
        <v>14.98</v>
      </c>
      <c r="I965">
        <v>26</v>
      </c>
      <c r="J965" s="26">
        <v>0</v>
      </c>
      <c r="K965" s="26">
        <v>0</v>
      </c>
      <c r="L965" s="26">
        <v>0</v>
      </c>
      <c r="M965">
        <v>26</v>
      </c>
      <c r="N965">
        <v>0</v>
      </c>
      <c r="O965">
        <v>24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16</v>
      </c>
      <c r="AK965">
        <v>8</v>
      </c>
      <c r="AL965">
        <v>9</v>
      </c>
      <c r="AM965">
        <v>8</v>
      </c>
      <c r="AN965" s="18">
        <v>0</v>
      </c>
      <c r="AO965" s="18">
        <v>0.25</v>
      </c>
      <c r="AP965" s="18">
        <v>0.222222222222222</v>
      </c>
      <c r="AQ965" s="18">
        <v>0</v>
      </c>
      <c r="AR965" s="29">
        <v>0</v>
      </c>
      <c r="AS965" s="29">
        <v>0</v>
      </c>
      <c r="AT965" s="29">
        <v>26</v>
      </c>
      <c r="AU965" s="24" t="str">
        <f t="shared" si="15"/>
        <v>库存为26</v>
      </c>
      <c r="AV965" s="31" t="str">
        <f>IFERROR(时间!$B$4+AU965,"上周无销量")</f>
        <v>上周无销量</v>
      </c>
    </row>
    <row r="966" spans="1:48">
      <c r="A966" s="16" t="s">
        <v>1777</v>
      </c>
      <c r="B966" t="s">
        <v>1778</v>
      </c>
      <c r="C966" t="s">
        <v>1747</v>
      </c>
      <c r="D966" s="24">
        <v>1</v>
      </c>
      <c r="E966" s="24">
        <v>0</v>
      </c>
      <c r="F966" s="24">
        <v>0</v>
      </c>
      <c r="G966" s="24">
        <v>1</v>
      </c>
      <c r="H966" s="25">
        <v>13.44</v>
      </c>
      <c r="I966">
        <v>28</v>
      </c>
      <c r="J966" s="26">
        <v>0</v>
      </c>
      <c r="K966" s="26">
        <v>0</v>
      </c>
      <c r="L966" s="26">
        <v>0</v>
      </c>
      <c r="M966">
        <v>28</v>
      </c>
      <c r="N966">
        <v>0</v>
      </c>
      <c r="O966">
        <v>29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25</v>
      </c>
      <c r="AK966">
        <v>17</v>
      </c>
      <c r="AL966">
        <v>19</v>
      </c>
      <c r="AM966">
        <v>7</v>
      </c>
      <c r="AN966" s="18">
        <v>0.04</v>
      </c>
      <c r="AO966" s="18">
        <v>0</v>
      </c>
      <c r="AP966" s="18">
        <v>0</v>
      </c>
      <c r="AQ966" s="18">
        <v>0.142857142857143</v>
      </c>
      <c r="AR966" s="29">
        <v>0.142857142857143</v>
      </c>
      <c r="AS966" s="29">
        <v>8.57142857142857</v>
      </c>
      <c r="AT966" s="29">
        <v>19.4285714285714</v>
      </c>
      <c r="AU966" s="24">
        <f t="shared" ref="AU966:AU1029" si="16">IF(AR966="","库存为"&amp;M966,IF(AS966=0,"库存为"&amp;M966,INT(M966/AR966)))</f>
        <v>196</v>
      </c>
      <c r="AV966" s="31">
        <f>IFERROR(时间!$B$4+AU966,"上周无销量")</f>
        <v>43514</v>
      </c>
    </row>
    <row r="967" spans="1:48">
      <c r="A967" s="16" t="s">
        <v>1779</v>
      </c>
      <c r="B967" t="s">
        <v>1780</v>
      </c>
      <c r="C967" t="s">
        <v>1747</v>
      </c>
      <c r="D967" s="24">
        <v>0</v>
      </c>
      <c r="E967" s="24">
        <v>0</v>
      </c>
      <c r="F967" s="24">
        <v>1</v>
      </c>
      <c r="G967" s="24">
        <v>0</v>
      </c>
      <c r="H967" s="25">
        <v>14.98</v>
      </c>
      <c r="I967">
        <v>42</v>
      </c>
      <c r="J967" s="26">
        <v>0</v>
      </c>
      <c r="K967" s="26">
        <v>0</v>
      </c>
      <c r="L967" s="26">
        <v>0</v>
      </c>
      <c r="M967">
        <v>42</v>
      </c>
      <c r="N967">
        <v>0</v>
      </c>
      <c r="O967">
        <v>40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7</v>
      </c>
      <c r="AK967">
        <v>4</v>
      </c>
      <c r="AL967">
        <v>8</v>
      </c>
      <c r="AM967">
        <v>7</v>
      </c>
      <c r="AN967" s="18">
        <v>0</v>
      </c>
      <c r="AO967" s="18">
        <v>0</v>
      </c>
      <c r="AP967" s="18">
        <v>0.125</v>
      </c>
      <c r="AQ967" s="18">
        <v>0</v>
      </c>
      <c r="AR967" s="29">
        <v>0</v>
      </c>
      <c r="AS967" s="29">
        <v>0</v>
      </c>
      <c r="AT967" s="29">
        <v>42</v>
      </c>
      <c r="AU967" s="24" t="str">
        <f t="shared" si="16"/>
        <v>库存为42</v>
      </c>
      <c r="AV967" s="31" t="str">
        <f>IFERROR(时间!$B$4+AU967,"上周无销量")</f>
        <v>上周无销量</v>
      </c>
    </row>
    <row r="968" spans="1:48">
      <c r="A968" s="16" t="s">
        <v>1781</v>
      </c>
      <c r="B968" t="s">
        <v>1782</v>
      </c>
      <c r="C968" t="s">
        <v>1747</v>
      </c>
      <c r="D968" s="24">
        <v>1</v>
      </c>
      <c r="E968" s="24">
        <v>1</v>
      </c>
      <c r="F968" s="24">
        <v>0</v>
      </c>
      <c r="G968" s="24">
        <v>0</v>
      </c>
      <c r="H968" s="25">
        <v>14.98</v>
      </c>
      <c r="I968">
        <v>35</v>
      </c>
      <c r="J968" s="26">
        <v>0</v>
      </c>
      <c r="K968" s="26">
        <v>0</v>
      </c>
      <c r="L968" s="26">
        <v>0</v>
      </c>
      <c r="M968">
        <v>35</v>
      </c>
      <c r="N968">
        <v>0</v>
      </c>
      <c r="O968">
        <v>37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3</v>
      </c>
      <c r="AK968">
        <v>1</v>
      </c>
      <c r="AL968">
        <v>8</v>
      </c>
      <c r="AM968">
        <v>7</v>
      </c>
      <c r="AN968" s="18">
        <v>0.333333333333333</v>
      </c>
      <c r="AO968" s="18">
        <v>1</v>
      </c>
      <c r="AP968" s="18">
        <v>0</v>
      </c>
      <c r="AQ968" s="18">
        <v>0</v>
      </c>
      <c r="AR968" s="29">
        <v>0.142857142857143</v>
      </c>
      <c r="AS968" s="29">
        <v>8.57142857142857</v>
      </c>
      <c r="AT968" s="29">
        <v>26.4285714285714</v>
      </c>
      <c r="AU968" s="24">
        <f t="shared" si="16"/>
        <v>245</v>
      </c>
      <c r="AV968" s="31">
        <f>IFERROR(时间!$B$4+AU968,"上周无销量")</f>
        <v>43563</v>
      </c>
    </row>
    <row r="969" spans="1:48">
      <c r="A969" s="16" t="s">
        <v>1783</v>
      </c>
      <c r="B969" t="s">
        <v>1784</v>
      </c>
      <c r="C969" t="s">
        <v>1747</v>
      </c>
      <c r="D969" s="24">
        <v>0</v>
      </c>
      <c r="E969" s="24">
        <v>1</v>
      </c>
      <c r="F969" s="24">
        <v>0</v>
      </c>
      <c r="G969" s="24">
        <v>0</v>
      </c>
      <c r="H969" s="25">
        <v>14.98</v>
      </c>
      <c r="I969">
        <v>0</v>
      </c>
      <c r="J969" s="26">
        <v>0</v>
      </c>
      <c r="K969" s="26">
        <v>0</v>
      </c>
      <c r="L969" s="26">
        <v>0</v>
      </c>
      <c r="M969">
        <v>0</v>
      </c>
      <c r="N969">
        <v>0</v>
      </c>
      <c r="O969">
        <v>0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0</v>
      </c>
      <c r="AK969">
        <v>2</v>
      </c>
      <c r="AL969">
        <v>17</v>
      </c>
      <c r="AM969">
        <v>16</v>
      </c>
      <c r="AN969" s="18" t="s">
        <v>52</v>
      </c>
      <c r="AO969" s="18">
        <v>0.5</v>
      </c>
      <c r="AP969" s="18">
        <v>0</v>
      </c>
      <c r="AQ969" s="18">
        <v>0</v>
      </c>
      <c r="AR969" s="29">
        <v>0</v>
      </c>
      <c r="AS969" s="29">
        <v>0</v>
      </c>
      <c r="AT969" s="29">
        <v>0</v>
      </c>
      <c r="AU969" s="24" t="str">
        <f t="shared" si="16"/>
        <v>库存为0</v>
      </c>
      <c r="AV969" s="31" t="str">
        <f>IFERROR(时间!$B$4+AU969,"上周无销量")</f>
        <v>上周无销量</v>
      </c>
    </row>
    <row r="970" spans="1:48">
      <c r="A970" s="16" t="s">
        <v>1785</v>
      </c>
      <c r="B970" t="s">
        <v>1786</v>
      </c>
      <c r="C970" t="s">
        <v>1747</v>
      </c>
      <c r="D970" s="24">
        <v>0</v>
      </c>
      <c r="E970" s="24">
        <v>0</v>
      </c>
      <c r="F970" s="24">
        <v>0</v>
      </c>
      <c r="G970" s="24">
        <v>0</v>
      </c>
      <c r="H970" s="25">
        <v>0</v>
      </c>
      <c r="I970">
        <v>0</v>
      </c>
      <c r="J970" s="26">
        <v>0</v>
      </c>
      <c r="K970" s="26">
        <v>0</v>
      </c>
      <c r="L970" s="26">
        <v>0</v>
      </c>
      <c r="M970">
        <v>0</v>
      </c>
      <c r="N970">
        <v>0</v>
      </c>
      <c r="O970">
        <v>0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0</v>
      </c>
      <c r="AK970">
        <v>0</v>
      </c>
      <c r="AL970">
        <v>0</v>
      </c>
      <c r="AM970">
        <v>0</v>
      </c>
      <c r="AN970" s="18" t="s">
        <v>52</v>
      </c>
      <c r="AO970" s="18" t="s">
        <v>52</v>
      </c>
      <c r="AP970" s="18" t="s">
        <v>52</v>
      </c>
      <c r="AQ970" s="18" t="s">
        <v>52</v>
      </c>
      <c r="AR970" s="29">
        <v>0</v>
      </c>
      <c r="AS970" s="29">
        <v>0</v>
      </c>
      <c r="AT970" s="29">
        <v>0</v>
      </c>
      <c r="AU970" s="24" t="str">
        <f t="shared" si="16"/>
        <v>库存为0</v>
      </c>
      <c r="AV970" s="31" t="str">
        <f>IFERROR(时间!$B$4+AU970,"上周无销量")</f>
        <v>上周无销量</v>
      </c>
    </row>
    <row r="971" spans="1:48">
      <c r="A971" s="16" t="s">
        <v>1787</v>
      </c>
      <c r="B971" t="s">
        <v>1788</v>
      </c>
      <c r="C971" t="s">
        <v>1747</v>
      </c>
      <c r="D971" s="24">
        <v>1</v>
      </c>
      <c r="E971" s="24">
        <v>0</v>
      </c>
      <c r="F971" s="24">
        <v>0</v>
      </c>
      <c r="G971" s="24">
        <v>1</v>
      </c>
      <c r="H971" s="25">
        <v>17.98</v>
      </c>
      <c r="I971">
        <v>15</v>
      </c>
      <c r="J971" s="26">
        <v>0</v>
      </c>
      <c r="K971" s="26">
        <v>0</v>
      </c>
      <c r="L971" s="26">
        <v>0</v>
      </c>
      <c r="M971">
        <v>15</v>
      </c>
      <c r="N971">
        <v>0</v>
      </c>
      <c r="O971">
        <v>15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17</v>
      </c>
      <c r="AK971">
        <v>11</v>
      </c>
      <c r="AL971">
        <v>10</v>
      </c>
      <c r="AM971">
        <v>7</v>
      </c>
      <c r="AN971" s="18">
        <v>0.0588235294117647</v>
      </c>
      <c r="AO971" s="18">
        <v>0</v>
      </c>
      <c r="AP971" s="18">
        <v>0</v>
      </c>
      <c r="AQ971" s="18">
        <v>0.142857142857143</v>
      </c>
      <c r="AR971" s="29">
        <v>0.142857142857143</v>
      </c>
      <c r="AS971" s="29">
        <v>8.57142857142857</v>
      </c>
      <c r="AT971" s="29">
        <v>6.42857142857143</v>
      </c>
      <c r="AU971" s="24">
        <f t="shared" si="16"/>
        <v>105</v>
      </c>
      <c r="AV971" s="31">
        <f>IFERROR(时间!$B$4+AU971,"上周无销量")</f>
        <v>43423</v>
      </c>
    </row>
    <row r="972" spans="1:48">
      <c r="A972" s="16" t="s">
        <v>1789</v>
      </c>
      <c r="B972" t="s">
        <v>1790</v>
      </c>
      <c r="C972" t="s">
        <v>1747</v>
      </c>
      <c r="D972" s="24">
        <v>0</v>
      </c>
      <c r="E972" s="24">
        <v>0</v>
      </c>
      <c r="F972" s="24">
        <v>0</v>
      </c>
      <c r="G972" s="24">
        <v>0</v>
      </c>
      <c r="H972" s="25">
        <v>0</v>
      </c>
      <c r="I972">
        <v>20</v>
      </c>
      <c r="J972" s="26">
        <v>0</v>
      </c>
      <c r="K972" s="26">
        <v>0</v>
      </c>
      <c r="L972" s="26">
        <v>0</v>
      </c>
      <c r="M972">
        <v>20</v>
      </c>
      <c r="N972">
        <v>0</v>
      </c>
      <c r="O972">
        <v>19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6</v>
      </c>
      <c r="AK972">
        <v>8</v>
      </c>
      <c r="AL972">
        <v>9</v>
      </c>
      <c r="AM972">
        <v>6</v>
      </c>
      <c r="AN972" s="18">
        <v>0</v>
      </c>
      <c r="AO972" s="18">
        <v>0</v>
      </c>
      <c r="AP972" s="18">
        <v>0</v>
      </c>
      <c r="AQ972" s="18">
        <v>0</v>
      </c>
      <c r="AR972" s="29">
        <v>0</v>
      </c>
      <c r="AS972" s="29">
        <v>0</v>
      </c>
      <c r="AT972" s="29">
        <v>20</v>
      </c>
      <c r="AU972" s="24" t="str">
        <f t="shared" si="16"/>
        <v>库存为20</v>
      </c>
      <c r="AV972" s="31" t="str">
        <f>IFERROR(时间!$B$4+AU972,"上周无销量")</f>
        <v>上周无销量</v>
      </c>
    </row>
    <row r="973" spans="1:48">
      <c r="A973" s="16" t="s">
        <v>1791</v>
      </c>
      <c r="B973" t="s">
        <v>1792</v>
      </c>
      <c r="C973" t="s">
        <v>1747</v>
      </c>
      <c r="D973" s="24">
        <v>2</v>
      </c>
      <c r="E973" s="24">
        <v>2</v>
      </c>
      <c r="F973" s="24">
        <v>1</v>
      </c>
      <c r="G973" s="24">
        <v>0</v>
      </c>
      <c r="H973" s="25">
        <v>14.98</v>
      </c>
      <c r="I973">
        <v>16</v>
      </c>
      <c r="J973" s="26">
        <v>0</v>
      </c>
      <c r="K973" s="26">
        <v>0</v>
      </c>
      <c r="L973" s="26">
        <v>0</v>
      </c>
      <c r="M973">
        <v>16</v>
      </c>
      <c r="N973">
        <v>0</v>
      </c>
      <c r="O973">
        <v>16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9</v>
      </c>
      <c r="AK973">
        <v>11</v>
      </c>
      <c r="AL973">
        <v>14</v>
      </c>
      <c r="AM973">
        <v>13</v>
      </c>
      <c r="AN973" s="18">
        <v>0.222222222222222</v>
      </c>
      <c r="AO973" s="18">
        <v>0.181818181818182</v>
      </c>
      <c r="AP973" s="18">
        <v>0.0714285714285714</v>
      </c>
      <c r="AQ973" s="18">
        <v>0</v>
      </c>
      <c r="AR973" s="29">
        <v>0.285714285714286</v>
      </c>
      <c r="AS973" s="29">
        <v>17.1428571428571</v>
      </c>
      <c r="AT973" s="29">
        <v>-1.14285714285714</v>
      </c>
      <c r="AU973" s="24">
        <f t="shared" si="16"/>
        <v>56</v>
      </c>
      <c r="AV973" s="31">
        <f>IFERROR(时间!$B$4+AU973,"上周无销量")</f>
        <v>43374</v>
      </c>
    </row>
    <row r="974" spans="1:48">
      <c r="A974" s="16" t="s">
        <v>1793</v>
      </c>
      <c r="B974" t="s">
        <v>1794</v>
      </c>
      <c r="C974" t="s">
        <v>1747</v>
      </c>
      <c r="D974" s="24">
        <v>2</v>
      </c>
      <c r="E974" s="24">
        <v>4</v>
      </c>
      <c r="F974" s="24">
        <v>0</v>
      </c>
      <c r="G974" s="24">
        <v>1</v>
      </c>
      <c r="H974" s="25">
        <v>15.8371428571429</v>
      </c>
      <c r="I974">
        <v>26</v>
      </c>
      <c r="J974" s="26">
        <v>0</v>
      </c>
      <c r="K974" s="26">
        <v>0</v>
      </c>
      <c r="L974" s="26">
        <v>0</v>
      </c>
      <c r="M974">
        <v>26</v>
      </c>
      <c r="N974">
        <v>0</v>
      </c>
      <c r="O974">
        <v>26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17</v>
      </c>
      <c r="AK974">
        <v>17</v>
      </c>
      <c r="AL974">
        <v>8</v>
      </c>
      <c r="AM974">
        <v>21</v>
      </c>
      <c r="AN974" s="18">
        <v>0.117647058823529</v>
      </c>
      <c r="AO974" s="18">
        <v>0.235294117647059</v>
      </c>
      <c r="AP974" s="18">
        <v>0</v>
      </c>
      <c r="AQ974" s="18">
        <v>0.0476190476190476</v>
      </c>
      <c r="AR974" s="29">
        <v>0.285714285714286</v>
      </c>
      <c r="AS974" s="29">
        <v>17.1428571428571</v>
      </c>
      <c r="AT974" s="29">
        <v>8.85714285714286</v>
      </c>
      <c r="AU974" s="24">
        <f t="shared" si="16"/>
        <v>91</v>
      </c>
      <c r="AV974" s="31">
        <f>IFERROR(时间!$B$4+AU974,"上周无销量")</f>
        <v>43409</v>
      </c>
    </row>
    <row r="975" spans="1:48">
      <c r="A975" s="16" t="s">
        <v>1795</v>
      </c>
      <c r="B975" t="s">
        <v>1796</v>
      </c>
      <c r="C975" t="s">
        <v>1747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0</v>
      </c>
      <c r="J975" s="26">
        <v>0</v>
      </c>
      <c r="K975" s="26">
        <v>0</v>
      </c>
      <c r="L975" s="26">
        <v>0</v>
      </c>
      <c r="M975">
        <v>0</v>
      </c>
      <c r="N975">
        <v>0</v>
      </c>
      <c r="O975">
        <v>0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0</v>
      </c>
      <c r="AK975">
        <v>0</v>
      </c>
      <c r="AL975">
        <v>0</v>
      </c>
      <c r="AM975">
        <v>0</v>
      </c>
      <c r="AN975" s="18" t="s">
        <v>52</v>
      </c>
      <c r="AO975" s="18" t="s">
        <v>52</v>
      </c>
      <c r="AP975" s="18" t="s">
        <v>52</v>
      </c>
      <c r="AQ975" s="18" t="s">
        <v>52</v>
      </c>
      <c r="AR975" s="29">
        <v>0</v>
      </c>
      <c r="AS975" s="29">
        <v>0</v>
      </c>
      <c r="AT975" s="29">
        <v>0</v>
      </c>
      <c r="AU975" s="24" t="str">
        <f t="shared" si="16"/>
        <v>库存为0</v>
      </c>
      <c r="AV975" s="31" t="str">
        <f>IFERROR(时间!$B$4+AU975,"上周无销量")</f>
        <v>上周无销量</v>
      </c>
    </row>
    <row r="976" spans="1:48">
      <c r="A976" s="16" t="s">
        <v>1797</v>
      </c>
      <c r="B976" t="s">
        <v>1798</v>
      </c>
      <c r="C976" t="s">
        <v>1747</v>
      </c>
      <c r="D976" s="24">
        <v>0</v>
      </c>
      <c r="E976" s="24">
        <v>2</v>
      </c>
      <c r="F976" s="24">
        <v>0</v>
      </c>
      <c r="G976" s="24">
        <v>0</v>
      </c>
      <c r="H976" s="25">
        <v>14.98</v>
      </c>
      <c r="I976">
        <v>20</v>
      </c>
      <c r="J976" s="26">
        <v>0</v>
      </c>
      <c r="K976" s="26">
        <v>0</v>
      </c>
      <c r="L976" s="26">
        <v>0</v>
      </c>
      <c r="M976">
        <v>20</v>
      </c>
      <c r="N976">
        <v>0</v>
      </c>
      <c r="O976">
        <v>20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14</v>
      </c>
      <c r="AK976">
        <v>20</v>
      </c>
      <c r="AL976">
        <v>34</v>
      </c>
      <c r="AM976">
        <v>23</v>
      </c>
      <c r="AN976" s="18">
        <v>0</v>
      </c>
      <c r="AO976" s="18">
        <v>0.1</v>
      </c>
      <c r="AP976" s="18">
        <v>0</v>
      </c>
      <c r="AQ976" s="18">
        <v>0</v>
      </c>
      <c r="AR976" s="29">
        <v>0</v>
      </c>
      <c r="AS976" s="29">
        <v>0</v>
      </c>
      <c r="AT976" s="29">
        <v>20</v>
      </c>
      <c r="AU976" s="24" t="str">
        <f t="shared" si="16"/>
        <v>库存为20</v>
      </c>
      <c r="AV976" s="31" t="str">
        <f>IFERROR(时间!$B$4+AU976,"上周无销量")</f>
        <v>上周无销量</v>
      </c>
    </row>
    <row r="977" spans="1:48">
      <c r="A977" s="16" t="s">
        <v>1799</v>
      </c>
      <c r="B977" t="s">
        <v>1800</v>
      </c>
      <c r="C977" t="s">
        <v>1747</v>
      </c>
      <c r="D977" s="24">
        <v>0</v>
      </c>
      <c r="E977" s="24">
        <v>0</v>
      </c>
      <c r="F977" s="24">
        <v>2</v>
      </c>
      <c r="G977" s="24">
        <v>0</v>
      </c>
      <c r="H977" s="25">
        <v>14.98</v>
      </c>
      <c r="I977">
        <v>27</v>
      </c>
      <c r="J977" s="26">
        <v>0</v>
      </c>
      <c r="K977" s="26">
        <v>0</v>
      </c>
      <c r="L977" s="26">
        <v>1</v>
      </c>
      <c r="M977">
        <v>28</v>
      </c>
      <c r="N977">
        <v>0</v>
      </c>
      <c r="O977">
        <v>27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9</v>
      </c>
      <c r="AK977">
        <v>8</v>
      </c>
      <c r="AL977">
        <v>9</v>
      </c>
      <c r="AM977">
        <v>8</v>
      </c>
      <c r="AN977" s="18">
        <v>0</v>
      </c>
      <c r="AO977" s="18">
        <v>0</v>
      </c>
      <c r="AP977" s="18">
        <v>0.222222222222222</v>
      </c>
      <c r="AQ977" s="18">
        <v>0</v>
      </c>
      <c r="AR977" s="29">
        <v>0</v>
      </c>
      <c r="AS977" s="29">
        <v>0</v>
      </c>
      <c r="AT977" s="29">
        <v>28</v>
      </c>
      <c r="AU977" s="24" t="str">
        <f t="shared" si="16"/>
        <v>库存为28</v>
      </c>
      <c r="AV977" s="31" t="str">
        <f>IFERROR(时间!$B$4+AU977,"上周无销量")</f>
        <v>上周无销量</v>
      </c>
    </row>
    <row r="978" spans="1:48">
      <c r="A978" s="16" t="s">
        <v>1801</v>
      </c>
      <c r="B978" t="s">
        <v>1802</v>
      </c>
      <c r="C978" t="s">
        <v>1747</v>
      </c>
      <c r="D978" s="24">
        <v>8</v>
      </c>
      <c r="E978" s="24">
        <v>2</v>
      </c>
      <c r="F978" s="24">
        <v>2</v>
      </c>
      <c r="G978" s="24">
        <v>3</v>
      </c>
      <c r="H978" s="25">
        <v>16.18</v>
      </c>
      <c r="I978">
        <v>3</v>
      </c>
      <c r="J978" s="26">
        <v>0</v>
      </c>
      <c r="K978" s="26">
        <v>0</v>
      </c>
      <c r="L978" s="26">
        <v>0</v>
      </c>
      <c r="M978">
        <v>3</v>
      </c>
      <c r="N978">
        <v>0</v>
      </c>
      <c r="O978">
        <v>2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7</v>
      </c>
      <c r="AK978">
        <v>15</v>
      </c>
      <c r="AL978">
        <v>13</v>
      </c>
      <c r="AM978">
        <v>15</v>
      </c>
      <c r="AN978" s="18">
        <v>1.14285714285714</v>
      </c>
      <c r="AO978" s="18">
        <v>0.133333333333333</v>
      </c>
      <c r="AP978" s="18">
        <v>0.153846153846154</v>
      </c>
      <c r="AQ978" s="18">
        <v>0.2</v>
      </c>
      <c r="AR978" s="29">
        <v>1.14285714285714</v>
      </c>
      <c r="AS978" s="29">
        <v>68.5714285714286</v>
      </c>
      <c r="AT978" s="29">
        <v>-65.5714285714286</v>
      </c>
      <c r="AU978" s="24">
        <f t="shared" si="16"/>
        <v>2</v>
      </c>
      <c r="AV978" s="31">
        <f>IFERROR(时间!$B$4+AU978,"上周无销量")</f>
        <v>43320</v>
      </c>
    </row>
    <row r="979" spans="1:48">
      <c r="A979" s="16" t="s">
        <v>1803</v>
      </c>
      <c r="B979" t="s">
        <v>1804</v>
      </c>
      <c r="C979" t="s">
        <v>1747</v>
      </c>
      <c r="D979" s="24">
        <v>0</v>
      </c>
      <c r="E979" s="24">
        <v>1</v>
      </c>
      <c r="F979" s="24">
        <v>6</v>
      </c>
      <c r="G979" s="24">
        <v>0</v>
      </c>
      <c r="H979" s="25">
        <v>16.6942857142857</v>
      </c>
      <c r="I979">
        <v>31</v>
      </c>
      <c r="J979" s="26">
        <v>0</v>
      </c>
      <c r="K979" s="26">
        <v>0</v>
      </c>
      <c r="L979" s="26">
        <v>0</v>
      </c>
      <c r="M979">
        <v>31</v>
      </c>
      <c r="N979">
        <v>0</v>
      </c>
      <c r="O979">
        <v>31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11</v>
      </c>
      <c r="AK979">
        <v>10</v>
      </c>
      <c r="AL979">
        <v>6</v>
      </c>
      <c r="AM979">
        <v>7</v>
      </c>
      <c r="AN979" s="18">
        <v>0</v>
      </c>
      <c r="AO979" s="18">
        <v>0.1</v>
      </c>
      <c r="AP979" s="18">
        <v>1</v>
      </c>
      <c r="AQ979" s="18">
        <v>0</v>
      </c>
      <c r="AR979" s="29">
        <v>0</v>
      </c>
      <c r="AS979" s="29">
        <v>0</v>
      </c>
      <c r="AT979" s="29">
        <v>31</v>
      </c>
      <c r="AU979" s="24" t="str">
        <f t="shared" si="16"/>
        <v>库存为31</v>
      </c>
      <c r="AV979" s="31" t="str">
        <f>IFERROR(时间!$B$4+AU979,"上周无销量")</f>
        <v>上周无销量</v>
      </c>
    </row>
    <row r="980" spans="1:48">
      <c r="A980" s="16" t="s">
        <v>1805</v>
      </c>
      <c r="B980" t="s">
        <v>1806</v>
      </c>
      <c r="C980" t="s">
        <v>1747</v>
      </c>
      <c r="D980" s="24">
        <v>2</v>
      </c>
      <c r="E980" s="24">
        <v>1</v>
      </c>
      <c r="F980" s="24">
        <v>1</v>
      </c>
      <c r="G980" s="24">
        <v>1</v>
      </c>
      <c r="H980" s="25">
        <v>15.78</v>
      </c>
      <c r="I980">
        <v>0</v>
      </c>
      <c r="J980" s="26">
        <v>0</v>
      </c>
      <c r="K980" s="26">
        <v>0</v>
      </c>
      <c r="L980" s="26">
        <v>0</v>
      </c>
      <c r="M980">
        <v>0</v>
      </c>
      <c r="N980">
        <v>0</v>
      </c>
      <c r="O980">
        <v>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4</v>
      </c>
      <c r="AK980">
        <v>17</v>
      </c>
      <c r="AL980">
        <v>27</v>
      </c>
      <c r="AM980">
        <v>29</v>
      </c>
      <c r="AN980" s="18">
        <v>0.5</v>
      </c>
      <c r="AO980" s="18">
        <v>0.0588235294117647</v>
      </c>
      <c r="AP980" s="18">
        <v>0.037037037037037</v>
      </c>
      <c r="AQ980" s="18">
        <v>0.0344827586206897</v>
      </c>
      <c r="AR980" s="29">
        <v>0.285714285714286</v>
      </c>
      <c r="AS980" s="29">
        <v>17.1428571428571</v>
      </c>
      <c r="AT980" s="29">
        <v>-17.1428571428571</v>
      </c>
      <c r="AU980" s="24">
        <f t="shared" si="16"/>
        <v>0</v>
      </c>
      <c r="AV980" s="31">
        <f>IFERROR(时间!$B$4+AU980,"上周无销量")</f>
        <v>43318</v>
      </c>
    </row>
    <row r="981" spans="1:48">
      <c r="A981" s="16" t="s">
        <v>1807</v>
      </c>
      <c r="B981" t="s">
        <v>1808</v>
      </c>
      <c r="C981" t="s">
        <v>1747</v>
      </c>
      <c r="D981" s="24">
        <v>0</v>
      </c>
      <c r="E981" s="24">
        <v>2</v>
      </c>
      <c r="F981" s="24">
        <v>2</v>
      </c>
      <c r="G981" s="24">
        <v>1</v>
      </c>
      <c r="H981" s="25">
        <v>16.18</v>
      </c>
      <c r="I981">
        <v>26</v>
      </c>
      <c r="J981" s="26">
        <v>0</v>
      </c>
      <c r="K981" s="26">
        <v>0</v>
      </c>
      <c r="L981" s="26">
        <v>0</v>
      </c>
      <c r="M981">
        <v>26</v>
      </c>
      <c r="N981">
        <v>0</v>
      </c>
      <c r="O981">
        <v>24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3</v>
      </c>
      <c r="AK981">
        <v>6</v>
      </c>
      <c r="AL981">
        <v>10</v>
      </c>
      <c r="AM981">
        <v>11</v>
      </c>
      <c r="AN981" s="18">
        <v>0</v>
      </c>
      <c r="AO981" s="18">
        <v>0.333333333333333</v>
      </c>
      <c r="AP981" s="18">
        <v>0.2</v>
      </c>
      <c r="AQ981" s="18">
        <v>0.0909090909090909</v>
      </c>
      <c r="AR981" s="29">
        <v>0</v>
      </c>
      <c r="AS981" s="29">
        <v>0</v>
      </c>
      <c r="AT981" s="29">
        <v>26</v>
      </c>
      <c r="AU981" s="24" t="str">
        <f t="shared" si="16"/>
        <v>库存为26</v>
      </c>
      <c r="AV981" s="31" t="str">
        <f>IFERROR(时间!$B$4+AU981,"上周无销量")</f>
        <v>上周无销量</v>
      </c>
    </row>
    <row r="982" spans="1:48">
      <c r="A982" s="16" t="s">
        <v>1809</v>
      </c>
      <c r="B982" t="s">
        <v>1810</v>
      </c>
      <c r="C982" t="s">
        <v>1747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0</v>
      </c>
      <c r="J982" s="26">
        <v>0</v>
      </c>
      <c r="K982" s="26">
        <v>0</v>
      </c>
      <c r="L982" s="26">
        <v>0</v>
      </c>
      <c r="M982">
        <v>0</v>
      </c>
      <c r="N982">
        <v>0</v>
      </c>
      <c r="O982">
        <v>0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0</v>
      </c>
      <c r="AK982">
        <v>0</v>
      </c>
      <c r="AL982">
        <v>0</v>
      </c>
      <c r="AM982">
        <v>0</v>
      </c>
      <c r="AN982" s="18" t="s">
        <v>52</v>
      </c>
      <c r="AO982" s="18" t="s">
        <v>52</v>
      </c>
      <c r="AP982" s="18" t="s">
        <v>52</v>
      </c>
      <c r="AQ982" s="18" t="s">
        <v>52</v>
      </c>
      <c r="AR982" s="29">
        <v>0</v>
      </c>
      <c r="AS982" s="29">
        <v>0</v>
      </c>
      <c r="AT982" s="29">
        <v>0</v>
      </c>
      <c r="AU982" s="24" t="str">
        <f t="shared" si="16"/>
        <v>库存为0</v>
      </c>
      <c r="AV982" s="31" t="str">
        <f>IFERROR(时间!$B$4+AU982,"上周无销量")</f>
        <v>上周无销量</v>
      </c>
    </row>
    <row r="983" spans="1:48">
      <c r="A983" s="16" t="s">
        <v>1811</v>
      </c>
      <c r="B983" t="s">
        <v>1812</v>
      </c>
      <c r="C983" t="s">
        <v>1747</v>
      </c>
      <c r="D983" s="24">
        <v>0</v>
      </c>
      <c r="E983" s="24">
        <v>0</v>
      </c>
      <c r="F983" s="24">
        <v>0</v>
      </c>
      <c r="G983" s="24">
        <v>0</v>
      </c>
      <c r="H983" s="25">
        <v>0</v>
      </c>
      <c r="I983">
        <v>0</v>
      </c>
      <c r="J983" s="26">
        <v>0</v>
      </c>
      <c r="K983" s="26">
        <v>0</v>
      </c>
      <c r="L983" s="26">
        <v>0</v>
      </c>
      <c r="M983">
        <v>0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0</v>
      </c>
      <c r="AK983">
        <v>0</v>
      </c>
      <c r="AL983">
        <v>0</v>
      </c>
      <c r="AM983">
        <v>0</v>
      </c>
      <c r="AN983" s="18" t="s">
        <v>52</v>
      </c>
      <c r="AO983" s="18" t="s">
        <v>52</v>
      </c>
      <c r="AP983" s="18" t="s">
        <v>52</v>
      </c>
      <c r="AQ983" s="18" t="s">
        <v>52</v>
      </c>
      <c r="AR983" s="29">
        <v>0</v>
      </c>
      <c r="AS983" s="29">
        <v>0</v>
      </c>
      <c r="AT983" s="29">
        <v>0</v>
      </c>
      <c r="AU983" s="24" t="str">
        <f t="shared" si="16"/>
        <v>库存为0</v>
      </c>
      <c r="AV983" s="31" t="str">
        <f>IFERROR(时间!$B$4+AU983,"上周无销量")</f>
        <v>上周无销量</v>
      </c>
    </row>
    <row r="984" spans="1:48">
      <c r="A984" s="16" t="s">
        <v>1813</v>
      </c>
      <c r="B984" t="s">
        <v>1814</v>
      </c>
      <c r="C984" t="s">
        <v>1747</v>
      </c>
      <c r="D984" s="24">
        <v>4</v>
      </c>
      <c r="E984" s="24">
        <v>6</v>
      </c>
      <c r="F984" s="24">
        <v>4</v>
      </c>
      <c r="G984" s="24">
        <v>1</v>
      </c>
      <c r="H984" s="25">
        <v>15.38</v>
      </c>
      <c r="I984">
        <v>0</v>
      </c>
      <c r="J984" s="26">
        <v>0</v>
      </c>
      <c r="K984" s="26">
        <v>0</v>
      </c>
      <c r="L984" s="26">
        <v>0</v>
      </c>
      <c r="M984">
        <v>0</v>
      </c>
      <c r="N984">
        <v>0</v>
      </c>
      <c r="O984">
        <v>0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9</v>
      </c>
      <c r="AK984">
        <v>27</v>
      </c>
      <c r="AL984">
        <v>32</v>
      </c>
      <c r="AM984">
        <v>25</v>
      </c>
      <c r="AN984" s="18">
        <v>0.444444444444444</v>
      </c>
      <c r="AO984" s="18">
        <v>0.222222222222222</v>
      </c>
      <c r="AP984" s="18">
        <v>0.125</v>
      </c>
      <c r="AQ984" s="18">
        <v>0.04</v>
      </c>
      <c r="AR984" s="29">
        <v>0.571428571428571</v>
      </c>
      <c r="AS984" s="29">
        <v>34.2857142857143</v>
      </c>
      <c r="AT984" s="29">
        <v>-34.2857142857143</v>
      </c>
      <c r="AU984" s="24">
        <f t="shared" si="16"/>
        <v>0</v>
      </c>
      <c r="AV984" s="31">
        <f>IFERROR(时间!$B$4+AU984,"上周无销量")</f>
        <v>43318</v>
      </c>
    </row>
    <row r="985" spans="1:48">
      <c r="A985" s="16" t="s">
        <v>1815</v>
      </c>
      <c r="B985" t="s">
        <v>1816</v>
      </c>
      <c r="C985" t="s">
        <v>1747</v>
      </c>
      <c r="D985" s="24">
        <v>5</v>
      </c>
      <c r="E985" s="24">
        <v>0</v>
      </c>
      <c r="F985" s="24">
        <v>1</v>
      </c>
      <c r="G985" s="24">
        <v>0</v>
      </c>
      <c r="H985" s="25">
        <v>14.98</v>
      </c>
      <c r="I985">
        <v>16</v>
      </c>
      <c r="J985" s="26">
        <v>0</v>
      </c>
      <c r="K985" s="26">
        <v>0</v>
      </c>
      <c r="L985" s="26">
        <v>0</v>
      </c>
      <c r="M985">
        <v>16</v>
      </c>
      <c r="N985">
        <v>0</v>
      </c>
      <c r="O985">
        <v>15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16</v>
      </c>
      <c r="AK985">
        <v>18</v>
      </c>
      <c r="AL985">
        <v>12</v>
      </c>
      <c r="AM985">
        <v>11</v>
      </c>
      <c r="AN985" s="18">
        <v>0.3125</v>
      </c>
      <c r="AO985" s="18">
        <v>0</v>
      </c>
      <c r="AP985" s="18">
        <v>0.0833333333333333</v>
      </c>
      <c r="AQ985" s="18">
        <v>0</v>
      </c>
      <c r="AR985" s="29">
        <v>0.714285714285714</v>
      </c>
      <c r="AS985" s="29">
        <v>42.8571428571429</v>
      </c>
      <c r="AT985" s="29">
        <v>-26.8571428571429</v>
      </c>
      <c r="AU985" s="24">
        <f t="shared" si="16"/>
        <v>22</v>
      </c>
      <c r="AV985" s="31">
        <f>IFERROR(时间!$B$4+AU985,"上周无销量")</f>
        <v>43340</v>
      </c>
    </row>
    <row r="986" spans="1:48">
      <c r="A986" s="16" t="s">
        <v>1817</v>
      </c>
      <c r="B986" t="s">
        <v>1818</v>
      </c>
      <c r="C986" t="s">
        <v>1747</v>
      </c>
      <c r="D986" s="24">
        <v>0</v>
      </c>
      <c r="E986" s="24">
        <v>0</v>
      </c>
      <c r="F986" s="24">
        <v>0</v>
      </c>
      <c r="G986" s="24">
        <v>0</v>
      </c>
      <c r="H986" s="25">
        <v>0</v>
      </c>
      <c r="I986">
        <v>0</v>
      </c>
      <c r="J986" s="26">
        <v>0</v>
      </c>
      <c r="K986" s="26">
        <v>0</v>
      </c>
      <c r="L986" s="26">
        <v>0</v>
      </c>
      <c r="M986">
        <v>0</v>
      </c>
      <c r="N986">
        <v>0</v>
      </c>
      <c r="O986">
        <v>0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0</v>
      </c>
      <c r="AK986">
        <v>0</v>
      </c>
      <c r="AL986">
        <v>0</v>
      </c>
      <c r="AM986">
        <v>0</v>
      </c>
      <c r="AN986" s="18" t="s">
        <v>52</v>
      </c>
      <c r="AO986" s="18" t="s">
        <v>52</v>
      </c>
      <c r="AP986" s="18" t="s">
        <v>52</v>
      </c>
      <c r="AQ986" s="18" t="s">
        <v>52</v>
      </c>
      <c r="AR986" s="29">
        <v>0</v>
      </c>
      <c r="AS986" s="29">
        <v>0</v>
      </c>
      <c r="AT986" s="29">
        <v>0</v>
      </c>
      <c r="AU986" s="24" t="str">
        <f t="shared" si="16"/>
        <v>库存为0</v>
      </c>
      <c r="AV986" s="31" t="str">
        <f>IFERROR(时间!$B$4+AU986,"上周无销量")</f>
        <v>上周无销量</v>
      </c>
    </row>
    <row r="987" spans="1:48">
      <c r="A987" s="16" t="s">
        <v>1819</v>
      </c>
      <c r="B987" t="s">
        <v>1820</v>
      </c>
      <c r="C987" t="s">
        <v>1747</v>
      </c>
      <c r="D987" s="24">
        <v>1</v>
      </c>
      <c r="E987" s="24">
        <v>0</v>
      </c>
      <c r="F987" s="24">
        <v>0</v>
      </c>
      <c r="G987" s="24">
        <v>0</v>
      </c>
      <c r="H987" s="25">
        <v>14.98</v>
      </c>
      <c r="I987">
        <v>7</v>
      </c>
      <c r="J987" s="26">
        <v>0</v>
      </c>
      <c r="K987" s="26">
        <v>0</v>
      </c>
      <c r="L987" s="26">
        <v>0</v>
      </c>
      <c r="M987">
        <v>7</v>
      </c>
      <c r="N987">
        <v>0</v>
      </c>
      <c r="O987">
        <v>8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2</v>
      </c>
      <c r="AK987">
        <v>7</v>
      </c>
      <c r="AL987">
        <v>6</v>
      </c>
      <c r="AM987">
        <v>8</v>
      </c>
      <c r="AN987" s="18">
        <v>0.5</v>
      </c>
      <c r="AO987" s="18">
        <v>0</v>
      </c>
      <c r="AP987" s="18">
        <v>0</v>
      </c>
      <c r="AQ987" s="18">
        <v>0</v>
      </c>
      <c r="AR987" s="29">
        <v>0.142857142857143</v>
      </c>
      <c r="AS987" s="29">
        <v>8.57142857142857</v>
      </c>
      <c r="AT987" s="29">
        <v>-1.57142857142857</v>
      </c>
      <c r="AU987" s="24">
        <f t="shared" si="16"/>
        <v>49</v>
      </c>
      <c r="AV987" s="31">
        <f>IFERROR(时间!$B$4+AU987,"上周无销量")</f>
        <v>43367</v>
      </c>
    </row>
    <row r="988" spans="1:48">
      <c r="A988" s="16" t="s">
        <v>1821</v>
      </c>
      <c r="B988" t="s">
        <v>1822</v>
      </c>
      <c r="C988" t="s">
        <v>1747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0</v>
      </c>
      <c r="J988" s="26">
        <v>0</v>
      </c>
      <c r="K988" s="26">
        <v>0</v>
      </c>
      <c r="L988" s="26">
        <v>0</v>
      </c>
      <c r="M988">
        <v>0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0</v>
      </c>
      <c r="AK988">
        <v>0</v>
      </c>
      <c r="AL988">
        <v>0</v>
      </c>
      <c r="AM988">
        <v>0</v>
      </c>
      <c r="AN988" s="18" t="s">
        <v>52</v>
      </c>
      <c r="AO988" s="18" t="s">
        <v>52</v>
      </c>
      <c r="AP988" s="18" t="s">
        <v>52</v>
      </c>
      <c r="AQ988" s="18" t="s">
        <v>52</v>
      </c>
      <c r="AR988" s="29">
        <v>0</v>
      </c>
      <c r="AS988" s="29">
        <v>0</v>
      </c>
      <c r="AT988" s="29">
        <v>0</v>
      </c>
      <c r="AU988" s="24" t="str">
        <f t="shared" si="16"/>
        <v>库存为0</v>
      </c>
      <c r="AV988" s="31" t="str">
        <f>IFERROR(时间!$B$4+AU988,"上周无销量")</f>
        <v>上周无销量</v>
      </c>
    </row>
    <row r="989" spans="1:48">
      <c r="A989" s="16" t="s">
        <v>1823</v>
      </c>
      <c r="B989" t="s">
        <v>1824</v>
      </c>
      <c r="C989" t="s">
        <v>1747</v>
      </c>
      <c r="D989" s="24">
        <v>1</v>
      </c>
      <c r="E989" s="24">
        <v>3</v>
      </c>
      <c r="F989" s="24">
        <v>1</v>
      </c>
      <c r="G989" s="24">
        <v>0</v>
      </c>
      <c r="H989" s="25">
        <v>17.38</v>
      </c>
      <c r="I989">
        <v>21</v>
      </c>
      <c r="J989" s="26">
        <v>0</v>
      </c>
      <c r="K989" s="26">
        <v>0</v>
      </c>
      <c r="L989" s="26">
        <v>0</v>
      </c>
      <c r="M989">
        <v>21</v>
      </c>
      <c r="N989">
        <v>0</v>
      </c>
      <c r="O989">
        <v>16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11</v>
      </c>
      <c r="AK989">
        <v>7</v>
      </c>
      <c r="AL989">
        <v>11</v>
      </c>
      <c r="AM989">
        <v>14</v>
      </c>
      <c r="AN989" s="18">
        <v>0.0909090909090909</v>
      </c>
      <c r="AO989" s="18">
        <v>0.428571428571429</v>
      </c>
      <c r="AP989" s="18">
        <v>0.0909090909090909</v>
      </c>
      <c r="AQ989" s="18">
        <v>0</v>
      </c>
      <c r="AR989" s="29">
        <v>0.142857142857143</v>
      </c>
      <c r="AS989" s="29">
        <v>8.57142857142857</v>
      </c>
      <c r="AT989" s="29">
        <v>12.4285714285714</v>
      </c>
      <c r="AU989" s="24">
        <f t="shared" si="16"/>
        <v>147</v>
      </c>
      <c r="AV989" s="31">
        <f>IFERROR(时间!$B$4+AU989,"上周无销量")</f>
        <v>43465</v>
      </c>
    </row>
    <row r="990" spans="1:48">
      <c r="A990" s="16" t="s">
        <v>1825</v>
      </c>
      <c r="B990" t="s">
        <v>1826</v>
      </c>
      <c r="C990" t="s">
        <v>1747</v>
      </c>
      <c r="D990" s="24">
        <v>1</v>
      </c>
      <c r="E990" s="24">
        <v>1</v>
      </c>
      <c r="F990" s="24">
        <v>1</v>
      </c>
      <c r="G990" s="24">
        <v>0</v>
      </c>
      <c r="H990" s="25">
        <v>14.98</v>
      </c>
      <c r="I990">
        <v>27</v>
      </c>
      <c r="J990" s="26">
        <v>0</v>
      </c>
      <c r="K990" s="26">
        <v>0</v>
      </c>
      <c r="L990" s="26">
        <v>0</v>
      </c>
      <c r="M990">
        <v>27</v>
      </c>
      <c r="N990">
        <v>0</v>
      </c>
      <c r="O990">
        <v>25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10</v>
      </c>
      <c r="AK990">
        <v>6</v>
      </c>
      <c r="AL990">
        <v>14</v>
      </c>
      <c r="AM990">
        <v>11</v>
      </c>
      <c r="AN990" s="18">
        <v>0.1</v>
      </c>
      <c r="AO990" s="18">
        <v>0.166666666666667</v>
      </c>
      <c r="AP990" s="18">
        <v>0.0714285714285714</v>
      </c>
      <c r="AQ990" s="18">
        <v>0</v>
      </c>
      <c r="AR990" s="29">
        <v>0.142857142857143</v>
      </c>
      <c r="AS990" s="29">
        <v>8.57142857142857</v>
      </c>
      <c r="AT990" s="29">
        <v>18.4285714285714</v>
      </c>
      <c r="AU990" s="24">
        <f t="shared" si="16"/>
        <v>189</v>
      </c>
      <c r="AV990" s="31">
        <f>IFERROR(时间!$B$4+AU990,"上周无销量")</f>
        <v>43507</v>
      </c>
    </row>
    <row r="991" spans="1:48">
      <c r="A991" s="16" t="s">
        <v>1827</v>
      </c>
      <c r="B991" t="s">
        <v>1828</v>
      </c>
      <c r="C991" t="s">
        <v>1747</v>
      </c>
      <c r="D991" s="24">
        <v>0</v>
      </c>
      <c r="E991" s="24">
        <v>0</v>
      </c>
      <c r="F991" s="24">
        <v>0</v>
      </c>
      <c r="G991" s="24">
        <v>0</v>
      </c>
      <c r="H991" s="25">
        <v>0</v>
      </c>
      <c r="I991">
        <v>0</v>
      </c>
      <c r="J991" s="26">
        <v>0</v>
      </c>
      <c r="K991" s="26">
        <v>0</v>
      </c>
      <c r="L991" s="26">
        <v>0</v>
      </c>
      <c r="M991">
        <v>0</v>
      </c>
      <c r="N991">
        <v>0</v>
      </c>
      <c r="O991">
        <v>0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0</v>
      </c>
      <c r="AK991">
        <v>0</v>
      </c>
      <c r="AL991">
        <v>0</v>
      </c>
      <c r="AM991">
        <v>0</v>
      </c>
      <c r="AN991" s="18" t="s">
        <v>52</v>
      </c>
      <c r="AO991" s="18" t="s">
        <v>52</v>
      </c>
      <c r="AP991" s="18" t="s">
        <v>52</v>
      </c>
      <c r="AQ991" s="18" t="s">
        <v>52</v>
      </c>
      <c r="AR991" s="29">
        <v>0</v>
      </c>
      <c r="AS991" s="29">
        <v>0</v>
      </c>
      <c r="AT991" s="29">
        <v>0</v>
      </c>
      <c r="AU991" s="24" t="str">
        <f t="shared" si="16"/>
        <v>库存为0</v>
      </c>
      <c r="AV991" s="31" t="str">
        <f>IFERROR(时间!$B$4+AU991,"上周无销量")</f>
        <v>上周无销量</v>
      </c>
    </row>
    <row r="992" spans="1:48">
      <c r="A992" s="16" t="s">
        <v>1829</v>
      </c>
      <c r="B992" t="s">
        <v>1830</v>
      </c>
      <c r="C992" t="s">
        <v>1831</v>
      </c>
      <c r="D992" s="24">
        <v>0</v>
      </c>
      <c r="E992" s="24">
        <v>0</v>
      </c>
      <c r="F992" s="24">
        <v>0</v>
      </c>
      <c r="G992" s="24">
        <v>0</v>
      </c>
      <c r="H992" s="25">
        <v>0</v>
      </c>
      <c r="I992">
        <v>0</v>
      </c>
      <c r="J992" s="26">
        <v>0</v>
      </c>
      <c r="K992" s="26">
        <v>0</v>
      </c>
      <c r="L992" s="26">
        <v>0</v>
      </c>
      <c r="M992">
        <v>0</v>
      </c>
      <c r="N992">
        <v>0</v>
      </c>
      <c r="O992">
        <v>0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0</v>
      </c>
      <c r="AK992">
        <v>0</v>
      </c>
      <c r="AL992">
        <v>0</v>
      </c>
      <c r="AM992">
        <v>0</v>
      </c>
      <c r="AN992" s="18" t="s">
        <v>52</v>
      </c>
      <c r="AO992" s="18" t="s">
        <v>52</v>
      </c>
      <c r="AP992" s="18" t="s">
        <v>52</v>
      </c>
      <c r="AQ992" s="18" t="s">
        <v>52</v>
      </c>
      <c r="AR992" s="29">
        <v>0</v>
      </c>
      <c r="AS992" s="29">
        <v>0</v>
      </c>
      <c r="AT992" s="29">
        <v>0</v>
      </c>
      <c r="AU992" s="24" t="str">
        <f t="shared" si="16"/>
        <v>库存为0</v>
      </c>
      <c r="AV992" s="31" t="str">
        <f>IFERROR(时间!$B$4+AU992,"上周无销量")</f>
        <v>上周无销量</v>
      </c>
    </row>
    <row r="993" spans="1:48">
      <c r="A993" s="16" t="s">
        <v>1832</v>
      </c>
      <c r="B993" t="s">
        <v>1833</v>
      </c>
      <c r="C993" t="s">
        <v>1831</v>
      </c>
      <c r="D993" s="24">
        <v>1</v>
      </c>
      <c r="E993" s="24">
        <v>0</v>
      </c>
      <c r="F993" s="24">
        <v>0</v>
      </c>
      <c r="G993" s="24">
        <v>0</v>
      </c>
      <c r="H993" s="25">
        <v>14.98</v>
      </c>
      <c r="I993">
        <v>46</v>
      </c>
      <c r="J993" s="26">
        <v>0</v>
      </c>
      <c r="K993" s="26">
        <v>0</v>
      </c>
      <c r="L993" s="26">
        <v>0</v>
      </c>
      <c r="M993">
        <v>46</v>
      </c>
      <c r="N993">
        <v>0</v>
      </c>
      <c r="O993">
        <v>46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3</v>
      </c>
      <c r="AK993">
        <v>9</v>
      </c>
      <c r="AL993">
        <v>7</v>
      </c>
      <c r="AM993">
        <v>2</v>
      </c>
      <c r="AN993" s="18">
        <v>0.333333333333333</v>
      </c>
      <c r="AO993" s="18">
        <v>0</v>
      </c>
      <c r="AP993" s="18">
        <v>0</v>
      </c>
      <c r="AQ993" s="18">
        <v>0</v>
      </c>
      <c r="AR993" s="29">
        <v>0.142857142857143</v>
      </c>
      <c r="AS993" s="29">
        <v>8.57142857142857</v>
      </c>
      <c r="AT993" s="29">
        <v>37.4285714285714</v>
      </c>
      <c r="AU993" s="24">
        <f t="shared" si="16"/>
        <v>322</v>
      </c>
      <c r="AV993" s="31">
        <f>IFERROR(时间!$B$4+AU993,"上周无销量")</f>
        <v>43640</v>
      </c>
    </row>
    <row r="994" spans="1:48">
      <c r="A994" s="16" t="s">
        <v>1834</v>
      </c>
      <c r="B994" t="s">
        <v>1835</v>
      </c>
      <c r="C994" t="s">
        <v>1831</v>
      </c>
      <c r="D994" s="24">
        <v>0</v>
      </c>
      <c r="E994" s="24">
        <v>0</v>
      </c>
      <c r="F994" s="24">
        <v>0</v>
      </c>
      <c r="G994" s="24">
        <v>0</v>
      </c>
      <c r="H994" s="25">
        <v>0</v>
      </c>
      <c r="I994">
        <v>19</v>
      </c>
      <c r="J994" s="26">
        <v>0</v>
      </c>
      <c r="K994" s="26">
        <v>0</v>
      </c>
      <c r="L994" s="26">
        <v>0</v>
      </c>
      <c r="M994">
        <v>19</v>
      </c>
      <c r="N994">
        <v>0</v>
      </c>
      <c r="O994">
        <v>19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0</v>
      </c>
      <c r="AK994">
        <v>0</v>
      </c>
      <c r="AL994">
        <v>0</v>
      </c>
      <c r="AM994">
        <v>0</v>
      </c>
      <c r="AN994" s="18" t="s">
        <v>52</v>
      </c>
      <c r="AO994" s="18" t="s">
        <v>52</v>
      </c>
      <c r="AP994" s="18" t="s">
        <v>52</v>
      </c>
      <c r="AQ994" s="18" t="s">
        <v>52</v>
      </c>
      <c r="AR994" s="29">
        <v>0</v>
      </c>
      <c r="AS994" s="29">
        <v>0</v>
      </c>
      <c r="AT994" s="29">
        <v>19</v>
      </c>
      <c r="AU994" s="24" t="str">
        <f t="shared" si="16"/>
        <v>库存为19</v>
      </c>
      <c r="AV994" s="31" t="str">
        <f>IFERROR(时间!$B$4+AU994,"上周无销量")</f>
        <v>上周无销量</v>
      </c>
    </row>
    <row r="995" spans="1:48">
      <c r="A995" s="16" t="s">
        <v>1836</v>
      </c>
      <c r="B995" t="s">
        <v>1837</v>
      </c>
      <c r="C995" t="s">
        <v>1831</v>
      </c>
      <c r="D995" s="24">
        <v>0</v>
      </c>
      <c r="E995" s="24">
        <v>0</v>
      </c>
      <c r="F995" s="24">
        <v>0</v>
      </c>
      <c r="G995" s="24">
        <v>0</v>
      </c>
      <c r="H995" s="25">
        <v>0</v>
      </c>
      <c r="I995">
        <v>0</v>
      </c>
      <c r="J995" s="26">
        <v>0</v>
      </c>
      <c r="K995" s="26">
        <v>0</v>
      </c>
      <c r="L995" s="26">
        <v>0</v>
      </c>
      <c r="M995">
        <v>0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0</v>
      </c>
      <c r="AK995">
        <v>0</v>
      </c>
      <c r="AL995">
        <v>0</v>
      </c>
      <c r="AM995">
        <v>0</v>
      </c>
      <c r="AN995" s="18" t="s">
        <v>52</v>
      </c>
      <c r="AO995" s="18" t="s">
        <v>52</v>
      </c>
      <c r="AP995" s="18" t="s">
        <v>52</v>
      </c>
      <c r="AQ995" s="18" t="s">
        <v>52</v>
      </c>
      <c r="AR995" s="29">
        <v>0</v>
      </c>
      <c r="AS995" s="29">
        <v>0</v>
      </c>
      <c r="AT995" s="29">
        <v>0</v>
      </c>
      <c r="AU995" s="24" t="str">
        <f t="shared" si="16"/>
        <v>库存为0</v>
      </c>
      <c r="AV995" s="31" t="str">
        <f>IFERROR(时间!$B$4+AU995,"上周无销量")</f>
        <v>上周无销量</v>
      </c>
    </row>
    <row r="996" spans="1:48">
      <c r="A996" s="16" t="s">
        <v>1838</v>
      </c>
      <c r="B996" t="s">
        <v>1839</v>
      </c>
      <c r="C996" t="s">
        <v>1831</v>
      </c>
      <c r="D996" s="24">
        <v>0</v>
      </c>
      <c r="E996" s="24">
        <v>0</v>
      </c>
      <c r="F996" s="24">
        <v>0</v>
      </c>
      <c r="G996" s="24">
        <v>0</v>
      </c>
      <c r="H996" s="25">
        <v>0</v>
      </c>
      <c r="I996">
        <v>0</v>
      </c>
      <c r="J996" s="26">
        <v>0</v>
      </c>
      <c r="K996" s="26">
        <v>0</v>
      </c>
      <c r="L996" s="26">
        <v>0</v>
      </c>
      <c r="M996">
        <v>0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0</v>
      </c>
      <c r="AK996">
        <v>0</v>
      </c>
      <c r="AL996">
        <v>0</v>
      </c>
      <c r="AM996">
        <v>0</v>
      </c>
      <c r="AN996" s="18" t="s">
        <v>52</v>
      </c>
      <c r="AO996" s="18" t="s">
        <v>52</v>
      </c>
      <c r="AP996" s="18" t="s">
        <v>52</v>
      </c>
      <c r="AQ996" s="18" t="s">
        <v>52</v>
      </c>
      <c r="AR996" s="29">
        <v>0</v>
      </c>
      <c r="AS996" s="29">
        <v>0</v>
      </c>
      <c r="AT996" s="29">
        <v>0</v>
      </c>
      <c r="AU996" s="24" t="str">
        <f t="shared" si="16"/>
        <v>库存为0</v>
      </c>
      <c r="AV996" s="31" t="str">
        <f>IFERROR(时间!$B$4+AU996,"上周无销量")</f>
        <v>上周无销量</v>
      </c>
    </row>
    <row r="997" spans="1:48">
      <c r="A997" s="16" t="s">
        <v>1840</v>
      </c>
      <c r="B997" t="s">
        <v>1841</v>
      </c>
      <c r="C997" t="s">
        <v>1831</v>
      </c>
      <c r="D997" s="24">
        <v>0</v>
      </c>
      <c r="E997" s="24">
        <v>0</v>
      </c>
      <c r="F997" s="24">
        <v>0</v>
      </c>
      <c r="G997" s="24">
        <v>0</v>
      </c>
      <c r="H997" s="25">
        <v>0</v>
      </c>
      <c r="I997">
        <v>2</v>
      </c>
      <c r="J997" s="26">
        <v>0</v>
      </c>
      <c r="K997" s="26">
        <v>0</v>
      </c>
      <c r="L997" s="26">
        <v>0</v>
      </c>
      <c r="M997">
        <v>2</v>
      </c>
      <c r="N997">
        <v>0</v>
      </c>
      <c r="O997">
        <v>2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3</v>
      </c>
      <c r="AK997">
        <v>0</v>
      </c>
      <c r="AL997">
        <v>0</v>
      </c>
      <c r="AM997">
        <v>0</v>
      </c>
      <c r="AN997" s="18">
        <v>0</v>
      </c>
      <c r="AO997" s="18" t="s">
        <v>52</v>
      </c>
      <c r="AP997" s="18" t="s">
        <v>52</v>
      </c>
      <c r="AQ997" s="18" t="s">
        <v>52</v>
      </c>
      <c r="AR997" s="29">
        <v>0</v>
      </c>
      <c r="AS997" s="29">
        <v>0</v>
      </c>
      <c r="AT997" s="29">
        <v>2</v>
      </c>
      <c r="AU997" s="24" t="str">
        <f t="shared" si="16"/>
        <v>库存为2</v>
      </c>
      <c r="AV997" s="31" t="str">
        <f>IFERROR(时间!$B$4+AU997,"上周无销量")</f>
        <v>上周无销量</v>
      </c>
    </row>
    <row r="998" spans="1:48">
      <c r="A998" s="16" t="s">
        <v>1842</v>
      </c>
      <c r="B998" t="s">
        <v>1843</v>
      </c>
      <c r="C998" t="s">
        <v>1831</v>
      </c>
      <c r="D998" s="24">
        <v>0</v>
      </c>
      <c r="E998" s="24">
        <v>0</v>
      </c>
      <c r="F998" s="24">
        <v>0</v>
      </c>
      <c r="G998" s="24">
        <v>0</v>
      </c>
      <c r="H998" s="25">
        <v>0</v>
      </c>
      <c r="I998">
        <v>0</v>
      </c>
      <c r="J998" s="26">
        <v>0</v>
      </c>
      <c r="K998" s="26">
        <v>0</v>
      </c>
      <c r="L998" s="26">
        <v>0</v>
      </c>
      <c r="M998">
        <v>0</v>
      </c>
      <c r="N998">
        <v>0</v>
      </c>
      <c r="O998">
        <v>0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0</v>
      </c>
      <c r="AK998">
        <v>0</v>
      </c>
      <c r="AL998">
        <v>0</v>
      </c>
      <c r="AM998">
        <v>0</v>
      </c>
      <c r="AN998" s="18" t="s">
        <v>52</v>
      </c>
      <c r="AO998" s="18" t="s">
        <v>52</v>
      </c>
      <c r="AP998" s="18" t="s">
        <v>52</v>
      </c>
      <c r="AQ998" s="18" t="s">
        <v>52</v>
      </c>
      <c r="AR998" s="29">
        <v>0</v>
      </c>
      <c r="AS998" s="29">
        <v>0</v>
      </c>
      <c r="AT998" s="29">
        <v>0</v>
      </c>
      <c r="AU998" s="24" t="str">
        <f t="shared" si="16"/>
        <v>库存为0</v>
      </c>
      <c r="AV998" s="31" t="str">
        <f>IFERROR(时间!$B$4+AU998,"上周无销量")</f>
        <v>上周无销量</v>
      </c>
    </row>
    <row r="999" spans="1:48">
      <c r="A999" s="16" t="s">
        <v>1844</v>
      </c>
      <c r="B999" t="s">
        <v>1845</v>
      </c>
      <c r="C999" t="s">
        <v>1831</v>
      </c>
      <c r="D999" s="24">
        <v>0</v>
      </c>
      <c r="E999" s="24">
        <v>0</v>
      </c>
      <c r="F999" s="24">
        <v>0</v>
      </c>
      <c r="G999" s="24">
        <v>0</v>
      </c>
      <c r="H999" s="25">
        <v>0</v>
      </c>
      <c r="I999">
        <v>0</v>
      </c>
      <c r="J999" s="26">
        <v>0</v>
      </c>
      <c r="K999" s="26">
        <v>0</v>
      </c>
      <c r="L999" s="26">
        <v>0</v>
      </c>
      <c r="M999">
        <v>0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0</v>
      </c>
      <c r="AK999">
        <v>0</v>
      </c>
      <c r="AL999">
        <v>0</v>
      </c>
      <c r="AM999">
        <v>0</v>
      </c>
      <c r="AN999" s="18" t="s">
        <v>52</v>
      </c>
      <c r="AO999" s="18" t="s">
        <v>52</v>
      </c>
      <c r="AP999" s="18" t="s">
        <v>52</v>
      </c>
      <c r="AQ999" s="18" t="s">
        <v>52</v>
      </c>
      <c r="AR999" s="29">
        <v>0</v>
      </c>
      <c r="AS999" s="29">
        <v>0</v>
      </c>
      <c r="AT999" s="29">
        <v>0</v>
      </c>
      <c r="AU999" s="24" t="str">
        <f t="shared" si="16"/>
        <v>库存为0</v>
      </c>
      <c r="AV999" s="31" t="str">
        <f>IFERROR(时间!$B$4+AU999,"上周无销量")</f>
        <v>上周无销量</v>
      </c>
    </row>
    <row r="1000" spans="1:48">
      <c r="A1000" s="16" t="s">
        <v>1846</v>
      </c>
      <c r="B1000" t="s">
        <v>1847</v>
      </c>
      <c r="C1000" t="s">
        <v>1831</v>
      </c>
      <c r="D1000" s="24">
        <v>0</v>
      </c>
      <c r="E1000" s="24">
        <v>0</v>
      </c>
      <c r="F1000" s="24">
        <v>0</v>
      </c>
      <c r="G1000" s="24">
        <v>0</v>
      </c>
      <c r="H1000" s="25">
        <v>0</v>
      </c>
      <c r="I1000">
        <v>1</v>
      </c>
      <c r="J1000" s="26">
        <v>0</v>
      </c>
      <c r="K1000" s="26">
        <v>0</v>
      </c>
      <c r="L1000" s="26">
        <v>0</v>
      </c>
      <c r="M1000">
        <v>1</v>
      </c>
      <c r="N1000">
        <v>0</v>
      </c>
      <c r="O1000">
        <v>0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0</v>
      </c>
      <c r="AK1000">
        <v>0</v>
      </c>
      <c r="AL1000">
        <v>0</v>
      </c>
      <c r="AM1000">
        <v>0</v>
      </c>
      <c r="AN1000" s="18" t="s">
        <v>52</v>
      </c>
      <c r="AO1000" s="18" t="s">
        <v>52</v>
      </c>
      <c r="AP1000" s="18" t="s">
        <v>52</v>
      </c>
      <c r="AQ1000" s="18" t="s">
        <v>52</v>
      </c>
      <c r="AR1000" s="29">
        <v>0</v>
      </c>
      <c r="AS1000" s="29">
        <v>0</v>
      </c>
      <c r="AT1000" s="29">
        <v>1</v>
      </c>
      <c r="AU1000" s="24" t="str">
        <f t="shared" si="16"/>
        <v>库存为1</v>
      </c>
      <c r="AV1000" s="31" t="str">
        <f>IFERROR(时间!$B$4+AU1000,"上周无销量")</f>
        <v>上周无销量</v>
      </c>
    </row>
    <row r="1001" spans="1:48">
      <c r="A1001" s="16" t="s">
        <v>1848</v>
      </c>
      <c r="B1001" t="s">
        <v>1849</v>
      </c>
      <c r="C1001" t="s">
        <v>1831</v>
      </c>
      <c r="D1001" s="24">
        <v>0</v>
      </c>
      <c r="E1001" s="24">
        <v>0</v>
      </c>
      <c r="F1001" s="24">
        <v>0</v>
      </c>
      <c r="G1001" s="24">
        <v>0</v>
      </c>
      <c r="H1001" s="25">
        <v>0</v>
      </c>
      <c r="I1001">
        <v>0</v>
      </c>
      <c r="J1001" s="26">
        <v>0</v>
      </c>
      <c r="K1001" s="26">
        <v>0</v>
      </c>
      <c r="L1001" s="26">
        <v>0</v>
      </c>
      <c r="M1001">
        <v>0</v>
      </c>
      <c r="N1001">
        <v>0</v>
      </c>
      <c r="O1001">
        <v>0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0</v>
      </c>
      <c r="AK1001">
        <v>0</v>
      </c>
      <c r="AL1001">
        <v>0</v>
      </c>
      <c r="AM1001">
        <v>0</v>
      </c>
      <c r="AN1001" s="18" t="s">
        <v>52</v>
      </c>
      <c r="AO1001" s="18" t="s">
        <v>52</v>
      </c>
      <c r="AP1001" s="18" t="s">
        <v>52</v>
      </c>
      <c r="AQ1001" s="18" t="s">
        <v>52</v>
      </c>
      <c r="AR1001" s="29">
        <v>0</v>
      </c>
      <c r="AS1001" s="29">
        <v>0</v>
      </c>
      <c r="AT1001" s="29">
        <v>0</v>
      </c>
      <c r="AU1001" s="24" t="str">
        <f t="shared" si="16"/>
        <v>库存为0</v>
      </c>
      <c r="AV1001" s="31" t="str">
        <f>IFERROR(时间!$B$4+AU1001,"上周无销量")</f>
        <v>上周无销量</v>
      </c>
    </row>
    <row r="1002" spans="1:48">
      <c r="A1002" s="16" t="s">
        <v>1850</v>
      </c>
      <c r="B1002" t="s">
        <v>1851</v>
      </c>
      <c r="C1002" t="s">
        <v>1831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12</v>
      </c>
      <c r="J1002" s="26">
        <v>0</v>
      </c>
      <c r="K1002" s="26">
        <v>0</v>
      </c>
      <c r="L1002" s="26">
        <v>0</v>
      </c>
      <c r="M1002">
        <v>12</v>
      </c>
      <c r="N1002">
        <v>0</v>
      </c>
      <c r="O1002">
        <v>11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3</v>
      </c>
      <c r="AK1002">
        <v>6</v>
      </c>
      <c r="AL1002">
        <v>4</v>
      </c>
      <c r="AM1002">
        <v>3</v>
      </c>
      <c r="AN1002" s="18">
        <v>0</v>
      </c>
      <c r="AO1002" s="18">
        <v>0</v>
      </c>
      <c r="AP1002" s="18">
        <v>0</v>
      </c>
      <c r="AQ1002" s="18">
        <v>0</v>
      </c>
      <c r="AR1002" s="29">
        <v>0</v>
      </c>
      <c r="AS1002" s="29">
        <v>0</v>
      </c>
      <c r="AT1002" s="29">
        <v>12</v>
      </c>
      <c r="AU1002" s="24" t="str">
        <f t="shared" si="16"/>
        <v>库存为12</v>
      </c>
      <c r="AV1002" s="31" t="str">
        <f>IFERROR(时间!$B$4+AU1002,"上周无销量")</f>
        <v>上周无销量</v>
      </c>
    </row>
    <row r="1003" spans="1:48">
      <c r="A1003" s="16" t="s">
        <v>1852</v>
      </c>
      <c r="B1003" t="s">
        <v>1853</v>
      </c>
      <c r="C1003" t="s">
        <v>1831</v>
      </c>
      <c r="D1003" s="24">
        <v>8</v>
      </c>
      <c r="E1003" s="24">
        <v>2</v>
      </c>
      <c r="F1003" s="24">
        <v>0</v>
      </c>
      <c r="G1003" s="24">
        <v>0</v>
      </c>
      <c r="H1003" s="25">
        <v>10.98</v>
      </c>
      <c r="I1003">
        <v>0</v>
      </c>
      <c r="J1003" s="26">
        <v>0</v>
      </c>
      <c r="K1003" s="26">
        <v>0</v>
      </c>
      <c r="L1003" s="26">
        <v>0</v>
      </c>
      <c r="M1003">
        <v>0</v>
      </c>
      <c r="N1003">
        <v>0</v>
      </c>
      <c r="O1003">
        <v>1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31</v>
      </c>
      <c r="AK1003">
        <v>11</v>
      </c>
      <c r="AL1003">
        <v>11</v>
      </c>
      <c r="AM1003">
        <v>8</v>
      </c>
      <c r="AN1003" s="18">
        <v>0.258064516129032</v>
      </c>
      <c r="AO1003" s="18">
        <v>0.181818181818182</v>
      </c>
      <c r="AP1003" s="18">
        <v>0</v>
      </c>
      <c r="AQ1003" s="18">
        <v>0</v>
      </c>
      <c r="AR1003" s="29">
        <v>1.14285714285714</v>
      </c>
      <c r="AS1003" s="29">
        <v>68.5714285714286</v>
      </c>
      <c r="AT1003" s="29">
        <v>-68.5714285714286</v>
      </c>
      <c r="AU1003" s="24">
        <f t="shared" si="16"/>
        <v>0</v>
      </c>
      <c r="AV1003" s="31">
        <f>IFERROR(时间!$B$4+AU1003,"上周无销量")</f>
        <v>43318</v>
      </c>
    </row>
    <row r="1004" spans="1:48">
      <c r="A1004" s="16" t="s">
        <v>1854</v>
      </c>
      <c r="B1004" t="s">
        <v>1855</v>
      </c>
      <c r="C1004" t="s">
        <v>1831</v>
      </c>
      <c r="D1004" s="24">
        <v>6</v>
      </c>
      <c r="E1004" s="24">
        <v>2</v>
      </c>
      <c r="F1004" s="24">
        <v>2</v>
      </c>
      <c r="G1004" s="24">
        <v>1</v>
      </c>
      <c r="H1004" s="25">
        <v>15.2527272727273</v>
      </c>
      <c r="I1004">
        <v>53</v>
      </c>
      <c r="J1004" s="26">
        <v>0</v>
      </c>
      <c r="K1004" s="26">
        <v>0</v>
      </c>
      <c r="L1004" s="26">
        <v>0</v>
      </c>
      <c r="M1004">
        <v>53</v>
      </c>
      <c r="N1004">
        <v>0</v>
      </c>
      <c r="O1004">
        <v>50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9</v>
      </c>
      <c r="AK1004">
        <v>11</v>
      </c>
      <c r="AL1004">
        <v>12</v>
      </c>
      <c r="AM1004">
        <v>11</v>
      </c>
      <c r="AN1004" s="18">
        <v>0.666666666666667</v>
      </c>
      <c r="AO1004" s="18">
        <v>0.181818181818182</v>
      </c>
      <c r="AP1004" s="18">
        <v>0.166666666666667</v>
      </c>
      <c r="AQ1004" s="18">
        <v>0.0909090909090909</v>
      </c>
      <c r="AR1004" s="29">
        <v>0.857142857142857</v>
      </c>
      <c r="AS1004" s="29">
        <v>51.4285714285714</v>
      </c>
      <c r="AT1004" s="29">
        <v>1.57142857142858</v>
      </c>
      <c r="AU1004" s="24">
        <f t="shared" si="16"/>
        <v>61</v>
      </c>
      <c r="AV1004" s="31">
        <f>IFERROR(时间!$B$4+AU1004,"上周无销量")</f>
        <v>43379</v>
      </c>
    </row>
    <row r="1005" spans="1:48">
      <c r="A1005" s="16" t="s">
        <v>1856</v>
      </c>
      <c r="B1005" t="s">
        <v>1857</v>
      </c>
      <c r="C1005" t="s">
        <v>1831</v>
      </c>
      <c r="D1005" s="24">
        <v>5</v>
      </c>
      <c r="E1005" s="24">
        <v>0</v>
      </c>
      <c r="F1005" s="24">
        <v>2</v>
      </c>
      <c r="G1005" s="24">
        <v>0</v>
      </c>
      <c r="H1005" s="25">
        <v>14.98</v>
      </c>
      <c r="I1005">
        <v>16</v>
      </c>
      <c r="J1005" s="26">
        <v>0</v>
      </c>
      <c r="K1005" s="26">
        <v>0</v>
      </c>
      <c r="L1005" s="26">
        <v>0</v>
      </c>
      <c r="M1005">
        <v>16</v>
      </c>
      <c r="N1005">
        <v>0</v>
      </c>
      <c r="O1005">
        <v>16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8</v>
      </c>
      <c r="AK1005">
        <v>8</v>
      </c>
      <c r="AL1005">
        <v>9</v>
      </c>
      <c r="AM1005">
        <v>9</v>
      </c>
      <c r="AN1005" s="18">
        <v>0.625</v>
      </c>
      <c r="AO1005" s="18">
        <v>0</v>
      </c>
      <c r="AP1005" s="18">
        <v>0.222222222222222</v>
      </c>
      <c r="AQ1005" s="18">
        <v>0</v>
      </c>
      <c r="AR1005" s="29">
        <v>0.714285714285714</v>
      </c>
      <c r="AS1005" s="29">
        <v>42.8571428571429</v>
      </c>
      <c r="AT1005" s="29">
        <v>-26.8571428571429</v>
      </c>
      <c r="AU1005" s="24">
        <f t="shared" si="16"/>
        <v>22</v>
      </c>
      <c r="AV1005" s="31">
        <f>IFERROR(时间!$B$4+AU1005,"上周无销量")</f>
        <v>43340</v>
      </c>
    </row>
    <row r="1006" spans="1:48">
      <c r="A1006" s="16" t="s">
        <v>1858</v>
      </c>
      <c r="B1006" t="s">
        <v>1859</v>
      </c>
      <c r="C1006" t="s">
        <v>1860</v>
      </c>
      <c r="D1006" s="24">
        <v>0</v>
      </c>
      <c r="E1006" s="24">
        <v>0</v>
      </c>
      <c r="F1006" s="24">
        <v>0</v>
      </c>
      <c r="G1006" s="24">
        <v>0</v>
      </c>
      <c r="H1006" s="25">
        <v>0</v>
      </c>
      <c r="I1006">
        <v>0</v>
      </c>
      <c r="J1006" s="26">
        <v>0</v>
      </c>
      <c r="K1006" s="26">
        <v>0</v>
      </c>
      <c r="L1006" s="26">
        <v>0</v>
      </c>
      <c r="M1006">
        <v>0</v>
      </c>
      <c r="N1006">
        <v>0</v>
      </c>
      <c r="O1006">
        <v>0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0</v>
      </c>
      <c r="AK1006">
        <v>0</v>
      </c>
      <c r="AL1006">
        <v>0</v>
      </c>
      <c r="AM1006">
        <v>0</v>
      </c>
      <c r="AN1006" s="18" t="s">
        <v>52</v>
      </c>
      <c r="AO1006" s="18" t="s">
        <v>52</v>
      </c>
      <c r="AP1006" s="18" t="s">
        <v>52</v>
      </c>
      <c r="AQ1006" s="18" t="s">
        <v>52</v>
      </c>
      <c r="AR1006" s="29">
        <v>0</v>
      </c>
      <c r="AS1006" s="29">
        <v>0</v>
      </c>
      <c r="AT1006" s="29">
        <v>0</v>
      </c>
      <c r="AU1006" s="24" t="str">
        <f t="shared" si="16"/>
        <v>库存为0</v>
      </c>
      <c r="AV1006" s="31" t="str">
        <f>IFERROR(时间!$B$4+AU1006,"上周无销量")</f>
        <v>上周无销量</v>
      </c>
    </row>
    <row r="1007" spans="1:48">
      <c r="A1007" s="16" t="s">
        <v>1861</v>
      </c>
      <c r="B1007" t="s">
        <v>1862</v>
      </c>
      <c r="C1007" t="s">
        <v>1860</v>
      </c>
      <c r="D1007" s="24">
        <v>0</v>
      </c>
      <c r="E1007" s="24">
        <v>0</v>
      </c>
      <c r="F1007" s="24">
        <v>0</v>
      </c>
      <c r="G1007" s="24">
        <v>0</v>
      </c>
      <c r="H1007" s="25">
        <v>0</v>
      </c>
      <c r="I1007">
        <v>0</v>
      </c>
      <c r="J1007" s="26">
        <v>0</v>
      </c>
      <c r="K1007" s="26">
        <v>0</v>
      </c>
      <c r="L1007" s="26">
        <v>0</v>
      </c>
      <c r="M1007">
        <v>0</v>
      </c>
      <c r="N1007">
        <v>0</v>
      </c>
      <c r="O1007">
        <v>0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0</v>
      </c>
      <c r="AK1007">
        <v>0</v>
      </c>
      <c r="AL1007">
        <v>0</v>
      </c>
      <c r="AM1007">
        <v>0</v>
      </c>
      <c r="AN1007" s="18" t="s">
        <v>52</v>
      </c>
      <c r="AO1007" s="18" t="s">
        <v>52</v>
      </c>
      <c r="AP1007" s="18" t="s">
        <v>52</v>
      </c>
      <c r="AQ1007" s="18" t="s">
        <v>52</v>
      </c>
      <c r="AR1007" s="29">
        <v>0</v>
      </c>
      <c r="AS1007" s="29">
        <v>0</v>
      </c>
      <c r="AT1007" s="29">
        <v>0</v>
      </c>
      <c r="AU1007" s="24" t="str">
        <f t="shared" si="16"/>
        <v>库存为0</v>
      </c>
      <c r="AV1007" s="31" t="str">
        <f>IFERROR(时间!$B$4+AU1007,"上周无销量")</f>
        <v>上周无销量</v>
      </c>
    </row>
    <row r="1008" spans="1:48">
      <c r="A1008" s="16" t="s">
        <v>1863</v>
      </c>
      <c r="B1008" t="s">
        <v>1864</v>
      </c>
      <c r="C1008" t="s">
        <v>1860</v>
      </c>
      <c r="D1008" s="24">
        <v>0</v>
      </c>
      <c r="E1008" s="24">
        <v>0</v>
      </c>
      <c r="F1008" s="24">
        <v>0</v>
      </c>
      <c r="G1008" s="24">
        <v>0</v>
      </c>
      <c r="H1008" s="25">
        <v>0</v>
      </c>
      <c r="I1008">
        <v>0</v>
      </c>
      <c r="J1008" s="26">
        <v>0</v>
      </c>
      <c r="K1008" s="26">
        <v>0</v>
      </c>
      <c r="L1008" s="26">
        <v>0</v>
      </c>
      <c r="M1008">
        <v>0</v>
      </c>
      <c r="N1008">
        <v>0</v>
      </c>
      <c r="O1008">
        <v>0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0</v>
      </c>
      <c r="AK1008">
        <v>0</v>
      </c>
      <c r="AL1008">
        <v>0</v>
      </c>
      <c r="AM1008">
        <v>0</v>
      </c>
      <c r="AN1008" s="18" t="s">
        <v>52</v>
      </c>
      <c r="AO1008" s="18" t="s">
        <v>52</v>
      </c>
      <c r="AP1008" s="18" t="s">
        <v>52</v>
      </c>
      <c r="AQ1008" s="18" t="s">
        <v>52</v>
      </c>
      <c r="AR1008" s="29">
        <v>0</v>
      </c>
      <c r="AS1008" s="29">
        <v>0</v>
      </c>
      <c r="AT1008" s="29">
        <v>0</v>
      </c>
      <c r="AU1008" s="24" t="str">
        <f t="shared" si="16"/>
        <v>库存为0</v>
      </c>
      <c r="AV1008" s="31" t="str">
        <f>IFERROR(时间!$B$4+AU1008,"上周无销量")</f>
        <v>上周无销量</v>
      </c>
    </row>
    <row r="1009" spans="1:48">
      <c r="A1009" s="16" t="s">
        <v>1865</v>
      </c>
      <c r="B1009" t="s">
        <v>1866</v>
      </c>
      <c r="C1009" t="s">
        <v>1860</v>
      </c>
      <c r="D1009" s="24">
        <v>0</v>
      </c>
      <c r="E1009" s="24">
        <v>0</v>
      </c>
      <c r="F1009" s="24">
        <v>0</v>
      </c>
      <c r="G1009" s="24">
        <v>0</v>
      </c>
      <c r="H1009" s="25">
        <v>0</v>
      </c>
      <c r="I1009">
        <v>0</v>
      </c>
      <c r="J1009" s="26">
        <v>0</v>
      </c>
      <c r="K1009" s="26">
        <v>0</v>
      </c>
      <c r="L1009" s="26">
        <v>0</v>
      </c>
      <c r="M1009">
        <v>0</v>
      </c>
      <c r="N1009">
        <v>0</v>
      </c>
      <c r="O1009">
        <v>0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0</v>
      </c>
      <c r="AK1009">
        <v>0</v>
      </c>
      <c r="AL1009">
        <v>0</v>
      </c>
      <c r="AM1009">
        <v>0</v>
      </c>
      <c r="AN1009" s="18" t="s">
        <v>52</v>
      </c>
      <c r="AO1009" s="18" t="s">
        <v>52</v>
      </c>
      <c r="AP1009" s="18" t="s">
        <v>52</v>
      </c>
      <c r="AQ1009" s="18" t="s">
        <v>52</v>
      </c>
      <c r="AR1009" s="29">
        <v>0</v>
      </c>
      <c r="AS1009" s="29">
        <v>0</v>
      </c>
      <c r="AT1009" s="29">
        <v>0</v>
      </c>
      <c r="AU1009" s="24" t="str">
        <f t="shared" si="16"/>
        <v>库存为0</v>
      </c>
      <c r="AV1009" s="31" t="str">
        <f>IFERROR(时间!$B$4+AU1009,"上周无销量")</f>
        <v>上周无销量</v>
      </c>
    </row>
    <row r="1010" spans="1:48">
      <c r="A1010" s="16" t="s">
        <v>1867</v>
      </c>
      <c r="B1010" t="s">
        <v>1868</v>
      </c>
      <c r="C1010" t="s">
        <v>1860</v>
      </c>
      <c r="D1010" s="24">
        <v>0</v>
      </c>
      <c r="E1010" s="24">
        <v>0</v>
      </c>
      <c r="F1010" s="24">
        <v>0</v>
      </c>
      <c r="G1010" s="24">
        <v>0</v>
      </c>
      <c r="H1010" s="25">
        <v>0</v>
      </c>
      <c r="I1010">
        <v>0</v>
      </c>
      <c r="J1010" s="26">
        <v>0</v>
      </c>
      <c r="K1010" s="26">
        <v>0</v>
      </c>
      <c r="L1010" s="26">
        <v>0</v>
      </c>
      <c r="M1010">
        <v>0</v>
      </c>
      <c r="N1010">
        <v>0</v>
      </c>
      <c r="O1010">
        <v>0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0</v>
      </c>
      <c r="AK1010">
        <v>0</v>
      </c>
      <c r="AL1010">
        <v>0</v>
      </c>
      <c r="AM1010">
        <v>0</v>
      </c>
      <c r="AN1010" s="18" t="s">
        <v>52</v>
      </c>
      <c r="AO1010" s="18" t="s">
        <v>52</v>
      </c>
      <c r="AP1010" s="18" t="s">
        <v>52</v>
      </c>
      <c r="AQ1010" s="18" t="s">
        <v>52</v>
      </c>
      <c r="AR1010" s="29">
        <v>0</v>
      </c>
      <c r="AS1010" s="29">
        <v>0</v>
      </c>
      <c r="AT1010" s="29">
        <v>0</v>
      </c>
      <c r="AU1010" s="24" t="str">
        <f t="shared" si="16"/>
        <v>库存为0</v>
      </c>
      <c r="AV1010" s="31" t="str">
        <f>IFERROR(时间!$B$4+AU1010,"上周无销量")</f>
        <v>上周无销量</v>
      </c>
    </row>
    <row r="1011" spans="1:48">
      <c r="A1011" s="16" t="s">
        <v>1869</v>
      </c>
      <c r="B1011" t="s">
        <v>1378</v>
      </c>
      <c r="C1011" t="s">
        <v>1870</v>
      </c>
      <c r="D1011" s="24">
        <v>0</v>
      </c>
      <c r="E1011" s="24">
        <v>0</v>
      </c>
      <c r="F1011" s="24">
        <v>1</v>
      </c>
      <c r="G1011" s="24">
        <v>0</v>
      </c>
      <c r="H1011" s="25">
        <v>27.98</v>
      </c>
      <c r="I1011">
        <v>3</v>
      </c>
      <c r="J1011" s="26">
        <v>0</v>
      </c>
      <c r="K1011" s="26">
        <v>0</v>
      </c>
      <c r="L1011" s="26">
        <v>0</v>
      </c>
      <c r="M1011">
        <v>3</v>
      </c>
      <c r="N1011">
        <v>0</v>
      </c>
      <c r="O1011">
        <v>2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4</v>
      </c>
      <c r="AK1011">
        <v>4</v>
      </c>
      <c r="AL1011">
        <v>5</v>
      </c>
      <c r="AM1011">
        <v>3</v>
      </c>
      <c r="AN1011" s="18">
        <v>0</v>
      </c>
      <c r="AO1011" s="18">
        <v>0</v>
      </c>
      <c r="AP1011" s="18">
        <v>0.2</v>
      </c>
      <c r="AQ1011" s="18">
        <v>0</v>
      </c>
      <c r="AR1011" s="29">
        <v>0</v>
      </c>
      <c r="AS1011" s="29">
        <v>0</v>
      </c>
      <c r="AT1011" s="29">
        <v>3</v>
      </c>
      <c r="AU1011" s="24" t="str">
        <f t="shared" si="16"/>
        <v>库存为3</v>
      </c>
      <c r="AV1011" s="31" t="str">
        <f>IFERROR(时间!$B$4+AU1011,"上周无销量")</f>
        <v>上周无销量</v>
      </c>
    </row>
    <row r="1012" spans="1:48">
      <c r="A1012" s="16" t="s">
        <v>1871</v>
      </c>
      <c r="B1012" t="s">
        <v>1380</v>
      </c>
      <c r="C1012" t="s">
        <v>1870</v>
      </c>
      <c r="D1012" s="24">
        <v>1</v>
      </c>
      <c r="E1012" s="24">
        <v>0</v>
      </c>
      <c r="F1012" s="24">
        <v>0</v>
      </c>
      <c r="G1012" s="24">
        <v>0</v>
      </c>
      <c r="H1012" s="25">
        <v>25.98</v>
      </c>
      <c r="I1012">
        <v>7</v>
      </c>
      <c r="J1012" s="26">
        <v>0</v>
      </c>
      <c r="K1012" s="26">
        <v>0</v>
      </c>
      <c r="L1012" s="26">
        <v>0</v>
      </c>
      <c r="M1012">
        <v>7</v>
      </c>
      <c r="N1012">
        <v>0</v>
      </c>
      <c r="O1012">
        <v>8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4</v>
      </c>
      <c r="AK1012">
        <v>6</v>
      </c>
      <c r="AL1012">
        <v>17</v>
      </c>
      <c r="AM1012">
        <v>4</v>
      </c>
      <c r="AN1012" s="18">
        <v>0.25</v>
      </c>
      <c r="AO1012" s="18">
        <v>0</v>
      </c>
      <c r="AP1012" s="18">
        <v>0</v>
      </c>
      <c r="AQ1012" s="18">
        <v>0</v>
      </c>
      <c r="AR1012" s="29">
        <v>0.142857142857143</v>
      </c>
      <c r="AS1012" s="29">
        <v>8.57142857142857</v>
      </c>
      <c r="AT1012" s="29">
        <v>-1.57142857142857</v>
      </c>
      <c r="AU1012" s="24">
        <f t="shared" si="16"/>
        <v>49</v>
      </c>
      <c r="AV1012" s="31">
        <f>IFERROR(时间!$B$4+AU1012,"上周无销量")</f>
        <v>43367</v>
      </c>
    </row>
    <row r="1013" spans="1:48">
      <c r="A1013" s="16" t="s">
        <v>1872</v>
      </c>
      <c r="B1013" t="s">
        <v>1382</v>
      </c>
      <c r="C1013" t="s">
        <v>1870</v>
      </c>
      <c r="D1013" s="24">
        <v>1</v>
      </c>
      <c r="E1013" s="24">
        <v>0</v>
      </c>
      <c r="F1013" s="24">
        <v>0</v>
      </c>
      <c r="G1013" s="24">
        <v>0</v>
      </c>
      <c r="H1013" s="25">
        <v>25.98</v>
      </c>
      <c r="I1013">
        <v>16</v>
      </c>
      <c r="J1013" s="26">
        <v>0</v>
      </c>
      <c r="K1013" s="26">
        <v>0</v>
      </c>
      <c r="L1013" s="26">
        <v>1</v>
      </c>
      <c r="M1013">
        <v>17</v>
      </c>
      <c r="N1013">
        <v>0</v>
      </c>
      <c r="O1013">
        <v>18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9</v>
      </c>
      <c r="AK1013">
        <v>4</v>
      </c>
      <c r="AL1013">
        <v>5</v>
      </c>
      <c r="AM1013">
        <v>2</v>
      </c>
      <c r="AN1013" s="18">
        <v>0.111111111111111</v>
      </c>
      <c r="AO1013" s="18">
        <v>0</v>
      </c>
      <c r="AP1013" s="18">
        <v>0</v>
      </c>
      <c r="AQ1013" s="18">
        <v>0</v>
      </c>
      <c r="AR1013" s="29">
        <v>0.142857142857143</v>
      </c>
      <c r="AS1013" s="29">
        <v>8.57142857142857</v>
      </c>
      <c r="AT1013" s="29">
        <v>8.42857142857143</v>
      </c>
      <c r="AU1013" s="24">
        <f t="shared" si="16"/>
        <v>119</v>
      </c>
      <c r="AV1013" s="31">
        <f>IFERROR(时间!$B$4+AU1013,"上周无销量")</f>
        <v>43437</v>
      </c>
    </row>
    <row r="1014" spans="1:48">
      <c r="A1014" s="16" t="s">
        <v>1873</v>
      </c>
      <c r="B1014" t="s">
        <v>1384</v>
      </c>
      <c r="C1014" t="s">
        <v>1870</v>
      </c>
      <c r="D1014" s="24">
        <v>0</v>
      </c>
      <c r="E1014" s="24">
        <v>0</v>
      </c>
      <c r="F1014" s="24">
        <v>0</v>
      </c>
      <c r="G1014" s="24">
        <v>0</v>
      </c>
      <c r="H1014" s="25">
        <v>0</v>
      </c>
      <c r="I1014">
        <v>8</v>
      </c>
      <c r="J1014" s="26">
        <v>0</v>
      </c>
      <c r="K1014" s="26">
        <v>0</v>
      </c>
      <c r="L1014" s="26">
        <v>0</v>
      </c>
      <c r="M1014">
        <v>8</v>
      </c>
      <c r="N1014">
        <v>0</v>
      </c>
      <c r="O1014">
        <v>8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8</v>
      </c>
      <c r="AK1014">
        <v>6</v>
      </c>
      <c r="AL1014">
        <v>7</v>
      </c>
      <c r="AM1014">
        <v>3</v>
      </c>
      <c r="AN1014" s="18">
        <v>0</v>
      </c>
      <c r="AO1014" s="18">
        <v>0</v>
      </c>
      <c r="AP1014" s="18">
        <v>0</v>
      </c>
      <c r="AQ1014" s="18">
        <v>0</v>
      </c>
      <c r="AR1014" s="29">
        <v>0</v>
      </c>
      <c r="AS1014" s="29">
        <v>0</v>
      </c>
      <c r="AT1014" s="29">
        <v>8</v>
      </c>
      <c r="AU1014" s="24" t="str">
        <f t="shared" si="16"/>
        <v>库存为8</v>
      </c>
      <c r="AV1014" s="31" t="str">
        <f>IFERROR(时间!$B$4+AU1014,"上周无销量")</f>
        <v>上周无销量</v>
      </c>
    </row>
    <row r="1015" spans="1:48">
      <c r="A1015" s="16" t="s">
        <v>1874</v>
      </c>
      <c r="B1015" t="s">
        <v>1386</v>
      </c>
      <c r="C1015" t="s">
        <v>1870</v>
      </c>
      <c r="D1015" s="24">
        <v>0</v>
      </c>
      <c r="E1015" s="24">
        <v>0</v>
      </c>
      <c r="F1015" s="24">
        <v>0</v>
      </c>
      <c r="G1015" s="24">
        <v>0</v>
      </c>
      <c r="H1015" s="25">
        <v>0</v>
      </c>
      <c r="I1015">
        <v>10</v>
      </c>
      <c r="J1015" s="26">
        <v>0</v>
      </c>
      <c r="K1015" s="26">
        <v>0</v>
      </c>
      <c r="L1015" s="26">
        <v>0</v>
      </c>
      <c r="M1015">
        <v>10</v>
      </c>
      <c r="N1015">
        <v>0</v>
      </c>
      <c r="O1015">
        <v>10</v>
      </c>
      <c r="P1015" t="s">
        <v>52</v>
      </c>
      <c r="Q1015" t="s">
        <v>52</v>
      </c>
      <c r="R1015" t="s">
        <v>52</v>
      </c>
      <c r="S1015" t="s">
        <v>52</v>
      </c>
      <c r="T1015" t="s">
        <v>52</v>
      </c>
      <c r="U1015" t="s">
        <v>52</v>
      </c>
      <c r="V1015" t="s">
        <v>52</v>
      </c>
      <c r="W1015" t="s">
        <v>52</v>
      </c>
      <c r="X1015" s="18" t="s">
        <v>52</v>
      </c>
      <c r="Y1015" s="18" t="s">
        <v>52</v>
      </c>
      <c r="Z1015" s="18" t="s">
        <v>52</v>
      </c>
      <c r="AA1015" s="18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0</v>
      </c>
      <c r="AK1015">
        <v>0</v>
      </c>
      <c r="AL1015">
        <v>0</v>
      </c>
      <c r="AM1015">
        <v>0</v>
      </c>
      <c r="AN1015" s="18" t="s">
        <v>52</v>
      </c>
      <c r="AO1015" s="18" t="s">
        <v>52</v>
      </c>
      <c r="AP1015" s="18" t="s">
        <v>52</v>
      </c>
      <c r="AQ1015" s="18" t="s">
        <v>52</v>
      </c>
      <c r="AR1015" s="29">
        <v>0</v>
      </c>
      <c r="AS1015" s="29">
        <v>0</v>
      </c>
      <c r="AT1015" s="29">
        <v>10</v>
      </c>
      <c r="AU1015" s="24" t="str">
        <f t="shared" si="16"/>
        <v>库存为10</v>
      </c>
      <c r="AV1015" s="31" t="str">
        <f>IFERROR(时间!$B$4+AU1015,"上周无销量")</f>
        <v>上周无销量</v>
      </c>
    </row>
    <row r="1016" spans="1:48">
      <c r="A1016" s="16" t="s">
        <v>1875</v>
      </c>
      <c r="B1016" t="s">
        <v>1388</v>
      </c>
      <c r="C1016" t="s">
        <v>1870</v>
      </c>
      <c r="D1016" s="24">
        <v>0</v>
      </c>
      <c r="E1016" s="24">
        <v>0</v>
      </c>
      <c r="F1016" s="24">
        <v>0</v>
      </c>
      <c r="G1016" s="24">
        <v>0</v>
      </c>
      <c r="H1016" s="25">
        <v>0</v>
      </c>
      <c r="I1016">
        <v>0</v>
      </c>
      <c r="J1016" s="26">
        <v>0</v>
      </c>
      <c r="K1016" s="26">
        <v>0</v>
      </c>
      <c r="L1016" s="26">
        <v>0</v>
      </c>
      <c r="M1016">
        <v>0</v>
      </c>
      <c r="N1016">
        <v>0</v>
      </c>
      <c r="O1016">
        <v>0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0</v>
      </c>
      <c r="AK1016">
        <v>0</v>
      </c>
      <c r="AL1016">
        <v>0</v>
      </c>
      <c r="AM1016">
        <v>0</v>
      </c>
      <c r="AN1016" s="18" t="s">
        <v>52</v>
      </c>
      <c r="AO1016" s="18" t="s">
        <v>52</v>
      </c>
      <c r="AP1016" s="18" t="s">
        <v>52</v>
      </c>
      <c r="AQ1016" s="18" t="s">
        <v>52</v>
      </c>
      <c r="AR1016" s="29">
        <v>0</v>
      </c>
      <c r="AS1016" s="29">
        <v>0</v>
      </c>
      <c r="AT1016" s="29">
        <v>0</v>
      </c>
      <c r="AU1016" s="24" t="str">
        <f t="shared" si="16"/>
        <v>库存为0</v>
      </c>
      <c r="AV1016" s="31" t="str">
        <f>IFERROR(时间!$B$4+AU1016,"上周无销量")</f>
        <v>上周无销量</v>
      </c>
    </row>
    <row r="1017" spans="1:48">
      <c r="A1017" s="16" t="s">
        <v>1876</v>
      </c>
      <c r="B1017" t="s">
        <v>1390</v>
      </c>
      <c r="C1017" t="s">
        <v>1870</v>
      </c>
      <c r="D1017" s="24">
        <v>0</v>
      </c>
      <c r="E1017" s="24">
        <v>0</v>
      </c>
      <c r="F1017" s="24">
        <v>0</v>
      </c>
      <c r="G1017" s="24">
        <v>0</v>
      </c>
      <c r="H1017" s="25">
        <v>0</v>
      </c>
      <c r="I1017">
        <v>4</v>
      </c>
      <c r="J1017" s="26">
        <v>0</v>
      </c>
      <c r="K1017" s="26">
        <v>0</v>
      </c>
      <c r="L1017" s="26">
        <v>0</v>
      </c>
      <c r="M1017">
        <v>4</v>
      </c>
      <c r="N1017">
        <v>0</v>
      </c>
      <c r="O1017">
        <v>5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6</v>
      </c>
      <c r="AK1017">
        <v>9</v>
      </c>
      <c r="AL1017">
        <v>8</v>
      </c>
      <c r="AM1017">
        <v>3</v>
      </c>
      <c r="AN1017" s="18">
        <v>0</v>
      </c>
      <c r="AO1017" s="18">
        <v>0</v>
      </c>
      <c r="AP1017" s="18">
        <v>0</v>
      </c>
      <c r="AQ1017" s="18">
        <v>0</v>
      </c>
      <c r="AR1017" s="29">
        <v>0</v>
      </c>
      <c r="AS1017" s="29">
        <v>0</v>
      </c>
      <c r="AT1017" s="29">
        <v>4</v>
      </c>
      <c r="AU1017" s="24" t="str">
        <f t="shared" si="16"/>
        <v>库存为4</v>
      </c>
      <c r="AV1017" s="31" t="str">
        <f>IFERROR(时间!$B$4+AU1017,"上周无销量")</f>
        <v>上周无销量</v>
      </c>
    </row>
    <row r="1018" spans="1:48">
      <c r="A1018" s="16" t="s">
        <v>1877</v>
      </c>
      <c r="B1018" t="s">
        <v>1878</v>
      </c>
      <c r="C1018" t="s">
        <v>1870</v>
      </c>
      <c r="D1018" s="24">
        <v>0</v>
      </c>
      <c r="E1018" s="24">
        <v>0</v>
      </c>
      <c r="F1018" s="24">
        <v>0</v>
      </c>
      <c r="G1018" s="24">
        <v>0</v>
      </c>
      <c r="H1018" s="25">
        <v>0</v>
      </c>
      <c r="I1018">
        <v>8</v>
      </c>
      <c r="J1018" s="26">
        <v>0</v>
      </c>
      <c r="K1018" s="26">
        <v>0</v>
      </c>
      <c r="L1018" s="26">
        <v>0</v>
      </c>
      <c r="M1018">
        <v>8</v>
      </c>
      <c r="N1018">
        <v>0</v>
      </c>
      <c r="O1018">
        <v>8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4</v>
      </c>
      <c r="AK1018">
        <v>2</v>
      </c>
      <c r="AL1018">
        <v>8</v>
      </c>
      <c r="AM1018">
        <v>3</v>
      </c>
      <c r="AN1018" s="18">
        <v>0</v>
      </c>
      <c r="AO1018" s="18">
        <v>0</v>
      </c>
      <c r="AP1018" s="18">
        <v>0</v>
      </c>
      <c r="AQ1018" s="18">
        <v>0</v>
      </c>
      <c r="AR1018" s="29">
        <v>0</v>
      </c>
      <c r="AS1018" s="29">
        <v>0</v>
      </c>
      <c r="AT1018" s="29">
        <v>8</v>
      </c>
      <c r="AU1018" s="24" t="str">
        <f t="shared" si="16"/>
        <v>库存为8</v>
      </c>
      <c r="AV1018" s="31" t="str">
        <f>IFERROR(时间!$B$4+AU1018,"上周无销量")</f>
        <v>上周无销量</v>
      </c>
    </row>
    <row r="1019" spans="1:48">
      <c r="A1019" s="16" t="s">
        <v>1879</v>
      </c>
      <c r="B1019" t="s">
        <v>1398</v>
      </c>
      <c r="C1019" t="s">
        <v>1870</v>
      </c>
      <c r="D1019" s="24">
        <v>2</v>
      </c>
      <c r="E1019" s="24">
        <v>0</v>
      </c>
      <c r="F1019" s="24">
        <v>0</v>
      </c>
      <c r="G1019" s="24">
        <v>0</v>
      </c>
      <c r="H1019" s="25">
        <v>25.98</v>
      </c>
      <c r="I1019">
        <v>9</v>
      </c>
      <c r="J1019" s="26">
        <v>0</v>
      </c>
      <c r="K1019" s="26">
        <v>0</v>
      </c>
      <c r="L1019" s="26">
        <v>0</v>
      </c>
      <c r="M1019">
        <v>9</v>
      </c>
      <c r="N1019">
        <v>0</v>
      </c>
      <c r="O1019">
        <v>9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17</v>
      </c>
      <c r="AK1019">
        <v>20</v>
      </c>
      <c r="AL1019">
        <v>13</v>
      </c>
      <c r="AM1019">
        <v>6</v>
      </c>
      <c r="AN1019" s="18">
        <v>0.117647058823529</v>
      </c>
      <c r="AO1019" s="18">
        <v>0</v>
      </c>
      <c r="AP1019" s="18">
        <v>0</v>
      </c>
      <c r="AQ1019" s="18">
        <v>0</v>
      </c>
      <c r="AR1019" s="29">
        <v>0.285714285714286</v>
      </c>
      <c r="AS1019" s="29">
        <v>17.1428571428571</v>
      </c>
      <c r="AT1019" s="29">
        <v>-8.14285714285714</v>
      </c>
      <c r="AU1019" s="24">
        <f t="shared" si="16"/>
        <v>31</v>
      </c>
      <c r="AV1019" s="31">
        <f>IFERROR(时间!$B$4+AU1019,"上周无销量")</f>
        <v>43349</v>
      </c>
    </row>
    <row r="1020" spans="1:49">
      <c r="A1020" s="16" t="s">
        <v>1880</v>
      </c>
      <c r="B1020" t="s">
        <v>1400</v>
      </c>
      <c r="C1020" t="s">
        <v>1870</v>
      </c>
      <c r="D1020" s="24">
        <v>0</v>
      </c>
      <c r="E1020" s="24">
        <v>0</v>
      </c>
      <c r="F1020" s="24">
        <v>0</v>
      </c>
      <c r="G1020" s="24">
        <v>0</v>
      </c>
      <c r="H1020" s="25">
        <v>0</v>
      </c>
      <c r="I1020">
        <v>0</v>
      </c>
      <c r="J1020" s="26">
        <v>0</v>
      </c>
      <c r="K1020" s="26">
        <v>0</v>
      </c>
      <c r="L1020" s="26">
        <v>0</v>
      </c>
      <c r="M1020">
        <v>0</v>
      </c>
      <c r="N1020">
        <v>1</v>
      </c>
      <c r="O1020">
        <v>0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0</v>
      </c>
      <c r="AK1020">
        <v>0</v>
      </c>
      <c r="AL1020">
        <v>3</v>
      </c>
      <c r="AM1020">
        <v>6</v>
      </c>
      <c r="AN1020" s="18" t="s">
        <v>52</v>
      </c>
      <c r="AO1020" s="18" t="s">
        <v>52</v>
      </c>
      <c r="AP1020" s="18">
        <v>0</v>
      </c>
      <c r="AQ1020" s="18">
        <v>0</v>
      </c>
      <c r="AR1020" s="29">
        <v>0</v>
      </c>
      <c r="AS1020" s="29">
        <v>0</v>
      </c>
      <c r="AT1020" s="29">
        <v>0</v>
      </c>
      <c r="AU1020" s="24" t="str">
        <f t="shared" si="16"/>
        <v>库存为0</v>
      </c>
      <c r="AV1020" s="31" t="str">
        <f>IFERROR(时间!$B$4+AU1020,"上周无销量")</f>
        <v>上周无销量</v>
      </c>
      <c r="AW1020" s="31"/>
    </row>
    <row r="1021" spans="1:48">
      <c r="A1021" s="16" t="s">
        <v>1881</v>
      </c>
      <c r="B1021" t="s">
        <v>1402</v>
      </c>
      <c r="C1021" t="s">
        <v>1870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0</v>
      </c>
      <c r="J1021" s="26">
        <v>0</v>
      </c>
      <c r="K1021" s="26">
        <v>0</v>
      </c>
      <c r="L1021" s="26">
        <v>0</v>
      </c>
      <c r="M1021">
        <v>0</v>
      </c>
      <c r="N1021">
        <v>0</v>
      </c>
      <c r="O1021">
        <v>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0</v>
      </c>
      <c r="AK1021">
        <v>0</v>
      </c>
      <c r="AL1021">
        <v>0</v>
      </c>
      <c r="AM1021">
        <v>0</v>
      </c>
      <c r="AN1021" s="18" t="s">
        <v>52</v>
      </c>
      <c r="AO1021" s="18" t="s">
        <v>52</v>
      </c>
      <c r="AP1021" s="18" t="s">
        <v>52</v>
      </c>
      <c r="AQ1021" s="18" t="s">
        <v>52</v>
      </c>
      <c r="AR1021" s="29">
        <v>0</v>
      </c>
      <c r="AS1021" s="29">
        <v>0</v>
      </c>
      <c r="AT1021" s="29">
        <v>0</v>
      </c>
      <c r="AU1021" s="24" t="str">
        <f t="shared" si="16"/>
        <v>库存为0</v>
      </c>
      <c r="AV1021" s="31" t="str">
        <f>IFERROR(时间!$B$4+AU1021,"上周无销量")</f>
        <v>上周无销量</v>
      </c>
    </row>
    <row r="1022" spans="1:48">
      <c r="A1022" s="16" t="s">
        <v>1882</v>
      </c>
      <c r="B1022" t="s">
        <v>1404</v>
      </c>
      <c r="C1022" t="s">
        <v>1870</v>
      </c>
      <c r="D1022" s="24">
        <v>1</v>
      </c>
      <c r="E1022" s="24">
        <v>0</v>
      </c>
      <c r="F1022" s="24">
        <v>1</v>
      </c>
      <c r="G1022" s="24">
        <v>1</v>
      </c>
      <c r="H1022" s="25">
        <v>26.6466666666667</v>
      </c>
      <c r="I1022">
        <v>0</v>
      </c>
      <c r="J1022" s="26">
        <v>0</v>
      </c>
      <c r="K1022" s="26">
        <v>0</v>
      </c>
      <c r="L1022" s="26">
        <v>0</v>
      </c>
      <c r="M1022">
        <v>0</v>
      </c>
      <c r="N1022">
        <v>0</v>
      </c>
      <c r="O1022">
        <v>1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5</v>
      </c>
      <c r="AK1022">
        <v>3</v>
      </c>
      <c r="AL1022">
        <v>4</v>
      </c>
      <c r="AM1022">
        <v>6</v>
      </c>
      <c r="AN1022" s="18">
        <v>0.2</v>
      </c>
      <c r="AO1022" s="18">
        <v>0</v>
      </c>
      <c r="AP1022" s="18">
        <v>0.25</v>
      </c>
      <c r="AQ1022" s="18">
        <v>0.166666666666667</v>
      </c>
      <c r="AR1022" s="29">
        <v>0.142857142857143</v>
      </c>
      <c r="AS1022" s="29">
        <v>8.57142857142857</v>
      </c>
      <c r="AT1022" s="29">
        <v>-8.57142857142857</v>
      </c>
      <c r="AU1022" s="24">
        <f t="shared" si="16"/>
        <v>0</v>
      </c>
      <c r="AV1022" s="31">
        <f>IFERROR(时间!$B$4+AU1022,"上周无销量")</f>
        <v>43318</v>
      </c>
    </row>
    <row r="1023" spans="1:48">
      <c r="A1023" s="16" t="s">
        <v>1883</v>
      </c>
      <c r="B1023" t="s">
        <v>1406</v>
      </c>
      <c r="C1023" t="s">
        <v>1870</v>
      </c>
      <c r="D1023" s="24">
        <v>0</v>
      </c>
      <c r="E1023" s="24">
        <v>1</v>
      </c>
      <c r="F1023" s="24">
        <v>0</v>
      </c>
      <c r="G1023" s="24">
        <v>0</v>
      </c>
      <c r="H1023" s="25">
        <v>25.98</v>
      </c>
      <c r="I1023">
        <v>27</v>
      </c>
      <c r="J1023" s="26">
        <v>0</v>
      </c>
      <c r="K1023" s="26">
        <v>0</v>
      </c>
      <c r="L1023" s="26">
        <v>0</v>
      </c>
      <c r="M1023">
        <v>27</v>
      </c>
      <c r="N1023">
        <v>0</v>
      </c>
      <c r="O1023">
        <v>26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6</v>
      </c>
      <c r="AK1023">
        <v>8</v>
      </c>
      <c r="AL1023">
        <v>4</v>
      </c>
      <c r="AM1023">
        <v>6</v>
      </c>
      <c r="AN1023" s="18">
        <v>0</v>
      </c>
      <c r="AO1023" s="18">
        <v>0.125</v>
      </c>
      <c r="AP1023" s="18">
        <v>0</v>
      </c>
      <c r="AQ1023" s="18">
        <v>0</v>
      </c>
      <c r="AR1023" s="29">
        <v>0</v>
      </c>
      <c r="AS1023" s="29">
        <v>0</v>
      </c>
      <c r="AT1023" s="29">
        <v>27</v>
      </c>
      <c r="AU1023" s="24" t="str">
        <f t="shared" si="16"/>
        <v>库存为27</v>
      </c>
      <c r="AV1023" s="31" t="str">
        <f>IFERROR(时间!$B$4+AU1023,"上周无销量")</f>
        <v>上周无销量</v>
      </c>
    </row>
    <row r="1024" spans="1:48">
      <c r="A1024" s="16" t="s">
        <v>1884</v>
      </c>
      <c r="B1024" t="s">
        <v>1410</v>
      </c>
      <c r="C1024" t="s">
        <v>1870</v>
      </c>
      <c r="D1024" s="24">
        <v>0</v>
      </c>
      <c r="E1024" s="24">
        <v>0</v>
      </c>
      <c r="F1024" s="24">
        <v>0</v>
      </c>
      <c r="G1024" s="24">
        <v>0</v>
      </c>
      <c r="H1024" s="25">
        <v>0</v>
      </c>
      <c r="I1024">
        <v>2</v>
      </c>
      <c r="J1024" s="26">
        <v>0</v>
      </c>
      <c r="K1024" s="26">
        <v>0</v>
      </c>
      <c r="L1024" s="26">
        <v>0</v>
      </c>
      <c r="M1024">
        <v>2</v>
      </c>
      <c r="N1024">
        <v>0</v>
      </c>
      <c r="O1024">
        <v>1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0</v>
      </c>
      <c r="AK1024">
        <v>0</v>
      </c>
      <c r="AL1024">
        <v>0</v>
      </c>
      <c r="AM1024">
        <v>0</v>
      </c>
      <c r="AN1024" s="18" t="s">
        <v>52</v>
      </c>
      <c r="AO1024" s="18" t="s">
        <v>52</v>
      </c>
      <c r="AP1024" s="18" t="s">
        <v>52</v>
      </c>
      <c r="AQ1024" s="18" t="s">
        <v>52</v>
      </c>
      <c r="AR1024" s="29">
        <v>0</v>
      </c>
      <c r="AS1024" s="29">
        <v>0</v>
      </c>
      <c r="AT1024" s="29">
        <v>2</v>
      </c>
      <c r="AU1024" s="24" t="str">
        <f t="shared" si="16"/>
        <v>库存为2</v>
      </c>
      <c r="AV1024" s="31" t="str">
        <f>IFERROR(时间!$B$4+AU1024,"上周无销量")</f>
        <v>上周无销量</v>
      </c>
    </row>
    <row r="1025" spans="1:48">
      <c r="A1025" s="16" t="s">
        <v>1885</v>
      </c>
      <c r="B1025" t="s">
        <v>1414</v>
      </c>
      <c r="C1025" t="s">
        <v>1870</v>
      </c>
      <c r="D1025" s="24">
        <v>1</v>
      </c>
      <c r="E1025" s="24">
        <v>0</v>
      </c>
      <c r="F1025" s="24">
        <v>0</v>
      </c>
      <c r="G1025" s="24">
        <v>0</v>
      </c>
      <c r="H1025" s="25">
        <v>25.98</v>
      </c>
      <c r="I1025">
        <v>8</v>
      </c>
      <c r="J1025" s="26">
        <v>0</v>
      </c>
      <c r="K1025" s="26">
        <v>0</v>
      </c>
      <c r="L1025" s="26">
        <v>0</v>
      </c>
      <c r="M1025">
        <v>8</v>
      </c>
      <c r="N1025">
        <v>0</v>
      </c>
      <c r="O1025">
        <v>8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6</v>
      </c>
      <c r="AK1025">
        <v>5</v>
      </c>
      <c r="AL1025">
        <v>8</v>
      </c>
      <c r="AM1025">
        <v>3</v>
      </c>
      <c r="AN1025" s="18">
        <v>0.166666666666667</v>
      </c>
      <c r="AO1025" s="18">
        <v>0</v>
      </c>
      <c r="AP1025" s="18">
        <v>0</v>
      </c>
      <c r="AQ1025" s="18">
        <v>0</v>
      </c>
      <c r="AR1025" s="29">
        <v>0.142857142857143</v>
      </c>
      <c r="AS1025" s="29">
        <v>8.57142857142857</v>
      </c>
      <c r="AT1025" s="29">
        <v>-0.571428571428571</v>
      </c>
      <c r="AU1025" s="24">
        <f t="shared" si="16"/>
        <v>56</v>
      </c>
      <c r="AV1025" s="31">
        <f>IFERROR(时间!$B$4+AU1025,"上周无销量")</f>
        <v>43374</v>
      </c>
    </row>
    <row r="1026" spans="1:48">
      <c r="A1026" s="16" t="s">
        <v>1886</v>
      </c>
      <c r="B1026" t="s">
        <v>1418</v>
      </c>
      <c r="C1026" t="s">
        <v>1870</v>
      </c>
      <c r="D1026" s="24">
        <v>0</v>
      </c>
      <c r="E1026" s="24">
        <v>0</v>
      </c>
      <c r="F1026" s="24">
        <v>0</v>
      </c>
      <c r="G1026" s="24">
        <v>0</v>
      </c>
      <c r="H1026" s="25">
        <v>0</v>
      </c>
      <c r="I1026">
        <v>21</v>
      </c>
      <c r="J1026" s="26">
        <v>0</v>
      </c>
      <c r="K1026" s="26">
        <v>0</v>
      </c>
      <c r="L1026" s="26">
        <v>0</v>
      </c>
      <c r="M1026">
        <v>21</v>
      </c>
      <c r="N1026">
        <v>0</v>
      </c>
      <c r="O1026">
        <v>0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17</v>
      </c>
      <c r="AK1026">
        <v>14</v>
      </c>
      <c r="AL1026">
        <v>15</v>
      </c>
      <c r="AM1026">
        <v>9</v>
      </c>
      <c r="AN1026" s="18">
        <v>0</v>
      </c>
      <c r="AO1026" s="18">
        <v>0</v>
      </c>
      <c r="AP1026" s="18">
        <v>0</v>
      </c>
      <c r="AQ1026" s="18">
        <v>0</v>
      </c>
      <c r="AR1026" s="29">
        <v>0</v>
      </c>
      <c r="AS1026" s="29">
        <v>0</v>
      </c>
      <c r="AT1026" s="29">
        <v>21</v>
      </c>
      <c r="AU1026" s="24" t="str">
        <f t="shared" si="16"/>
        <v>库存为21</v>
      </c>
      <c r="AV1026" s="31" t="str">
        <f>IFERROR(时间!$B$4+AU1026,"上周无销量")</f>
        <v>上周无销量</v>
      </c>
    </row>
    <row r="1027" spans="1:48">
      <c r="A1027" s="16" t="s">
        <v>1887</v>
      </c>
      <c r="B1027" t="s">
        <v>1420</v>
      </c>
      <c r="C1027" t="s">
        <v>1870</v>
      </c>
      <c r="D1027" s="24">
        <v>0</v>
      </c>
      <c r="E1027" s="24">
        <v>0</v>
      </c>
      <c r="F1027" s="24">
        <v>0</v>
      </c>
      <c r="G1027" s="24">
        <v>0</v>
      </c>
      <c r="H1027" s="25">
        <v>0</v>
      </c>
      <c r="I1027">
        <v>6</v>
      </c>
      <c r="J1027" s="26">
        <v>0</v>
      </c>
      <c r="K1027" s="26">
        <v>0</v>
      </c>
      <c r="L1027" s="26">
        <v>0</v>
      </c>
      <c r="M1027">
        <v>6</v>
      </c>
      <c r="N1027">
        <v>0</v>
      </c>
      <c r="O1027">
        <v>6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11</v>
      </c>
      <c r="AK1027">
        <v>11</v>
      </c>
      <c r="AL1027">
        <v>11</v>
      </c>
      <c r="AM1027">
        <v>3</v>
      </c>
      <c r="AN1027" s="18">
        <v>0</v>
      </c>
      <c r="AO1027" s="18">
        <v>0</v>
      </c>
      <c r="AP1027" s="18">
        <v>0</v>
      </c>
      <c r="AQ1027" s="18">
        <v>0</v>
      </c>
      <c r="AR1027" s="29">
        <v>0</v>
      </c>
      <c r="AS1027" s="29">
        <v>0</v>
      </c>
      <c r="AT1027" s="29">
        <v>6</v>
      </c>
      <c r="AU1027" s="24" t="str">
        <f t="shared" si="16"/>
        <v>库存为6</v>
      </c>
      <c r="AV1027" s="31" t="str">
        <f>IFERROR(时间!$B$4+AU1027,"上周无销量")</f>
        <v>上周无销量</v>
      </c>
    </row>
    <row r="1028" spans="1:48">
      <c r="A1028" s="16" t="s">
        <v>1888</v>
      </c>
      <c r="B1028" t="s">
        <v>1422</v>
      </c>
      <c r="C1028" t="s">
        <v>1870</v>
      </c>
      <c r="D1028" s="24">
        <v>0</v>
      </c>
      <c r="E1028" s="24">
        <v>0</v>
      </c>
      <c r="F1028" s="24">
        <v>0</v>
      </c>
      <c r="G1028" s="24">
        <v>0</v>
      </c>
      <c r="H1028" s="25">
        <v>0</v>
      </c>
      <c r="I1028">
        <v>4</v>
      </c>
      <c r="J1028" s="26">
        <v>0</v>
      </c>
      <c r="K1028" s="26">
        <v>0</v>
      </c>
      <c r="L1028" s="26">
        <v>0</v>
      </c>
      <c r="M1028">
        <v>4</v>
      </c>
      <c r="N1028">
        <v>0</v>
      </c>
      <c r="O1028">
        <v>3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7</v>
      </c>
      <c r="AK1028">
        <v>8</v>
      </c>
      <c r="AL1028">
        <v>7</v>
      </c>
      <c r="AM1028">
        <v>4</v>
      </c>
      <c r="AN1028" s="18">
        <v>0</v>
      </c>
      <c r="AO1028" s="18">
        <v>0</v>
      </c>
      <c r="AP1028" s="18">
        <v>0</v>
      </c>
      <c r="AQ1028" s="18">
        <v>0</v>
      </c>
      <c r="AR1028" s="29">
        <v>0</v>
      </c>
      <c r="AS1028" s="29">
        <v>0</v>
      </c>
      <c r="AT1028" s="29">
        <v>4</v>
      </c>
      <c r="AU1028" s="24" t="str">
        <f t="shared" si="16"/>
        <v>库存为4</v>
      </c>
      <c r="AV1028" s="31" t="str">
        <f>IFERROR(时间!$B$4+AU1028,"上周无销量")</f>
        <v>上周无销量</v>
      </c>
    </row>
    <row r="1029" spans="1:48">
      <c r="A1029" s="16" t="s">
        <v>1889</v>
      </c>
      <c r="B1029" t="s">
        <v>1424</v>
      </c>
      <c r="C1029" t="s">
        <v>1870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0</v>
      </c>
      <c r="J1029" s="26">
        <v>0</v>
      </c>
      <c r="K1029" s="26">
        <v>0</v>
      </c>
      <c r="L1029" s="26">
        <v>0</v>
      </c>
      <c r="M1029">
        <v>0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0</v>
      </c>
      <c r="AK1029">
        <v>0</v>
      </c>
      <c r="AL1029">
        <v>0</v>
      </c>
      <c r="AM1029">
        <v>0</v>
      </c>
      <c r="AN1029" s="18" t="s">
        <v>52</v>
      </c>
      <c r="AO1029" s="18" t="s">
        <v>52</v>
      </c>
      <c r="AP1029" s="18" t="s">
        <v>52</v>
      </c>
      <c r="AQ1029" s="18" t="s">
        <v>52</v>
      </c>
      <c r="AR1029" s="29">
        <v>0</v>
      </c>
      <c r="AS1029" s="29">
        <v>0</v>
      </c>
      <c r="AT1029" s="29">
        <v>0</v>
      </c>
      <c r="AU1029" s="24" t="str">
        <f t="shared" si="16"/>
        <v>库存为0</v>
      </c>
      <c r="AV1029" s="31" t="str">
        <f>IFERROR(时间!$B$4+AU1029,"上周无销量")</f>
        <v>上周无销量</v>
      </c>
    </row>
    <row r="1030" spans="1:48">
      <c r="A1030" s="16" t="s">
        <v>1890</v>
      </c>
      <c r="B1030" t="s">
        <v>1426</v>
      </c>
      <c r="C1030" t="s">
        <v>1870</v>
      </c>
      <c r="D1030" s="24">
        <v>1</v>
      </c>
      <c r="E1030" s="24">
        <v>0</v>
      </c>
      <c r="F1030" s="24">
        <v>1</v>
      </c>
      <c r="G1030" s="24">
        <v>3</v>
      </c>
      <c r="H1030" s="25">
        <v>27.18</v>
      </c>
      <c r="I1030">
        <v>4</v>
      </c>
      <c r="J1030" s="26">
        <v>0</v>
      </c>
      <c r="K1030" s="26">
        <v>0</v>
      </c>
      <c r="L1030" s="26">
        <v>0</v>
      </c>
      <c r="M1030">
        <v>4</v>
      </c>
      <c r="N1030">
        <v>0</v>
      </c>
      <c r="O1030">
        <v>0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10</v>
      </c>
      <c r="AK1030">
        <v>15</v>
      </c>
      <c r="AL1030">
        <v>13</v>
      </c>
      <c r="AM1030">
        <v>8</v>
      </c>
      <c r="AN1030" s="18">
        <v>0.1</v>
      </c>
      <c r="AO1030" s="18">
        <v>0</v>
      </c>
      <c r="AP1030" s="18">
        <v>0.0769230769230769</v>
      </c>
      <c r="AQ1030" s="18">
        <v>0.375</v>
      </c>
      <c r="AR1030" s="29">
        <v>0.142857142857143</v>
      </c>
      <c r="AS1030" s="29">
        <v>8.57142857142857</v>
      </c>
      <c r="AT1030" s="29">
        <v>-4.57142857142857</v>
      </c>
      <c r="AU1030" s="24">
        <f t="shared" ref="AU1030:AU1093" si="17">IF(AR1030="","库存为"&amp;M1030,IF(AS1030=0,"库存为"&amp;M1030,INT(M1030/AR1030)))</f>
        <v>28</v>
      </c>
      <c r="AV1030" s="31">
        <f>IFERROR(时间!$B$4+AU1030,"上周无销量")</f>
        <v>43346</v>
      </c>
    </row>
    <row r="1031" spans="1:48">
      <c r="A1031" s="16" t="s">
        <v>1891</v>
      </c>
      <c r="B1031" t="s">
        <v>1892</v>
      </c>
      <c r="C1031" t="s">
        <v>1870</v>
      </c>
      <c r="D1031" s="24">
        <v>0</v>
      </c>
      <c r="E1031" s="24">
        <v>0</v>
      </c>
      <c r="F1031" s="24">
        <v>0</v>
      </c>
      <c r="G1031" s="24">
        <v>0</v>
      </c>
      <c r="H1031" s="25">
        <v>0</v>
      </c>
      <c r="I1031">
        <v>0</v>
      </c>
      <c r="J1031" s="26">
        <v>0</v>
      </c>
      <c r="K1031" s="26">
        <v>0</v>
      </c>
      <c r="L1031" s="26">
        <v>0</v>
      </c>
      <c r="M1031">
        <v>0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0</v>
      </c>
      <c r="AK1031">
        <v>0</v>
      </c>
      <c r="AL1031">
        <v>0</v>
      </c>
      <c r="AM1031">
        <v>0</v>
      </c>
      <c r="AN1031" s="18" t="s">
        <v>52</v>
      </c>
      <c r="AO1031" s="18" t="s">
        <v>52</v>
      </c>
      <c r="AP1031" s="18" t="s">
        <v>52</v>
      </c>
      <c r="AQ1031" s="18" t="s">
        <v>52</v>
      </c>
      <c r="AR1031" s="29">
        <v>0</v>
      </c>
      <c r="AS1031" s="29">
        <v>0</v>
      </c>
      <c r="AT1031" s="29">
        <v>0</v>
      </c>
      <c r="AU1031" s="24" t="str">
        <f t="shared" si="17"/>
        <v>库存为0</v>
      </c>
      <c r="AV1031" s="31" t="str">
        <f>IFERROR(时间!$B$4+AU1031,"上周无销量")</f>
        <v>上周无销量</v>
      </c>
    </row>
    <row r="1032" spans="1:48">
      <c r="A1032" s="16" t="s">
        <v>1893</v>
      </c>
      <c r="B1032" t="s">
        <v>1894</v>
      </c>
      <c r="C1032" t="s">
        <v>1870</v>
      </c>
      <c r="D1032" s="24">
        <v>0</v>
      </c>
      <c r="E1032" s="24">
        <v>0</v>
      </c>
      <c r="F1032" s="24">
        <v>0</v>
      </c>
      <c r="G1032" s="24">
        <v>0</v>
      </c>
      <c r="H1032" s="25">
        <v>0</v>
      </c>
      <c r="I1032">
        <v>0</v>
      </c>
      <c r="J1032" s="26">
        <v>0</v>
      </c>
      <c r="K1032" s="26">
        <v>0</v>
      </c>
      <c r="L1032" s="26">
        <v>0</v>
      </c>
      <c r="M1032">
        <v>0</v>
      </c>
      <c r="N1032">
        <v>0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0</v>
      </c>
      <c r="AK1032">
        <v>0</v>
      </c>
      <c r="AL1032">
        <v>0</v>
      </c>
      <c r="AM1032">
        <v>0</v>
      </c>
      <c r="AN1032" s="18" t="s">
        <v>52</v>
      </c>
      <c r="AO1032" s="18" t="s">
        <v>52</v>
      </c>
      <c r="AP1032" s="18" t="s">
        <v>52</v>
      </c>
      <c r="AQ1032" s="18" t="s">
        <v>52</v>
      </c>
      <c r="AR1032" s="29">
        <v>0</v>
      </c>
      <c r="AS1032" s="29">
        <v>0</v>
      </c>
      <c r="AT1032" s="29">
        <v>0</v>
      </c>
      <c r="AU1032" s="24" t="str">
        <f t="shared" si="17"/>
        <v>库存为0</v>
      </c>
      <c r="AV1032" s="31" t="str">
        <f>IFERROR(时间!$B$4+AU1032,"上周无销量")</f>
        <v>上周无销量</v>
      </c>
    </row>
    <row r="1033" spans="1:48">
      <c r="A1033" s="16" t="s">
        <v>1895</v>
      </c>
      <c r="B1033" t="s">
        <v>1438</v>
      </c>
      <c r="C1033" t="s">
        <v>1870</v>
      </c>
      <c r="D1033" s="24">
        <v>0</v>
      </c>
      <c r="E1033" s="24">
        <v>0</v>
      </c>
      <c r="F1033" s="24">
        <v>0</v>
      </c>
      <c r="G1033" s="24">
        <v>0</v>
      </c>
      <c r="H1033" s="25">
        <v>0</v>
      </c>
      <c r="I1033">
        <v>3</v>
      </c>
      <c r="J1033" s="26">
        <v>0</v>
      </c>
      <c r="K1033" s="26">
        <v>0</v>
      </c>
      <c r="L1033" s="26">
        <v>0</v>
      </c>
      <c r="M1033">
        <v>3</v>
      </c>
      <c r="N1033">
        <v>0</v>
      </c>
      <c r="O1033">
        <v>2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5</v>
      </c>
      <c r="AK1033">
        <v>3</v>
      </c>
      <c r="AL1033">
        <v>6</v>
      </c>
      <c r="AM1033">
        <v>1</v>
      </c>
      <c r="AN1033" s="18">
        <v>0</v>
      </c>
      <c r="AO1033" s="18">
        <v>0</v>
      </c>
      <c r="AP1033" s="18">
        <v>0</v>
      </c>
      <c r="AQ1033" s="18">
        <v>0</v>
      </c>
      <c r="AR1033" s="29">
        <v>0</v>
      </c>
      <c r="AS1033" s="29">
        <v>0</v>
      </c>
      <c r="AT1033" s="29">
        <v>3</v>
      </c>
      <c r="AU1033" s="24" t="str">
        <f t="shared" si="17"/>
        <v>库存为3</v>
      </c>
      <c r="AV1033" s="31" t="str">
        <f>IFERROR(时间!$B$4+AU1033,"上周无销量")</f>
        <v>上周无销量</v>
      </c>
    </row>
    <row r="1034" spans="1:48">
      <c r="A1034" s="16" t="s">
        <v>1896</v>
      </c>
      <c r="B1034" t="s">
        <v>1440</v>
      </c>
      <c r="C1034" t="s">
        <v>1870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15</v>
      </c>
      <c r="J1034" s="26">
        <v>0</v>
      </c>
      <c r="K1034" s="26">
        <v>0</v>
      </c>
      <c r="L1034" s="26">
        <v>0</v>
      </c>
      <c r="M1034">
        <v>15</v>
      </c>
      <c r="N1034">
        <v>0</v>
      </c>
      <c r="O1034">
        <v>15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7</v>
      </c>
      <c r="AK1034">
        <v>11</v>
      </c>
      <c r="AL1034">
        <v>8</v>
      </c>
      <c r="AM1034">
        <v>5</v>
      </c>
      <c r="AN1034" s="18">
        <v>0</v>
      </c>
      <c r="AO1034" s="18">
        <v>0</v>
      </c>
      <c r="AP1034" s="18">
        <v>0</v>
      </c>
      <c r="AQ1034" s="18">
        <v>0</v>
      </c>
      <c r="AR1034" s="29">
        <v>0</v>
      </c>
      <c r="AS1034" s="29">
        <v>0</v>
      </c>
      <c r="AT1034" s="29">
        <v>15</v>
      </c>
      <c r="AU1034" s="24" t="str">
        <f t="shared" si="17"/>
        <v>库存为15</v>
      </c>
      <c r="AV1034" s="31" t="str">
        <f>IFERROR(时间!$B$4+AU1034,"上周无销量")</f>
        <v>上周无销量</v>
      </c>
    </row>
    <row r="1035" spans="1:48">
      <c r="A1035" s="16" t="s">
        <v>1897</v>
      </c>
      <c r="B1035" t="s">
        <v>1442</v>
      </c>
      <c r="C1035" t="s">
        <v>1870</v>
      </c>
      <c r="D1035" s="24">
        <v>1</v>
      </c>
      <c r="E1035" s="24">
        <v>0</v>
      </c>
      <c r="F1035" s="24">
        <v>0</v>
      </c>
      <c r="G1035" s="24">
        <v>0</v>
      </c>
      <c r="H1035" s="25">
        <v>25.98</v>
      </c>
      <c r="I1035">
        <v>12</v>
      </c>
      <c r="J1035" s="26">
        <v>0</v>
      </c>
      <c r="K1035" s="26">
        <v>0</v>
      </c>
      <c r="L1035" s="26">
        <v>0</v>
      </c>
      <c r="M1035">
        <v>12</v>
      </c>
      <c r="N1035">
        <v>0</v>
      </c>
      <c r="O1035">
        <v>12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10</v>
      </c>
      <c r="AK1035">
        <v>10</v>
      </c>
      <c r="AL1035">
        <v>9</v>
      </c>
      <c r="AM1035">
        <v>7</v>
      </c>
      <c r="AN1035" s="18">
        <v>0.1</v>
      </c>
      <c r="AO1035" s="18">
        <v>0</v>
      </c>
      <c r="AP1035" s="18">
        <v>0</v>
      </c>
      <c r="AQ1035" s="18">
        <v>0</v>
      </c>
      <c r="AR1035" s="29">
        <v>0.142857142857143</v>
      </c>
      <c r="AS1035" s="29">
        <v>8.57142857142857</v>
      </c>
      <c r="AT1035" s="29">
        <v>3.42857142857143</v>
      </c>
      <c r="AU1035" s="24">
        <f t="shared" si="17"/>
        <v>84</v>
      </c>
      <c r="AV1035" s="31">
        <f>IFERROR(时间!$B$4+AU1035,"上周无销量")</f>
        <v>43402</v>
      </c>
    </row>
    <row r="1036" spans="1:48">
      <c r="A1036" s="16" t="s">
        <v>1898</v>
      </c>
      <c r="B1036" t="s">
        <v>1444</v>
      </c>
      <c r="C1036" t="s">
        <v>1870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0</v>
      </c>
      <c r="J1036" s="26">
        <v>0</v>
      </c>
      <c r="K1036" s="26">
        <v>0</v>
      </c>
      <c r="L1036" s="26">
        <v>0</v>
      </c>
      <c r="M1036">
        <v>0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0</v>
      </c>
      <c r="AK1036">
        <v>0</v>
      </c>
      <c r="AL1036">
        <v>0</v>
      </c>
      <c r="AM1036">
        <v>0</v>
      </c>
      <c r="AN1036" s="18" t="s">
        <v>52</v>
      </c>
      <c r="AO1036" s="18" t="s">
        <v>52</v>
      </c>
      <c r="AP1036" s="18" t="s">
        <v>52</v>
      </c>
      <c r="AQ1036" s="18" t="s">
        <v>52</v>
      </c>
      <c r="AR1036" s="29">
        <v>0</v>
      </c>
      <c r="AS1036" s="29">
        <v>0</v>
      </c>
      <c r="AT1036" s="29">
        <v>0</v>
      </c>
      <c r="AU1036" s="24" t="str">
        <f t="shared" si="17"/>
        <v>库存为0</v>
      </c>
      <c r="AV1036" s="31" t="str">
        <f>IFERROR(时间!$B$4+AU1036,"上周无销量")</f>
        <v>上周无销量</v>
      </c>
    </row>
    <row r="1037" spans="1:48">
      <c r="A1037" s="16" t="s">
        <v>1899</v>
      </c>
      <c r="B1037" t="s">
        <v>1448</v>
      </c>
      <c r="C1037" t="s">
        <v>1870</v>
      </c>
      <c r="D1037" s="24">
        <v>0</v>
      </c>
      <c r="E1037" s="24">
        <v>1</v>
      </c>
      <c r="F1037" s="24">
        <v>0</v>
      </c>
      <c r="G1037" s="24">
        <v>0</v>
      </c>
      <c r="H1037" s="25">
        <v>27.98</v>
      </c>
      <c r="I1037">
        <v>11</v>
      </c>
      <c r="J1037" s="26">
        <v>0</v>
      </c>
      <c r="K1037" s="26">
        <v>0</v>
      </c>
      <c r="L1037" s="26">
        <v>1</v>
      </c>
      <c r="M1037">
        <v>12</v>
      </c>
      <c r="N1037">
        <v>0</v>
      </c>
      <c r="O1037">
        <v>11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7</v>
      </c>
      <c r="AK1037">
        <v>16</v>
      </c>
      <c r="AL1037">
        <v>3</v>
      </c>
      <c r="AM1037">
        <v>2</v>
      </c>
      <c r="AN1037" s="18">
        <v>0</v>
      </c>
      <c r="AO1037" s="18">
        <v>0.0625</v>
      </c>
      <c r="AP1037" s="18">
        <v>0</v>
      </c>
      <c r="AQ1037" s="18">
        <v>0</v>
      </c>
      <c r="AR1037" s="29">
        <v>0</v>
      </c>
      <c r="AS1037" s="29">
        <v>0</v>
      </c>
      <c r="AT1037" s="29">
        <v>12</v>
      </c>
      <c r="AU1037" s="24" t="str">
        <f t="shared" si="17"/>
        <v>库存为12</v>
      </c>
      <c r="AV1037" s="31" t="str">
        <f>IFERROR(时间!$B$4+AU1037,"上周无销量")</f>
        <v>上周无销量</v>
      </c>
    </row>
    <row r="1038" spans="1:48">
      <c r="A1038" s="16" t="s">
        <v>1900</v>
      </c>
      <c r="B1038" t="s">
        <v>1450</v>
      </c>
      <c r="C1038" t="s">
        <v>1870</v>
      </c>
      <c r="D1038" s="24">
        <v>0</v>
      </c>
      <c r="E1038" s="24">
        <v>0</v>
      </c>
      <c r="F1038" s="24">
        <v>0</v>
      </c>
      <c r="G1038" s="24">
        <v>0</v>
      </c>
      <c r="H1038" s="25">
        <v>0</v>
      </c>
      <c r="I1038">
        <v>0</v>
      </c>
      <c r="J1038" s="26">
        <v>0</v>
      </c>
      <c r="K1038" s="26">
        <v>0</v>
      </c>
      <c r="L1038" s="26">
        <v>0</v>
      </c>
      <c r="M1038">
        <v>0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1</v>
      </c>
      <c r="AK1038">
        <v>4</v>
      </c>
      <c r="AL1038">
        <v>0</v>
      </c>
      <c r="AM1038">
        <v>0</v>
      </c>
      <c r="AN1038" s="18">
        <v>0</v>
      </c>
      <c r="AO1038" s="18">
        <v>0</v>
      </c>
      <c r="AP1038" s="18" t="s">
        <v>52</v>
      </c>
      <c r="AQ1038" s="18" t="s">
        <v>52</v>
      </c>
      <c r="AR1038" s="29">
        <v>0</v>
      </c>
      <c r="AS1038" s="29">
        <v>0</v>
      </c>
      <c r="AT1038" s="29">
        <v>0</v>
      </c>
      <c r="AU1038" s="24" t="str">
        <f t="shared" si="17"/>
        <v>库存为0</v>
      </c>
      <c r="AV1038" s="31" t="str">
        <f>IFERROR(时间!$B$4+AU1038,"上周无销量")</f>
        <v>上周无销量</v>
      </c>
    </row>
    <row r="1039" spans="1:48">
      <c r="A1039" s="16" t="s">
        <v>1901</v>
      </c>
      <c r="B1039" t="s">
        <v>1452</v>
      </c>
      <c r="C1039" t="s">
        <v>1870</v>
      </c>
      <c r="D1039" s="24">
        <v>0</v>
      </c>
      <c r="E1039" s="24">
        <v>0</v>
      </c>
      <c r="F1039" s="24">
        <v>1</v>
      </c>
      <c r="G1039" s="24">
        <v>0</v>
      </c>
      <c r="H1039" s="25">
        <v>27.98</v>
      </c>
      <c r="I1039">
        <v>7</v>
      </c>
      <c r="J1039" s="26">
        <v>0</v>
      </c>
      <c r="K1039" s="26">
        <v>0</v>
      </c>
      <c r="L1039" s="26">
        <v>0</v>
      </c>
      <c r="M1039">
        <v>7</v>
      </c>
      <c r="N1039">
        <v>0</v>
      </c>
      <c r="O1039">
        <v>7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9</v>
      </c>
      <c r="AK1039">
        <v>7</v>
      </c>
      <c r="AL1039">
        <v>12</v>
      </c>
      <c r="AM1039">
        <v>5</v>
      </c>
      <c r="AN1039" s="18">
        <v>0</v>
      </c>
      <c r="AO1039" s="18">
        <v>0</v>
      </c>
      <c r="AP1039" s="18">
        <v>0.0833333333333333</v>
      </c>
      <c r="AQ1039" s="18">
        <v>0</v>
      </c>
      <c r="AR1039" s="29">
        <v>0</v>
      </c>
      <c r="AS1039" s="29">
        <v>0</v>
      </c>
      <c r="AT1039" s="29">
        <v>7</v>
      </c>
      <c r="AU1039" s="24" t="str">
        <f t="shared" si="17"/>
        <v>库存为7</v>
      </c>
      <c r="AV1039" s="31" t="str">
        <f>IFERROR(时间!$B$4+AU1039,"上周无销量")</f>
        <v>上周无销量</v>
      </c>
    </row>
    <row r="1040" spans="1:48">
      <c r="A1040" s="16" t="s">
        <v>1902</v>
      </c>
      <c r="B1040" t="s">
        <v>1454</v>
      </c>
      <c r="C1040" t="s">
        <v>1870</v>
      </c>
      <c r="D1040" s="24">
        <v>0</v>
      </c>
      <c r="E1040" s="24">
        <v>0</v>
      </c>
      <c r="F1040" s="24">
        <v>0</v>
      </c>
      <c r="G1040" s="24">
        <v>0</v>
      </c>
      <c r="H1040" s="25">
        <v>0</v>
      </c>
      <c r="I1040">
        <v>9</v>
      </c>
      <c r="J1040" s="26">
        <v>0</v>
      </c>
      <c r="K1040" s="26">
        <v>0</v>
      </c>
      <c r="L1040" s="26">
        <v>0</v>
      </c>
      <c r="M1040">
        <v>9</v>
      </c>
      <c r="N1040">
        <v>0</v>
      </c>
      <c r="O1040">
        <v>9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6</v>
      </c>
      <c r="AK1040">
        <v>1</v>
      </c>
      <c r="AL1040">
        <v>4</v>
      </c>
      <c r="AM1040">
        <v>5</v>
      </c>
      <c r="AN1040" s="18">
        <v>0</v>
      </c>
      <c r="AO1040" s="18">
        <v>0</v>
      </c>
      <c r="AP1040" s="18">
        <v>0</v>
      </c>
      <c r="AQ1040" s="18">
        <v>0</v>
      </c>
      <c r="AR1040" s="29">
        <v>0</v>
      </c>
      <c r="AS1040" s="29">
        <v>0</v>
      </c>
      <c r="AT1040" s="29">
        <v>9</v>
      </c>
      <c r="AU1040" s="24" t="str">
        <f t="shared" si="17"/>
        <v>库存为9</v>
      </c>
      <c r="AV1040" s="31" t="str">
        <f>IFERROR(时间!$B$4+AU1040,"上周无销量")</f>
        <v>上周无销量</v>
      </c>
    </row>
    <row r="1041" spans="1:48">
      <c r="A1041" s="16" t="s">
        <v>1903</v>
      </c>
      <c r="B1041" t="s">
        <v>1904</v>
      </c>
      <c r="C1041" t="s">
        <v>1870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2</v>
      </c>
      <c r="J1041" s="26">
        <v>0</v>
      </c>
      <c r="K1041" s="26">
        <v>0</v>
      </c>
      <c r="L1041" s="26">
        <v>0</v>
      </c>
      <c r="M1041">
        <v>2</v>
      </c>
      <c r="N1041">
        <v>0</v>
      </c>
      <c r="O1041">
        <v>3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7</v>
      </c>
      <c r="AK1041">
        <v>11</v>
      </c>
      <c r="AL1041">
        <v>14</v>
      </c>
      <c r="AM1041">
        <v>6</v>
      </c>
      <c r="AN1041" s="18">
        <v>0</v>
      </c>
      <c r="AO1041" s="18">
        <v>0</v>
      </c>
      <c r="AP1041" s="18">
        <v>0</v>
      </c>
      <c r="AQ1041" s="18">
        <v>0</v>
      </c>
      <c r="AR1041" s="29">
        <v>0</v>
      </c>
      <c r="AS1041" s="29">
        <v>0</v>
      </c>
      <c r="AT1041" s="29">
        <v>2</v>
      </c>
      <c r="AU1041" s="24" t="str">
        <f t="shared" si="17"/>
        <v>库存为2</v>
      </c>
      <c r="AV1041" s="31" t="str">
        <f>IFERROR(时间!$B$4+AU1041,"上周无销量")</f>
        <v>上周无销量</v>
      </c>
    </row>
    <row r="1042" spans="1:48">
      <c r="A1042" s="16" t="s">
        <v>1905</v>
      </c>
      <c r="B1042" t="s">
        <v>1460</v>
      </c>
      <c r="C1042" t="s">
        <v>1870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0</v>
      </c>
      <c r="J1042" s="26">
        <v>0</v>
      </c>
      <c r="K1042" s="26">
        <v>0</v>
      </c>
      <c r="L1042" s="26">
        <v>0</v>
      </c>
      <c r="M1042">
        <v>0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17</v>
      </c>
      <c r="AK1042">
        <v>0</v>
      </c>
      <c r="AL1042">
        <v>0</v>
      </c>
      <c r="AM1042">
        <v>0</v>
      </c>
      <c r="AN1042" s="18">
        <v>0</v>
      </c>
      <c r="AO1042" s="18" t="s">
        <v>52</v>
      </c>
      <c r="AP1042" s="18" t="s">
        <v>52</v>
      </c>
      <c r="AQ1042" s="18" t="s">
        <v>52</v>
      </c>
      <c r="AR1042" s="29">
        <v>0</v>
      </c>
      <c r="AS1042" s="29">
        <v>0</v>
      </c>
      <c r="AT1042" s="29">
        <v>0</v>
      </c>
      <c r="AU1042" s="24" t="str">
        <f t="shared" si="17"/>
        <v>库存为0</v>
      </c>
      <c r="AV1042" s="31" t="str">
        <f>IFERROR(时间!$B$4+AU1042,"上周无销量")</f>
        <v>上周无销量</v>
      </c>
    </row>
    <row r="1043" spans="1:48">
      <c r="A1043" s="16" t="s">
        <v>1906</v>
      </c>
      <c r="B1043" t="s">
        <v>1907</v>
      </c>
      <c r="C1043" t="s">
        <v>1870</v>
      </c>
      <c r="D1043" s="24">
        <v>0</v>
      </c>
      <c r="E1043" s="24">
        <v>0</v>
      </c>
      <c r="F1043" s="24">
        <v>0</v>
      </c>
      <c r="G1043" s="24">
        <v>0</v>
      </c>
      <c r="H1043" s="25">
        <v>0</v>
      </c>
      <c r="I1043">
        <v>0</v>
      </c>
      <c r="J1043" s="26">
        <v>0</v>
      </c>
      <c r="K1043" s="26">
        <v>0</v>
      </c>
      <c r="L1043" s="26">
        <v>0</v>
      </c>
      <c r="M1043">
        <v>0</v>
      </c>
      <c r="N1043">
        <v>0</v>
      </c>
      <c r="O1043">
        <v>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0</v>
      </c>
      <c r="AM1043">
        <v>0</v>
      </c>
      <c r="AN1043" s="18" t="s">
        <v>52</v>
      </c>
      <c r="AO1043" s="18" t="s">
        <v>52</v>
      </c>
      <c r="AP1043" s="18" t="s">
        <v>52</v>
      </c>
      <c r="AQ1043" s="18" t="s">
        <v>52</v>
      </c>
      <c r="AR1043" s="29">
        <v>0</v>
      </c>
      <c r="AS1043" s="29">
        <v>0</v>
      </c>
      <c r="AT1043" s="29">
        <v>0</v>
      </c>
      <c r="AU1043" s="24" t="str">
        <f t="shared" si="17"/>
        <v>库存为0</v>
      </c>
      <c r="AV1043" s="31" t="str">
        <f>IFERROR(时间!$B$4+AU1043,"上周无销量")</f>
        <v>上周无销量</v>
      </c>
    </row>
    <row r="1044" spans="1:48">
      <c r="A1044" s="16" t="s">
        <v>1908</v>
      </c>
      <c r="B1044" t="s">
        <v>1464</v>
      </c>
      <c r="C1044" t="s">
        <v>1870</v>
      </c>
      <c r="D1044" s="24">
        <v>0</v>
      </c>
      <c r="E1044" s="24">
        <v>0</v>
      </c>
      <c r="F1044" s="24">
        <v>1</v>
      </c>
      <c r="G1044" s="24">
        <v>0</v>
      </c>
      <c r="H1044" s="25">
        <v>27.98</v>
      </c>
      <c r="I1044">
        <v>1</v>
      </c>
      <c r="J1044" s="26">
        <v>0</v>
      </c>
      <c r="K1044" s="26">
        <v>0</v>
      </c>
      <c r="L1044" s="26">
        <v>0</v>
      </c>
      <c r="M1044">
        <v>1</v>
      </c>
      <c r="N1044">
        <v>0</v>
      </c>
      <c r="O1044">
        <v>1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6</v>
      </c>
      <c r="AK1044">
        <v>4</v>
      </c>
      <c r="AL1044">
        <v>11</v>
      </c>
      <c r="AM1044">
        <v>5</v>
      </c>
      <c r="AN1044" s="18">
        <v>0</v>
      </c>
      <c r="AO1044" s="18">
        <v>0</v>
      </c>
      <c r="AP1044" s="18">
        <v>0.0909090909090909</v>
      </c>
      <c r="AQ1044" s="18">
        <v>0</v>
      </c>
      <c r="AR1044" s="29">
        <v>0</v>
      </c>
      <c r="AS1044" s="29">
        <v>0</v>
      </c>
      <c r="AT1044" s="29">
        <v>1</v>
      </c>
      <c r="AU1044" s="24" t="str">
        <f t="shared" si="17"/>
        <v>库存为1</v>
      </c>
      <c r="AV1044" s="31" t="str">
        <f>IFERROR(时间!$B$4+AU1044,"上周无销量")</f>
        <v>上周无销量</v>
      </c>
    </row>
    <row r="1045" spans="1:48">
      <c r="A1045" s="16" t="s">
        <v>1909</v>
      </c>
      <c r="B1045" t="s">
        <v>1910</v>
      </c>
      <c r="C1045" t="s">
        <v>1911</v>
      </c>
      <c r="D1045" s="24">
        <v>0</v>
      </c>
      <c r="E1045" s="24">
        <v>0</v>
      </c>
      <c r="F1045" s="24">
        <v>0</v>
      </c>
      <c r="G1045" s="24">
        <v>0</v>
      </c>
      <c r="H1045" s="25">
        <v>0</v>
      </c>
      <c r="I1045">
        <v>0</v>
      </c>
      <c r="J1045" s="26">
        <v>0</v>
      </c>
      <c r="K1045" s="26">
        <v>0</v>
      </c>
      <c r="L1045" s="26">
        <v>0</v>
      </c>
      <c r="M1045">
        <v>0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0</v>
      </c>
      <c r="AK1045">
        <v>0</v>
      </c>
      <c r="AL1045">
        <v>0</v>
      </c>
      <c r="AM1045">
        <v>0</v>
      </c>
      <c r="AN1045" s="18" t="s">
        <v>52</v>
      </c>
      <c r="AO1045" s="18" t="s">
        <v>52</v>
      </c>
      <c r="AP1045" s="18" t="s">
        <v>52</v>
      </c>
      <c r="AQ1045" s="18" t="s">
        <v>52</v>
      </c>
      <c r="AR1045" s="29">
        <v>0</v>
      </c>
      <c r="AS1045" s="29">
        <v>0</v>
      </c>
      <c r="AT1045" s="29">
        <v>0</v>
      </c>
      <c r="AU1045" s="24" t="str">
        <f t="shared" si="17"/>
        <v>库存为0</v>
      </c>
      <c r="AV1045" s="31" t="str">
        <f>IFERROR(时间!$B$4+AU1045,"上周无销量")</f>
        <v>上周无销量</v>
      </c>
    </row>
    <row r="1046" spans="1:48">
      <c r="A1046" s="16" t="s">
        <v>1912</v>
      </c>
      <c r="B1046" t="s">
        <v>1913</v>
      </c>
      <c r="C1046" t="s">
        <v>1911</v>
      </c>
      <c r="D1046" s="24">
        <v>0</v>
      </c>
      <c r="E1046" s="24">
        <v>0</v>
      </c>
      <c r="F1046" s="24">
        <v>0</v>
      </c>
      <c r="G1046" s="24">
        <v>0</v>
      </c>
      <c r="H1046" s="25">
        <v>0</v>
      </c>
      <c r="I1046">
        <v>0</v>
      </c>
      <c r="J1046" s="26">
        <v>0</v>
      </c>
      <c r="K1046" s="26">
        <v>0</v>
      </c>
      <c r="L1046" s="26">
        <v>0</v>
      </c>
      <c r="M1046">
        <v>0</v>
      </c>
      <c r="N1046">
        <v>0</v>
      </c>
      <c r="O1046">
        <v>0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0</v>
      </c>
      <c r="AK1046">
        <v>0</v>
      </c>
      <c r="AL1046">
        <v>0</v>
      </c>
      <c r="AM1046">
        <v>0</v>
      </c>
      <c r="AN1046" s="18" t="s">
        <v>52</v>
      </c>
      <c r="AO1046" s="18" t="s">
        <v>52</v>
      </c>
      <c r="AP1046" s="18" t="s">
        <v>52</v>
      </c>
      <c r="AQ1046" s="18" t="s">
        <v>52</v>
      </c>
      <c r="AR1046" s="29">
        <v>0</v>
      </c>
      <c r="AS1046" s="29">
        <v>0</v>
      </c>
      <c r="AT1046" s="29">
        <v>0</v>
      </c>
      <c r="AU1046" s="24" t="str">
        <f t="shared" si="17"/>
        <v>库存为0</v>
      </c>
      <c r="AV1046" s="31" t="str">
        <f>IFERROR(时间!$B$4+AU1046,"上周无销量")</f>
        <v>上周无销量</v>
      </c>
    </row>
    <row r="1047" spans="1:48">
      <c r="A1047" s="16" t="s">
        <v>1914</v>
      </c>
      <c r="B1047" t="s">
        <v>1915</v>
      </c>
      <c r="C1047" t="s">
        <v>1911</v>
      </c>
      <c r="D1047" s="24">
        <v>0</v>
      </c>
      <c r="E1047" s="24">
        <v>0</v>
      </c>
      <c r="F1047" s="24">
        <v>0</v>
      </c>
      <c r="G1047" s="24">
        <v>0</v>
      </c>
      <c r="H1047" s="25">
        <v>0</v>
      </c>
      <c r="I1047">
        <v>0</v>
      </c>
      <c r="J1047" s="26">
        <v>0</v>
      </c>
      <c r="K1047" s="26">
        <v>0</v>
      </c>
      <c r="L1047" s="26">
        <v>0</v>
      </c>
      <c r="M1047">
        <v>0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0</v>
      </c>
      <c r="AK1047">
        <v>0</v>
      </c>
      <c r="AL1047">
        <v>0</v>
      </c>
      <c r="AM1047">
        <v>0</v>
      </c>
      <c r="AN1047" s="18" t="s">
        <v>52</v>
      </c>
      <c r="AO1047" s="18" t="s">
        <v>52</v>
      </c>
      <c r="AP1047" s="18" t="s">
        <v>52</v>
      </c>
      <c r="AQ1047" s="18" t="s">
        <v>52</v>
      </c>
      <c r="AR1047" s="29">
        <v>0</v>
      </c>
      <c r="AS1047" s="29">
        <v>0</v>
      </c>
      <c r="AT1047" s="29">
        <v>0</v>
      </c>
      <c r="AU1047" s="24" t="str">
        <f t="shared" si="17"/>
        <v>库存为0</v>
      </c>
      <c r="AV1047" s="31" t="str">
        <f>IFERROR(时间!$B$4+AU1047,"上周无销量")</f>
        <v>上周无销量</v>
      </c>
    </row>
    <row r="1048" spans="1:48">
      <c r="A1048" s="16" t="s">
        <v>1916</v>
      </c>
      <c r="B1048" t="s">
        <v>1917</v>
      </c>
      <c r="C1048" t="s">
        <v>1911</v>
      </c>
      <c r="D1048" s="24">
        <v>0</v>
      </c>
      <c r="E1048" s="24">
        <v>0</v>
      </c>
      <c r="F1048" s="24">
        <v>0</v>
      </c>
      <c r="G1048" s="24">
        <v>0</v>
      </c>
      <c r="H1048" s="25">
        <v>0</v>
      </c>
      <c r="I1048">
        <v>0</v>
      </c>
      <c r="J1048" s="26">
        <v>0</v>
      </c>
      <c r="K1048" s="26">
        <v>0</v>
      </c>
      <c r="L1048" s="26">
        <v>0</v>
      </c>
      <c r="M1048">
        <v>0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0</v>
      </c>
      <c r="AK1048">
        <v>0</v>
      </c>
      <c r="AL1048">
        <v>0</v>
      </c>
      <c r="AM1048">
        <v>0</v>
      </c>
      <c r="AN1048" s="18" t="s">
        <v>52</v>
      </c>
      <c r="AO1048" s="18" t="s">
        <v>52</v>
      </c>
      <c r="AP1048" s="18" t="s">
        <v>52</v>
      </c>
      <c r="AQ1048" s="18" t="s">
        <v>52</v>
      </c>
      <c r="AR1048" s="29">
        <v>0</v>
      </c>
      <c r="AS1048" s="29">
        <v>0</v>
      </c>
      <c r="AT1048" s="29">
        <v>0</v>
      </c>
      <c r="AU1048" s="24" t="str">
        <f t="shared" si="17"/>
        <v>库存为0</v>
      </c>
      <c r="AV1048" s="31" t="str">
        <f>IFERROR(时间!$B$4+AU1048,"上周无销量")</f>
        <v>上周无销量</v>
      </c>
    </row>
    <row r="1049" spans="1:48">
      <c r="A1049" s="16" t="s">
        <v>1918</v>
      </c>
      <c r="B1049" t="s">
        <v>1919</v>
      </c>
      <c r="C1049" t="s">
        <v>1920</v>
      </c>
      <c r="D1049" s="24">
        <v>0</v>
      </c>
      <c r="E1049" s="24">
        <v>0</v>
      </c>
      <c r="F1049" s="24">
        <v>0</v>
      </c>
      <c r="G1049" s="24">
        <v>0</v>
      </c>
      <c r="H1049" s="25">
        <v>0</v>
      </c>
      <c r="I1049">
        <v>0</v>
      </c>
      <c r="J1049" s="26">
        <v>0</v>
      </c>
      <c r="K1049" s="26">
        <v>0</v>
      </c>
      <c r="L1049" s="26">
        <v>0</v>
      </c>
      <c r="M1049">
        <v>0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0</v>
      </c>
      <c r="AK1049">
        <v>0</v>
      </c>
      <c r="AL1049">
        <v>0</v>
      </c>
      <c r="AM1049">
        <v>0</v>
      </c>
      <c r="AN1049" s="18" t="s">
        <v>52</v>
      </c>
      <c r="AO1049" s="18" t="s">
        <v>52</v>
      </c>
      <c r="AP1049" s="18" t="s">
        <v>52</v>
      </c>
      <c r="AQ1049" s="18" t="s">
        <v>52</v>
      </c>
      <c r="AR1049" s="29">
        <v>0</v>
      </c>
      <c r="AS1049" s="29">
        <v>0</v>
      </c>
      <c r="AT1049" s="29">
        <v>0</v>
      </c>
      <c r="AU1049" s="24" t="str">
        <f t="shared" si="17"/>
        <v>库存为0</v>
      </c>
      <c r="AV1049" s="31" t="str">
        <f>IFERROR(时间!$B$4+AU1049,"上周无销量")</f>
        <v>上周无销量</v>
      </c>
    </row>
    <row r="1050" spans="1:48">
      <c r="A1050" s="16" t="s">
        <v>1921</v>
      </c>
      <c r="B1050" t="s">
        <v>1922</v>
      </c>
      <c r="C1050" t="s">
        <v>1920</v>
      </c>
      <c r="D1050" s="24">
        <v>0</v>
      </c>
      <c r="E1050" s="24">
        <v>0</v>
      </c>
      <c r="F1050" s="24">
        <v>0</v>
      </c>
      <c r="G1050" s="24">
        <v>1</v>
      </c>
      <c r="H1050" s="25">
        <v>22.98</v>
      </c>
      <c r="I1050">
        <v>1</v>
      </c>
      <c r="J1050" s="26">
        <v>0</v>
      </c>
      <c r="K1050" s="26">
        <v>0</v>
      </c>
      <c r="L1050" s="26">
        <v>0</v>
      </c>
      <c r="M1050">
        <v>1</v>
      </c>
      <c r="N1050">
        <v>0</v>
      </c>
      <c r="O1050">
        <v>0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0</v>
      </c>
      <c r="AK1050">
        <v>0</v>
      </c>
      <c r="AL1050">
        <v>0</v>
      </c>
      <c r="AM1050">
        <v>0</v>
      </c>
      <c r="AN1050" s="18" t="s">
        <v>52</v>
      </c>
      <c r="AO1050" s="18" t="s">
        <v>52</v>
      </c>
      <c r="AP1050" s="18" t="s">
        <v>52</v>
      </c>
      <c r="AQ1050" s="18" t="s">
        <v>52</v>
      </c>
      <c r="AR1050" s="29">
        <v>0</v>
      </c>
      <c r="AS1050" s="29">
        <v>0</v>
      </c>
      <c r="AT1050" s="29">
        <v>1</v>
      </c>
      <c r="AU1050" s="24" t="str">
        <f t="shared" si="17"/>
        <v>库存为1</v>
      </c>
      <c r="AV1050" s="31" t="str">
        <f>IFERROR(时间!$B$4+AU1050,"上周无销量")</f>
        <v>上周无销量</v>
      </c>
    </row>
    <row r="1051" spans="1:48">
      <c r="A1051" s="16" t="s">
        <v>1923</v>
      </c>
      <c r="B1051" t="s">
        <v>1924</v>
      </c>
      <c r="C1051" t="s">
        <v>1920</v>
      </c>
      <c r="D1051" s="24">
        <v>0</v>
      </c>
      <c r="E1051" s="24">
        <v>1</v>
      </c>
      <c r="F1051" s="24">
        <v>2</v>
      </c>
      <c r="G1051" s="24">
        <v>4</v>
      </c>
      <c r="H1051" s="25">
        <v>14.98</v>
      </c>
      <c r="I1051">
        <v>2</v>
      </c>
      <c r="J1051" s="26">
        <v>0</v>
      </c>
      <c r="K1051" s="26">
        <v>0</v>
      </c>
      <c r="L1051" s="26">
        <v>0</v>
      </c>
      <c r="M1051">
        <v>2</v>
      </c>
      <c r="N1051">
        <v>1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1</v>
      </c>
      <c r="AK1051">
        <v>2</v>
      </c>
      <c r="AL1051">
        <v>18</v>
      </c>
      <c r="AM1051">
        <v>21</v>
      </c>
      <c r="AN1051" s="18">
        <v>0</v>
      </c>
      <c r="AO1051" s="18">
        <v>0.5</v>
      </c>
      <c r="AP1051" s="18">
        <v>0.111111111111111</v>
      </c>
      <c r="AQ1051" s="18">
        <v>0.19047619047619</v>
      </c>
      <c r="AR1051" s="29">
        <v>0</v>
      </c>
      <c r="AS1051" s="29">
        <v>0</v>
      </c>
      <c r="AT1051" s="29">
        <v>2</v>
      </c>
      <c r="AU1051" s="24" t="str">
        <f t="shared" si="17"/>
        <v>库存为2</v>
      </c>
      <c r="AV1051" s="31" t="str">
        <f>IFERROR(时间!$B$4+AU1051,"上周无销量")</f>
        <v>上周无销量</v>
      </c>
    </row>
    <row r="1052" spans="1:48">
      <c r="A1052" s="16" t="s">
        <v>1925</v>
      </c>
      <c r="B1052" t="s">
        <v>1926</v>
      </c>
      <c r="C1052" t="s">
        <v>1920</v>
      </c>
      <c r="D1052" s="24">
        <v>0</v>
      </c>
      <c r="E1052" s="24">
        <v>0</v>
      </c>
      <c r="F1052" s="24">
        <v>0</v>
      </c>
      <c r="G1052" s="24">
        <v>0</v>
      </c>
      <c r="H1052" s="25">
        <v>0</v>
      </c>
      <c r="I1052">
        <v>0</v>
      </c>
      <c r="J1052" s="26">
        <v>0</v>
      </c>
      <c r="K1052" s="26">
        <v>0</v>
      </c>
      <c r="L1052" s="26">
        <v>0</v>
      </c>
      <c r="M1052">
        <v>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0</v>
      </c>
      <c r="AK1052">
        <v>0</v>
      </c>
      <c r="AL1052">
        <v>0</v>
      </c>
      <c r="AM1052">
        <v>0</v>
      </c>
      <c r="AN1052" s="18" t="s">
        <v>52</v>
      </c>
      <c r="AO1052" s="18" t="s">
        <v>52</v>
      </c>
      <c r="AP1052" s="18" t="s">
        <v>52</v>
      </c>
      <c r="AQ1052" s="18" t="s">
        <v>52</v>
      </c>
      <c r="AR1052" s="29">
        <v>0</v>
      </c>
      <c r="AS1052" s="29">
        <v>0</v>
      </c>
      <c r="AT1052" s="29">
        <v>0</v>
      </c>
      <c r="AU1052" s="24" t="str">
        <f t="shared" si="17"/>
        <v>库存为0</v>
      </c>
      <c r="AV1052" s="31" t="str">
        <f>IFERROR(时间!$B$4+AU1052,"上周无销量")</f>
        <v>上周无销量</v>
      </c>
    </row>
    <row r="1053" spans="1:48">
      <c r="A1053" s="16" t="s">
        <v>1927</v>
      </c>
      <c r="B1053" t="s">
        <v>1928</v>
      </c>
      <c r="C1053" t="s">
        <v>1920</v>
      </c>
      <c r="D1053" s="24">
        <v>0</v>
      </c>
      <c r="E1053" s="24">
        <v>1</v>
      </c>
      <c r="F1053" s="24">
        <v>0</v>
      </c>
      <c r="G1053" s="24">
        <v>0</v>
      </c>
      <c r="H1053" s="25">
        <v>22.98</v>
      </c>
      <c r="I1053">
        <v>9</v>
      </c>
      <c r="J1053" s="26">
        <v>0</v>
      </c>
      <c r="K1053" s="26">
        <v>0</v>
      </c>
      <c r="L1053" s="26">
        <v>0</v>
      </c>
      <c r="M1053">
        <v>9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5</v>
      </c>
      <c r="AK1053">
        <v>3</v>
      </c>
      <c r="AL1053">
        <v>1</v>
      </c>
      <c r="AM1053">
        <v>5</v>
      </c>
      <c r="AN1053" s="18">
        <v>0</v>
      </c>
      <c r="AO1053" s="18">
        <v>0.333333333333333</v>
      </c>
      <c r="AP1053" s="18">
        <v>0</v>
      </c>
      <c r="AQ1053" s="18">
        <v>0</v>
      </c>
      <c r="AR1053" s="29">
        <v>0</v>
      </c>
      <c r="AS1053" s="29">
        <v>0</v>
      </c>
      <c r="AT1053" s="29">
        <v>9</v>
      </c>
      <c r="AU1053" s="24" t="str">
        <f t="shared" si="17"/>
        <v>库存为9</v>
      </c>
      <c r="AV1053" s="31" t="str">
        <f>IFERROR(时间!$B$4+AU1053,"上周无销量")</f>
        <v>上周无销量</v>
      </c>
    </row>
    <row r="1054" spans="1:48">
      <c r="A1054" s="16" t="s">
        <v>1929</v>
      </c>
      <c r="B1054" t="s">
        <v>1930</v>
      </c>
      <c r="C1054" t="s">
        <v>1920</v>
      </c>
      <c r="D1054" s="24">
        <v>0</v>
      </c>
      <c r="E1054" s="24">
        <v>0</v>
      </c>
      <c r="F1054" s="24">
        <v>0</v>
      </c>
      <c r="G1054" s="24">
        <v>0</v>
      </c>
      <c r="H1054" s="25">
        <v>0</v>
      </c>
      <c r="I1054">
        <v>0</v>
      </c>
      <c r="J1054" s="26">
        <v>0</v>
      </c>
      <c r="K1054" s="26">
        <v>0</v>
      </c>
      <c r="L1054" s="26">
        <v>0</v>
      </c>
      <c r="M1054">
        <v>0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0</v>
      </c>
      <c r="AK1054">
        <v>0</v>
      </c>
      <c r="AL1054">
        <v>0</v>
      </c>
      <c r="AM1054">
        <v>0</v>
      </c>
      <c r="AN1054" s="18" t="s">
        <v>52</v>
      </c>
      <c r="AO1054" s="18" t="s">
        <v>52</v>
      </c>
      <c r="AP1054" s="18" t="s">
        <v>52</v>
      </c>
      <c r="AQ1054" s="18" t="s">
        <v>52</v>
      </c>
      <c r="AR1054" s="29">
        <v>0</v>
      </c>
      <c r="AS1054" s="29">
        <v>0</v>
      </c>
      <c r="AT1054" s="29">
        <v>0</v>
      </c>
      <c r="AU1054" s="24" t="str">
        <f t="shared" si="17"/>
        <v>库存为0</v>
      </c>
      <c r="AV1054" s="31" t="str">
        <f>IFERROR(时间!$B$4+AU1054,"上周无销量")</f>
        <v>上周无销量</v>
      </c>
    </row>
    <row r="1055" spans="1:48">
      <c r="A1055" s="16" t="s">
        <v>1931</v>
      </c>
      <c r="B1055" t="s">
        <v>1932</v>
      </c>
      <c r="C1055" t="s">
        <v>1920</v>
      </c>
      <c r="D1055" s="24">
        <v>0</v>
      </c>
      <c r="E1055" s="24">
        <v>0</v>
      </c>
      <c r="F1055" s="24">
        <v>0</v>
      </c>
      <c r="G1055" s="24">
        <v>0</v>
      </c>
      <c r="H1055" s="25">
        <v>0</v>
      </c>
      <c r="I1055">
        <v>0</v>
      </c>
      <c r="J1055" s="26">
        <v>0</v>
      </c>
      <c r="K1055" s="26">
        <v>0</v>
      </c>
      <c r="L1055" s="26">
        <v>0</v>
      </c>
      <c r="M1055">
        <v>0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0</v>
      </c>
      <c r="AK1055">
        <v>0</v>
      </c>
      <c r="AL1055">
        <v>0</v>
      </c>
      <c r="AM1055">
        <v>0</v>
      </c>
      <c r="AN1055" s="18" t="s">
        <v>52</v>
      </c>
      <c r="AO1055" s="18" t="s">
        <v>52</v>
      </c>
      <c r="AP1055" s="18" t="s">
        <v>52</v>
      </c>
      <c r="AQ1055" s="18" t="s">
        <v>52</v>
      </c>
      <c r="AR1055" s="29">
        <v>0</v>
      </c>
      <c r="AS1055" s="29">
        <v>0</v>
      </c>
      <c r="AT1055" s="29">
        <v>0</v>
      </c>
      <c r="AU1055" s="24" t="str">
        <f t="shared" si="17"/>
        <v>库存为0</v>
      </c>
      <c r="AV1055" s="31" t="str">
        <f>IFERROR(时间!$B$4+AU1055,"上周无销量")</f>
        <v>上周无销量</v>
      </c>
    </row>
    <row r="1056" spans="1:48">
      <c r="A1056" s="16" t="s">
        <v>1933</v>
      </c>
      <c r="B1056" t="s">
        <v>1934</v>
      </c>
      <c r="C1056" t="s">
        <v>1920</v>
      </c>
      <c r="D1056" s="24">
        <v>0</v>
      </c>
      <c r="E1056" s="24">
        <v>0</v>
      </c>
      <c r="F1056" s="24">
        <v>0</v>
      </c>
      <c r="G1056" s="24">
        <v>0</v>
      </c>
      <c r="H1056" s="25">
        <v>0</v>
      </c>
      <c r="I1056">
        <v>2</v>
      </c>
      <c r="J1056" s="26">
        <v>0</v>
      </c>
      <c r="K1056" s="26">
        <v>0</v>
      </c>
      <c r="L1056" s="26">
        <v>0</v>
      </c>
      <c r="M1056">
        <v>2</v>
      </c>
      <c r="N1056">
        <v>0</v>
      </c>
      <c r="O1056">
        <v>0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0</v>
      </c>
      <c r="AK1056">
        <v>0</v>
      </c>
      <c r="AL1056">
        <v>0</v>
      </c>
      <c r="AM1056">
        <v>0</v>
      </c>
      <c r="AN1056" s="18" t="s">
        <v>52</v>
      </c>
      <c r="AO1056" s="18" t="s">
        <v>52</v>
      </c>
      <c r="AP1056" s="18" t="s">
        <v>52</v>
      </c>
      <c r="AQ1056" s="18" t="s">
        <v>52</v>
      </c>
      <c r="AR1056" s="29">
        <v>0</v>
      </c>
      <c r="AS1056" s="29">
        <v>0</v>
      </c>
      <c r="AT1056" s="29">
        <v>2</v>
      </c>
      <c r="AU1056" s="24" t="str">
        <f t="shared" si="17"/>
        <v>库存为2</v>
      </c>
      <c r="AV1056" s="31" t="str">
        <f>IFERROR(时间!$B$4+AU1056,"上周无销量")</f>
        <v>上周无销量</v>
      </c>
    </row>
    <row r="1057" spans="1:48">
      <c r="A1057" s="16" t="s">
        <v>1935</v>
      </c>
      <c r="B1057" t="s">
        <v>1936</v>
      </c>
      <c r="C1057" t="s">
        <v>1920</v>
      </c>
      <c r="D1057" s="24">
        <v>0</v>
      </c>
      <c r="E1057" s="24">
        <v>0</v>
      </c>
      <c r="F1057" s="24">
        <v>0</v>
      </c>
      <c r="G1057" s="24">
        <v>0</v>
      </c>
      <c r="H1057" s="25">
        <v>0</v>
      </c>
      <c r="I1057">
        <v>1</v>
      </c>
      <c r="J1057" s="26">
        <v>0</v>
      </c>
      <c r="K1057" s="26">
        <v>0</v>
      </c>
      <c r="L1057" s="26">
        <v>0</v>
      </c>
      <c r="M1057">
        <v>1</v>
      </c>
      <c r="N1057">
        <v>0</v>
      </c>
      <c r="O1057">
        <v>1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0</v>
      </c>
      <c r="AK1057">
        <v>0</v>
      </c>
      <c r="AL1057">
        <v>0</v>
      </c>
      <c r="AM1057">
        <v>0</v>
      </c>
      <c r="AN1057" s="18" t="s">
        <v>52</v>
      </c>
      <c r="AO1057" s="18" t="s">
        <v>52</v>
      </c>
      <c r="AP1057" s="18" t="s">
        <v>52</v>
      </c>
      <c r="AQ1057" s="18" t="s">
        <v>52</v>
      </c>
      <c r="AR1057" s="29">
        <v>0</v>
      </c>
      <c r="AS1057" s="29">
        <v>0</v>
      </c>
      <c r="AT1057" s="29">
        <v>1</v>
      </c>
      <c r="AU1057" s="24" t="str">
        <f t="shared" si="17"/>
        <v>库存为1</v>
      </c>
      <c r="AV1057" s="31" t="str">
        <f>IFERROR(时间!$B$4+AU1057,"上周无销量")</f>
        <v>上周无销量</v>
      </c>
    </row>
    <row r="1058" spans="1:48">
      <c r="A1058" s="16" t="s">
        <v>1937</v>
      </c>
      <c r="B1058" t="s">
        <v>1938</v>
      </c>
      <c r="C1058" t="s">
        <v>1920</v>
      </c>
      <c r="D1058" s="24">
        <v>0</v>
      </c>
      <c r="E1058" s="24">
        <v>0</v>
      </c>
      <c r="F1058" s="24">
        <v>0</v>
      </c>
      <c r="G1058" s="24">
        <v>0</v>
      </c>
      <c r="H1058" s="25">
        <v>0</v>
      </c>
      <c r="I1058">
        <v>0</v>
      </c>
      <c r="J1058" s="26">
        <v>0</v>
      </c>
      <c r="K1058" s="26">
        <v>0</v>
      </c>
      <c r="L1058" s="26">
        <v>0</v>
      </c>
      <c r="M1058">
        <v>0</v>
      </c>
      <c r="N1058">
        <v>0</v>
      </c>
      <c r="O1058">
        <v>0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0</v>
      </c>
      <c r="AK1058">
        <v>0</v>
      </c>
      <c r="AL1058">
        <v>0</v>
      </c>
      <c r="AM1058">
        <v>0</v>
      </c>
      <c r="AN1058" s="18" t="s">
        <v>52</v>
      </c>
      <c r="AO1058" s="18" t="s">
        <v>52</v>
      </c>
      <c r="AP1058" s="18" t="s">
        <v>52</v>
      </c>
      <c r="AQ1058" s="18" t="s">
        <v>52</v>
      </c>
      <c r="AR1058" s="29">
        <v>0</v>
      </c>
      <c r="AS1058" s="29">
        <v>0</v>
      </c>
      <c r="AT1058" s="29">
        <v>0</v>
      </c>
      <c r="AU1058" s="24" t="str">
        <f t="shared" si="17"/>
        <v>库存为0</v>
      </c>
      <c r="AV1058" s="31" t="str">
        <f>IFERROR(时间!$B$4+AU1058,"上周无销量")</f>
        <v>上周无销量</v>
      </c>
    </row>
    <row r="1059" spans="1:48">
      <c r="A1059" s="16" t="s">
        <v>1939</v>
      </c>
      <c r="B1059" t="s">
        <v>1497</v>
      </c>
      <c r="C1059" t="s">
        <v>1920</v>
      </c>
      <c r="D1059" s="24">
        <v>1</v>
      </c>
      <c r="E1059" s="24">
        <v>2</v>
      </c>
      <c r="F1059" s="24">
        <v>5</v>
      </c>
      <c r="G1059" s="24">
        <v>6</v>
      </c>
      <c r="H1059" s="25">
        <v>22.98</v>
      </c>
      <c r="I1059">
        <v>0</v>
      </c>
      <c r="J1059" s="26">
        <v>0</v>
      </c>
      <c r="K1059" s="26">
        <v>0</v>
      </c>
      <c r="L1059" s="26">
        <v>0</v>
      </c>
      <c r="M1059">
        <v>0</v>
      </c>
      <c r="N1059">
        <v>1</v>
      </c>
      <c r="O1059">
        <v>0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125</v>
      </c>
      <c r="AK1059">
        <v>122</v>
      </c>
      <c r="AL1059">
        <v>124</v>
      </c>
      <c r="AM1059">
        <v>93</v>
      </c>
      <c r="AN1059" s="18">
        <v>0.008</v>
      </c>
      <c r="AO1059" s="18">
        <v>0.0163934426229508</v>
      </c>
      <c r="AP1059" s="18">
        <v>0.0403225806451613</v>
      </c>
      <c r="AQ1059" s="18">
        <v>0.0645161290322581</v>
      </c>
      <c r="AR1059" s="29">
        <v>0.142857142857143</v>
      </c>
      <c r="AS1059" s="29">
        <v>8.57142857142857</v>
      </c>
      <c r="AT1059" s="29">
        <v>-8.57142857142857</v>
      </c>
      <c r="AU1059" s="24">
        <f t="shared" si="17"/>
        <v>0</v>
      </c>
      <c r="AV1059" s="31">
        <f>IFERROR(时间!$B$4+AU1059,"上周无销量")</f>
        <v>43318</v>
      </c>
    </row>
    <row r="1060" spans="1:48">
      <c r="A1060" s="16" t="s">
        <v>1940</v>
      </c>
      <c r="B1060" t="s">
        <v>1941</v>
      </c>
      <c r="C1060" t="s">
        <v>1920</v>
      </c>
      <c r="D1060" s="24">
        <v>0</v>
      </c>
      <c r="E1060" s="24">
        <v>0</v>
      </c>
      <c r="F1060" s="24">
        <v>0</v>
      </c>
      <c r="G1060" s="24">
        <v>0</v>
      </c>
      <c r="H1060" s="25">
        <v>0</v>
      </c>
      <c r="I1060">
        <v>1</v>
      </c>
      <c r="J1060" s="26">
        <v>0</v>
      </c>
      <c r="K1060" s="26">
        <v>0</v>
      </c>
      <c r="L1060" s="26">
        <v>0</v>
      </c>
      <c r="M1060">
        <v>1</v>
      </c>
      <c r="N1060">
        <v>0</v>
      </c>
      <c r="O1060">
        <v>0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0</v>
      </c>
      <c r="AK1060">
        <v>0</v>
      </c>
      <c r="AL1060">
        <v>0</v>
      </c>
      <c r="AM1060">
        <v>0</v>
      </c>
      <c r="AN1060" s="18" t="s">
        <v>52</v>
      </c>
      <c r="AO1060" s="18" t="s">
        <v>52</v>
      </c>
      <c r="AP1060" s="18" t="s">
        <v>52</v>
      </c>
      <c r="AQ1060" s="18" t="s">
        <v>52</v>
      </c>
      <c r="AR1060" s="29">
        <v>0</v>
      </c>
      <c r="AS1060" s="29">
        <v>0</v>
      </c>
      <c r="AT1060" s="29">
        <v>1</v>
      </c>
      <c r="AU1060" s="24" t="str">
        <f t="shared" si="17"/>
        <v>库存为1</v>
      </c>
      <c r="AV1060" s="31" t="str">
        <f>IFERROR(时间!$B$4+AU1060,"上周无销量")</f>
        <v>上周无销量</v>
      </c>
    </row>
    <row r="1061" spans="1:48">
      <c r="A1061" s="16" t="s">
        <v>1942</v>
      </c>
      <c r="B1061" t="s">
        <v>1943</v>
      </c>
      <c r="C1061" t="s">
        <v>1920</v>
      </c>
      <c r="D1061" s="24">
        <v>1</v>
      </c>
      <c r="E1061" s="24">
        <v>2</v>
      </c>
      <c r="F1061" s="24">
        <v>4</v>
      </c>
      <c r="G1061" s="24">
        <v>2</v>
      </c>
      <c r="H1061" s="25">
        <v>19.98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6</v>
      </c>
      <c r="AK1061">
        <v>34</v>
      </c>
      <c r="AL1061">
        <v>51</v>
      </c>
      <c r="AM1061">
        <v>42</v>
      </c>
      <c r="AN1061" s="18">
        <v>0.166666666666667</v>
      </c>
      <c r="AO1061" s="18">
        <v>0.0588235294117647</v>
      </c>
      <c r="AP1061" s="18">
        <v>0.0784313725490196</v>
      </c>
      <c r="AQ1061" s="18">
        <v>0.0476190476190476</v>
      </c>
      <c r="AR1061" s="29">
        <v>0.142857142857143</v>
      </c>
      <c r="AS1061" s="29">
        <v>8.57142857142857</v>
      </c>
      <c r="AT1061" s="29">
        <v>-8.57142857142857</v>
      </c>
      <c r="AU1061" s="24">
        <f t="shared" si="17"/>
        <v>0</v>
      </c>
      <c r="AV1061" s="31">
        <f>IFERROR(时间!$B$4+AU1061,"上周无销量")</f>
        <v>43318</v>
      </c>
    </row>
    <row r="1062" spans="1:48">
      <c r="A1062" s="16" t="s">
        <v>1944</v>
      </c>
      <c r="B1062" t="s">
        <v>1945</v>
      </c>
      <c r="C1062" t="s">
        <v>1920</v>
      </c>
      <c r="D1062" s="24">
        <v>0</v>
      </c>
      <c r="E1062" s="24">
        <v>0</v>
      </c>
      <c r="F1062" s="24">
        <v>0</v>
      </c>
      <c r="G1062" s="24">
        <v>0</v>
      </c>
      <c r="H1062" s="25">
        <v>0</v>
      </c>
      <c r="I1062">
        <v>0</v>
      </c>
      <c r="J1062" s="26">
        <v>0</v>
      </c>
      <c r="K1062" s="26">
        <v>0</v>
      </c>
      <c r="L1062" s="26">
        <v>0</v>
      </c>
      <c r="M1062">
        <v>0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0</v>
      </c>
      <c r="AK1062">
        <v>0</v>
      </c>
      <c r="AL1062">
        <v>0</v>
      </c>
      <c r="AM1062">
        <v>0</v>
      </c>
      <c r="AN1062" s="18" t="s">
        <v>52</v>
      </c>
      <c r="AO1062" s="18" t="s">
        <v>52</v>
      </c>
      <c r="AP1062" s="18" t="s">
        <v>52</v>
      </c>
      <c r="AQ1062" s="18" t="s">
        <v>52</v>
      </c>
      <c r="AR1062" s="29">
        <v>0</v>
      </c>
      <c r="AS1062" s="29">
        <v>0</v>
      </c>
      <c r="AT1062" s="29">
        <v>0</v>
      </c>
      <c r="AU1062" s="24" t="str">
        <f t="shared" si="17"/>
        <v>库存为0</v>
      </c>
      <c r="AV1062" s="31" t="str">
        <f>IFERROR(时间!$B$4+AU1062,"上周无销量")</f>
        <v>上周无销量</v>
      </c>
    </row>
    <row r="1063" spans="1:48">
      <c r="A1063" s="16" t="s">
        <v>1946</v>
      </c>
      <c r="B1063" t="s">
        <v>1947</v>
      </c>
      <c r="C1063" t="s">
        <v>1920</v>
      </c>
      <c r="D1063" s="24">
        <v>0</v>
      </c>
      <c r="E1063" s="24">
        <v>0</v>
      </c>
      <c r="F1063" s="24">
        <v>0</v>
      </c>
      <c r="G1063" s="24">
        <v>0</v>
      </c>
      <c r="H1063" s="25">
        <v>0</v>
      </c>
      <c r="I1063">
        <v>0</v>
      </c>
      <c r="J1063" s="26">
        <v>0</v>
      </c>
      <c r="K1063" s="26">
        <v>0</v>
      </c>
      <c r="L1063" s="26">
        <v>0</v>
      </c>
      <c r="M1063">
        <v>0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0</v>
      </c>
      <c r="AK1063">
        <v>0</v>
      </c>
      <c r="AL1063">
        <v>0</v>
      </c>
      <c r="AM1063">
        <v>0</v>
      </c>
      <c r="AN1063" s="18" t="s">
        <v>52</v>
      </c>
      <c r="AO1063" s="18" t="s">
        <v>52</v>
      </c>
      <c r="AP1063" s="18" t="s">
        <v>52</v>
      </c>
      <c r="AQ1063" s="18" t="s">
        <v>52</v>
      </c>
      <c r="AR1063" s="29">
        <v>0</v>
      </c>
      <c r="AS1063" s="29">
        <v>0</v>
      </c>
      <c r="AT1063" s="29">
        <v>0</v>
      </c>
      <c r="AU1063" s="24" t="str">
        <f t="shared" si="17"/>
        <v>库存为0</v>
      </c>
      <c r="AV1063" s="31" t="str">
        <f>IFERROR(时间!$B$4+AU1063,"上周无销量")</f>
        <v>上周无销量</v>
      </c>
    </row>
    <row r="1064" spans="1:48">
      <c r="A1064" s="16" t="s">
        <v>1948</v>
      </c>
      <c r="B1064" t="s">
        <v>1949</v>
      </c>
      <c r="C1064" t="s">
        <v>1920</v>
      </c>
      <c r="D1064" s="24">
        <v>1</v>
      </c>
      <c r="E1064" s="24">
        <v>1</v>
      </c>
      <c r="F1064" s="24">
        <v>0</v>
      </c>
      <c r="G1064" s="24">
        <v>3</v>
      </c>
      <c r="H1064" s="25">
        <v>19.98</v>
      </c>
      <c r="I1064">
        <v>0</v>
      </c>
      <c r="J1064" s="26">
        <v>0</v>
      </c>
      <c r="K1064" s="26">
        <v>0</v>
      </c>
      <c r="L1064" s="26">
        <v>1</v>
      </c>
      <c r="M1064">
        <v>1</v>
      </c>
      <c r="N1064">
        <v>0</v>
      </c>
      <c r="O1064">
        <v>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29</v>
      </c>
      <c r="AK1064">
        <v>30</v>
      </c>
      <c r="AL1064">
        <v>35</v>
      </c>
      <c r="AM1064">
        <v>26</v>
      </c>
      <c r="AN1064" s="18">
        <v>0.0344827586206897</v>
      </c>
      <c r="AO1064" s="18">
        <v>0.0333333333333333</v>
      </c>
      <c r="AP1064" s="18">
        <v>0</v>
      </c>
      <c r="AQ1064" s="18">
        <v>0.115384615384615</v>
      </c>
      <c r="AR1064" s="29">
        <v>0.142857142857143</v>
      </c>
      <c r="AS1064" s="29">
        <v>8.57142857142857</v>
      </c>
      <c r="AT1064" s="29">
        <v>-7.57142857142857</v>
      </c>
      <c r="AU1064" s="24">
        <f t="shared" si="17"/>
        <v>7</v>
      </c>
      <c r="AV1064" s="31">
        <f>IFERROR(时间!$B$4+AU1064,"上周无销量")</f>
        <v>43325</v>
      </c>
    </row>
    <row r="1065" spans="1:48">
      <c r="A1065" s="16" t="s">
        <v>1950</v>
      </c>
      <c r="B1065" t="s">
        <v>1951</v>
      </c>
      <c r="C1065" t="s">
        <v>1920</v>
      </c>
      <c r="D1065" s="24">
        <v>0</v>
      </c>
      <c r="E1065" s="24">
        <v>0</v>
      </c>
      <c r="F1065" s="24">
        <v>0</v>
      </c>
      <c r="G1065" s="24">
        <v>0</v>
      </c>
      <c r="H1065" s="25">
        <v>0</v>
      </c>
      <c r="I1065">
        <v>0</v>
      </c>
      <c r="J1065" s="26">
        <v>0</v>
      </c>
      <c r="K1065" s="26">
        <v>0</v>
      </c>
      <c r="L1065" s="26">
        <v>0</v>
      </c>
      <c r="M1065">
        <v>0</v>
      </c>
      <c r="N1065">
        <v>0</v>
      </c>
      <c r="O1065">
        <v>0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0</v>
      </c>
      <c r="AK1065">
        <v>0</v>
      </c>
      <c r="AL1065">
        <v>0</v>
      </c>
      <c r="AM1065">
        <v>0</v>
      </c>
      <c r="AN1065" s="18" t="s">
        <v>52</v>
      </c>
      <c r="AO1065" s="18" t="s">
        <v>52</v>
      </c>
      <c r="AP1065" s="18" t="s">
        <v>52</v>
      </c>
      <c r="AQ1065" s="18" t="s">
        <v>52</v>
      </c>
      <c r="AR1065" s="29">
        <v>0</v>
      </c>
      <c r="AS1065" s="29">
        <v>0</v>
      </c>
      <c r="AT1065" s="29">
        <v>0</v>
      </c>
      <c r="AU1065" s="24" t="str">
        <f t="shared" si="17"/>
        <v>库存为0</v>
      </c>
      <c r="AV1065" s="31" t="str">
        <f>IFERROR(时间!$B$4+AU1065,"上周无销量")</f>
        <v>上周无销量</v>
      </c>
    </row>
    <row r="1066" spans="1:48">
      <c r="A1066" s="16" t="s">
        <v>1952</v>
      </c>
      <c r="B1066" t="s">
        <v>1953</v>
      </c>
      <c r="C1066" t="s">
        <v>1920</v>
      </c>
      <c r="D1066" s="24">
        <v>0</v>
      </c>
      <c r="E1066" s="24">
        <v>0</v>
      </c>
      <c r="F1066" s="24">
        <v>0</v>
      </c>
      <c r="G1066" s="24">
        <v>0</v>
      </c>
      <c r="H1066" s="25">
        <v>0</v>
      </c>
      <c r="I1066">
        <v>2</v>
      </c>
      <c r="J1066" s="26">
        <v>0</v>
      </c>
      <c r="K1066" s="26">
        <v>0</v>
      </c>
      <c r="L1066" s="26">
        <v>0</v>
      </c>
      <c r="M1066">
        <v>2</v>
      </c>
      <c r="N1066">
        <v>0</v>
      </c>
      <c r="O1066">
        <v>0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0</v>
      </c>
      <c r="AK1066">
        <v>0</v>
      </c>
      <c r="AL1066">
        <v>0</v>
      </c>
      <c r="AM1066">
        <v>0</v>
      </c>
      <c r="AN1066" s="18" t="s">
        <v>52</v>
      </c>
      <c r="AO1066" s="18" t="s">
        <v>52</v>
      </c>
      <c r="AP1066" s="18" t="s">
        <v>52</v>
      </c>
      <c r="AQ1066" s="18" t="s">
        <v>52</v>
      </c>
      <c r="AR1066" s="29">
        <v>0</v>
      </c>
      <c r="AS1066" s="29">
        <v>0</v>
      </c>
      <c r="AT1066" s="29">
        <v>2</v>
      </c>
      <c r="AU1066" s="24" t="str">
        <f t="shared" si="17"/>
        <v>库存为2</v>
      </c>
      <c r="AV1066" s="31" t="str">
        <f>IFERROR(时间!$B$4+AU1066,"上周无销量")</f>
        <v>上周无销量</v>
      </c>
    </row>
    <row r="1067" spans="1:48">
      <c r="A1067" s="16" t="s">
        <v>1954</v>
      </c>
      <c r="B1067" t="s">
        <v>1955</v>
      </c>
      <c r="C1067" t="s">
        <v>1920</v>
      </c>
      <c r="D1067" s="24">
        <v>0</v>
      </c>
      <c r="E1067" s="24">
        <v>0</v>
      </c>
      <c r="F1067" s="24">
        <v>0</v>
      </c>
      <c r="G1067" s="24">
        <v>0</v>
      </c>
      <c r="H1067" s="25">
        <v>0</v>
      </c>
      <c r="I1067">
        <v>0</v>
      </c>
      <c r="J1067" s="26">
        <v>0</v>
      </c>
      <c r="K1067" s="26">
        <v>0</v>
      </c>
      <c r="L1067" s="26">
        <v>0</v>
      </c>
      <c r="M1067">
        <v>0</v>
      </c>
      <c r="N1067">
        <v>0</v>
      </c>
      <c r="O1067">
        <v>0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0</v>
      </c>
      <c r="AK1067">
        <v>0</v>
      </c>
      <c r="AL1067">
        <v>0</v>
      </c>
      <c r="AM1067">
        <v>0</v>
      </c>
      <c r="AN1067" s="18" t="s">
        <v>52</v>
      </c>
      <c r="AO1067" s="18" t="s">
        <v>52</v>
      </c>
      <c r="AP1067" s="18" t="s">
        <v>52</v>
      </c>
      <c r="AQ1067" s="18" t="s">
        <v>52</v>
      </c>
      <c r="AR1067" s="29">
        <v>0</v>
      </c>
      <c r="AS1067" s="29">
        <v>0</v>
      </c>
      <c r="AT1067" s="29">
        <v>0</v>
      </c>
      <c r="AU1067" s="24" t="str">
        <f t="shared" si="17"/>
        <v>库存为0</v>
      </c>
      <c r="AV1067" s="31" t="str">
        <f>IFERROR(时间!$B$4+AU1067,"上周无销量")</f>
        <v>上周无销量</v>
      </c>
    </row>
    <row r="1068" spans="1:48">
      <c r="A1068" s="16" t="s">
        <v>1956</v>
      </c>
      <c r="B1068" t="s">
        <v>1957</v>
      </c>
      <c r="C1068" t="s">
        <v>1920</v>
      </c>
      <c r="D1068" s="24">
        <v>0</v>
      </c>
      <c r="E1068" s="24">
        <v>0</v>
      </c>
      <c r="F1068" s="24">
        <v>0</v>
      </c>
      <c r="G1068" s="24">
        <v>1</v>
      </c>
      <c r="H1068" s="25">
        <v>23.98</v>
      </c>
      <c r="I1068">
        <v>1</v>
      </c>
      <c r="J1068" s="26">
        <v>0</v>
      </c>
      <c r="K1068" s="26">
        <v>0</v>
      </c>
      <c r="L1068" s="26">
        <v>0</v>
      </c>
      <c r="M1068">
        <v>1</v>
      </c>
      <c r="N1068">
        <v>0</v>
      </c>
      <c r="O1068">
        <v>0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0</v>
      </c>
      <c r="AK1068">
        <v>5</v>
      </c>
      <c r="AL1068">
        <v>0</v>
      </c>
      <c r="AM1068">
        <v>0</v>
      </c>
      <c r="AN1068" s="18" t="s">
        <v>52</v>
      </c>
      <c r="AO1068" s="18">
        <v>0</v>
      </c>
      <c r="AP1068" s="18" t="s">
        <v>52</v>
      </c>
      <c r="AQ1068" s="18" t="s">
        <v>52</v>
      </c>
      <c r="AR1068" s="29">
        <v>0</v>
      </c>
      <c r="AS1068" s="29">
        <v>0</v>
      </c>
      <c r="AT1068" s="29">
        <v>1</v>
      </c>
      <c r="AU1068" s="24" t="str">
        <f t="shared" si="17"/>
        <v>库存为1</v>
      </c>
      <c r="AV1068" s="31" t="str">
        <f>IFERROR(时间!$B$4+AU1068,"上周无销量")</f>
        <v>上周无销量</v>
      </c>
    </row>
    <row r="1069" spans="1:48">
      <c r="A1069" s="16" t="s">
        <v>1958</v>
      </c>
      <c r="B1069" t="s">
        <v>1527</v>
      </c>
      <c r="C1069" t="s">
        <v>1920</v>
      </c>
      <c r="D1069" s="24">
        <v>4</v>
      </c>
      <c r="E1069" s="24">
        <v>1</v>
      </c>
      <c r="F1069" s="24">
        <v>2</v>
      </c>
      <c r="G1069" s="24">
        <v>3</v>
      </c>
      <c r="H1069" s="25">
        <v>22.98</v>
      </c>
      <c r="I1069">
        <v>0</v>
      </c>
      <c r="J1069" s="26">
        <v>0</v>
      </c>
      <c r="K1069" s="26">
        <v>0</v>
      </c>
      <c r="L1069" s="26">
        <v>1</v>
      </c>
      <c r="M1069">
        <v>1</v>
      </c>
      <c r="N1069">
        <v>0</v>
      </c>
      <c r="O1069">
        <v>0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66</v>
      </c>
      <c r="AK1069">
        <v>48</v>
      </c>
      <c r="AL1069">
        <v>74</v>
      </c>
      <c r="AM1069">
        <v>49</v>
      </c>
      <c r="AN1069" s="18">
        <v>0.0606060606060606</v>
      </c>
      <c r="AO1069" s="18">
        <v>0.0208333333333333</v>
      </c>
      <c r="AP1069" s="18">
        <v>0.027027027027027</v>
      </c>
      <c r="AQ1069" s="18">
        <v>0.0612244897959184</v>
      </c>
      <c r="AR1069" s="29">
        <v>0.571428571428571</v>
      </c>
      <c r="AS1069" s="29">
        <v>34.2857142857143</v>
      </c>
      <c r="AT1069" s="29">
        <v>-33.2857142857143</v>
      </c>
      <c r="AU1069" s="24">
        <f t="shared" si="17"/>
        <v>1</v>
      </c>
      <c r="AV1069" s="31">
        <f>IFERROR(时间!$B$4+AU1069,"上周无销量")</f>
        <v>43319</v>
      </c>
    </row>
    <row r="1070" spans="1:48">
      <c r="A1070" s="16" t="s">
        <v>1959</v>
      </c>
      <c r="B1070" t="s">
        <v>1960</v>
      </c>
      <c r="C1070" t="s">
        <v>1920</v>
      </c>
      <c r="D1070" s="24">
        <v>0</v>
      </c>
      <c r="E1070" s="24">
        <v>0</v>
      </c>
      <c r="F1070" s="24">
        <v>0</v>
      </c>
      <c r="G1070" s="24">
        <v>0</v>
      </c>
      <c r="H1070" s="25">
        <v>0</v>
      </c>
      <c r="I1070">
        <v>0</v>
      </c>
      <c r="J1070" s="26">
        <v>0</v>
      </c>
      <c r="K1070" s="26">
        <v>0</v>
      </c>
      <c r="L1070" s="26">
        <v>0</v>
      </c>
      <c r="M1070">
        <v>0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0</v>
      </c>
      <c r="AK1070">
        <v>0</v>
      </c>
      <c r="AL1070">
        <v>0</v>
      </c>
      <c r="AM1070">
        <v>0</v>
      </c>
      <c r="AN1070" s="18" t="s">
        <v>52</v>
      </c>
      <c r="AO1070" s="18" t="s">
        <v>52</v>
      </c>
      <c r="AP1070" s="18" t="s">
        <v>52</v>
      </c>
      <c r="AQ1070" s="18" t="s">
        <v>52</v>
      </c>
      <c r="AR1070" s="29">
        <v>0</v>
      </c>
      <c r="AS1070" s="29">
        <v>0</v>
      </c>
      <c r="AT1070" s="29">
        <v>0</v>
      </c>
      <c r="AU1070" s="24" t="str">
        <f t="shared" si="17"/>
        <v>库存为0</v>
      </c>
      <c r="AV1070" s="31" t="str">
        <f>IFERROR(时间!$B$4+AU1070,"上周无销量")</f>
        <v>上周无销量</v>
      </c>
    </row>
    <row r="1071" spans="1:48">
      <c r="A1071" s="16" t="s">
        <v>1961</v>
      </c>
      <c r="B1071" t="s">
        <v>1962</v>
      </c>
      <c r="C1071" t="s">
        <v>1920</v>
      </c>
      <c r="D1071" s="24">
        <v>0</v>
      </c>
      <c r="E1071" s="24">
        <v>0</v>
      </c>
      <c r="F1071" s="24">
        <v>0</v>
      </c>
      <c r="G1071" s="24">
        <v>0</v>
      </c>
      <c r="H1071" s="25">
        <v>0</v>
      </c>
      <c r="I1071">
        <v>1</v>
      </c>
      <c r="J1071" s="26">
        <v>0</v>
      </c>
      <c r="K1071" s="26">
        <v>0</v>
      </c>
      <c r="L1071" s="26">
        <v>0</v>
      </c>
      <c r="M1071">
        <v>1</v>
      </c>
      <c r="N1071">
        <v>0</v>
      </c>
      <c r="O1071">
        <v>1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0</v>
      </c>
      <c r="AK1071">
        <v>0</v>
      </c>
      <c r="AL1071">
        <v>0</v>
      </c>
      <c r="AM1071">
        <v>0</v>
      </c>
      <c r="AN1071" s="18" t="s">
        <v>52</v>
      </c>
      <c r="AO1071" s="18" t="s">
        <v>52</v>
      </c>
      <c r="AP1071" s="18" t="s">
        <v>52</v>
      </c>
      <c r="AQ1071" s="18" t="s">
        <v>52</v>
      </c>
      <c r="AR1071" s="29">
        <v>0</v>
      </c>
      <c r="AS1071" s="29">
        <v>0</v>
      </c>
      <c r="AT1071" s="29">
        <v>1</v>
      </c>
      <c r="AU1071" s="24" t="str">
        <f t="shared" si="17"/>
        <v>库存为1</v>
      </c>
      <c r="AV1071" s="31" t="str">
        <f>IFERROR(时间!$B$4+AU1071,"上周无销量")</f>
        <v>上周无销量</v>
      </c>
    </row>
    <row r="1072" spans="1:48">
      <c r="A1072" s="16" t="s">
        <v>1963</v>
      </c>
      <c r="B1072" t="s">
        <v>1964</v>
      </c>
      <c r="C1072" t="s">
        <v>1920</v>
      </c>
      <c r="D1072" s="24">
        <v>0</v>
      </c>
      <c r="E1072" s="24">
        <v>0</v>
      </c>
      <c r="F1072" s="24">
        <v>0</v>
      </c>
      <c r="G1072" s="24">
        <v>0</v>
      </c>
      <c r="H1072" s="25">
        <v>0</v>
      </c>
      <c r="I1072">
        <v>0</v>
      </c>
      <c r="J1072" s="26">
        <v>0</v>
      </c>
      <c r="K1072" s="26">
        <v>0</v>
      </c>
      <c r="L1072" s="26">
        <v>0</v>
      </c>
      <c r="M1072">
        <v>0</v>
      </c>
      <c r="N1072">
        <v>0</v>
      </c>
      <c r="O1072">
        <v>0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0</v>
      </c>
      <c r="AK1072">
        <v>0</v>
      </c>
      <c r="AL1072">
        <v>0</v>
      </c>
      <c r="AM1072">
        <v>0</v>
      </c>
      <c r="AN1072" s="18" t="s">
        <v>52</v>
      </c>
      <c r="AO1072" s="18" t="s">
        <v>52</v>
      </c>
      <c r="AP1072" s="18" t="s">
        <v>52</v>
      </c>
      <c r="AQ1072" s="18" t="s">
        <v>52</v>
      </c>
      <c r="AR1072" s="29">
        <v>0</v>
      </c>
      <c r="AS1072" s="29">
        <v>0</v>
      </c>
      <c r="AT1072" s="29">
        <v>0</v>
      </c>
      <c r="AU1072" s="24" t="str">
        <f t="shared" si="17"/>
        <v>库存为0</v>
      </c>
      <c r="AV1072" s="31" t="str">
        <f>IFERROR(时间!$B$4+AU1072,"上周无销量")</f>
        <v>上周无销量</v>
      </c>
    </row>
    <row r="1073" spans="1:48">
      <c r="A1073" s="16" t="s">
        <v>1965</v>
      </c>
      <c r="B1073" t="s">
        <v>1966</v>
      </c>
      <c r="C1073" t="s">
        <v>1920</v>
      </c>
      <c r="D1073" s="24">
        <v>0</v>
      </c>
      <c r="E1073" s="24">
        <v>0</v>
      </c>
      <c r="F1073" s="24">
        <v>0</v>
      </c>
      <c r="G1073" s="24">
        <v>1</v>
      </c>
      <c r="H1073" s="25">
        <v>19.98</v>
      </c>
      <c r="I1073">
        <v>1</v>
      </c>
      <c r="J1073" s="26">
        <v>0</v>
      </c>
      <c r="K1073" s="26">
        <v>0</v>
      </c>
      <c r="L1073" s="26">
        <v>0</v>
      </c>
      <c r="M1073">
        <v>1</v>
      </c>
      <c r="N1073">
        <v>0</v>
      </c>
      <c r="O1073">
        <v>0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0</v>
      </c>
      <c r="AK1073">
        <v>0</v>
      </c>
      <c r="AL1073">
        <v>0</v>
      </c>
      <c r="AM1073">
        <v>29</v>
      </c>
      <c r="AN1073" s="18" t="s">
        <v>52</v>
      </c>
      <c r="AO1073" s="18" t="s">
        <v>52</v>
      </c>
      <c r="AP1073" s="18" t="s">
        <v>52</v>
      </c>
      <c r="AQ1073" s="18">
        <v>0.0344827586206897</v>
      </c>
      <c r="AR1073" s="29">
        <v>0</v>
      </c>
      <c r="AS1073" s="29">
        <v>0</v>
      </c>
      <c r="AT1073" s="29">
        <v>1</v>
      </c>
      <c r="AU1073" s="24" t="str">
        <f t="shared" si="17"/>
        <v>库存为1</v>
      </c>
      <c r="AV1073" s="31" t="str">
        <f>IFERROR(时间!$B$4+AU1073,"上周无销量")</f>
        <v>上周无销量</v>
      </c>
    </row>
    <row r="1074" spans="1:48">
      <c r="A1074" s="16" t="s">
        <v>1967</v>
      </c>
      <c r="B1074" t="s">
        <v>1543</v>
      </c>
      <c r="C1074" t="s">
        <v>1920</v>
      </c>
      <c r="D1074" s="24">
        <v>0</v>
      </c>
      <c r="E1074" s="24">
        <v>0</v>
      </c>
      <c r="F1074" s="24">
        <v>0</v>
      </c>
      <c r="G1074" s="24">
        <v>0</v>
      </c>
      <c r="H1074" s="25">
        <v>0</v>
      </c>
      <c r="I1074">
        <v>0</v>
      </c>
      <c r="J1074" s="26">
        <v>0</v>
      </c>
      <c r="K1074" s="26">
        <v>0</v>
      </c>
      <c r="L1074" s="26">
        <v>0</v>
      </c>
      <c r="M1074">
        <v>0</v>
      </c>
      <c r="N1074">
        <v>0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114</v>
      </c>
      <c r="AK1074">
        <v>132</v>
      </c>
      <c r="AL1074">
        <v>185</v>
      </c>
      <c r="AM1074">
        <v>112</v>
      </c>
      <c r="AN1074" s="18">
        <v>0</v>
      </c>
      <c r="AO1074" s="18">
        <v>0</v>
      </c>
      <c r="AP1074" s="18">
        <v>0</v>
      </c>
      <c r="AQ1074" s="18">
        <v>0</v>
      </c>
      <c r="AR1074" s="29">
        <v>0</v>
      </c>
      <c r="AS1074" s="29">
        <v>0</v>
      </c>
      <c r="AT1074" s="29">
        <v>0</v>
      </c>
      <c r="AU1074" s="24" t="str">
        <f t="shared" si="17"/>
        <v>库存为0</v>
      </c>
      <c r="AV1074" s="31" t="str">
        <f>IFERROR(时间!$B$4+AU1074,"上周无销量")</f>
        <v>上周无销量</v>
      </c>
    </row>
    <row r="1075" spans="1:48">
      <c r="A1075" s="16" t="s">
        <v>1968</v>
      </c>
      <c r="B1075" t="s">
        <v>1969</v>
      </c>
      <c r="C1075" t="s">
        <v>1920</v>
      </c>
      <c r="D1075" s="24">
        <v>0</v>
      </c>
      <c r="E1075" s="24">
        <v>0</v>
      </c>
      <c r="F1075" s="24">
        <v>0</v>
      </c>
      <c r="G1075" s="24">
        <v>0</v>
      </c>
      <c r="H1075" s="25">
        <v>0</v>
      </c>
      <c r="I1075">
        <v>0</v>
      </c>
      <c r="J1075" s="26">
        <v>0</v>
      </c>
      <c r="K1075" s="26">
        <v>0</v>
      </c>
      <c r="L1075" s="26">
        <v>0</v>
      </c>
      <c r="M1075">
        <v>0</v>
      </c>
      <c r="N1075">
        <v>0</v>
      </c>
      <c r="O1075">
        <v>0</v>
      </c>
      <c r="P1075" t="s">
        <v>52</v>
      </c>
      <c r="Q1075" t="s">
        <v>52</v>
      </c>
      <c r="R1075" t="s">
        <v>52</v>
      </c>
      <c r="S1075" t="s">
        <v>52</v>
      </c>
      <c r="T1075" t="s">
        <v>52</v>
      </c>
      <c r="U1075" t="s">
        <v>52</v>
      </c>
      <c r="V1075" t="s">
        <v>52</v>
      </c>
      <c r="W1075" t="s">
        <v>52</v>
      </c>
      <c r="X1075" s="18" t="s">
        <v>52</v>
      </c>
      <c r="Y1075" s="18" t="s">
        <v>52</v>
      </c>
      <c r="Z1075" s="18" t="s">
        <v>52</v>
      </c>
      <c r="AA1075" s="18" t="s">
        <v>52</v>
      </c>
      <c r="AB1075" t="s">
        <v>52</v>
      </c>
      <c r="AC1075" t="s">
        <v>52</v>
      </c>
      <c r="AD1075" t="s">
        <v>52</v>
      </c>
      <c r="AE1075" t="s">
        <v>52</v>
      </c>
      <c r="AF1075" s="18" t="s">
        <v>52</v>
      </c>
      <c r="AG1075" s="18" t="s">
        <v>52</v>
      </c>
      <c r="AH1075" s="18" t="s">
        <v>52</v>
      </c>
      <c r="AI1075" s="18" t="s">
        <v>52</v>
      </c>
      <c r="AJ1075">
        <v>0</v>
      </c>
      <c r="AK1075">
        <v>0</v>
      </c>
      <c r="AL1075">
        <v>0</v>
      </c>
      <c r="AM1075">
        <v>0</v>
      </c>
      <c r="AN1075" s="18" t="s">
        <v>52</v>
      </c>
      <c r="AO1075" s="18" t="s">
        <v>52</v>
      </c>
      <c r="AP1075" s="18" t="s">
        <v>52</v>
      </c>
      <c r="AQ1075" s="18" t="s">
        <v>52</v>
      </c>
      <c r="AR1075" s="29">
        <v>0</v>
      </c>
      <c r="AS1075" s="29">
        <v>0</v>
      </c>
      <c r="AT1075" s="29">
        <v>0</v>
      </c>
      <c r="AU1075" s="24" t="str">
        <f t="shared" si="17"/>
        <v>库存为0</v>
      </c>
      <c r="AV1075" s="31" t="str">
        <f>IFERROR(时间!$B$4+AU1075,"上周无销量")</f>
        <v>上周无销量</v>
      </c>
    </row>
    <row r="1076" spans="1:48">
      <c r="A1076" s="16" t="s">
        <v>1970</v>
      </c>
      <c r="B1076" t="s">
        <v>1971</v>
      </c>
      <c r="C1076" t="s">
        <v>1920</v>
      </c>
      <c r="D1076" s="24">
        <v>0</v>
      </c>
      <c r="E1076" s="24">
        <v>0</v>
      </c>
      <c r="F1076" s="24">
        <v>0</v>
      </c>
      <c r="G1076" s="24">
        <v>0</v>
      </c>
      <c r="H1076" s="25">
        <v>0</v>
      </c>
      <c r="I1076">
        <v>0</v>
      </c>
      <c r="J1076" s="26">
        <v>0</v>
      </c>
      <c r="K1076" s="26">
        <v>0</v>
      </c>
      <c r="L1076" s="26">
        <v>0</v>
      </c>
      <c r="M1076">
        <v>0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0</v>
      </c>
      <c r="AK1076">
        <v>0</v>
      </c>
      <c r="AL1076">
        <v>0</v>
      </c>
      <c r="AM1076">
        <v>0</v>
      </c>
      <c r="AN1076" s="18" t="s">
        <v>52</v>
      </c>
      <c r="AO1076" s="18" t="s">
        <v>52</v>
      </c>
      <c r="AP1076" s="18" t="s">
        <v>52</v>
      </c>
      <c r="AQ1076" s="18" t="s">
        <v>52</v>
      </c>
      <c r="AR1076" s="29">
        <v>0</v>
      </c>
      <c r="AS1076" s="29">
        <v>0</v>
      </c>
      <c r="AT1076" s="29">
        <v>0</v>
      </c>
      <c r="AU1076" s="24" t="str">
        <f t="shared" si="17"/>
        <v>库存为0</v>
      </c>
      <c r="AV1076" s="31" t="str">
        <f>IFERROR(时间!$B$4+AU1076,"上周无销量")</f>
        <v>上周无销量</v>
      </c>
    </row>
    <row r="1077" spans="1:48">
      <c r="A1077" s="16" t="s">
        <v>1972</v>
      </c>
      <c r="B1077" t="s">
        <v>1973</v>
      </c>
      <c r="C1077" t="s">
        <v>1920</v>
      </c>
      <c r="D1077" s="24">
        <v>1</v>
      </c>
      <c r="E1077" s="24">
        <v>0</v>
      </c>
      <c r="F1077" s="24">
        <v>0</v>
      </c>
      <c r="G1077" s="24">
        <v>1</v>
      </c>
      <c r="H1077" s="25">
        <v>21.98</v>
      </c>
      <c r="I1077">
        <v>1</v>
      </c>
      <c r="J1077" s="26">
        <v>0</v>
      </c>
      <c r="K1077" s="26">
        <v>0</v>
      </c>
      <c r="L1077" s="26">
        <v>1</v>
      </c>
      <c r="M1077">
        <v>2</v>
      </c>
      <c r="N1077">
        <v>0</v>
      </c>
      <c r="O1077">
        <v>0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12</v>
      </c>
      <c r="AK1077">
        <v>21</v>
      </c>
      <c r="AL1077">
        <v>14</v>
      </c>
      <c r="AM1077">
        <v>11</v>
      </c>
      <c r="AN1077" s="18">
        <v>0.0833333333333333</v>
      </c>
      <c r="AO1077" s="18">
        <v>0</v>
      </c>
      <c r="AP1077" s="18">
        <v>0</v>
      </c>
      <c r="AQ1077" s="18">
        <v>0.0909090909090909</v>
      </c>
      <c r="AR1077" s="29">
        <v>0.142857142857143</v>
      </c>
      <c r="AS1077" s="29">
        <v>8.57142857142857</v>
      </c>
      <c r="AT1077" s="29">
        <v>-6.57142857142857</v>
      </c>
      <c r="AU1077" s="24">
        <f t="shared" si="17"/>
        <v>14</v>
      </c>
      <c r="AV1077" s="31">
        <f>IFERROR(时间!$B$4+AU1077,"上周无销量")</f>
        <v>43332</v>
      </c>
    </row>
    <row r="1078" spans="1:48">
      <c r="A1078" s="16" t="s">
        <v>1974</v>
      </c>
      <c r="B1078" t="s">
        <v>1975</v>
      </c>
      <c r="C1078" t="s">
        <v>1920</v>
      </c>
      <c r="D1078" s="24">
        <v>0</v>
      </c>
      <c r="E1078" s="24">
        <v>0</v>
      </c>
      <c r="F1078" s="24">
        <v>0</v>
      </c>
      <c r="G1078" s="24">
        <v>0</v>
      </c>
      <c r="H1078" s="25">
        <v>0</v>
      </c>
      <c r="I1078">
        <v>0</v>
      </c>
      <c r="J1078" s="26">
        <v>0</v>
      </c>
      <c r="K1078" s="26">
        <v>0</v>
      </c>
      <c r="L1078" s="26">
        <v>0</v>
      </c>
      <c r="M1078">
        <v>0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0</v>
      </c>
      <c r="AK1078">
        <v>0</v>
      </c>
      <c r="AL1078">
        <v>0</v>
      </c>
      <c r="AM1078">
        <v>0</v>
      </c>
      <c r="AN1078" s="18" t="s">
        <v>52</v>
      </c>
      <c r="AO1078" s="18" t="s">
        <v>52</v>
      </c>
      <c r="AP1078" s="18" t="s">
        <v>52</v>
      </c>
      <c r="AQ1078" s="18" t="s">
        <v>52</v>
      </c>
      <c r="AR1078" s="29">
        <v>0</v>
      </c>
      <c r="AS1078" s="29">
        <v>0</v>
      </c>
      <c r="AT1078" s="29">
        <v>0</v>
      </c>
      <c r="AU1078" s="24" t="str">
        <f t="shared" si="17"/>
        <v>库存为0</v>
      </c>
      <c r="AV1078" s="31" t="str">
        <f>IFERROR(时间!$B$4+AU1078,"上周无销量")</f>
        <v>上周无销量</v>
      </c>
    </row>
    <row r="1079" spans="1:48">
      <c r="A1079" s="16" t="s">
        <v>1976</v>
      </c>
      <c r="B1079" t="s">
        <v>143</v>
      </c>
      <c r="C1079" t="s">
        <v>1977</v>
      </c>
      <c r="D1079" s="24">
        <v>0</v>
      </c>
      <c r="E1079" s="24">
        <v>0</v>
      </c>
      <c r="F1079" s="24">
        <v>4</v>
      </c>
      <c r="G1079" s="24">
        <v>2</v>
      </c>
      <c r="H1079" s="25">
        <v>20.98</v>
      </c>
      <c r="I1079">
        <v>37</v>
      </c>
      <c r="J1079" s="26">
        <v>0</v>
      </c>
      <c r="K1079" s="26">
        <v>0</v>
      </c>
      <c r="L1079" s="26">
        <v>1</v>
      </c>
      <c r="M1079">
        <v>38</v>
      </c>
      <c r="N1079">
        <v>1</v>
      </c>
      <c r="O1079">
        <v>25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5</v>
      </c>
      <c r="AK1079">
        <v>12</v>
      </c>
      <c r="AL1079">
        <v>25</v>
      </c>
      <c r="AM1079">
        <v>15</v>
      </c>
      <c r="AN1079" s="18">
        <v>0</v>
      </c>
      <c r="AO1079" s="18">
        <v>0</v>
      </c>
      <c r="AP1079" s="18">
        <v>0.16</v>
      </c>
      <c r="AQ1079" s="18">
        <v>0.133333333333333</v>
      </c>
      <c r="AR1079" s="29">
        <v>0</v>
      </c>
      <c r="AS1079" s="29">
        <v>0</v>
      </c>
      <c r="AT1079" s="29">
        <v>38</v>
      </c>
      <c r="AU1079" s="24" t="str">
        <f t="shared" si="17"/>
        <v>库存为38</v>
      </c>
      <c r="AV1079" s="31" t="str">
        <f>IFERROR(时间!$B$4+AU1079,"上周无销量")</f>
        <v>上周无销量</v>
      </c>
    </row>
    <row r="1080" spans="1:48">
      <c r="A1080" s="16" t="s">
        <v>1978</v>
      </c>
      <c r="B1080" t="s">
        <v>146</v>
      </c>
      <c r="C1080" t="s">
        <v>1977</v>
      </c>
      <c r="D1080" s="24">
        <v>0</v>
      </c>
      <c r="E1080" s="24">
        <v>1</v>
      </c>
      <c r="F1080" s="24">
        <v>3</v>
      </c>
      <c r="G1080" s="24">
        <v>0</v>
      </c>
      <c r="H1080" s="25">
        <v>18.98</v>
      </c>
      <c r="I1080">
        <v>32</v>
      </c>
      <c r="J1080" s="26">
        <v>0</v>
      </c>
      <c r="K1080" s="26">
        <v>0</v>
      </c>
      <c r="L1080" s="26">
        <v>0</v>
      </c>
      <c r="M1080">
        <v>32</v>
      </c>
      <c r="N1080">
        <v>0</v>
      </c>
      <c r="O1080">
        <v>31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9</v>
      </c>
      <c r="AK1080">
        <v>15</v>
      </c>
      <c r="AL1080">
        <v>14</v>
      </c>
      <c r="AM1080">
        <v>9</v>
      </c>
      <c r="AN1080" s="18">
        <v>0</v>
      </c>
      <c r="AO1080" s="18">
        <v>0.0666666666666667</v>
      </c>
      <c r="AP1080" s="18">
        <v>0.214285714285714</v>
      </c>
      <c r="AQ1080" s="18">
        <v>0</v>
      </c>
      <c r="AR1080" s="29">
        <v>0</v>
      </c>
      <c r="AS1080" s="29">
        <v>0</v>
      </c>
      <c r="AT1080" s="29">
        <v>32</v>
      </c>
      <c r="AU1080" s="24" t="str">
        <f t="shared" si="17"/>
        <v>库存为32</v>
      </c>
      <c r="AV1080" s="31" t="str">
        <f>IFERROR(时间!$B$4+AU1080,"上周无销量")</f>
        <v>上周无销量</v>
      </c>
    </row>
    <row r="1081" spans="1:48">
      <c r="A1081" s="16" t="s">
        <v>1979</v>
      </c>
      <c r="B1081" t="s">
        <v>148</v>
      </c>
      <c r="C1081" t="s">
        <v>1977</v>
      </c>
      <c r="D1081" s="24">
        <v>0</v>
      </c>
      <c r="E1081" s="24">
        <v>1</v>
      </c>
      <c r="F1081" s="24">
        <v>0</v>
      </c>
      <c r="G1081" s="24">
        <v>0</v>
      </c>
      <c r="H1081" s="25">
        <v>12.98</v>
      </c>
      <c r="I1081">
        <v>38</v>
      </c>
      <c r="J1081" s="26">
        <v>0</v>
      </c>
      <c r="K1081" s="26">
        <v>0</v>
      </c>
      <c r="L1081" s="26">
        <v>0</v>
      </c>
      <c r="M1081">
        <v>38</v>
      </c>
      <c r="N1081">
        <v>0</v>
      </c>
      <c r="O1081">
        <v>35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4</v>
      </c>
      <c r="AK1081">
        <v>8</v>
      </c>
      <c r="AL1081">
        <v>19</v>
      </c>
      <c r="AM1081">
        <v>9</v>
      </c>
      <c r="AN1081" s="18">
        <v>0</v>
      </c>
      <c r="AO1081" s="18">
        <v>0.125</v>
      </c>
      <c r="AP1081" s="18">
        <v>0</v>
      </c>
      <c r="AQ1081" s="18">
        <v>0</v>
      </c>
      <c r="AR1081" s="29">
        <v>0</v>
      </c>
      <c r="AS1081" s="29">
        <v>0</v>
      </c>
      <c r="AT1081" s="29">
        <v>38</v>
      </c>
      <c r="AU1081" s="24" t="str">
        <f t="shared" si="17"/>
        <v>库存为38</v>
      </c>
      <c r="AV1081" s="31" t="str">
        <f>IFERROR(时间!$B$4+AU1081,"上周无销量")</f>
        <v>上周无销量</v>
      </c>
    </row>
    <row r="1082" spans="1:48">
      <c r="A1082" s="16" t="s">
        <v>1980</v>
      </c>
      <c r="B1082" t="s">
        <v>150</v>
      </c>
      <c r="C1082" t="s">
        <v>1977</v>
      </c>
      <c r="D1082" s="24">
        <v>1</v>
      </c>
      <c r="E1082" s="24">
        <v>1</v>
      </c>
      <c r="F1082" s="24">
        <v>0</v>
      </c>
      <c r="G1082" s="24">
        <v>1</v>
      </c>
      <c r="H1082" s="25">
        <v>20.98</v>
      </c>
      <c r="I1082">
        <v>20</v>
      </c>
      <c r="J1082" s="26">
        <v>0</v>
      </c>
      <c r="K1082" s="26">
        <v>0</v>
      </c>
      <c r="L1082" s="26">
        <v>1</v>
      </c>
      <c r="M1082">
        <v>21</v>
      </c>
      <c r="N1082">
        <v>0</v>
      </c>
      <c r="O1082">
        <v>15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16</v>
      </c>
      <c r="AK1082">
        <v>18</v>
      </c>
      <c r="AL1082">
        <v>42</v>
      </c>
      <c r="AM1082">
        <v>31</v>
      </c>
      <c r="AN1082" s="18">
        <v>0.0625</v>
      </c>
      <c r="AO1082" s="18">
        <v>0.0555555555555556</v>
      </c>
      <c r="AP1082" s="18">
        <v>0</v>
      </c>
      <c r="AQ1082" s="18">
        <v>0.032258064516129</v>
      </c>
      <c r="AR1082" s="29">
        <v>0.142857142857143</v>
      </c>
      <c r="AS1082" s="29">
        <v>8.57142857142857</v>
      </c>
      <c r="AT1082" s="29">
        <v>12.4285714285714</v>
      </c>
      <c r="AU1082" s="24">
        <f t="shared" si="17"/>
        <v>147</v>
      </c>
      <c r="AV1082" s="31">
        <f>IFERROR(时间!$B$4+AU1082,"上周无销量")</f>
        <v>43465</v>
      </c>
    </row>
    <row r="1083" spans="1:48">
      <c r="A1083" s="16" t="s">
        <v>1981</v>
      </c>
      <c r="B1083" t="s">
        <v>152</v>
      </c>
      <c r="C1083" t="s">
        <v>1977</v>
      </c>
      <c r="D1083" s="24">
        <v>0</v>
      </c>
      <c r="E1083" s="24">
        <v>0</v>
      </c>
      <c r="F1083" s="24">
        <v>0</v>
      </c>
      <c r="G1083" s="24">
        <v>0</v>
      </c>
      <c r="H1083" s="25">
        <v>0</v>
      </c>
      <c r="I1083">
        <v>15</v>
      </c>
      <c r="J1083" s="26">
        <v>0</v>
      </c>
      <c r="K1083" s="26">
        <v>0</v>
      </c>
      <c r="L1083" s="26">
        <v>0</v>
      </c>
      <c r="M1083">
        <v>15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7</v>
      </c>
      <c r="AK1083">
        <v>3</v>
      </c>
      <c r="AL1083">
        <v>4</v>
      </c>
      <c r="AM1083">
        <v>5</v>
      </c>
      <c r="AN1083" s="18">
        <v>0</v>
      </c>
      <c r="AO1083" s="18">
        <v>0</v>
      </c>
      <c r="AP1083" s="18">
        <v>0</v>
      </c>
      <c r="AQ1083" s="18">
        <v>0</v>
      </c>
      <c r="AR1083" s="29">
        <v>0</v>
      </c>
      <c r="AS1083" s="29">
        <v>0</v>
      </c>
      <c r="AT1083" s="29">
        <v>15</v>
      </c>
      <c r="AU1083" s="24" t="str">
        <f t="shared" si="17"/>
        <v>库存为15</v>
      </c>
      <c r="AV1083" s="31" t="str">
        <f>IFERROR(时间!$B$4+AU1083,"上周无销量")</f>
        <v>上周无销量</v>
      </c>
    </row>
    <row r="1084" spans="1:48">
      <c r="A1084" s="16" t="s">
        <v>1982</v>
      </c>
      <c r="B1084" t="s">
        <v>154</v>
      </c>
      <c r="C1084" t="s">
        <v>1977</v>
      </c>
      <c r="D1084" s="24">
        <v>3</v>
      </c>
      <c r="E1084" s="24">
        <v>0</v>
      </c>
      <c r="F1084" s="24">
        <v>5</v>
      </c>
      <c r="G1084" s="24">
        <v>1</v>
      </c>
      <c r="H1084" s="25">
        <v>20.98</v>
      </c>
      <c r="I1084">
        <v>18</v>
      </c>
      <c r="J1084" s="26">
        <v>0</v>
      </c>
      <c r="K1084" s="26">
        <v>0</v>
      </c>
      <c r="L1084" s="26">
        <v>0</v>
      </c>
      <c r="M1084">
        <v>18</v>
      </c>
      <c r="N1084">
        <v>0</v>
      </c>
      <c r="O1084">
        <v>17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19</v>
      </c>
      <c r="AK1084">
        <v>17</v>
      </c>
      <c r="AL1084">
        <v>14</v>
      </c>
      <c r="AM1084">
        <v>11</v>
      </c>
      <c r="AN1084" s="18">
        <v>0.157894736842105</v>
      </c>
      <c r="AO1084" s="18">
        <v>0</v>
      </c>
      <c r="AP1084" s="18">
        <v>0.357142857142857</v>
      </c>
      <c r="AQ1084" s="18">
        <v>0.0909090909090909</v>
      </c>
      <c r="AR1084" s="29">
        <v>0.428571428571429</v>
      </c>
      <c r="AS1084" s="29">
        <v>25.7142857142857</v>
      </c>
      <c r="AT1084" s="29">
        <v>-7.71428571428571</v>
      </c>
      <c r="AU1084" s="24">
        <f t="shared" si="17"/>
        <v>42</v>
      </c>
      <c r="AV1084" s="31">
        <f>IFERROR(时间!$B$4+AU1084,"上周无销量")</f>
        <v>43360</v>
      </c>
    </row>
    <row r="1085" spans="1:48">
      <c r="A1085" s="16" t="s">
        <v>1983</v>
      </c>
      <c r="B1085" t="s">
        <v>156</v>
      </c>
      <c r="C1085" t="s">
        <v>1977</v>
      </c>
      <c r="D1085" s="24">
        <v>2</v>
      </c>
      <c r="E1085" s="24">
        <v>2</v>
      </c>
      <c r="F1085" s="24">
        <v>0</v>
      </c>
      <c r="G1085" s="24">
        <v>1</v>
      </c>
      <c r="H1085" s="25">
        <v>19.98</v>
      </c>
      <c r="I1085">
        <v>41</v>
      </c>
      <c r="J1085" s="26">
        <v>0</v>
      </c>
      <c r="K1085" s="26">
        <v>0</v>
      </c>
      <c r="L1085" s="26">
        <v>0</v>
      </c>
      <c r="M1085">
        <v>41</v>
      </c>
      <c r="N1085">
        <v>0</v>
      </c>
      <c r="O1085">
        <v>41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12</v>
      </c>
      <c r="AK1085">
        <v>20</v>
      </c>
      <c r="AL1085">
        <v>10</v>
      </c>
      <c r="AM1085">
        <v>4</v>
      </c>
      <c r="AN1085" s="18">
        <v>0.166666666666667</v>
      </c>
      <c r="AO1085" s="18">
        <v>0.1</v>
      </c>
      <c r="AP1085" s="18">
        <v>0</v>
      </c>
      <c r="AQ1085" s="18">
        <v>0.25</v>
      </c>
      <c r="AR1085" s="29">
        <v>0.285714285714286</v>
      </c>
      <c r="AS1085" s="29">
        <v>17.1428571428571</v>
      </c>
      <c r="AT1085" s="29">
        <v>23.8571428571429</v>
      </c>
      <c r="AU1085" s="24">
        <f t="shared" si="17"/>
        <v>143</v>
      </c>
      <c r="AV1085" s="31">
        <f>IFERROR(时间!$B$4+AU1085,"上周无销量")</f>
        <v>43461</v>
      </c>
    </row>
    <row r="1086" spans="1:48">
      <c r="A1086" s="16" t="s">
        <v>1984</v>
      </c>
      <c r="B1086" t="s">
        <v>158</v>
      </c>
      <c r="C1086" t="s">
        <v>1977</v>
      </c>
      <c r="D1086" s="24">
        <v>0</v>
      </c>
      <c r="E1086" s="24">
        <v>0</v>
      </c>
      <c r="F1086" s="24">
        <v>13</v>
      </c>
      <c r="G1086" s="24">
        <v>0</v>
      </c>
      <c r="H1086" s="25">
        <v>18.98</v>
      </c>
      <c r="I1086">
        <v>38</v>
      </c>
      <c r="J1086" s="26">
        <v>0</v>
      </c>
      <c r="K1086" s="26">
        <v>0</v>
      </c>
      <c r="L1086" s="26">
        <v>0</v>
      </c>
      <c r="M1086">
        <v>38</v>
      </c>
      <c r="N1086">
        <v>0</v>
      </c>
      <c r="O1086">
        <v>37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13</v>
      </c>
      <c r="AK1086">
        <v>14</v>
      </c>
      <c r="AL1086">
        <v>7</v>
      </c>
      <c r="AM1086">
        <v>14</v>
      </c>
      <c r="AN1086" s="18">
        <v>0</v>
      </c>
      <c r="AO1086" s="18">
        <v>0</v>
      </c>
      <c r="AP1086" s="18">
        <v>1.85714285714286</v>
      </c>
      <c r="AQ1086" s="18">
        <v>0</v>
      </c>
      <c r="AR1086" s="29">
        <v>0</v>
      </c>
      <c r="AS1086" s="29">
        <v>0</v>
      </c>
      <c r="AT1086" s="29">
        <v>38</v>
      </c>
      <c r="AU1086" s="24" t="str">
        <f t="shared" si="17"/>
        <v>库存为38</v>
      </c>
      <c r="AV1086" s="31" t="str">
        <f>IFERROR(时间!$B$4+AU1086,"上周无销量")</f>
        <v>上周无销量</v>
      </c>
    </row>
    <row r="1087" spans="1:48">
      <c r="A1087" s="16" t="s">
        <v>1985</v>
      </c>
      <c r="B1087" t="s">
        <v>160</v>
      </c>
      <c r="C1087" t="s">
        <v>1977</v>
      </c>
      <c r="D1087" s="24">
        <v>2</v>
      </c>
      <c r="E1087" s="24">
        <v>0</v>
      </c>
      <c r="F1087" s="24">
        <v>1</v>
      </c>
      <c r="G1087" s="24">
        <v>2</v>
      </c>
      <c r="H1087" s="25">
        <v>20.98</v>
      </c>
      <c r="I1087">
        <v>38</v>
      </c>
      <c r="J1087" s="26">
        <v>0</v>
      </c>
      <c r="K1087" s="26">
        <v>0</v>
      </c>
      <c r="L1087" s="26">
        <v>0</v>
      </c>
      <c r="M1087">
        <v>38</v>
      </c>
      <c r="N1087">
        <v>0</v>
      </c>
      <c r="O1087">
        <v>36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12</v>
      </c>
      <c r="AK1087">
        <v>22</v>
      </c>
      <c r="AL1087">
        <v>48</v>
      </c>
      <c r="AM1087">
        <v>29</v>
      </c>
      <c r="AN1087" s="18">
        <v>0.166666666666667</v>
      </c>
      <c r="AO1087" s="18">
        <v>0</v>
      </c>
      <c r="AP1087" s="18">
        <v>0.0208333333333333</v>
      </c>
      <c r="AQ1087" s="18">
        <v>0.0689655172413793</v>
      </c>
      <c r="AR1087" s="29">
        <v>0.285714285714286</v>
      </c>
      <c r="AS1087" s="29">
        <v>17.1428571428571</v>
      </c>
      <c r="AT1087" s="29">
        <v>20.8571428571429</v>
      </c>
      <c r="AU1087" s="24">
        <f t="shared" si="17"/>
        <v>133</v>
      </c>
      <c r="AV1087" s="31">
        <f>IFERROR(时间!$B$4+AU1087,"上周无销量")</f>
        <v>43451</v>
      </c>
    </row>
    <row r="1088" spans="1:48">
      <c r="A1088" s="16" t="s">
        <v>1986</v>
      </c>
      <c r="B1088" t="s">
        <v>162</v>
      </c>
      <c r="C1088" t="s">
        <v>1977</v>
      </c>
      <c r="D1088" s="24">
        <v>0</v>
      </c>
      <c r="E1088" s="24">
        <v>0</v>
      </c>
      <c r="F1088" s="24">
        <v>0</v>
      </c>
      <c r="G1088" s="24">
        <v>0</v>
      </c>
      <c r="H1088" s="25">
        <v>0</v>
      </c>
      <c r="I1088">
        <v>58</v>
      </c>
      <c r="J1088" s="26">
        <v>0</v>
      </c>
      <c r="K1088" s="26">
        <v>0</v>
      </c>
      <c r="L1088" s="26">
        <v>0</v>
      </c>
      <c r="M1088">
        <v>58</v>
      </c>
      <c r="N1088">
        <v>0</v>
      </c>
      <c r="O1088">
        <v>57</v>
      </c>
      <c r="P1088">
        <v>2340</v>
      </c>
      <c r="Q1088">
        <v>0</v>
      </c>
      <c r="R1088">
        <v>0</v>
      </c>
      <c r="S1088">
        <v>0</v>
      </c>
      <c r="T1088">
        <v>3</v>
      </c>
      <c r="U1088">
        <v>0</v>
      </c>
      <c r="V1088">
        <v>0</v>
      </c>
      <c r="W1088">
        <v>0</v>
      </c>
      <c r="X1088" s="18">
        <v>0.00128205128205128</v>
      </c>
      <c r="Y1088" s="18" t="s">
        <v>52</v>
      </c>
      <c r="Z1088" s="18" t="s">
        <v>52</v>
      </c>
      <c r="AA1088" s="18" t="s">
        <v>52</v>
      </c>
      <c r="AB1088">
        <v>1.19</v>
      </c>
      <c r="AC1088">
        <v>0</v>
      </c>
      <c r="AD1088">
        <v>0</v>
      </c>
      <c r="AE1088">
        <v>0</v>
      </c>
      <c r="AF1088" s="18" t="s">
        <v>1987</v>
      </c>
      <c r="AG1088" s="18" t="s">
        <v>52</v>
      </c>
      <c r="AH1088" s="18" t="s">
        <v>52</v>
      </c>
      <c r="AI1088" s="18" t="s">
        <v>52</v>
      </c>
      <c r="AJ1088">
        <v>16</v>
      </c>
      <c r="AK1088">
        <v>26</v>
      </c>
      <c r="AL1088">
        <v>15</v>
      </c>
      <c r="AM1088">
        <v>8</v>
      </c>
      <c r="AN1088" s="18">
        <v>0</v>
      </c>
      <c r="AO1088" s="18">
        <v>0</v>
      </c>
      <c r="AP1088" s="18">
        <v>0</v>
      </c>
      <c r="AQ1088" s="18">
        <v>0</v>
      </c>
      <c r="AR1088" s="29">
        <v>0</v>
      </c>
      <c r="AS1088" s="29">
        <v>0</v>
      </c>
      <c r="AT1088" s="29">
        <v>58</v>
      </c>
      <c r="AU1088" s="24" t="str">
        <f t="shared" si="17"/>
        <v>库存为58</v>
      </c>
      <c r="AV1088" s="31" t="str">
        <f>IFERROR(时间!$B$4+AU1088,"上周无销量")</f>
        <v>上周无销量</v>
      </c>
    </row>
    <row r="1089" spans="1:48">
      <c r="A1089" s="16" t="s">
        <v>1988</v>
      </c>
      <c r="B1089" t="s">
        <v>164</v>
      </c>
      <c r="C1089" t="s">
        <v>1977</v>
      </c>
      <c r="D1089" s="24">
        <v>1</v>
      </c>
      <c r="E1089" s="24">
        <v>0</v>
      </c>
      <c r="F1089" s="24">
        <v>1</v>
      </c>
      <c r="G1089" s="24">
        <v>0</v>
      </c>
      <c r="H1089" s="25">
        <v>20.98</v>
      </c>
      <c r="I1089">
        <v>0</v>
      </c>
      <c r="J1089" s="26">
        <v>0</v>
      </c>
      <c r="K1089" s="26">
        <v>0</v>
      </c>
      <c r="L1089" s="26">
        <v>0</v>
      </c>
      <c r="M1089">
        <v>0</v>
      </c>
      <c r="N1089">
        <v>1</v>
      </c>
      <c r="O1089">
        <v>0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7</v>
      </c>
      <c r="AK1089">
        <v>1</v>
      </c>
      <c r="AL1089">
        <v>3</v>
      </c>
      <c r="AM1089">
        <v>12</v>
      </c>
      <c r="AN1089" s="18">
        <v>0.142857142857143</v>
      </c>
      <c r="AO1089" s="18">
        <v>0</v>
      </c>
      <c r="AP1089" s="18">
        <v>0.333333333333333</v>
      </c>
      <c r="AQ1089" s="18">
        <v>0</v>
      </c>
      <c r="AR1089" s="29">
        <v>0.142857142857143</v>
      </c>
      <c r="AS1089" s="29">
        <v>8.57142857142857</v>
      </c>
      <c r="AT1089" s="29">
        <v>-8.57142857142857</v>
      </c>
      <c r="AU1089" s="24">
        <f t="shared" si="17"/>
        <v>0</v>
      </c>
      <c r="AV1089" s="31">
        <f>IFERROR(时间!$B$4+AU1089,"上周无销量")</f>
        <v>43318</v>
      </c>
    </row>
    <row r="1090" spans="1:48">
      <c r="A1090" s="16" t="s">
        <v>1989</v>
      </c>
      <c r="B1090" t="s">
        <v>166</v>
      </c>
      <c r="C1090" t="s">
        <v>1977</v>
      </c>
      <c r="D1090" s="24">
        <v>4</v>
      </c>
      <c r="E1090" s="24">
        <v>1</v>
      </c>
      <c r="F1090" s="24">
        <v>19</v>
      </c>
      <c r="G1090" s="24">
        <v>0</v>
      </c>
      <c r="H1090" s="25">
        <v>20.48</v>
      </c>
      <c r="I1090">
        <v>2</v>
      </c>
      <c r="J1090" s="26">
        <v>0</v>
      </c>
      <c r="K1090" s="26">
        <v>0</v>
      </c>
      <c r="L1090" s="26">
        <v>0</v>
      </c>
      <c r="M1090">
        <v>2</v>
      </c>
      <c r="N1090">
        <v>0</v>
      </c>
      <c r="O1090">
        <v>0</v>
      </c>
      <c r="P1090">
        <v>5570</v>
      </c>
      <c r="Q1090">
        <v>9665</v>
      </c>
      <c r="R1090">
        <v>9760</v>
      </c>
      <c r="S1090">
        <v>10027</v>
      </c>
      <c r="T1090">
        <v>8</v>
      </c>
      <c r="U1090">
        <v>36</v>
      </c>
      <c r="V1090">
        <v>21</v>
      </c>
      <c r="W1090">
        <v>15</v>
      </c>
      <c r="X1090" s="18">
        <v>0.00143626570915619</v>
      </c>
      <c r="Y1090" s="18">
        <v>0.00372478013450595</v>
      </c>
      <c r="Z1090" s="18">
        <v>0.0021516393442623</v>
      </c>
      <c r="AA1090" s="18">
        <v>0.001495960905555</v>
      </c>
      <c r="AB1090">
        <v>4.26</v>
      </c>
      <c r="AC1090">
        <v>17.79</v>
      </c>
      <c r="AD1090">
        <v>9.37</v>
      </c>
      <c r="AE1090">
        <v>7.68</v>
      </c>
      <c r="AF1090" s="18">
        <v>0.052001953125</v>
      </c>
      <c r="AG1090" s="18">
        <v>0.86865234375</v>
      </c>
      <c r="AH1090" s="18">
        <v>0.0240799753289474</v>
      </c>
      <c r="AI1090" s="18" t="s">
        <v>1990</v>
      </c>
      <c r="AJ1090">
        <v>28</v>
      </c>
      <c r="AK1090">
        <v>31</v>
      </c>
      <c r="AL1090">
        <v>35</v>
      </c>
      <c r="AM1090">
        <v>15</v>
      </c>
      <c r="AN1090" s="18">
        <v>0.142857142857143</v>
      </c>
      <c r="AO1090" s="18">
        <v>0.032258064516129</v>
      </c>
      <c r="AP1090" s="18">
        <v>0.542857142857143</v>
      </c>
      <c r="AQ1090" s="18">
        <v>0</v>
      </c>
      <c r="AR1090" s="29">
        <v>0.571428571428571</v>
      </c>
      <c r="AS1090" s="29">
        <v>34.2857142857143</v>
      </c>
      <c r="AT1090" s="29">
        <v>-32.2857142857143</v>
      </c>
      <c r="AU1090" s="24">
        <f t="shared" si="17"/>
        <v>3</v>
      </c>
      <c r="AV1090" s="31">
        <f>IFERROR(时间!$B$4+AU1090,"上周无销量")</f>
        <v>43321</v>
      </c>
    </row>
    <row r="1091" spans="1:48">
      <c r="A1091" s="16" t="s">
        <v>1991</v>
      </c>
      <c r="B1091" t="s">
        <v>168</v>
      </c>
      <c r="C1091" t="s">
        <v>1977</v>
      </c>
      <c r="D1091" s="24">
        <v>1</v>
      </c>
      <c r="E1091" s="24">
        <v>0</v>
      </c>
      <c r="F1091" s="24">
        <v>9</v>
      </c>
      <c r="G1091" s="24">
        <v>2</v>
      </c>
      <c r="H1091" s="25">
        <v>18.98</v>
      </c>
      <c r="I1091">
        <v>0</v>
      </c>
      <c r="J1091" s="26">
        <v>0</v>
      </c>
      <c r="K1091" s="26">
        <v>0</v>
      </c>
      <c r="L1091" s="26">
        <v>0</v>
      </c>
      <c r="M1091">
        <v>0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0</v>
      </c>
      <c r="AK1091">
        <v>0</v>
      </c>
      <c r="AL1091">
        <v>10</v>
      </c>
      <c r="AM1091">
        <v>10</v>
      </c>
      <c r="AN1091" s="18" t="s">
        <v>52</v>
      </c>
      <c r="AO1091" s="18" t="s">
        <v>52</v>
      </c>
      <c r="AP1091" s="18">
        <v>0.9</v>
      </c>
      <c r="AQ1091" s="18">
        <v>0.2</v>
      </c>
      <c r="AR1091" s="29">
        <v>0.142857142857143</v>
      </c>
      <c r="AS1091" s="29">
        <v>8.57142857142857</v>
      </c>
      <c r="AT1091" s="29">
        <v>-8.57142857142857</v>
      </c>
      <c r="AU1091" s="24">
        <f t="shared" si="17"/>
        <v>0</v>
      </c>
      <c r="AV1091" s="31">
        <f>IFERROR(时间!$B$4+AU1091,"上周无销量")</f>
        <v>43318</v>
      </c>
    </row>
    <row r="1092" spans="1:48">
      <c r="A1092" s="16" t="s">
        <v>1992</v>
      </c>
      <c r="B1092" t="s">
        <v>170</v>
      </c>
      <c r="C1092" t="s">
        <v>1977</v>
      </c>
      <c r="D1092" s="24">
        <v>7</v>
      </c>
      <c r="E1092" s="24">
        <v>2</v>
      </c>
      <c r="F1092" s="24">
        <v>1</v>
      </c>
      <c r="G1092" s="24">
        <v>0</v>
      </c>
      <c r="H1092" s="25">
        <v>14.98</v>
      </c>
      <c r="I1092">
        <v>5</v>
      </c>
      <c r="J1092" s="26">
        <v>0</v>
      </c>
      <c r="K1092" s="26">
        <v>0</v>
      </c>
      <c r="L1092" s="26">
        <v>0</v>
      </c>
      <c r="M1092">
        <v>5</v>
      </c>
      <c r="N1092">
        <v>0</v>
      </c>
      <c r="O1092">
        <v>7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10</v>
      </c>
      <c r="AK1092">
        <v>18</v>
      </c>
      <c r="AL1092">
        <v>13</v>
      </c>
      <c r="AM1092">
        <v>14</v>
      </c>
      <c r="AN1092" s="18">
        <v>0.7</v>
      </c>
      <c r="AO1092" s="18">
        <v>0.111111111111111</v>
      </c>
      <c r="AP1092" s="18">
        <v>0.0769230769230769</v>
      </c>
      <c r="AQ1092" s="18">
        <v>0</v>
      </c>
      <c r="AR1092" s="29">
        <v>1</v>
      </c>
      <c r="AS1092" s="29">
        <v>60</v>
      </c>
      <c r="AT1092" s="29">
        <v>-55</v>
      </c>
      <c r="AU1092" s="24">
        <f t="shared" si="17"/>
        <v>5</v>
      </c>
      <c r="AV1092" s="31">
        <f>IFERROR(时间!$B$4+AU1092,"上周无销量")</f>
        <v>43323</v>
      </c>
    </row>
    <row r="1093" spans="1:48">
      <c r="A1093" s="16" t="s">
        <v>1993</v>
      </c>
      <c r="B1093" t="s">
        <v>172</v>
      </c>
      <c r="C1093" t="s">
        <v>1977</v>
      </c>
      <c r="D1093" s="24">
        <v>4</v>
      </c>
      <c r="E1093" s="24">
        <v>2</v>
      </c>
      <c r="F1093" s="24">
        <v>2</v>
      </c>
      <c r="G1093" s="24">
        <v>4</v>
      </c>
      <c r="H1093" s="25">
        <v>22.98</v>
      </c>
      <c r="I1093">
        <v>0</v>
      </c>
      <c r="J1093" s="26">
        <v>0</v>
      </c>
      <c r="K1093" s="26">
        <v>0</v>
      </c>
      <c r="L1093" s="26">
        <v>0</v>
      </c>
      <c r="M1093">
        <v>0</v>
      </c>
      <c r="N1093">
        <v>0</v>
      </c>
      <c r="O1093">
        <v>0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8</v>
      </c>
      <c r="AK1093">
        <v>16</v>
      </c>
      <c r="AL1093">
        <v>43</v>
      </c>
      <c r="AM1093">
        <v>30</v>
      </c>
      <c r="AN1093" s="18">
        <v>0.5</v>
      </c>
      <c r="AO1093" s="18">
        <v>0.125</v>
      </c>
      <c r="AP1093" s="18">
        <v>0.0465116279069767</v>
      </c>
      <c r="AQ1093" s="18">
        <v>0.133333333333333</v>
      </c>
      <c r="AR1093" s="29">
        <v>0.571428571428571</v>
      </c>
      <c r="AS1093" s="29">
        <v>34.2857142857143</v>
      </c>
      <c r="AT1093" s="29">
        <v>-34.2857142857143</v>
      </c>
      <c r="AU1093" s="24">
        <f t="shared" si="17"/>
        <v>0</v>
      </c>
      <c r="AV1093" s="31">
        <f>IFERROR(时间!$B$4+AU1093,"上周无销量")</f>
        <v>43318</v>
      </c>
    </row>
    <row r="1094" spans="1:48">
      <c r="A1094" s="16" t="s">
        <v>1994</v>
      </c>
      <c r="B1094" t="s">
        <v>174</v>
      </c>
      <c r="C1094" t="s">
        <v>1977</v>
      </c>
      <c r="D1094" s="24">
        <v>0</v>
      </c>
      <c r="E1094" s="24">
        <v>0</v>
      </c>
      <c r="F1094" s="24">
        <v>0</v>
      </c>
      <c r="G1094" s="24">
        <v>0</v>
      </c>
      <c r="H1094" s="25">
        <v>0</v>
      </c>
      <c r="I1094">
        <v>0</v>
      </c>
      <c r="J1094" s="26">
        <v>0</v>
      </c>
      <c r="K1094" s="26">
        <v>0</v>
      </c>
      <c r="L1094" s="26">
        <v>0</v>
      </c>
      <c r="M1094">
        <v>0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0</v>
      </c>
      <c r="AK1094">
        <v>0</v>
      </c>
      <c r="AL1094">
        <v>0</v>
      </c>
      <c r="AM1094">
        <v>0</v>
      </c>
      <c r="AN1094" s="18" t="s">
        <v>52</v>
      </c>
      <c r="AO1094" s="18" t="s">
        <v>52</v>
      </c>
      <c r="AP1094" s="18" t="s">
        <v>52</v>
      </c>
      <c r="AQ1094" s="18" t="s">
        <v>52</v>
      </c>
      <c r="AR1094" s="29">
        <v>0</v>
      </c>
      <c r="AS1094" s="29">
        <v>0</v>
      </c>
      <c r="AT1094" s="29">
        <v>0</v>
      </c>
      <c r="AU1094" s="24" t="str">
        <f t="shared" ref="AU1094:AU1157" si="18">IF(AR1094="","库存为"&amp;M1094,IF(AS1094=0,"库存为"&amp;M1094,INT(M1094/AR1094)))</f>
        <v>库存为0</v>
      </c>
      <c r="AV1094" s="31" t="str">
        <f>IFERROR(时间!$B$4+AU1094,"上周无销量")</f>
        <v>上周无销量</v>
      </c>
    </row>
    <row r="1095" spans="1:48">
      <c r="A1095" s="16" t="s">
        <v>1995</v>
      </c>
      <c r="B1095" t="s">
        <v>176</v>
      </c>
      <c r="C1095" t="s">
        <v>1977</v>
      </c>
      <c r="D1095" s="24">
        <v>1</v>
      </c>
      <c r="E1095" s="24">
        <v>0</v>
      </c>
      <c r="F1095" s="24">
        <v>3</v>
      </c>
      <c r="G1095" s="24">
        <v>3</v>
      </c>
      <c r="H1095" s="25">
        <v>16.6942857142857</v>
      </c>
      <c r="I1095">
        <v>1</v>
      </c>
      <c r="J1095" s="26">
        <v>0</v>
      </c>
      <c r="K1095" s="26">
        <v>0</v>
      </c>
      <c r="L1095" s="26">
        <v>1</v>
      </c>
      <c r="M1095">
        <v>2</v>
      </c>
      <c r="N1095">
        <v>0</v>
      </c>
      <c r="O1095">
        <v>4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24</v>
      </c>
      <c r="AK1095">
        <v>19</v>
      </c>
      <c r="AL1095">
        <v>22</v>
      </c>
      <c r="AM1095">
        <v>29</v>
      </c>
      <c r="AN1095" s="18">
        <v>0.0416666666666667</v>
      </c>
      <c r="AO1095" s="18">
        <v>0</v>
      </c>
      <c r="AP1095" s="18">
        <v>0.136363636363636</v>
      </c>
      <c r="AQ1095" s="18">
        <v>0.103448275862069</v>
      </c>
      <c r="AR1095" s="29">
        <v>0.142857142857143</v>
      </c>
      <c r="AS1095" s="29">
        <v>8.57142857142857</v>
      </c>
      <c r="AT1095" s="29">
        <v>-6.57142857142857</v>
      </c>
      <c r="AU1095" s="24">
        <f t="shared" si="18"/>
        <v>14</v>
      </c>
      <c r="AV1095" s="31">
        <f>IFERROR(时间!$B$4+AU1095,"上周无销量")</f>
        <v>43332</v>
      </c>
    </row>
    <row r="1096" spans="1:48">
      <c r="A1096" s="16" t="s">
        <v>1996</v>
      </c>
      <c r="B1096" t="s">
        <v>178</v>
      </c>
      <c r="C1096" t="s">
        <v>1977</v>
      </c>
      <c r="D1096" s="24">
        <v>0</v>
      </c>
      <c r="E1096" s="24">
        <v>2</v>
      </c>
      <c r="F1096" s="24">
        <v>1</v>
      </c>
      <c r="G1096" s="24">
        <v>0</v>
      </c>
      <c r="H1096" s="25">
        <v>14.98</v>
      </c>
      <c r="I1096">
        <v>0</v>
      </c>
      <c r="J1096" s="26">
        <v>0</v>
      </c>
      <c r="K1096" s="26">
        <v>0</v>
      </c>
      <c r="L1096" s="26">
        <v>0</v>
      </c>
      <c r="M1096">
        <v>0</v>
      </c>
      <c r="N1096">
        <v>0</v>
      </c>
      <c r="O1096">
        <v>1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12</v>
      </c>
      <c r="AK1096">
        <v>9</v>
      </c>
      <c r="AL1096">
        <v>12</v>
      </c>
      <c r="AM1096">
        <v>17</v>
      </c>
      <c r="AN1096" s="18">
        <v>0</v>
      </c>
      <c r="AO1096" s="18">
        <v>0.222222222222222</v>
      </c>
      <c r="AP1096" s="18">
        <v>0.0833333333333333</v>
      </c>
      <c r="AQ1096" s="18">
        <v>0</v>
      </c>
      <c r="AR1096" s="29">
        <v>0</v>
      </c>
      <c r="AS1096" s="29">
        <v>0</v>
      </c>
      <c r="AT1096" s="29">
        <v>0</v>
      </c>
      <c r="AU1096" s="24" t="str">
        <f t="shared" si="18"/>
        <v>库存为0</v>
      </c>
      <c r="AV1096" s="31" t="str">
        <f>IFERROR(时间!$B$4+AU1096,"上周无销量")</f>
        <v>上周无销量</v>
      </c>
    </row>
    <row r="1097" spans="1:48">
      <c r="A1097" s="16" t="s">
        <v>1997</v>
      </c>
      <c r="B1097" t="s">
        <v>180</v>
      </c>
      <c r="C1097" t="s">
        <v>1977</v>
      </c>
      <c r="D1097" s="24">
        <v>3</v>
      </c>
      <c r="E1097" s="24">
        <v>1</v>
      </c>
      <c r="F1097" s="24">
        <v>0</v>
      </c>
      <c r="G1097" s="24">
        <v>0</v>
      </c>
      <c r="H1097" s="25">
        <v>14.98</v>
      </c>
      <c r="I1097">
        <v>3</v>
      </c>
      <c r="J1097" s="26">
        <v>0</v>
      </c>
      <c r="K1097" s="26">
        <v>0</v>
      </c>
      <c r="L1097" s="26">
        <v>0</v>
      </c>
      <c r="M1097">
        <v>3</v>
      </c>
      <c r="N1097">
        <v>0</v>
      </c>
      <c r="O1097">
        <v>3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19</v>
      </c>
      <c r="AK1097">
        <v>22</v>
      </c>
      <c r="AL1097">
        <v>33</v>
      </c>
      <c r="AM1097">
        <v>30</v>
      </c>
      <c r="AN1097" s="18">
        <v>0.157894736842105</v>
      </c>
      <c r="AO1097" s="18">
        <v>0.0454545454545455</v>
      </c>
      <c r="AP1097" s="18">
        <v>0</v>
      </c>
      <c r="AQ1097" s="18">
        <v>0</v>
      </c>
      <c r="AR1097" s="29">
        <v>0.428571428571429</v>
      </c>
      <c r="AS1097" s="29">
        <v>25.7142857142857</v>
      </c>
      <c r="AT1097" s="29">
        <v>-22.7142857142857</v>
      </c>
      <c r="AU1097" s="24">
        <f t="shared" si="18"/>
        <v>7</v>
      </c>
      <c r="AV1097" s="31">
        <f>IFERROR(时间!$B$4+AU1097,"上周无销量")</f>
        <v>43325</v>
      </c>
    </row>
    <row r="1098" spans="1:48">
      <c r="A1098" s="16" t="s">
        <v>1998</v>
      </c>
      <c r="B1098" t="s">
        <v>182</v>
      </c>
      <c r="C1098" t="s">
        <v>1977</v>
      </c>
      <c r="D1098" s="24">
        <v>1</v>
      </c>
      <c r="E1098" s="24">
        <v>1</v>
      </c>
      <c r="F1098" s="24">
        <v>1</v>
      </c>
      <c r="G1098" s="24">
        <v>0</v>
      </c>
      <c r="H1098" s="25">
        <v>14.98</v>
      </c>
      <c r="I1098">
        <v>6</v>
      </c>
      <c r="J1098" s="26">
        <v>0</v>
      </c>
      <c r="K1098" s="26">
        <v>0</v>
      </c>
      <c r="L1098" s="26">
        <v>1</v>
      </c>
      <c r="M1098">
        <v>7</v>
      </c>
      <c r="N1098">
        <v>0</v>
      </c>
      <c r="O1098">
        <v>5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6</v>
      </c>
      <c r="AK1098">
        <v>9</v>
      </c>
      <c r="AL1098">
        <v>8</v>
      </c>
      <c r="AM1098">
        <v>9</v>
      </c>
      <c r="AN1098" s="18">
        <v>0.166666666666667</v>
      </c>
      <c r="AO1098" s="18">
        <v>0.111111111111111</v>
      </c>
      <c r="AP1098" s="18">
        <v>0.125</v>
      </c>
      <c r="AQ1098" s="18">
        <v>0</v>
      </c>
      <c r="AR1098" s="29">
        <v>0.142857142857143</v>
      </c>
      <c r="AS1098" s="29">
        <v>8.57142857142857</v>
      </c>
      <c r="AT1098" s="29">
        <v>-1.57142857142857</v>
      </c>
      <c r="AU1098" s="24">
        <f t="shared" si="18"/>
        <v>49</v>
      </c>
      <c r="AV1098" s="31">
        <f>IFERROR(时间!$B$4+AU1098,"上周无销量")</f>
        <v>43367</v>
      </c>
    </row>
    <row r="1099" spans="1:48">
      <c r="A1099" s="16" t="s">
        <v>1999</v>
      </c>
      <c r="B1099" t="s">
        <v>184</v>
      </c>
      <c r="C1099" t="s">
        <v>1977</v>
      </c>
      <c r="D1099" s="24">
        <v>2</v>
      </c>
      <c r="E1099" s="24">
        <v>1</v>
      </c>
      <c r="F1099" s="24">
        <v>1</v>
      </c>
      <c r="G1099" s="24">
        <v>0</v>
      </c>
      <c r="H1099" s="25">
        <v>14.98</v>
      </c>
      <c r="I1099">
        <v>43</v>
      </c>
      <c r="J1099" s="26">
        <v>0</v>
      </c>
      <c r="K1099" s="26">
        <v>0</v>
      </c>
      <c r="L1099" s="26">
        <v>0</v>
      </c>
      <c r="M1099">
        <v>43</v>
      </c>
      <c r="N1099">
        <v>0</v>
      </c>
      <c r="O1099">
        <v>39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13</v>
      </c>
      <c r="AK1099">
        <v>8</v>
      </c>
      <c r="AL1099">
        <v>15</v>
      </c>
      <c r="AM1099">
        <v>9</v>
      </c>
      <c r="AN1099" s="18">
        <v>0.153846153846154</v>
      </c>
      <c r="AO1099" s="18">
        <v>0.125</v>
      </c>
      <c r="AP1099" s="18">
        <v>0.0666666666666667</v>
      </c>
      <c r="AQ1099" s="18">
        <v>0</v>
      </c>
      <c r="AR1099" s="29">
        <v>0.285714285714286</v>
      </c>
      <c r="AS1099" s="29">
        <v>17.1428571428571</v>
      </c>
      <c r="AT1099" s="29">
        <v>25.8571428571429</v>
      </c>
      <c r="AU1099" s="24">
        <f t="shared" si="18"/>
        <v>150</v>
      </c>
      <c r="AV1099" s="31">
        <f>IFERROR(时间!$B$4+AU1099,"上周无销量")</f>
        <v>43468</v>
      </c>
    </row>
    <row r="1100" spans="1:48">
      <c r="A1100" s="16" t="s">
        <v>2000</v>
      </c>
      <c r="B1100" t="s">
        <v>186</v>
      </c>
      <c r="C1100" t="s">
        <v>1977</v>
      </c>
      <c r="D1100" s="24">
        <v>0</v>
      </c>
      <c r="E1100" s="24">
        <v>0</v>
      </c>
      <c r="F1100" s="24">
        <v>0</v>
      </c>
      <c r="G1100" s="24">
        <v>0</v>
      </c>
      <c r="H1100" s="25">
        <v>0</v>
      </c>
      <c r="I1100">
        <v>53</v>
      </c>
      <c r="J1100" s="26">
        <v>0</v>
      </c>
      <c r="K1100" s="26">
        <v>0</v>
      </c>
      <c r="L1100" s="26">
        <v>1</v>
      </c>
      <c r="M1100">
        <v>54</v>
      </c>
      <c r="N1100">
        <v>1</v>
      </c>
      <c r="O1100">
        <v>55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7</v>
      </c>
      <c r="AK1100">
        <v>11</v>
      </c>
      <c r="AL1100">
        <v>13</v>
      </c>
      <c r="AM1100">
        <v>13</v>
      </c>
      <c r="AN1100" s="18">
        <v>0</v>
      </c>
      <c r="AO1100" s="18">
        <v>0</v>
      </c>
      <c r="AP1100" s="18">
        <v>0</v>
      </c>
      <c r="AQ1100" s="18">
        <v>0</v>
      </c>
      <c r="AR1100" s="29">
        <v>0</v>
      </c>
      <c r="AS1100" s="29">
        <v>0</v>
      </c>
      <c r="AT1100" s="29">
        <v>54</v>
      </c>
      <c r="AU1100" s="24" t="str">
        <f t="shared" si="18"/>
        <v>库存为54</v>
      </c>
      <c r="AV1100" s="31" t="str">
        <f>IFERROR(时间!$B$4+AU1100,"上周无销量")</f>
        <v>上周无销量</v>
      </c>
    </row>
    <row r="1101" spans="1:48">
      <c r="A1101" s="16" t="s">
        <v>2001</v>
      </c>
      <c r="B1101" t="s">
        <v>188</v>
      </c>
      <c r="C1101" t="s">
        <v>1977</v>
      </c>
      <c r="D1101" s="24">
        <v>3</v>
      </c>
      <c r="E1101" s="24">
        <v>1</v>
      </c>
      <c r="F1101" s="24">
        <v>0</v>
      </c>
      <c r="G1101" s="24">
        <v>0</v>
      </c>
      <c r="H1101" s="25">
        <v>14.98</v>
      </c>
      <c r="I1101">
        <v>2</v>
      </c>
      <c r="J1101" s="26">
        <v>0</v>
      </c>
      <c r="K1101" s="26">
        <v>0</v>
      </c>
      <c r="L1101" s="26">
        <v>0</v>
      </c>
      <c r="M1101">
        <v>2</v>
      </c>
      <c r="N1101">
        <v>1</v>
      </c>
      <c r="O1101">
        <v>1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8</v>
      </c>
      <c r="AK1101">
        <v>9</v>
      </c>
      <c r="AL1101">
        <v>12</v>
      </c>
      <c r="AM1101">
        <v>5</v>
      </c>
      <c r="AN1101" s="18">
        <v>0.375</v>
      </c>
      <c r="AO1101" s="18">
        <v>0.111111111111111</v>
      </c>
      <c r="AP1101" s="18">
        <v>0</v>
      </c>
      <c r="AQ1101" s="18">
        <v>0</v>
      </c>
      <c r="AR1101" s="29">
        <v>0.428571428571429</v>
      </c>
      <c r="AS1101" s="29">
        <v>25.7142857142857</v>
      </c>
      <c r="AT1101" s="29">
        <v>-23.7142857142857</v>
      </c>
      <c r="AU1101" s="24">
        <f t="shared" si="18"/>
        <v>4</v>
      </c>
      <c r="AV1101" s="31">
        <f>IFERROR(时间!$B$4+AU1101,"上周无销量")</f>
        <v>43322</v>
      </c>
    </row>
    <row r="1102" spans="1:48">
      <c r="A1102" s="16" t="s">
        <v>2002</v>
      </c>
      <c r="B1102" t="s">
        <v>190</v>
      </c>
      <c r="C1102" t="s">
        <v>1977</v>
      </c>
      <c r="D1102" s="24">
        <v>0</v>
      </c>
      <c r="E1102" s="24">
        <v>0</v>
      </c>
      <c r="F1102" s="24">
        <v>1</v>
      </c>
      <c r="G1102" s="24">
        <v>0</v>
      </c>
      <c r="H1102" s="25">
        <v>14.98</v>
      </c>
      <c r="I1102">
        <v>44</v>
      </c>
      <c r="J1102" s="26">
        <v>0</v>
      </c>
      <c r="K1102" s="26">
        <v>0</v>
      </c>
      <c r="L1102" s="26">
        <v>0</v>
      </c>
      <c r="M1102">
        <v>44</v>
      </c>
      <c r="N1102">
        <v>0</v>
      </c>
      <c r="O1102">
        <v>43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16</v>
      </c>
      <c r="AK1102">
        <v>24</v>
      </c>
      <c r="AL1102">
        <v>33</v>
      </c>
      <c r="AM1102">
        <v>28</v>
      </c>
      <c r="AN1102" s="18">
        <v>0</v>
      </c>
      <c r="AO1102" s="18">
        <v>0</v>
      </c>
      <c r="AP1102" s="18">
        <v>0.0303030303030303</v>
      </c>
      <c r="AQ1102" s="18">
        <v>0</v>
      </c>
      <c r="AR1102" s="29">
        <v>0</v>
      </c>
      <c r="AS1102" s="29">
        <v>0</v>
      </c>
      <c r="AT1102" s="29">
        <v>44</v>
      </c>
      <c r="AU1102" s="24" t="str">
        <f t="shared" si="18"/>
        <v>库存为44</v>
      </c>
      <c r="AV1102" s="31" t="str">
        <f>IFERROR(时间!$B$4+AU1102,"上周无销量")</f>
        <v>上周无销量</v>
      </c>
    </row>
    <row r="1103" spans="1:48">
      <c r="A1103" s="16" t="s">
        <v>2003</v>
      </c>
      <c r="B1103" t="s">
        <v>192</v>
      </c>
      <c r="C1103" t="s">
        <v>1977</v>
      </c>
      <c r="D1103" s="24">
        <v>3</v>
      </c>
      <c r="E1103" s="24">
        <v>0</v>
      </c>
      <c r="F1103" s="24">
        <v>0</v>
      </c>
      <c r="G1103" s="24">
        <v>0</v>
      </c>
      <c r="H1103" s="25">
        <v>14.98</v>
      </c>
      <c r="I1103">
        <v>48</v>
      </c>
      <c r="J1103" s="26">
        <v>0</v>
      </c>
      <c r="K1103" s="26">
        <v>0</v>
      </c>
      <c r="L1103" s="26">
        <v>0</v>
      </c>
      <c r="M1103">
        <v>48</v>
      </c>
      <c r="N1103">
        <v>0</v>
      </c>
      <c r="O1103">
        <v>48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8</v>
      </c>
      <c r="AK1103">
        <v>5</v>
      </c>
      <c r="AL1103">
        <v>6</v>
      </c>
      <c r="AM1103">
        <v>8</v>
      </c>
      <c r="AN1103" s="18">
        <v>0.375</v>
      </c>
      <c r="AO1103" s="18">
        <v>0</v>
      </c>
      <c r="AP1103" s="18">
        <v>0</v>
      </c>
      <c r="AQ1103" s="18">
        <v>0</v>
      </c>
      <c r="AR1103" s="29">
        <v>0.428571428571429</v>
      </c>
      <c r="AS1103" s="29">
        <v>25.7142857142857</v>
      </c>
      <c r="AT1103" s="29">
        <v>22.2857142857143</v>
      </c>
      <c r="AU1103" s="24">
        <f t="shared" si="18"/>
        <v>112</v>
      </c>
      <c r="AV1103" s="31">
        <f>IFERROR(时间!$B$4+AU1103,"上周无销量")</f>
        <v>43430</v>
      </c>
    </row>
    <row r="1104" spans="1:48">
      <c r="A1104" s="16" t="s">
        <v>2004</v>
      </c>
      <c r="B1104" t="s">
        <v>194</v>
      </c>
      <c r="C1104" t="s">
        <v>1977</v>
      </c>
      <c r="D1104" s="24">
        <v>0</v>
      </c>
      <c r="E1104" s="24">
        <v>0</v>
      </c>
      <c r="F1104" s="24">
        <v>0</v>
      </c>
      <c r="G1104" s="24">
        <v>0</v>
      </c>
      <c r="H1104" s="25">
        <v>0</v>
      </c>
      <c r="I1104">
        <v>0</v>
      </c>
      <c r="J1104" s="26">
        <v>0</v>
      </c>
      <c r="K1104" s="26">
        <v>0</v>
      </c>
      <c r="L1104" s="26">
        <v>0</v>
      </c>
      <c r="M1104">
        <v>0</v>
      </c>
      <c r="N1104">
        <v>0</v>
      </c>
      <c r="O1104">
        <v>0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0</v>
      </c>
      <c r="AK1104">
        <v>0</v>
      </c>
      <c r="AL1104">
        <v>0</v>
      </c>
      <c r="AM1104">
        <v>0</v>
      </c>
      <c r="AN1104" s="18" t="s">
        <v>52</v>
      </c>
      <c r="AO1104" s="18" t="s">
        <v>52</v>
      </c>
      <c r="AP1104" s="18" t="s">
        <v>52</v>
      </c>
      <c r="AQ1104" s="18" t="s">
        <v>52</v>
      </c>
      <c r="AR1104" s="29">
        <v>0</v>
      </c>
      <c r="AS1104" s="29">
        <v>0</v>
      </c>
      <c r="AT1104" s="29">
        <v>0</v>
      </c>
      <c r="AU1104" s="24" t="str">
        <f t="shared" si="18"/>
        <v>库存为0</v>
      </c>
      <c r="AV1104" s="31" t="str">
        <f>IFERROR(时间!$B$4+AU1104,"上周无销量")</f>
        <v>上周无销量</v>
      </c>
    </row>
    <row r="1105" spans="1:48">
      <c r="A1105" s="16" t="s">
        <v>2005</v>
      </c>
      <c r="B1105" t="s">
        <v>196</v>
      </c>
      <c r="C1105" t="s">
        <v>1977</v>
      </c>
      <c r="D1105" s="24">
        <v>0</v>
      </c>
      <c r="E1105" s="24">
        <v>0</v>
      </c>
      <c r="F1105" s="24">
        <v>0</v>
      </c>
      <c r="G1105" s="24">
        <v>0</v>
      </c>
      <c r="H1105" s="25">
        <v>0</v>
      </c>
      <c r="I1105">
        <v>0</v>
      </c>
      <c r="J1105" s="26">
        <v>0</v>
      </c>
      <c r="K1105" s="26">
        <v>0</v>
      </c>
      <c r="L1105" s="26">
        <v>0</v>
      </c>
      <c r="M1105">
        <v>0</v>
      </c>
      <c r="N1105">
        <v>0</v>
      </c>
      <c r="O1105">
        <v>0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0</v>
      </c>
      <c r="AK1105">
        <v>0</v>
      </c>
      <c r="AL1105">
        <v>0</v>
      </c>
      <c r="AM1105">
        <v>0</v>
      </c>
      <c r="AN1105" s="18" t="s">
        <v>52</v>
      </c>
      <c r="AO1105" s="18" t="s">
        <v>52</v>
      </c>
      <c r="AP1105" s="18" t="s">
        <v>52</v>
      </c>
      <c r="AQ1105" s="18" t="s">
        <v>52</v>
      </c>
      <c r="AR1105" s="29">
        <v>0</v>
      </c>
      <c r="AS1105" s="29">
        <v>0</v>
      </c>
      <c r="AT1105" s="29">
        <v>0</v>
      </c>
      <c r="AU1105" s="24" t="str">
        <f t="shared" si="18"/>
        <v>库存为0</v>
      </c>
      <c r="AV1105" s="31" t="str">
        <f>IFERROR(时间!$B$4+AU1105,"上周无销量")</f>
        <v>上周无销量</v>
      </c>
    </row>
    <row r="1106" spans="1:48">
      <c r="A1106" s="16" t="s">
        <v>2006</v>
      </c>
      <c r="B1106" t="s">
        <v>198</v>
      </c>
      <c r="C1106" t="s">
        <v>1977</v>
      </c>
      <c r="D1106" s="24">
        <v>0</v>
      </c>
      <c r="E1106" s="24">
        <v>0</v>
      </c>
      <c r="F1106" s="24">
        <v>0</v>
      </c>
      <c r="G1106" s="24">
        <v>0</v>
      </c>
      <c r="H1106" s="25">
        <v>0</v>
      </c>
      <c r="I1106">
        <v>0</v>
      </c>
      <c r="J1106" s="26">
        <v>0</v>
      </c>
      <c r="K1106" s="26">
        <v>0</v>
      </c>
      <c r="L1106" s="26">
        <v>0</v>
      </c>
      <c r="M1106">
        <v>0</v>
      </c>
      <c r="N1106">
        <v>0</v>
      </c>
      <c r="O1106">
        <v>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0</v>
      </c>
      <c r="AK1106">
        <v>0</v>
      </c>
      <c r="AL1106">
        <v>0</v>
      </c>
      <c r="AM1106">
        <v>0</v>
      </c>
      <c r="AN1106" s="18" t="s">
        <v>52</v>
      </c>
      <c r="AO1106" s="18" t="s">
        <v>52</v>
      </c>
      <c r="AP1106" s="18" t="s">
        <v>52</v>
      </c>
      <c r="AQ1106" s="18" t="s">
        <v>52</v>
      </c>
      <c r="AR1106" s="29">
        <v>0</v>
      </c>
      <c r="AS1106" s="29">
        <v>0</v>
      </c>
      <c r="AT1106" s="29">
        <v>0</v>
      </c>
      <c r="AU1106" s="24" t="str">
        <f t="shared" si="18"/>
        <v>库存为0</v>
      </c>
      <c r="AV1106" s="31" t="str">
        <f>IFERROR(时间!$B$4+AU1106,"上周无销量")</f>
        <v>上周无销量</v>
      </c>
    </row>
    <row r="1107" spans="1:48">
      <c r="A1107" s="16" t="s">
        <v>2007</v>
      </c>
      <c r="B1107" t="s">
        <v>200</v>
      </c>
      <c r="C1107" t="s">
        <v>1977</v>
      </c>
      <c r="D1107" s="24">
        <v>0</v>
      </c>
      <c r="E1107" s="24">
        <v>0</v>
      </c>
      <c r="F1107" s="24">
        <v>0</v>
      </c>
      <c r="G1107" s="24">
        <v>0</v>
      </c>
      <c r="H1107" s="25">
        <v>0</v>
      </c>
      <c r="I1107">
        <v>0</v>
      </c>
      <c r="J1107" s="26">
        <v>0</v>
      </c>
      <c r="K1107" s="26">
        <v>0</v>
      </c>
      <c r="L1107" s="26">
        <v>0</v>
      </c>
      <c r="M1107">
        <v>0</v>
      </c>
      <c r="N1107">
        <v>0</v>
      </c>
      <c r="O1107">
        <v>0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0</v>
      </c>
      <c r="AK1107">
        <v>0</v>
      </c>
      <c r="AL1107">
        <v>0</v>
      </c>
      <c r="AM1107">
        <v>0</v>
      </c>
      <c r="AN1107" s="18" t="s">
        <v>52</v>
      </c>
      <c r="AO1107" s="18" t="s">
        <v>52</v>
      </c>
      <c r="AP1107" s="18" t="s">
        <v>52</v>
      </c>
      <c r="AQ1107" s="18" t="s">
        <v>52</v>
      </c>
      <c r="AR1107" s="29">
        <v>0</v>
      </c>
      <c r="AS1107" s="29">
        <v>0</v>
      </c>
      <c r="AT1107" s="29">
        <v>0</v>
      </c>
      <c r="AU1107" s="24" t="str">
        <f t="shared" si="18"/>
        <v>库存为0</v>
      </c>
      <c r="AV1107" s="31" t="str">
        <f>IFERROR(时间!$B$4+AU1107,"上周无销量")</f>
        <v>上周无销量</v>
      </c>
    </row>
    <row r="1108" spans="1:48">
      <c r="A1108" s="16" t="s">
        <v>2008</v>
      </c>
      <c r="B1108" t="s">
        <v>202</v>
      </c>
      <c r="C1108" t="s">
        <v>1977</v>
      </c>
      <c r="D1108" s="24">
        <v>0</v>
      </c>
      <c r="E1108" s="24">
        <v>0</v>
      </c>
      <c r="F1108" s="24">
        <v>0</v>
      </c>
      <c r="G1108" s="24">
        <v>0</v>
      </c>
      <c r="H1108" s="25">
        <v>0</v>
      </c>
      <c r="I1108">
        <v>0</v>
      </c>
      <c r="J1108" s="26">
        <v>0</v>
      </c>
      <c r="K1108" s="26">
        <v>0</v>
      </c>
      <c r="L1108" s="26">
        <v>0</v>
      </c>
      <c r="M1108">
        <v>0</v>
      </c>
      <c r="N1108">
        <v>0</v>
      </c>
      <c r="O1108">
        <v>0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0</v>
      </c>
      <c r="AK1108">
        <v>0</v>
      </c>
      <c r="AL1108">
        <v>0</v>
      </c>
      <c r="AM1108">
        <v>0</v>
      </c>
      <c r="AN1108" s="18" t="s">
        <v>52</v>
      </c>
      <c r="AO1108" s="18" t="s">
        <v>52</v>
      </c>
      <c r="AP1108" s="18" t="s">
        <v>52</v>
      </c>
      <c r="AQ1108" s="18" t="s">
        <v>52</v>
      </c>
      <c r="AR1108" s="29">
        <v>0</v>
      </c>
      <c r="AS1108" s="29">
        <v>0</v>
      </c>
      <c r="AT1108" s="29">
        <v>0</v>
      </c>
      <c r="AU1108" s="24" t="str">
        <f t="shared" si="18"/>
        <v>库存为0</v>
      </c>
      <c r="AV1108" s="31" t="str">
        <f>IFERROR(时间!$B$4+AU1108,"上周无销量")</f>
        <v>上周无销量</v>
      </c>
    </row>
    <row r="1109" spans="1:48">
      <c r="A1109" s="16" t="s">
        <v>2009</v>
      </c>
      <c r="B1109" t="s">
        <v>204</v>
      </c>
      <c r="C1109" t="s">
        <v>1977</v>
      </c>
      <c r="D1109" s="24">
        <v>0</v>
      </c>
      <c r="E1109" s="24">
        <v>1</v>
      </c>
      <c r="F1109" s="24">
        <v>0</v>
      </c>
      <c r="G1109" s="24">
        <v>0</v>
      </c>
      <c r="H1109" s="25">
        <v>18.98</v>
      </c>
      <c r="I1109">
        <v>7</v>
      </c>
      <c r="J1109" s="26">
        <v>0</v>
      </c>
      <c r="K1109" s="26">
        <v>0</v>
      </c>
      <c r="L1109" s="26">
        <v>0</v>
      </c>
      <c r="M1109">
        <v>7</v>
      </c>
      <c r="N1109">
        <v>0</v>
      </c>
      <c r="O1109">
        <v>6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12</v>
      </c>
      <c r="AK1109">
        <v>12</v>
      </c>
      <c r="AL1109">
        <v>21</v>
      </c>
      <c r="AM1109">
        <v>13</v>
      </c>
      <c r="AN1109" s="18">
        <v>0</v>
      </c>
      <c r="AO1109" s="18">
        <v>0.0833333333333333</v>
      </c>
      <c r="AP1109" s="18">
        <v>0</v>
      </c>
      <c r="AQ1109" s="18">
        <v>0</v>
      </c>
      <c r="AR1109" s="29">
        <v>0</v>
      </c>
      <c r="AS1109" s="29">
        <v>0</v>
      </c>
      <c r="AT1109" s="29">
        <v>7</v>
      </c>
      <c r="AU1109" s="24" t="str">
        <f t="shared" si="18"/>
        <v>库存为7</v>
      </c>
      <c r="AV1109" s="31" t="str">
        <f>IFERROR(时间!$B$4+AU1109,"上周无销量")</f>
        <v>上周无销量</v>
      </c>
    </row>
    <row r="1110" spans="1:48">
      <c r="A1110" s="16" t="s">
        <v>2010</v>
      </c>
      <c r="B1110" t="s">
        <v>206</v>
      </c>
      <c r="C1110" t="s">
        <v>1977</v>
      </c>
      <c r="D1110" s="24">
        <v>0</v>
      </c>
      <c r="E1110" s="24">
        <v>0</v>
      </c>
      <c r="F1110" s="24">
        <v>0</v>
      </c>
      <c r="G1110" s="24">
        <v>0</v>
      </c>
      <c r="H1110" s="25">
        <v>0</v>
      </c>
      <c r="I1110">
        <v>5</v>
      </c>
      <c r="J1110" s="26">
        <v>0</v>
      </c>
      <c r="K1110" s="26">
        <v>0</v>
      </c>
      <c r="L1110" s="26">
        <v>0</v>
      </c>
      <c r="M1110">
        <v>5</v>
      </c>
      <c r="N1110">
        <v>0</v>
      </c>
      <c r="O1110">
        <v>0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0</v>
      </c>
      <c r="AK1110">
        <v>0</v>
      </c>
      <c r="AL1110">
        <v>0</v>
      </c>
      <c r="AM1110">
        <v>0</v>
      </c>
      <c r="AN1110" s="18" t="s">
        <v>52</v>
      </c>
      <c r="AO1110" s="18" t="s">
        <v>52</v>
      </c>
      <c r="AP1110" s="18" t="s">
        <v>52</v>
      </c>
      <c r="AQ1110" s="18" t="s">
        <v>52</v>
      </c>
      <c r="AR1110" s="29">
        <v>0</v>
      </c>
      <c r="AS1110" s="29">
        <v>0</v>
      </c>
      <c r="AT1110" s="29">
        <v>5</v>
      </c>
      <c r="AU1110" s="24" t="str">
        <f t="shared" si="18"/>
        <v>库存为5</v>
      </c>
      <c r="AV1110" s="31" t="str">
        <f>IFERROR(时间!$B$4+AU1110,"上周无销量")</f>
        <v>上周无销量</v>
      </c>
    </row>
    <row r="1111" spans="1:48">
      <c r="A1111" s="16" t="s">
        <v>2011</v>
      </c>
      <c r="B1111" t="s">
        <v>208</v>
      </c>
      <c r="C1111" t="s">
        <v>1977</v>
      </c>
      <c r="D1111" s="24">
        <v>0</v>
      </c>
      <c r="E1111" s="24">
        <v>1</v>
      </c>
      <c r="F1111" s="24">
        <v>0</v>
      </c>
      <c r="G1111" s="24">
        <v>0</v>
      </c>
      <c r="H1111" s="25">
        <v>14.98</v>
      </c>
      <c r="I1111">
        <v>30</v>
      </c>
      <c r="J1111" s="26">
        <v>0</v>
      </c>
      <c r="K1111" s="26">
        <v>0</v>
      </c>
      <c r="L1111" s="26">
        <v>0</v>
      </c>
      <c r="M1111">
        <v>30</v>
      </c>
      <c r="N1111">
        <v>0</v>
      </c>
      <c r="O1111">
        <v>30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10</v>
      </c>
      <c r="AK1111">
        <v>8</v>
      </c>
      <c r="AL1111">
        <v>4</v>
      </c>
      <c r="AM1111">
        <v>7</v>
      </c>
      <c r="AN1111" s="18">
        <v>0</v>
      </c>
      <c r="AO1111" s="18">
        <v>0.125</v>
      </c>
      <c r="AP1111" s="18">
        <v>0</v>
      </c>
      <c r="AQ1111" s="18">
        <v>0</v>
      </c>
      <c r="AR1111" s="29">
        <v>0</v>
      </c>
      <c r="AS1111" s="29">
        <v>0</v>
      </c>
      <c r="AT1111" s="29">
        <v>30</v>
      </c>
      <c r="AU1111" s="24" t="str">
        <f t="shared" si="18"/>
        <v>库存为30</v>
      </c>
      <c r="AV1111" s="31" t="str">
        <f>IFERROR(时间!$B$4+AU1111,"上周无销量")</f>
        <v>上周无销量</v>
      </c>
    </row>
    <row r="1112" spans="1:48">
      <c r="A1112" s="16" t="s">
        <v>2012</v>
      </c>
      <c r="B1112" t="s">
        <v>210</v>
      </c>
      <c r="C1112" t="s">
        <v>1977</v>
      </c>
      <c r="D1112" s="24">
        <v>2</v>
      </c>
      <c r="E1112" s="24">
        <v>3</v>
      </c>
      <c r="F1112" s="24">
        <v>2</v>
      </c>
      <c r="G1112" s="24">
        <v>1</v>
      </c>
      <c r="H1112" s="25">
        <v>18.98</v>
      </c>
      <c r="I1112">
        <v>23</v>
      </c>
      <c r="J1112" s="26">
        <v>0</v>
      </c>
      <c r="K1112" s="26">
        <v>0</v>
      </c>
      <c r="L1112" s="26">
        <v>0</v>
      </c>
      <c r="M1112">
        <v>23</v>
      </c>
      <c r="N1112">
        <v>0</v>
      </c>
      <c r="O1112">
        <v>22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11</v>
      </c>
      <c r="AK1112">
        <v>29</v>
      </c>
      <c r="AL1112">
        <v>33</v>
      </c>
      <c r="AM1112">
        <v>31</v>
      </c>
      <c r="AN1112" s="18">
        <v>0.181818181818182</v>
      </c>
      <c r="AO1112" s="18">
        <v>0.103448275862069</v>
      </c>
      <c r="AP1112" s="18">
        <v>0.0606060606060606</v>
      </c>
      <c r="AQ1112" s="18">
        <v>0.032258064516129</v>
      </c>
      <c r="AR1112" s="29">
        <v>0.285714285714286</v>
      </c>
      <c r="AS1112" s="29">
        <v>17.1428571428571</v>
      </c>
      <c r="AT1112" s="29">
        <v>5.85714285714286</v>
      </c>
      <c r="AU1112" s="24">
        <f t="shared" si="18"/>
        <v>80</v>
      </c>
      <c r="AV1112" s="31">
        <f>IFERROR(时间!$B$4+AU1112,"上周无销量")</f>
        <v>43398</v>
      </c>
    </row>
    <row r="1113" spans="1:48">
      <c r="A1113" s="16" t="s">
        <v>2013</v>
      </c>
      <c r="B1113" t="s">
        <v>1614</v>
      </c>
      <c r="C1113" t="s">
        <v>2014</v>
      </c>
      <c r="D1113" s="24">
        <v>0</v>
      </c>
      <c r="E1113" s="24">
        <v>0</v>
      </c>
      <c r="F1113" s="24">
        <v>0</v>
      </c>
      <c r="G1113" s="24">
        <v>0</v>
      </c>
      <c r="H1113" s="25">
        <v>0</v>
      </c>
      <c r="I1113">
        <v>0</v>
      </c>
      <c r="J1113" s="26">
        <v>0</v>
      </c>
      <c r="K1113" s="26">
        <v>0</v>
      </c>
      <c r="L1113" s="26">
        <v>0</v>
      </c>
      <c r="M1113">
        <v>0</v>
      </c>
      <c r="N1113">
        <v>0</v>
      </c>
      <c r="O1113">
        <v>0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0</v>
      </c>
      <c r="AK1113">
        <v>0</v>
      </c>
      <c r="AL1113">
        <v>0</v>
      </c>
      <c r="AM1113">
        <v>0</v>
      </c>
      <c r="AN1113" s="18" t="s">
        <v>52</v>
      </c>
      <c r="AO1113" s="18" t="s">
        <v>52</v>
      </c>
      <c r="AP1113" s="18" t="s">
        <v>52</v>
      </c>
      <c r="AQ1113" s="18" t="s">
        <v>52</v>
      </c>
      <c r="AR1113" s="29">
        <v>0</v>
      </c>
      <c r="AS1113" s="29">
        <v>0</v>
      </c>
      <c r="AT1113" s="29">
        <v>0</v>
      </c>
      <c r="AU1113" s="24" t="str">
        <f t="shared" si="18"/>
        <v>库存为0</v>
      </c>
      <c r="AV1113" s="31" t="str">
        <f>IFERROR(时间!$B$4+AU1113,"上周无销量")</f>
        <v>上周无销量</v>
      </c>
    </row>
    <row r="1114" spans="1:48">
      <c r="A1114" s="16" t="s">
        <v>2015</v>
      </c>
      <c r="B1114" t="s">
        <v>1617</v>
      </c>
      <c r="C1114" t="s">
        <v>2014</v>
      </c>
      <c r="D1114" s="24">
        <v>0</v>
      </c>
      <c r="E1114" s="24">
        <v>0</v>
      </c>
      <c r="F1114" s="24">
        <v>1</v>
      </c>
      <c r="G1114" s="24">
        <v>3</v>
      </c>
      <c r="H1114" s="25">
        <v>23.98</v>
      </c>
      <c r="I1114">
        <v>1</v>
      </c>
      <c r="J1114" s="26">
        <v>0</v>
      </c>
      <c r="K1114" s="26">
        <v>0</v>
      </c>
      <c r="L1114" s="26">
        <v>0</v>
      </c>
      <c r="M1114">
        <v>1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0</v>
      </c>
      <c r="AK1114">
        <v>0</v>
      </c>
      <c r="AL1114">
        <v>5</v>
      </c>
      <c r="AM1114">
        <v>16</v>
      </c>
      <c r="AN1114" s="18" t="s">
        <v>52</v>
      </c>
      <c r="AO1114" s="18" t="s">
        <v>52</v>
      </c>
      <c r="AP1114" s="18">
        <v>0.2</v>
      </c>
      <c r="AQ1114" s="18">
        <v>0.1875</v>
      </c>
      <c r="AR1114" s="29">
        <v>0</v>
      </c>
      <c r="AS1114" s="29">
        <v>0</v>
      </c>
      <c r="AT1114" s="29">
        <v>1</v>
      </c>
      <c r="AU1114" s="24" t="str">
        <f t="shared" si="18"/>
        <v>库存为1</v>
      </c>
      <c r="AV1114" s="31" t="str">
        <f>IFERROR(时间!$B$4+AU1114,"上周无销量")</f>
        <v>上周无销量</v>
      </c>
    </row>
    <row r="1115" spans="1:48">
      <c r="A1115" s="16" t="s">
        <v>2016</v>
      </c>
      <c r="B1115" t="s">
        <v>1619</v>
      </c>
      <c r="C1115" t="s">
        <v>2014</v>
      </c>
      <c r="D1115" s="24">
        <v>1</v>
      </c>
      <c r="E1115" s="24">
        <v>2</v>
      </c>
      <c r="F1115" s="24">
        <v>2</v>
      </c>
      <c r="G1115" s="24">
        <v>1</v>
      </c>
      <c r="H1115" s="25">
        <v>12.98</v>
      </c>
      <c r="I1115">
        <v>6</v>
      </c>
      <c r="J1115" s="26">
        <v>0</v>
      </c>
      <c r="K1115" s="26">
        <v>0</v>
      </c>
      <c r="L1115" s="26">
        <v>1</v>
      </c>
      <c r="M1115">
        <v>7</v>
      </c>
      <c r="N1115">
        <v>0</v>
      </c>
      <c r="O1115">
        <v>6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40</v>
      </c>
      <c r="AK1115">
        <v>51</v>
      </c>
      <c r="AL1115">
        <v>36</v>
      </c>
      <c r="AM1115">
        <v>25</v>
      </c>
      <c r="AN1115" s="18">
        <v>0.025</v>
      </c>
      <c r="AO1115" s="18">
        <v>0.0392156862745098</v>
      </c>
      <c r="AP1115" s="18">
        <v>0.0555555555555556</v>
      </c>
      <c r="AQ1115" s="18">
        <v>0.04</v>
      </c>
      <c r="AR1115" s="29">
        <v>0.142857142857143</v>
      </c>
      <c r="AS1115" s="29">
        <v>8.57142857142857</v>
      </c>
      <c r="AT1115" s="29">
        <v>-1.57142857142857</v>
      </c>
      <c r="AU1115" s="24">
        <f t="shared" si="18"/>
        <v>49</v>
      </c>
      <c r="AV1115" s="31">
        <f>IFERROR(时间!$B$4+AU1115,"上周无销量")</f>
        <v>43367</v>
      </c>
    </row>
    <row r="1116" spans="1:48">
      <c r="A1116" s="16" t="s">
        <v>2017</v>
      </c>
      <c r="B1116" t="s">
        <v>1623</v>
      </c>
      <c r="C1116" t="s">
        <v>2014</v>
      </c>
      <c r="D1116" s="24">
        <v>1</v>
      </c>
      <c r="E1116" s="24">
        <v>2</v>
      </c>
      <c r="F1116" s="24">
        <v>2</v>
      </c>
      <c r="G1116" s="24">
        <v>0</v>
      </c>
      <c r="H1116" s="25">
        <v>22.98</v>
      </c>
      <c r="I1116">
        <v>0</v>
      </c>
      <c r="J1116" s="26">
        <v>0</v>
      </c>
      <c r="K1116" s="26">
        <v>0</v>
      </c>
      <c r="L1116" s="26">
        <v>0</v>
      </c>
      <c r="M1116">
        <v>0</v>
      </c>
      <c r="N1116">
        <v>0</v>
      </c>
      <c r="O1116">
        <v>0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9</v>
      </c>
      <c r="AK1116">
        <v>10</v>
      </c>
      <c r="AL1116">
        <v>20</v>
      </c>
      <c r="AM1116">
        <v>3</v>
      </c>
      <c r="AN1116" s="18">
        <v>0.111111111111111</v>
      </c>
      <c r="AO1116" s="18">
        <v>0.2</v>
      </c>
      <c r="AP1116" s="18">
        <v>0.1</v>
      </c>
      <c r="AQ1116" s="18">
        <v>0</v>
      </c>
      <c r="AR1116" s="29">
        <v>0.142857142857143</v>
      </c>
      <c r="AS1116" s="29">
        <v>8.57142857142857</v>
      </c>
      <c r="AT1116" s="29">
        <v>-8.57142857142857</v>
      </c>
      <c r="AU1116" s="24">
        <f t="shared" si="18"/>
        <v>0</v>
      </c>
      <c r="AV1116" s="31">
        <f>IFERROR(时间!$B$4+AU1116,"上周无销量")</f>
        <v>43318</v>
      </c>
    </row>
    <row r="1117" spans="1:48">
      <c r="A1117" s="16" t="s">
        <v>2018</v>
      </c>
      <c r="B1117" t="s">
        <v>1625</v>
      </c>
      <c r="C1117" t="s">
        <v>2014</v>
      </c>
      <c r="D1117" s="24">
        <v>2</v>
      </c>
      <c r="E1117" s="24">
        <v>2</v>
      </c>
      <c r="F1117" s="24">
        <v>2</v>
      </c>
      <c r="G1117" s="24">
        <v>0</v>
      </c>
      <c r="H1117" s="25">
        <v>23.98</v>
      </c>
      <c r="I1117">
        <v>9</v>
      </c>
      <c r="J1117" s="26">
        <v>0</v>
      </c>
      <c r="K1117" s="26">
        <v>0</v>
      </c>
      <c r="L1117" s="26">
        <v>0</v>
      </c>
      <c r="M1117">
        <v>9</v>
      </c>
      <c r="N1117">
        <v>0</v>
      </c>
      <c r="O1117">
        <v>9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11</v>
      </c>
      <c r="AK1117">
        <v>15</v>
      </c>
      <c r="AL1117">
        <v>4</v>
      </c>
      <c r="AM1117">
        <v>12</v>
      </c>
      <c r="AN1117" s="18">
        <v>0.181818181818182</v>
      </c>
      <c r="AO1117" s="18">
        <v>0.133333333333333</v>
      </c>
      <c r="AP1117" s="18">
        <v>0.5</v>
      </c>
      <c r="AQ1117" s="18">
        <v>0</v>
      </c>
      <c r="AR1117" s="29">
        <v>0.285714285714286</v>
      </c>
      <c r="AS1117" s="29">
        <v>17.1428571428571</v>
      </c>
      <c r="AT1117" s="29">
        <v>-8.14285714285714</v>
      </c>
      <c r="AU1117" s="24">
        <f t="shared" si="18"/>
        <v>31</v>
      </c>
      <c r="AV1117" s="31">
        <f>IFERROR(时间!$B$4+AU1117,"上周无销量")</f>
        <v>43349</v>
      </c>
    </row>
    <row r="1118" spans="1:48">
      <c r="A1118" s="16" t="s">
        <v>2019</v>
      </c>
      <c r="B1118" t="s">
        <v>1627</v>
      </c>
      <c r="C1118" t="s">
        <v>2014</v>
      </c>
      <c r="D1118" s="24">
        <v>1</v>
      </c>
      <c r="E1118" s="24">
        <v>1</v>
      </c>
      <c r="F1118" s="24">
        <v>3</v>
      </c>
      <c r="G1118" s="24">
        <v>0</v>
      </c>
      <c r="H1118" s="25">
        <v>23.98</v>
      </c>
      <c r="I1118">
        <v>28</v>
      </c>
      <c r="J1118" s="26">
        <v>0</v>
      </c>
      <c r="K1118" s="26">
        <v>0</v>
      </c>
      <c r="L1118" s="26">
        <v>0</v>
      </c>
      <c r="M1118">
        <v>28</v>
      </c>
      <c r="N1118">
        <v>0</v>
      </c>
      <c r="O1118">
        <v>24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14</v>
      </c>
      <c r="AK1118">
        <v>24</v>
      </c>
      <c r="AL1118">
        <v>30</v>
      </c>
      <c r="AM1118">
        <v>18</v>
      </c>
      <c r="AN1118" s="18">
        <v>0.0714285714285714</v>
      </c>
      <c r="AO1118" s="18">
        <v>0.0416666666666667</v>
      </c>
      <c r="AP1118" s="18">
        <v>0.1</v>
      </c>
      <c r="AQ1118" s="18">
        <v>0</v>
      </c>
      <c r="AR1118" s="29">
        <v>0.142857142857143</v>
      </c>
      <c r="AS1118" s="29">
        <v>8.57142857142857</v>
      </c>
      <c r="AT1118" s="29">
        <v>19.4285714285714</v>
      </c>
      <c r="AU1118" s="24">
        <f t="shared" si="18"/>
        <v>196</v>
      </c>
      <c r="AV1118" s="31">
        <f>IFERROR(时间!$B$4+AU1118,"上周无销量")</f>
        <v>43514</v>
      </c>
    </row>
    <row r="1119" spans="1:48">
      <c r="A1119" s="16" t="s">
        <v>2020</v>
      </c>
      <c r="B1119" t="s">
        <v>1629</v>
      </c>
      <c r="C1119" t="s">
        <v>2014</v>
      </c>
      <c r="D1119" s="24">
        <v>1</v>
      </c>
      <c r="E1119" s="24">
        <v>1</v>
      </c>
      <c r="F1119" s="24">
        <v>0</v>
      </c>
      <c r="G1119" s="24">
        <v>0</v>
      </c>
      <c r="H1119" s="25">
        <v>23.98</v>
      </c>
      <c r="I1119">
        <v>11</v>
      </c>
      <c r="J1119" s="26">
        <v>0</v>
      </c>
      <c r="K1119" s="26">
        <v>0</v>
      </c>
      <c r="L1119" s="26">
        <v>0</v>
      </c>
      <c r="M1119">
        <v>11</v>
      </c>
      <c r="N1119">
        <v>0</v>
      </c>
      <c r="O1119">
        <v>10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12</v>
      </c>
      <c r="AK1119">
        <v>9</v>
      </c>
      <c r="AL1119">
        <v>12</v>
      </c>
      <c r="AM1119">
        <v>11</v>
      </c>
      <c r="AN1119" s="18">
        <v>0.0833333333333333</v>
      </c>
      <c r="AO1119" s="18">
        <v>0.111111111111111</v>
      </c>
      <c r="AP1119" s="18">
        <v>0</v>
      </c>
      <c r="AQ1119" s="18">
        <v>0</v>
      </c>
      <c r="AR1119" s="29">
        <v>0.142857142857143</v>
      </c>
      <c r="AS1119" s="29">
        <v>8.57142857142857</v>
      </c>
      <c r="AT1119" s="29">
        <v>2.42857142857143</v>
      </c>
      <c r="AU1119" s="24">
        <f t="shared" si="18"/>
        <v>77</v>
      </c>
      <c r="AV1119" s="31">
        <f>IFERROR(时间!$B$4+AU1119,"上周无销量")</f>
        <v>43395</v>
      </c>
    </row>
    <row r="1120" spans="1:48">
      <c r="A1120" s="16" t="s">
        <v>2021</v>
      </c>
      <c r="B1120" t="s">
        <v>1631</v>
      </c>
      <c r="C1120" t="s">
        <v>2014</v>
      </c>
      <c r="D1120" s="24">
        <v>0</v>
      </c>
      <c r="E1120" s="24">
        <v>1</v>
      </c>
      <c r="F1120" s="24">
        <v>0</v>
      </c>
      <c r="G1120" s="24">
        <v>0</v>
      </c>
      <c r="H1120" s="25">
        <v>23.98</v>
      </c>
      <c r="I1120">
        <v>20</v>
      </c>
      <c r="J1120" s="26">
        <v>0</v>
      </c>
      <c r="K1120" s="26">
        <v>0</v>
      </c>
      <c r="L1120" s="26">
        <v>0</v>
      </c>
      <c r="M1120">
        <v>20</v>
      </c>
      <c r="N1120">
        <v>0</v>
      </c>
      <c r="O1120">
        <v>18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5</v>
      </c>
      <c r="AK1120">
        <v>4</v>
      </c>
      <c r="AL1120">
        <v>6</v>
      </c>
      <c r="AM1120">
        <v>14</v>
      </c>
      <c r="AN1120" s="18">
        <v>0</v>
      </c>
      <c r="AO1120" s="18">
        <v>0.25</v>
      </c>
      <c r="AP1120" s="18">
        <v>0</v>
      </c>
      <c r="AQ1120" s="18">
        <v>0</v>
      </c>
      <c r="AR1120" s="29">
        <v>0</v>
      </c>
      <c r="AS1120" s="29">
        <v>0</v>
      </c>
      <c r="AT1120" s="29">
        <v>20</v>
      </c>
      <c r="AU1120" s="24" t="str">
        <f t="shared" si="18"/>
        <v>库存为20</v>
      </c>
      <c r="AV1120" s="31" t="str">
        <f>IFERROR(时间!$B$4+AU1120,"上周无销量")</f>
        <v>上周无销量</v>
      </c>
    </row>
    <row r="1121" spans="1:48">
      <c r="A1121" s="16" t="s">
        <v>2022</v>
      </c>
      <c r="B1121" t="s">
        <v>1633</v>
      </c>
      <c r="C1121" t="s">
        <v>2014</v>
      </c>
      <c r="D1121" s="24">
        <v>0</v>
      </c>
      <c r="E1121" s="24">
        <v>1</v>
      </c>
      <c r="F1121" s="24">
        <v>1</v>
      </c>
      <c r="G1121" s="24">
        <v>1</v>
      </c>
      <c r="H1121" s="25">
        <v>23.98</v>
      </c>
      <c r="I1121">
        <v>28</v>
      </c>
      <c r="J1121" s="26">
        <v>0</v>
      </c>
      <c r="K1121" s="26">
        <v>0</v>
      </c>
      <c r="L1121" s="26">
        <v>0</v>
      </c>
      <c r="M1121">
        <v>28</v>
      </c>
      <c r="N1121">
        <v>1</v>
      </c>
      <c r="O1121">
        <v>24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7</v>
      </c>
      <c r="AK1121">
        <v>7</v>
      </c>
      <c r="AL1121">
        <v>9</v>
      </c>
      <c r="AM1121">
        <v>8</v>
      </c>
      <c r="AN1121" s="18">
        <v>0</v>
      </c>
      <c r="AO1121" s="18">
        <v>0.142857142857143</v>
      </c>
      <c r="AP1121" s="18">
        <v>0.111111111111111</v>
      </c>
      <c r="AQ1121" s="18">
        <v>0.125</v>
      </c>
      <c r="AR1121" s="29">
        <v>0</v>
      </c>
      <c r="AS1121" s="29">
        <v>0</v>
      </c>
      <c r="AT1121" s="29">
        <v>28</v>
      </c>
      <c r="AU1121" s="24" t="str">
        <f t="shared" si="18"/>
        <v>库存为28</v>
      </c>
      <c r="AV1121" s="31" t="str">
        <f>IFERROR(时间!$B$4+AU1121,"上周无销量")</f>
        <v>上周无销量</v>
      </c>
    </row>
    <row r="1122" spans="1:48">
      <c r="A1122" s="16" t="s">
        <v>2023</v>
      </c>
      <c r="B1122" t="s">
        <v>1637</v>
      </c>
      <c r="C1122" t="s">
        <v>2014</v>
      </c>
      <c r="D1122" s="24">
        <v>7</v>
      </c>
      <c r="E1122" s="24">
        <v>4</v>
      </c>
      <c r="F1122" s="24">
        <v>3</v>
      </c>
      <c r="G1122" s="24">
        <v>3</v>
      </c>
      <c r="H1122" s="25">
        <v>22.98</v>
      </c>
      <c r="I1122">
        <v>39</v>
      </c>
      <c r="J1122" s="26">
        <v>0</v>
      </c>
      <c r="K1122" s="26">
        <v>0</v>
      </c>
      <c r="L1122" s="26">
        <v>0</v>
      </c>
      <c r="M1122">
        <v>39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31</v>
      </c>
      <c r="AK1122">
        <v>24</v>
      </c>
      <c r="AL1122">
        <v>22</v>
      </c>
      <c r="AM1122">
        <v>20</v>
      </c>
      <c r="AN1122" s="18">
        <v>0.225806451612903</v>
      </c>
      <c r="AO1122" s="18">
        <v>0.166666666666667</v>
      </c>
      <c r="AP1122" s="18">
        <v>0.136363636363636</v>
      </c>
      <c r="AQ1122" s="18">
        <v>0.15</v>
      </c>
      <c r="AR1122" s="29">
        <v>1</v>
      </c>
      <c r="AS1122" s="29">
        <v>60</v>
      </c>
      <c r="AT1122" s="29">
        <v>-21</v>
      </c>
      <c r="AU1122" s="24">
        <f t="shared" si="18"/>
        <v>39</v>
      </c>
      <c r="AV1122" s="31">
        <f>IFERROR(时间!$B$4+AU1122,"上周无销量")</f>
        <v>43357</v>
      </c>
    </row>
    <row r="1123" spans="1:48">
      <c r="A1123" s="16" t="s">
        <v>2024</v>
      </c>
      <c r="B1123" t="s">
        <v>2025</v>
      </c>
      <c r="C1123" t="s">
        <v>2014</v>
      </c>
      <c r="D1123" s="24">
        <v>0</v>
      </c>
      <c r="E1123" s="24">
        <v>0</v>
      </c>
      <c r="F1123" s="24">
        <v>0</v>
      </c>
      <c r="G1123" s="24">
        <v>0</v>
      </c>
      <c r="H1123" s="25">
        <v>0</v>
      </c>
      <c r="I1123">
        <v>1</v>
      </c>
      <c r="J1123" s="26">
        <v>0</v>
      </c>
      <c r="K1123" s="26">
        <v>0</v>
      </c>
      <c r="L1123" s="26">
        <v>0</v>
      </c>
      <c r="M1123">
        <v>1</v>
      </c>
      <c r="N1123">
        <v>0</v>
      </c>
      <c r="O1123">
        <v>1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0</v>
      </c>
      <c r="AK1123">
        <v>0</v>
      </c>
      <c r="AL1123">
        <v>0</v>
      </c>
      <c r="AM1123">
        <v>0</v>
      </c>
      <c r="AN1123" s="18" t="s">
        <v>52</v>
      </c>
      <c r="AO1123" s="18" t="s">
        <v>52</v>
      </c>
      <c r="AP1123" s="18" t="s">
        <v>52</v>
      </c>
      <c r="AQ1123" s="18" t="s">
        <v>52</v>
      </c>
      <c r="AR1123" s="29">
        <v>0</v>
      </c>
      <c r="AS1123" s="29">
        <v>0</v>
      </c>
      <c r="AT1123" s="29">
        <v>1</v>
      </c>
      <c r="AU1123" s="24" t="str">
        <f t="shared" si="18"/>
        <v>库存为1</v>
      </c>
      <c r="AV1123" s="31" t="str">
        <f>IFERROR(时间!$B$4+AU1123,"上周无销量")</f>
        <v>上周无销量</v>
      </c>
    </row>
    <row r="1124" spans="1:48">
      <c r="A1124" s="16" t="s">
        <v>2026</v>
      </c>
      <c r="B1124" t="s">
        <v>1637</v>
      </c>
      <c r="C1124" t="s">
        <v>2014</v>
      </c>
      <c r="D1124" s="24">
        <v>0</v>
      </c>
      <c r="E1124" s="24">
        <v>0</v>
      </c>
      <c r="F1124" s="24">
        <v>0</v>
      </c>
      <c r="G1124" s="24">
        <v>0</v>
      </c>
      <c r="H1124" s="25">
        <v>0</v>
      </c>
      <c r="I1124">
        <v>39</v>
      </c>
      <c r="J1124" s="26">
        <v>0</v>
      </c>
      <c r="K1124" s="26">
        <v>0</v>
      </c>
      <c r="L1124" s="26">
        <v>0</v>
      </c>
      <c r="M1124">
        <v>39</v>
      </c>
      <c r="N1124">
        <v>0</v>
      </c>
      <c r="O1124">
        <v>0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31</v>
      </c>
      <c r="AK1124">
        <v>24</v>
      </c>
      <c r="AL1124">
        <v>22</v>
      </c>
      <c r="AM1124">
        <v>20</v>
      </c>
      <c r="AN1124" s="18">
        <v>0</v>
      </c>
      <c r="AO1124" s="18">
        <v>0</v>
      </c>
      <c r="AP1124" s="18">
        <v>0</v>
      </c>
      <c r="AQ1124" s="18">
        <v>0</v>
      </c>
      <c r="AR1124" s="29">
        <v>0</v>
      </c>
      <c r="AS1124" s="29">
        <v>0</v>
      </c>
      <c r="AT1124" s="29">
        <v>39</v>
      </c>
      <c r="AU1124" s="24" t="str">
        <f t="shared" si="18"/>
        <v>库存为39</v>
      </c>
      <c r="AV1124" s="31" t="str">
        <f>IFERROR(时间!$B$4+AU1124,"上周无销量")</f>
        <v>上周无销量</v>
      </c>
    </row>
    <row r="1125" spans="1:48">
      <c r="A1125" s="16" t="s">
        <v>2027</v>
      </c>
      <c r="B1125" t="s">
        <v>1639</v>
      </c>
      <c r="C1125" t="s">
        <v>2014</v>
      </c>
      <c r="D1125" s="24">
        <v>1</v>
      </c>
      <c r="E1125" s="24">
        <v>0</v>
      </c>
      <c r="F1125" s="24">
        <v>1</v>
      </c>
      <c r="G1125" s="24">
        <v>2</v>
      </c>
      <c r="H1125" s="25">
        <v>23.98</v>
      </c>
      <c r="I1125">
        <v>10</v>
      </c>
      <c r="J1125" s="26">
        <v>0</v>
      </c>
      <c r="K1125" s="26">
        <v>0</v>
      </c>
      <c r="L1125" s="26">
        <v>1</v>
      </c>
      <c r="M1125">
        <v>11</v>
      </c>
      <c r="N1125">
        <v>0</v>
      </c>
      <c r="O1125">
        <v>10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14</v>
      </c>
      <c r="AK1125">
        <v>16</v>
      </c>
      <c r="AL1125">
        <v>4</v>
      </c>
      <c r="AM1125">
        <v>12</v>
      </c>
      <c r="AN1125" s="18">
        <v>0.0714285714285714</v>
      </c>
      <c r="AO1125" s="18">
        <v>0</v>
      </c>
      <c r="AP1125" s="18">
        <v>0.25</v>
      </c>
      <c r="AQ1125" s="18">
        <v>0.166666666666667</v>
      </c>
      <c r="AR1125" s="29">
        <v>0.142857142857143</v>
      </c>
      <c r="AS1125" s="29">
        <v>8.57142857142857</v>
      </c>
      <c r="AT1125" s="29">
        <v>2.42857142857143</v>
      </c>
      <c r="AU1125" s="24">
        <f t="shared" si="18"/>
        <v>77</v>
      </c>
      <c r="AV1125" s="31">
        <f>IFERROR(时间!$B$4+AU1125,"上周无销量")</f>
        <v>43395</v>
      </c>
    </row>
    <row r="1126" spans="1:48">
      <c r="A1126" s="16" t="s">
        <v>2028</v>
      </c>
      <c r="B1126" t="s">
        <v>1641</v>
      </c>
      <c r="C1126" t="s">
        <v>2014</v>
      </c>
      <c r="D1126" s="24">
        <v>0</v>
      </c>
      <c r="E1126" s="24">
        <v>0</v>
      </c>
      <c r="F1126" s="24">
        <v>0</v>
      </c>
      <c r="G1126" s="24">
        <v>0</v>
      </c>
      <c r="H1126" s="25">
        <v>0</v>
      </c>
      <c r="I1126">
        <v>0</v>
      </c>
      <c r="J1126" s="26">
        <v>0</v>
      </c>
      <c r="K1126" s="26">
        <v>0</v>
      </c>
      <c r="L1126" s="26">
        <v>0</v>
      </c>
      <c r="M1126">
        <v>0</v>
      </c>
      <c r="N1126">
        <v>0</v>
      </c>
      <c r="O1126">
        <v>0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0</v>
      </c>
      <c r="AK1126">
        <v>0</v>
      </c>
      <c r="AL1126">
        <v>0</v>
      </c>
      <c r="AM1126">
        <v>0</v>
      </c>
      <c r="AN1126" s="18" t="s">
        <v>52</v>
      </c>
      <c r="AO1126" s="18" t="s">
        <v>52</v>
      </c>
      <c r="AP1126" s="18" t="s">
        <v>52</v>
      </c>
      <c r="AQ1126" s="18" t="s">
        <v>52</v>
      </c>
      <c r="AR1126" s="29">
        <v>0</v>
      </c>
      <c r="AS1126" s="29">
        <v>0</v>
      </c>
      <c r="AT1126" s="29">
        <v>0</v>
      </c>
      <c r="AU1126" s="24" t="str">
        <f t="shared" si="18"/>
        <v>库存为0</v>
      </c>
      <c r="AV1126" s="31" t="str">
        <f>IFERROR(时间!$B$4+AU1126,"上周无销量")</f>
        <v>上周无销量</v>
      </c>
    </row>
    <row r="1127" spans="1:48">
      <c r="A1127" s="16" t="s">
        <v>2029</v>
      </c>
      <c r="B1127" t="s">
        <v>1643</v>
      </c>
      <c r="C1127" t="s">
        <v>2014</v>
      </c>
      <c r="D1127" s="24">
        <v>0</v>
      </c>
      <c r="E1127" s="24">
        <v>0</v>
      </c>
      <c r="F1127" s="24">
        <v>0</v>
      </c>
      <c r="G1127" s="24">
        <v>0</v>
      </c>
      <c r="H1127" s="25">
        <v>0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0</v>
      </c>
      <c r="AK1127">
        <v>0</v>
      </c>
      <c r="AL1127">
        <v>0</v>
      </c>
      <c r="AM1127">
        <v>0</v>
      </c>
      <c r="AN1127" s="18" t="s">
        <v>52</v>
      </c>
      <c r="AO1127" s="18" t="s">
        <v>52</v>
      </c>
      <c r="AP1127" s="18" t="s">
        <v>52</v>
      </c>
      <c r="AQ1127" s="18" t="s">
        <v>52</v>
      </c>
      <c r="AR1127" s="29">
        <v>0</v>
      </c>
      <c r="AS1127" s="29">
        <v>0</v>
      </c>
      <c r="AT1127" s="29">
        <v>0</v>
      </c>
      <c r="AU1127" s="24" t="str">
        <f t="shared" si="18"/>
        <v>库存为0</v>
      </c>
      <c r="AV1127" s="31" t="str">
        <f>IFERROR(时间!$B$4+AU1127,"上周无销量")</f>
        <v>上周无销量</v>
      </c>
    </row>
    <row r="1128" spans="1:48">
      <c r="A1128" s="16" t="s">
        <v>2030</v>
      </c>
      <c r="B1128" t="s">
        <v>1645</v>
      </c>
      <c r="C1128" t="s">
        <v>2014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0</v>
      </c>
      <c r="J1128" s="26">
        <v>0</v>
      </c>
      <c r="K1128" s="26">
        <v>0</v>
      </c>
      <c r="L1128" s="26">
        <v>0</v>
      </c>
      <c r="M1128">
        <v>0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0</v>
      </c>
      <c r="AK1128">
        <v>0</v>
      </c>
      <c r="AL1128">
        <v>0</v>
      </c>
      <c r="AM1128">
        <v>0</v>
      </c>
      <c r="AN1128" s="18" t="s">
        <v>52</v>
      </c>
      <c r="AO1128" s="18" t="s">
        <v>52</v>
      </c>
      <c r="AP1128" s="18" t="s">
        <v>52</v>
      </c>
      <c r="AQ1128" s="18" t="s">
        <v>52</v>
      </c>
      <c r="AR1128" s="29">
        <v>0</v>
      </c>
      <c r="AS1128" s="29">
        <v>0</v>
      </c>
      <c r="AT1128" s="29">
        <v>0</v>
      </c>
      <c r="AU1128" s="24" t="str">
        <f t="shared" si="18"/>
        <v>库存为0</v>
      </c>
      <c r="AV1128" s="31" t="str">
        <f>IFERROR(时间!$B$4+AU1128,"上周无销量")</f>
        <v>上周无销量</v>
      </c>
    </row>
    <row r="1129" spans="1:48">
      <c r="A1129" s="16" t="s">
        <v>2031</v>
      </c>
      <c r="B1129" t="s">
        <v>1647</v>
      </c>
      <c r="C1129" t="s">
        <v>2014</v>
      </c>
      <c r="D1129" s="24">
        <v>2</v>
      </c>
      <c r="E1129" s="24">
        <v>0</v>
      </c>
      <c r="F1129" s="24">
        <v>1</v>
      </c>
      <c r="G1129" s="24">
        <v>1</v>
      </c>
      <c r="H1129" s="25">
        <v>23.98</v>
      </c>
      <c r="I1129">
        <v>17</v>
      </c>
      <c r="J1129" s="26">
        <v>0</v>
      </c>
      <c r="K1129" s="26">
        <v>0</v>
      </c>
      <c r="L1129" s="26">
        <v>0</v>
      </c>
      <c r="M1129">
        <v>17</v>
      </c>
      <c r="N1129">
        <v>0</v>
      </c>
      <c r="O1129">
        <v>15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10</v>
      </c>
      <c r="AK1129">
        <v>10</v>
      </c>
      <c r="AL1129">
        <v>11</v>
      </c>
      <c r="AM1129">
        <v>9</v>
      </c>
      <c r="AN1129" s="18">
        <v>0.2</v>
      </c>
      <c r="AO1129" s="18">
        <v>0</v>
      </c>
      <c r="AP1129" s="18">
        <v>0.0909090909090909</v>
      </c>
      <c r="AQ1129" s="18">
        <v>0.111111111111111</v>
      </c>
      <c r="AR1129" s="29">
        <v>0.285714285714286</v>
      </c>
      <c r="AS1129" s="29">
        <v>17.1428571428571</v>
      </c>
      <c r="AT1129" s="29">
        <v>-0.142857142857142</v>
      </c>
      <c r="AU1129" s="24">
        <f t="shared" si="18"/>
        <v>59</v>
      </c>
      <c r="AV1129" s="31">
        <f>IFERROR(时间!$B$4+AU1129,"上周无销量")</f>
        <v>43377</v>
      </c>
    </row>
    <row r="1130" spans="1:48">
      <c r="A1130" s="16" t="s">
        <v>2032</v>
      </c>
      <c r="B1130" t="s">
        <v>1649</v>
      </c>
      <c r="C1130" t="s">
        <v>2014</v>
      </c>
      <c r="D1130" s="24">
        <v>1</v>
      </c>
      <c r="E1130" s="24">
        <v>0</v>
      </c>
      <c r="F1130" s="24">
        <v>1</v>
      </c>
      <c r="G1130" s="24">
        <v>1</v>
      </c>
      <c r="H1130" s="25">
        <v>23.98</v>
      </c>
      <c r="I1130">
        <v>0</v>
      </c>
      <c r="J1130" s="26">
        <v>0</v>
      </c>
      <c r="K1130" s="26">
        <v>0</v>
      </c>
      <c r="L1130" s="26">
        <v>0</v>
      </c>
      <c r="M1130">
        <v>0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7</v>
      </c>
      <c r="AK1130">
        <v>7</v>
      </c>
      <c r="AL1130">
        <v>8</v>
      </c>
      <c r="AM1130">
        <v>14</v>
      </c>
      <c r="AN1130" s="18">
        <v>0.142857142857143</v>
      </c>
      <c r="AO1130" s="18">
        <v>0</v>
      </c>
      <c r="AP1130" s="18">
        <v>0.125</v>
      </c>
      <c r="AQ1130" s="18">
        <v>0.0714285714285714</v>
      </c>
      <c r="AR1130" s="29">
        <v>0.142857142857143</v>
      </c>
      <c r="AS1130" s="29">
        <v>8.57142857142857</v>
      </c>
      <c r="AT1130" s="29">
        <v>-8.57142857142857</v>
      </c>
      <c r="AU1130" s="24">
        <f t="shared" si="18"/>
        <v>0</v>
      </c>
      <c r="AV1130" s="31">
        <f>IFERROR(时间!$B$4+AU1130,"上周无销量")</f>
        <v>43318</v>
      </c>
    </row>
    <row r="1131" spans="1:48">
      <c r="A1131" s="16" t="s">
        <v>2033</v>
      </c>
      <c r="B1131" t="s">
        <v>1651</v>
      </c>
      <c r="C1131" t="s">
        <v>2014</v>
      </c>
      <c r="D1131" s="24">
        <v>0</v>
      </c>
      <c r="E1131" s="24">
        <v>1</v>
      </c>
      <c r="F1131" s="24">
        <v>3</v>
      </c>
      <c r="G1131" s="24">
        <v>0</v>
      </c>
      <c r="H1131" s="25">
        <v>23.98</v>
      </c>
      <c r="I1131">
        <v>25</v>
      </c>
      <c r="J1131" s="26">
        <v>0</v>
      </c>
      <c r="K1131" s="26">
        <v>0</v>
      </c>
      <c r="L1131" s="26">
        <v>0</v>
      </c>
      <c r="M1131">
        <v>25</v>
      </c>
      <c r="N1131">
        <v>0</v>
      </c>
      <c r="O1131">
        <v>23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2</v>
      </c>
      <c r="AK1131">
        <v>7</v>
      </c>
      <c r="AL1131">
        <v>5</v>
      </c>
      <c r="AM1131">
        <v>3</v>
      </c>
      <c r="AN1131" s="18">
        <v>0</v>
      </c>
      <c r="AO1131" s="18">
        <v>0.142857142857143</v>
      </c>
      <c r="AP1131" s="18">
        <v>0.6</v>
      </c>
      <c r="AQ1131" s="18">
        <v>0</v>
      </c>
      <c r="AR1131" s="29">
        <v>0</v>
      </c>
      <c r="AS1131" s="29">
        <v>0</v>
      </c>
      <c r="AT1131" s="29">
        <v>25</v>
      </c>
      <c r="AU1131" s="24" t="str">
        <f t="shared" si="18"/>
        <v>库存为25</v>
      </c>
      <c r="AV1131" s="31" t="str">
        <f>IFERROR(时间!$B$4+AU1131,"上周无销量")</f>
        <v>上周无销量</v>
      </c>
    </row>
    <row r="1132" spans="1:48">
      <c r="A1132" s="16" t="s">
        <v>2034</v>
      </c>
      <c r="B1132" t="s">
        <v>1653</v>
      </c>
      <c r="C1132" t="s">
        <v>2014</v>
      </c>
      <c r="D1132" s="24">
        <v>1</v>
      </c>
      <c r="E1132" s="24">
        <v>1</v>
      </c>
      <c r="F1132" s="24">
        <v>0</v>
      </c>
      <c r="G1132" s="24">
        <v>0</v>
      </c>
      <c r="H1132" s="25">
        <v>23.98</v>
      </c>
      <c r="I1132">
        <v>23</v>
      </c>
      <c r="J1132" s="26">
        <v>0</v>
      </c>
      <c r="K1132" s="26">
        <v>0</v>
      </c>
      <c r="L1132" s="26">
        <v>0</v>
      </c>
      <c r="M1132">
        <v>23</v>
      </c>
      <c r="N1132">
        <v>0</v>
      </c>
      <c r="O1132">
        <v>23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10</v>
      </c>
      <c r="AK1132">
        <v>7</v>
      </c>
      <c r="AL1132">
        <v>7</v>
      </c>
      <c r="AM1132">
        <v>5</v>
      </c>
      <c r="AN1132" s="18">
        <v>0.1</v>
      </c>
      <c r="AO1132" s="18">
        <v>0.142857142857143</v>
      </c>
      <c r="AP1132" s="18">
        <v>0</v>
      </c>
      <c r="AQ1132" s="18">
        <v>0</v>
      </c>
      <c r="AR1132" s="29">
        <v>0.142857142857143</v>
      </c>
      <c r="AS1132" s="29">
        <v>8.57142857142857</v>
      </c>
      <c r="AT1132" s="29">
        <v>14.4285714285714</v>
      </c>
      <c r="AU1132" s="24">
        <f t="shared" si="18"/>
        <v>161</v>
      </c>
      <c r="AV1132" s="31">
        <f>IFERROR(时间!$B$4+AU1132,"上周无销量")</f>
        <v>43479</v>
      </c>
    </row>
    <row r="1133" spans="1:48">
      <c r="A1133" s="16" t="s">
        <v>2035</v>
      </c>
      <c r="B1133" t="s">
        <v>1655</v>
      </c>
      <c r="C1133" t="s">
        <v>2014</v>
      </c>
      <c r="D1133" s="24">
        <v>2</v>
      </c>
      <c r="E1133" s="24">
        <v>1</v>
      </c>
      <c r="F1133" s="24">
        <v>2</v>
      </c>
      <c r="G1133" s="24">
        <v>3</v>
      </c>
      <c r="H1133" s="25">
        <v>23.98</v>
      </c>
      <c r="I1133">
        <v>9</v>
      </c>
      <c r="J1133" s="26">
        <v>0</v>
      </c>
      <c r="K1133" s="26">
        <v>0</v>
      </c>
      <c r="L1133" s="26">
        <v>0</v>
      </c>
      <c r="M1133">
        <v>9</v>
      </c>
      <c r="N1133">
        <v>0</v>
      </c>
      <c r="O1133">
        <v>10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16</v>
      </c>
      <c r="AK1133">
        <v>18</v>
      </c>
      <c r="AL1133">
        <v>25</v>
      </c>
      <c r="AM1133">
        <v>16</v>
      </c>
      <c r="AN1133" s="18">
        <v>0.125</v>
      </c>
      <c r="AO1133" s="18">
        <v>0.0555555555555556</v>
      </c>
      <c r="AP1133" s="18">
        <v>0.08</v>
      </c>
      <c r="AQ1133" s="18">
        <v>0.1875</v>
      </c>
      <c r="AR1133" s="29">
        <v>0.285714285714286</v>
      </c>
      <c r="AS1133" s="29">
        <v>17.1428571428571</v>
      </c>
      <c r="AT1133" s="29">
        <v>-8.14285714285714</v>
      </c>
      <c r="AU1133" s="24">
        <f t="shared" si="18"/>
        <v>31</v>
      </c>
      <c r="AV1133" s="31">
        <f>IFERROR(时间!$B$4+AU1133,"上周无销量")</f>
        <v>43349</v>
      </c>
    </row>
    <row r="1134" spans="1:48">
      <c r="A1134" s="16" t="s">
        <v>2036</v>
      </c>
      <c r="B1134" t="s">
        <v>1657</v>
      </c>
      <c r="C1134" t="s">
        <v>2014</v>
      </c>
      <c r="D1134" s="24">
        <v>3</v>
      </c>
      <c r="E1134" s="24">
        <v>0</v>
      </c>
      <c r="F1134" s="24">
        <v>3</v>
      </c>
      <c r="G1134" s="24">
        <v>1</v>
      </c>
      <c r="H1134" s="25">
        <v>20.98</v>
      </c>
      <c r="I1134">
        <v>45</v>
      </c>
      <c r="J1134" s="26">
        <v>0</v>
      </c>
      <c r="K1134" s="26">
        <v>0</v>
      </c>
      <c r="L1134" s="26">
        <v>0</v>
      </c>
      <c r="M1134">
        <v>45</v>
      </c>
      <c r="N1134">
        <v>0</v>
      </c>
      <c r="O1134">
        <v>42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13</v>
      </c>
      <c r="AK1134">
        <v>11</v>
      </c>
      <c r="AL1134">
        <v>10</v>
      </c>
      <c r="AM1134">
        <v>8</v>
      </c>
      <c r="AN1134" s="18">
        <v>0.230769230769231</v>
      </c>
      <c r="AO1134" s="18">
        <v>0</v>
      </c>
      <c r="AP1134" s="18">
        <v>0.3</v>
      </c>
      <c r="AQ1134" s="18">
        <v>0.125</v>
      </c>
      <c r="AR1134" s="29">
        <v>0.428571428571429</v>
      </c>
      <c r="AS1134" s="29">
        <v>25.7142857142857</v>
      </c>
      <c r="AT1134" s="29">
        <v>19.2857142857143</v>
      </c>
      <c r="AU1134" s="24">
        <f t="shared" si="18"/>
        <v>105</v>
      </c>
      <c r="AV1134" s="31">
        <f>IFERROR(时间!$B$4+AU1134,"上周无销量")</f>
        <v>43423</v>
      </c>
    </row>
    <row r="1135" spans="1:48">
      <c r="A1135" s="16" t="s">
        <v>2037</v>
      </c>
      <c r="B1135" t="s">
        <v>1659</v>
      </c>
      <c r="C1135" t="s">
        <v>2014</v>
      </c>
      <c r="D1135" s="24">
        <v>1</v>
      </c>
      <c r="E1135" s="24">
        <v>2</v>
      </c>
      <c r="F1135" s="24">
        <v>1</v>
      </c>
      <c r="G1135" s="24">
        <v>1</v>
      </c>
      <c r="H1135" s="25">
        <v>12.98</v>
      </c>
      <c r="I1135">
        <v>0</v>
      </c>
      <c r="J1135" s="26">
        <v>0</v>
      </c>
      <c r="K1135" s="26">
        <v>0</v>
      </c>
      <c r="L1135" s="26">
        <v>2</v>
      </c>
      <c r="M1135">
        <v>2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15</v>
      </c>
      <c r="AK1135">
        <v>8</v>
      </c>
      <c r="AL1135">
        <v>11</v>
      </c>
      <c r="AM1135">
        <v>13</v>
      </c>
      <c r="AN1135" s="18">
        <v>0.0666666666666667</v>
      </c>
      <c r="AO1135" s="18">
        <v>0.25</v>
      </c>
      <c r="AP1135" s="18">
        <v>0.0909090909090909</v>
      </c>
      <c r="AQ1135" s="18">
        <v>0.0769230769230769</v>
      </c>
      <c r="AR1135" s="29">
        <v>0.142857142857143</v>
      </c>
      <c r="AS1135" s="29">
        <v>8.57142857142857</v>
      </c>
      <c r="AT1135" s="29">
        <v>-6.57142857142857</v>
      </c>
      <c r="AU1135" s="24">
        <f t="shared" si="18"/>
        <v>14</v>
      </c>
      <c r="AV1135" s="31">
        <f>IFERROR(时间!$B$4+AU1135,"上周无销量")</f>
        <v>43332</v>
      </c>
    </row>
    <row r="1136" spans="1:48">
      <c r="A1136" s="16" t="s">
        <v>2038</v>
      </c>
      <c r="B1136" t="s">
        <v>1661</v>
      </c>
      <c r="C1136" t="s">
        <v>2014</v>
      </c>
      <c r="D1136" s="24">
        <v>1</v>
      </c>
      <c r="E1136" s="24">
        <v>0</v>
      </c>
      <c r="F1136" s="24">
        <v>4</v>
      </c>
      <c r="G1136" s="24">
        <v>1</v>
      </c>
      <c r="H1136" s="25">
        <v>23.98</v>
      </c>
      <c r="I1136">
        <v>5</v>
      </c>
      <c r="J1136" s="26">
        <v>0</v>
      </c>
      <c r="K1136" s="26">
        <v>0</v>
      </c>
      <c r="L1136" s="26">
        <v>0</v>
      </c>
      <c r="M1136">
        <v>5</v>
      </c>
      <c r="N1136">
        <v>0</v>
      </c>
      <c r="O1136">
        <v>1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8</v>
      </c>
      <c r="AK1136">
        <v>11</v>
      </c>
      <c r="AL1136">
        <v>9</v>
      </c>
      <c r="AM1136">
        <v>2</v>
      </c>
      <c r="AN1136" s="18">
        <v>0.125</v>
      </c>
      <c r="AO1136" s="18">
        <v>0</v>
      </c>
      <c r="AP1136" s="18">
        <v>0.444444444444444</v>
      </c>
      <c r="AQ1136" s="18">
        <v>0.5</v>
      </c>
      <c r="AR1136" s="29">
        <v>0.142857142857143</v>
      </c>
      <c r="AS1136" s="29">
        <v>8.57142857142857</v>
      </c>
      <c r="AT1136" s="29">
        <v>-3.57142857142857</v>
      </c>
      <c r="AU1136" s="24">
        <f t="shared" si="18"/>
        <v>35</v>
      </c>
      <c r="AV1136" s="31">
        <f>IFERROR(时间!$B$4+AU1136,"上周无销量")</f>
        <v>43353</v>
      </c>
    </row>
    <row r="1137" spans="1:48">
      <c r="A1137" s="16" t="s">
        <v>2039</v>
      </c>
      <c r="B1137" t="s">
        <v>2040</v>
      </c>
      <c r="C1137" t="s">
        <v>2014</v>
      </c>
      <c r="D1137" s="24">
        <v>0</v>
      </c>
      <c r="E1137" s="24">
        <v>1</v>
      </c>
      <c r="F1137" s="24">
        <v>1</v>
      </c>
      <c r="G1137" s="24">
        <v>0</v>
      </c>
      <c r="H1137" s="25">
        <v>23.98</v>
      </c>
      <c r="I1137">
        <v>14</v>
      </c>
      <c r="J1137" s="26">
        <v>0</v>
      </c>
      <c r="K1137" s="26">
        <v>0</v>
      </c>
      <c r="L1137" s="26">
        <v>1</v>
      </c>
      <c r="M1137">
        <v>15</v>
      </c>
      <c r="N1137">
        <v>0</v>
      </c>
      <c r="O1137">
        <v>16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7</v>
      </c>
      <c r="AK1137">
        <v>4</v>
      </c>
      <c r="AL1137">
        <v>4</v>
      </c>
      <c r="AM1137">
        <v>4</v>
      </c>
      <c r="AN1137" s="18">
        <v>0</v>
      </c>
      <c r="AO1137" s="18">
        <v>0.25</v>
      </c>
      <c r="AP1137" s="18">
        <v>0.25</v>
      </c>
      <c r="AQ1137" s="18">
        <v>0</v>
      </c>
      <c r="AR1137" s="29">
        <v>0</v>
      </c>
      <c r="AS1137" s="29">
        <v>0</v>
      </c>
      <c r="AT1137" s="29">
        <v>15</v>
      </c>
      <c r="AU1137" s="24" t="str">
        <f t="shared" si="18"/>
        <v>库存为15</v>
      </c>
      <c r="AV1137" s="31" t="str">
        <f>IFERROR(时间!$B$4+AU1137,"上周无销量")</f>
        <v>上周无销量</v>
      </c>
    </row>
    <row r="1138" spans="1:48">
      <c r="A1138" s="16" t="s">
        <v>2041</v>
      </c>
      <c r="B1138" t="s">
        <v>2042</v>
      </c>
      <c r="C1138" t="s">
        <v>2014</v>
      </c>
      <c r="D1138" s="24">
        <v>2</v>
      </c>
      <c r="E1138" s="24">
        <v>1</v>
      </c>
      <c r="F1138" s="24">
        <v>2</v>
      </c>
      <c r="G1138" s="24">
        <v>0</v>
      </c>
      <c r="H1138" s="25">
        <v>23.98</v>
      </c>
      <c r="I1138">
        <v>34</v>
      </c>
      <c r="J1138" s="26">
        <v>0</v>
      </c>
      <c r="K1138" s="26">
        <v>0</v>
      </c>
      <c r="L1138" s="26">
        <v>0</v>
      </c>
      <c r="M1138">
        <v>34</v>
      </c>
      <c r="N1138">
        <v>0</v>
      </c>
      <c r="O1138">
        <v>31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4</v>
      </c>
      <c r="AK1138">
        <v>10</v>
      </c>
      <c r="AL1138">
        <v>19</v>
      </c>
      <c r="AM1138">
        <v>13</v>
      </c>
      <c r="AN1138" s="18">
        <v>0.5</v>
      </c>
      <c r="AO1138" s="18">
        <v>0.1</v>
      </c>
      <c r="AP1138" s="18">
        <v>0.105263157894737</v>
      </c>
      <c r="AQ1138" s="18">
        <v>0</v>
      </c>
      <c r="AR1138" s="29">
        <v>0.285714285714286</v>
      </c>
      <c r="AS1138" s="29">
        <v>17.1428571428571</v>
      </c>
      <c r="AT1138" s="29">
        <v>16.8571428571429</v>
      </c>
      <c r="AU1138" s="24">
        <f t="shared" si="18"/>
        <v>119</v>
      </c>
      <c r="AV1138" s="31">
        <f>IFERROR(时间!$B$4+AU1138,"上周无销量")</f>
        <v>43437</v>
      </c>
    </row>
    <row r="1139" spans="1:48">
      <c r="A1139" s="16" t="s">
        <v>2043</v>
      </c>
      <c r="B1139" t="s">
        <v>2044</v>
      </c>
      <c r="C1139" t="s">
        <v>2014</v>
      </c>
      <c r="D1139" s="24">
        <v>9</v>
      </c>
      <c r="E1139" s="24">
        <v>0</v>
      </c>
      <c r="F1139" s="24">
        <v>4</v>
      </c>
      <c r="G1139" s="24">
        <v>2</v>
      </c>
      <c r="H1139" s="25">
        <v>23.98</v>
      </c>
      <c r="I1139">
        <v>2</v>
      </c>
      <c r="J1139" s="26">
        <v>0</v>
      </c>
      <c r="K1139" s="26">
        <v>0</v>
      </c>
      <c r="L1139" s="26">
        <v>0</v>
      </c>
      <c r="M1139">
        <v>2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8</v>
      </c>
      <c r="AK1139">
        <v>14</v>
      </c>
      <c r="AL1139">
        <v>17</v>
      </c>
      <c r="AM1139">
        <v>3</v>
      </c>
      <c r="AN1139" s="18">
        <v>1.125</v>
      </c>
      <c r="AO1139" s="18">
        <v>0</v>
      </c>
      <c r="AP1139" s="18">
        <v>0.235294117647059</v>
      </c>
      <c r="AQ1139" s="18">
        <v>0.666666666666667</v>
      </c>
      <c r="AR1139" s="29">
        <v>1.28571428571429</v>
      </c>
      <c r="AS1139" s="29">
        <v>77.1428571428572</v>
      </c>
      <c r="AT1139" s="29">
        <v>-75.1428571428572</v>
      </c>
      <c r="AU1139" s="24">
        <f t="shared" si="18"/>
        <v>1</v>
      </c>
      <c r="AV1139" s="31">
        <f>IFERROR(时间!$B$4+AU1139,"上周无销量")</f>
        <v>43319</v>
      </c>
    </row>
    <row r="1140" spans="1:48">
      <c r="A1140" s="16" t="s">
        <v>2045</v>
      </c>
      <c r="B1140" t="s">
        <v>2046</v>
      </c>
      <c r="C1140" t="s">
        <v>2014</v>
      </c>
      <c r="D1140" s="24">
        <v>1</v>
      </c>
      <c r="E1140" s="24">
        <v>1</v>
      </c>
      <c r="F1140" s="24">
        <v>1</v>
      </c>
      <c r="G1140" s="24">
        <v>1</v>
      </c>
      <c r="H1140" s="25">
        <v>23.98</v>
      </c>
      <c r="I1140">
        <v>25</v>
      </c>
      <c r="J1140" s="26">
        <v>0</v>
      </c>
      <c r="K1140" s="26">
        <v>0</v>
      </c>
      <c r="L1140" s="26">
        <v>0</v>
      </c>
      <c r="M1140">
        <v>25</v>
      </c>
      <c r="N1140">
        <v>0</v>
      </c>
      <c r="O1140">
        <v>13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6</v>
      </c>
      <c r="AK1140">
        <v>10</v>
      </c>
      <c r="AL1140">
        <v>21</v>
      </c>
      <c r="AM1140">
        <v>15</v>
      </c>
      <c r="AN1140" s="18">
        <v>0.166666666666667</v>
      </c>
      <c r="AO1140" s="18">
        <v>0.1</v>
      </c>
      <c r="AP1140" s="18">
        <v>0.0476190476190476</v>
      </c>
      <c r="AQ1140" s="18">
        <v>0.0666666666666667</v>
      </c>
      <c r="AR1140" s="29">
        <v>0.142857142857143</v>
      </c>
      <c r="AS1140" s="29">
        <v>8.57142857142857</v>
      </c>
      <c r="AT1140" s="29">
        <v>16.4285714285714</v>
      </c>
      <c r="AU1140" s="24">
        <f t="shared" si="18"/>
        <v>175</v>
      </c>
      <c r="AV1140" s="31">
        <f>IFERROR(时间!$B$4+AU1140,"上周无销量")</f>
        <v>43493</v>
      </c>
    </row>
    <row r="1141" spans="1:48">
      <c r="A1141" s="16" t="s">
        <v>2047</v>
      </c>
      <c r="B1141" t="s">
        <v>2048</v>
      </c>
      <c r="C1141" t="s">
        <v>2014</v>
      </c>
      <c r="D1141" s="24">
        <v>0</v>
      </c>
      <c r="E1141" s="24">
        <v>0</v>
      </c>
      <c r="F1141" s="24">
        <v>0</v>
      </c>
      <c r="G1141" s="24">
        <v>1</v>
      </c>
      <c r="H1141" s="25">
        <v>23.98</v>
      </c>
      <c r="I1141">
        <v>1</v>
      </c>
      <c r="J1141" s="26">
        <v>0</v>
      </c>
      <c r="K1141" s="26">
        <v>0</v>
      </c>
      <c r="L1141" s="26">
        <v>0</v>
      </c>
      <c r="M1141">
        <v>1</v>
      </c>
      <c r="N1141">
        <v>0</v>
      </c>
      <c r="O1141">
        <v>0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0</v>
      </c>
      <c r="AK1141">
        <v>4</v>
      </c>
      <c r="AL1141">
        <v>0</v>
      </c>
      <c r="AM1141">
        <v>12</v>
      </c>
      <c r="AN1141" s="18" t="s">
        <v>52</v>
      </c>
      <c r="AO1141" s="18">
        <v>0</v>
      </c>
      <c r="AP1141" s="18" t="s">
        <v>52</v>
      </c>
      <c r="AQ1141" s="18">
        <v>0.0833333333333333</v>
      </c>
      <c r="AR1141" s="29">
        <v>0</v>
      </c>
      <c r="AS1141" s="29">
        <v>0</v>
      </c>
      <c r="AT1141" s="29">
        <v>1</v>
      </c>
      <c r="AU1141" s="24" t="str">
        <f t="shared" si="18"/>
        <v>库存为1</v>
      </c>
      <c r="AV1141" s="31" t="str">
        <f>IFERROR(时间!$B$4+AU1141,"上周无销量")</f>
        <v>上周无销量</v>
      </c>
    </row>
    <row r="1142" spans="1:48">
      <c r="A1142" s="16" t="s">
        <v>2049</v>
      </c>
      <c r="B1142" t="s">
        <v>2050</v>
      </c>
      <c r="C1142" t="s">
        <v>2014</v>
      </c>
      <c r="D1142" s="24">
        <v>0</v>
      </c>
      <c r="E1142" s="24">
        <v>0</v>
      </c>
      <c r="F1142" s="24">
        <v>0</v>
      </c>
      <c r="G1142" s="24">
        <v>0</v>
      </c>
      <c r="H1142" s="25">
        <v>0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0</v>
      </c>
      <c r="AK1142">
        <v>0</v>
      </c>
      <c r="AL1142">
        <v>0</v>
      </c>
      <c r="AM1142">
        <v>0</v>
      </c>
      <c r="AN1142" s="18" t="s">
        <v>52</v>
      </c>
      <c r="AO1142" s="18" t="s">
        <v>52</v>
      </c>
      <c r="AP1142" s="18" t="s">
        <v>52</v>
      </c>
      <c r="AQ1142" s="18" t="s">
        <v>52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2051</v>
      </c>
      <c r="B1143" t="s">
        <v>1675</v>
      </c>
      <c r="C1143" t="s">
        <v>2014</v>
      </c>
      <c r="D1143" s="24">
        <v>0</v>
      </c>
      <c r="E1143" s="24">
        <v>0</v>
      </c>
      <c r="F1143" s="24">
        <v>0</v>
      </c>
      <c r="G1143" s="24">
        <v>0</v>
      </c>
      <c r="H1143" s="25">
        <v>0</v>
      </c>
      <c r="I1143">
        <v>0</v>
      </c>
      <c r="J1143" s="26">
        <v>0</v>
      </c>
      <c r="K1143" s="26">
        <v>0</v>
      </c>
      <c r="L1143" s="26">
        <v>0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0</v>
      </c>
      <c r="AK1143">
        <v>0</v>
      </c>
      <c r="AL1143">
        <v>0</v>
      </c>
      <c r="AM1143">
        <v>0</v>
      </c>
      <c r="AN1143" s="18" t="s">
        <v>52</v>
      </c>
      <c r="AO1143" s="18" t="s">
        <v>52</v>
      </c>
      <c r="AP1143" s="18" t="s">
        <v>52</v>
      </c>
      <c r="AQ1143" s="18" t="s">
        <v>52</v>
      </c>
      <c r="AR1143" s="29">
        <v>0</v>
      </c>
      <c r="AS1143" s="29">
        <v>0</v>
      </c>
      <c r="AT1143" s="29">
        <v>0</v>
      </c>
      <c r="AU1143" s="24" t="str">
        <f t="shared" si="18"/>
        <v>库存为0</v>
      </c>
      <c r="AV1143" s="31" t="str">
        <f>IFERROR(时间!$B$4+AU1143,"上周无销量")</f>
        <v>上周无销量</v>
      </c>
    </row>
    <row r="1144" spans="1:48">
      <c r="A1144" s="16" t="s">
        <v>2052</v>
      </c>
      <c r="B1144" t="s">
        <v>1677</v>
      </c>
      <c r="C1144" t="s">
        <v>2014</v>
      </c>
      <c r="D1144" s="24">
        <v>0</v>
      </c>
      <c r="E1144" s="24">
        <v>0</v>
      </c>
      <c r="F1144" s="24">
        <v>0</v>
      </c>
      <c r="G1144" s="24">
        <v>0</v>
      </c>
      <c r="H1144" s="25">
        <v>0</v>
      </c>
      <c r="I1144">
        <v>0</v>
      </c>
      <c r="J1144" s="26">
        <v>0</v>
      </c>
      <c r="K1144" s="26">
        <v>0</v>
      </c>
      <c r="L1144" s="26">
        <v>0</v>
      </c>
      <c r="M1144">
        <v>0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0</v>
      </c>
      <c r="AK1144">
        <v>0</v>
      </c>
      <c r="AL1144">
        <v>0</v>
      </c>
      <c r="AM1144">
        <v>0</v>
      </c>
      <c r="AN1144" s="18" t="s">
        <v>52</v>
      </c>
      <c r="AO1144" s="18" t="s">
        <v>52</v>
      </c>
      <c r="AP1144" s="18" t="s">
        <v>52</v>
      </c>
      <c r="AQ1144" s="18" t="s">
        <v>52</v>
      </c>
      <c r="AR1144" s="29">
        <v>0</v>
      </c>
      <c r="AS1144" s="29">
        <v>0</v>
      </c>
      <c r="AT1144" s="29">
        <v>0</v>
      </c>
      <c r="AU1144" s="24" t="str">
        <f t="shared" si="18"/>
        <v>库存为0</v>
      </c>
      <c r="AV1144" s="31" t="str">
        <f>IFERROR(时间!$B$4+AU1144,"上周无销量")</f>
        <v>上周无销量</v>
      </c>
    </row>
    <row r="1145" spans="1:48">
      <c r="A1145" s="16" t="s">
        <v>2053</v>
      </c>
      <c r="B1145" t="s">
        <v>1679</v>
      </c>
      <c r="C1145" t="s">
        <v>2014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1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0</v>
      </c>
      <c r="AK1145">
        <v>0</v>
      </c>
      <c r="AL1145">
        <v>0</v>
      </c>
      <c r="AM1145">
        <v>0</v>
      </c>
      <c r="AN1145" s="18" t="s">
        <v>52</v>
      </c>
      <c r="AO1145" s="18" t="s">
        <v>52</v>
      </c>
      <c r="AP1145" s="18" t="s">
        <v>52</v>
      </c>
      <c r="AQ1145" s="18" t="s">
        <v>52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2054</v>
      </c>
      <c r="B1146" t="s">
        <v>1683</v>
      </c>
      <c r="C1146" t="s">
        <v>2014</v>
      </c>
      <c r="D1146" s="24">
        <v>0</v>
      </c>
      <c r="E1146" s="24">
        <v>0</v>
      </c>
      <c r="F1146" s="24">
        <v>0</v>
      </c>
      <c r="G1146" s="24">
        <v>0</v>
      </c>
      <c r="H1146" s="25">
        <v>0</v>
      </c>
      <c r="I1146">
        <v>0</v>
      </c>
      <c r="J1146" s="26">
        <v>0</v>
      </c>
      <c r="K1146" s="26">
        <v>0</v>
      </c>
      <c r="L1146" s="26">
        <v>0</v>
      </c>
      <c r="M1146">
        <v>0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0</v>
      </c>
      <c r="AK1146">
        <v>0</v>
      </c>
      <c r="AL1146">
        <v>0</v>
      </c>
      <c r="AM1146">
        <v>0</v>
      </c>
      <c r="AN1146" s="18" t="s">
        <v>52</v>
      </c>
      <c r="AO1146" s="18" t="s">
        <v>52</v>
      </c>
      <c r="AP1146" s="18" t="s">
        <v>52</v>
      </c>
      <c r="AQ1146" s="18" t="s">
        <v>52</v>
      </c>
      <c r="AR1146" s="29">
        <v>0</v>
      </c>
      <c r="AS1146" s="29">
        <v>0</v>
      </c>
      <c r="AT1146" s="29">
        <v>0</v>
      </c>
      <c r="AU1146" s="24" t="str">
        <f t="shared" si="18"/>
        <v>库存为0</v>
      </c>
      <c r="AV1146" s="31" t="str">
        <f>IFERROR(时间!$B$4+AU1146,"上周无销量")</f>
        <v>上周无销量</v>
      </c>
    </row>
    <row r="1147" spans="1:48">
      <c r="A1147" s="16" t="s">
        <v>2055</v>
      </c>
      <c r="B1147" t="s">
        <v>2056</v>
      </c>
      <c r="C1147" t="s">
        <v>2014</v>
      </c>
      <c r="D1147" s="24">
        <v>0</v>
      </c>
      <c r="E1147" s="24">
        <v>0</v>
      </c>
      <c r="F1147" s="24">
        <v>4</v>
      </c>
      <c r="G1147" s="24">
        <v>0</v>
      </c>
      <c r="H1147" s="25">
        <v>23.98</v>
      </c>
      <c r="I1147">
        <v>2</v>
      </c>
      <c r="J1147" s="26">
        <v>0</v>
      </c>
      <c r="K1147" s="26">
        <v>0</v>
      </c>
      <c r="L1147" s="26">
        <v>1</v>
      </c>
      <c r="M1147">
        <v>3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0</v>
      </c>
      <c r="AK1147">
        <v>5</v>
      </c>
      <c r="AL1147">
        <v>16</v>
      </c>
      <c r="AM1147">
        <v>12</v>
      </c>
      <c r="AN1147" s="18" t="s">
        <v>52</v>
      </c>
      <c r="AO1147" s="18">
        <v>0</v>
      </c>
      <c r="AP1147" s="18">
        <v>0.25</v>
      </c>
      <c r="AQ1147" s="18">
        <v>0</v>
      </c>
      <c r="AR1147" s="29">
        <v>0</v>
      </c>
      <c r="AS1147" s="29">
        <v>0</v>
      </c>
      <c r="AT1147" s="29">
        <v>3</v>
      </c>
      <c r="AU1147" s="24" t="str">
        <f t="shared" si="18"/>
        <v>库存为3</v>
      </c>
      <c r="AV1147" s="31" t="str">
        <f>IFERROR(时间!$B$4+AU1147,"上周无销量")</f>
        <v>上周无销量</v>
      </c>
    </row>
    <row r="1148" spans="1:48">
      <c r="A1148" s="16" t="s">
        <v>2057</v>
      </c>
      <c r="B1148" t="s">
        <v>1687</v>
      </c>
      <c r="C1148" t="s">
        <v>2014</v>
      </c>
      <c r="D1148" s="24">
        <v>2</v>
      </c>
      <c r="E1148" s="24">
        <v>4</v>
      </c>
      <c r="F1148" s="24">
        <v>1</v>
      </c>
      <c r="G1148" s="24">
        <v>3</v>
      </c>
      <c r="H1148" s="25">
        <v>23.98</v>
      </c>
      <c r="I1148">
        <v>16</v>
      </c>
      <c r="J1148" s="26">
        <v>13</v>
      </c>
      <c r="K1148" s="26">
        <v>0</v>
      </c>
      <c r="L1148" s="26">
        <v>0</v>
      </c>
      <c r="M1148">
        <v>29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12</v>
      </c>
      <c r="AK1148">
        <v>27</v>
      </c>
      <c r="AL1148">
        <v>16</v>
      </c>
      <c r="AM1148">
        <v>17</v>
      </c>
      <c r="AN1148" s="18">
        <v>0.166666666666667</v>
      </c>
      <c r="AO1148" s="18">
        <v>0.148148148148148</v>
      </c>
      <c r="AP1148" s="18">
        <v>0.0625</v>
      </c>
      <c r="AQ1148" s="18">
        <v>0.176470588235294</v>
      </c>
      <c r="AR1148" s="29">
        <v>0.285714285714286</v>
      </c>
      <c r="AS1148" s="29">
        <v>17.1428571428571</v>
      </c>
      <c r="AT1148" s="29">
        <v>11.8571428571429</v>
      </c>
      <c r="AU1148" s="24">
        <f t="shared" si="18"/>
        <v>101</v>
      </c>
      <c r="AV1148" s="31">
        <f>IFERROR(时间!$B$4+AU1148,"上周无销量")</f>
        <v>43419</v>
      </c>
    </row>
    <row r="1149" spans="1:48">
      <c r="A1149" s="16" t="s">
        <v>2058</v>
      </c>
      <c r="B1149" t="s">
        <v>1689</v>
      </c>
      <c r="C1149" t="s">
        <v>2014</v>
      </c>
      <c r="D1149" s="24">
        <v>1</v>
      </c>
      <c r="E1149" s="24">
        <v>1</v>
      </c>
      <c r="F1149" s="24">
        <v>0</v>
      </c>
      <c r="G1149" s="24">
        <v>0</v>
      </c>
      <c r="H1149" s="25">
        <v>23.98</v>
      </c>
      <c r="I1149">
        <v>13</v>
      </c>
      <c r="J1149" s="26">
        <v>0</v>
      </c>
      <c r="K1149" s="26">
        <v>0</v>
      </c>
      <c r="L1149" s="26">
        <v>0</v>
      </c>
      <c r="M1149">
        <v>13</v>
      </c>
      <c r="N1149">
        <v>0</v>
      </c>
      <c r="O1149">
        <v>7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13</v>
      </c>
      <c r="AK1149">
        <v>19</v>
      </c>
      <c r="AL1149">
        <v>13</v>
      </c>
      <c r="AM1149">
        <v>25</v>
      </c>
      <c r="AN1149" s="18">
        <v>0.0769230769230769</v>
      </c>
      <c r="AO1149" s="18">
        <v>0.0526315789473684</v>
      </c>
      <c r="AP1149" s="18">
        <v>0</v>
      </c>
      <c r="AQ1149" s="18">
        <v>0</v>
      </c>
      <c r="AR1149" s="29">
        <v>0.142857142857143</v>
      </c>
      <c r="AS1149" s="29">
        <v>8.57142857142857</v>
      </c>
      <c r="AT1149" s="29">
        <v>4.42857142857143</v>
      </c>
      <c r="AU1149" s="24">
        <f t="shared" si="18"/>
        <v>91</v>
      </c>
      <c r="AV1149" s="31">
        <f>IFERROR(时间!$B$4+AU1149,"上周无销量")</f>
        <v>43409</v>
      </c>
    </row>
    <row r="1150" spans="1:48">
      <c r="A1150" s="16" t="s">
        <v>2059</v>
      </c>
      <c r="B1150" t="s">
        <v>2060</v>
      </c>
      <c r="C1150" t="s">
        <v>2014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0</v>
      </c>
      <c r="J1150" s="26">
        <v>0</v>
      </c>
      <c r="K1150" s="26">
        <v>0</v>
      </c>
      <c r="L1150" s="26">
        <v>0</v>
      </c>
      <c r="M1150">
        <v>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0</v>
      </c>
      <c r="AK1150">
        <v>0</v>
      </c>
      <c r="AL1150">
        <v>0</v>
      </c>
      <c r="AM1150">
        <v>0</v>
      </c>
      <c r="AN1150" s="18" t="s">
        <v>52</v>
      </c>
      <c r="AO1150" s="18" t="s">
        <v>52</v>
      </c>
      <c r="AP1150" s="18" t="s">
        <v>52</v>
      </c>
      <c r="AQ1150" s="18" t="s">
        <v>52</v>
      </c>
      <c r="AR1150" s="29">
        <v>0</v>
      </c>
      <c r="AS1150" s="29">
        <v>0</v>
      </c>
      <c r="AT1150" s="29">
        <v>0</v>
      </c>
      <c r="AU1150" s="24" t="str">
        <f t="shared" si="18"/>
        <v>库存为0</v>
      </c>
      <c r="AV1150" s="31" t="str">
        <f>IFERROR(时间!$B$4+AU1150,"上周无销量")</f>
        <v>上周无销量</v>
      </c>
    </row>
    <row r="1151" spans="1:48">
      <c r="A1151" s="16" t="s">
        <v>2061</v>
      </c>
      <c r="B1151" t="s">
        <v>2062</v>
      </c>
      <c r="C1151" t="s">
        <v>2063</v>
      </c>
      <c r="D1151" s="24">
        <v>0</v>
      </c>
      <c r="E1151" s="24">
        <v>0</v>
      </c>
      <c r="F1151" s="24">
        <v>0</v>
      </c>
      <c r="G1151" s="24">
        <v>0</v>
      </c>
      <c r="H1151" s="25">
        <v>0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0</v>
      </c>
      <c r="AK1151">
        <v>0</v>
      </c>
      <c r="AL1151">
        <v>0</v>
      </c>
      <c r="AM1151">
        <v>0</v>
      </c>
      <c r="AN1151" s="18" t="s">
        <v>52</v>
      </c>
      <c r="AO1151" s="18" t="s">
        <v>52</v>
      </c>
      <c r="AP1151" s="18" t="s">
        <v>52</v>
      </c>
      <c r="AQ1151" s="18" t="s">
        <v>52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2064</v>
      </c>
      <c r="B1152" t="s">
        <v>2065</v>
      </c>
      <c r="C1152" t="s">
        <v>2063</v>
      </c>
      <c r="D1152" s="24">
        <v>0</v>
      </c>
      <c r="E1152" s="24">
        <v>0</v>
      </c>
      <c r="F1152" s="24">
        <v>0</v>
      </c>
      <c r="G1152" s="24">
        <v>0</v>
      </c>
      <c r="H1152" s="25">
        <v>0</v>
      </c>
      <c r="I1152">
        <v>0</v>
      </c>
      <c r="J1152" s="26">
        <v>0</v>
      </c>
      <c r="K1152" s="26">
        <v>0</v>
      </c>
      <c r="L1152" s="26">
        <v>0</v>
      </c>
      <c r="M1152">
        <v>0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0</v>
      </c>
      <c r="AK1152">
        <v>0</v>
      </c>
      <c r="AL1152">
        <v>0</v>
      </c>
      <c r="AM1152">
        <v>0</v>
      </c>
      <c r="AN1152" s="18" t="s">
        <v>52</v>
      </c>
      <c r="AO1152" s="18" t="s">
        <v>52</v>
      </c>
      <c r="AP1152" s="18" t="s">
        <v>52</v>
      </c>
      <c r="AQ1152" s="18" t="s">
        <v>52</v>
      </c>
      <c r="AR1152" s="29">
        <v>0</v>
      </c>
      <c r="AS1152" s="29">
        <v>0</v>
      </c>
      <c r="AT1152" s="29">
        <v>0</v>
      </c>
      <c r="AU1152" s="24" t="str">
        <f t="shared" si="18"/>
        <v>库存为0</v>
      </c>
      <c r="AV1152" s="31" t="str">
        <f>IFERROR(时间!$B$4+AU1152,"上周无销量")</f>
        <v>上周无销量</v>
      </c>
    </row>
    <row r="1153" spans="1:48">
      <c r="A1153" s="16" t="s">
        <v>2066</v>
      </c>
      <c r="B1153" t="s">
        <v>2067</v>
      </c>
      <c r="C1153" t="s">
        <v>2063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0</v>
      </c>
      <c r="J1153" s="26">
        <v>0</v>
      </c>
      <c r="K1153" s="26">
        <v>0</v>
      </c>
      <c r="L1153" s="26">
        <v>0</v>
      </c>
      <c r="M1153">
        <v>0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0</v>
      </c>
      <c r="AK1153">
        <v>0</v>
      </c>
      <c r="AL1153">
        <v>0</v>
      </c>
      <c r="AM1153">
        <v>0</v>
      </c>
      <c r="AN1153" s="18" t="s">
        <v>52</v>
      </c>
      <c r="AO1153" s="18" t="s">
        <v>52</v>
      </c>
      <c r="AP1153" s="18" t="s">
        <v>52</v>
      </c>
      <c r="AQ1153" s="18" t="s">
        <v>52</v>
      </c>
      <c r="AR1153" s="29">
        <v>0</v>
      </c>
      <c r="AS1153" s="29">
        <v>0</v>
      </c>
      <c r="AT1153" s="29">
        <v>0</v>
      </c>
      <c r="AU1153" s="24" t="str">
        <f t="shared" si="18"/>
        <v>库存为0</v>
      </c>
      <c r="AV1153" s="31" t="str">
        <f>IFERROR(时间!$B$4+AU1153,"上周无销量")</f>
        <v>上周无销量</v>
      </c>
    </row>
    <row r="1154" spans="1:48">
      <c r="A1154" s="16" t="s">
        <v>2068</v>
      </c>
      <c r="B1154" t="s">
        <v>2069</v>
      </c>
      <c r="C1154" t="s">
        <v>2063</v>
      </c>
      <c r="D1154" s="24">
        <v>0</v>
      </c>
      <c r="E1154" s="24">
        <v>0</v>
      </c>
      <c r="F1154" s="24">
        <v>0</v>
      </c>
      <c r="G1154" s="24">
        <v>0</v>
      </c>
      <c r="H1154" s="25">
        <v>0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0</v>
      </c>
      <c r="AK1154">
        <v>0</v>
      </c>
      <c r="AL1154">
        <v>0</v>
      </c>
      <c r="AM1154">
        <v>0</v>
      </c>
      <c r="AN1154" s="18" t="s">
        <v>52</v>
      </c>
      <c r="AO1154" s="18" t="s">
        <v>52</v>
      </c>
      <c r="AP1154" s="18" t="s">
        <v>52</v>
      </c>
      <c r="AQ1154" s="18" t="s">
        <v>52</v>
      </c>
      <c r="AR1154" s="29">
        <v>0</v>
      </c>
      <c r="AS1154" s="29">
        <v>0</v>
      </c>
      <c r="AT1154" s="29">
        <v>0</v>
      </c>
      <c r="AU1154" s="24" t="str">
        <f t="shared" si="18"/>
        <v>库存为0</v>
      </c>
      <c r="AV1154" s="31" t="str">
        <f>IFERROR(时间!$B$4+AU1154,"上周无销量")</f>
        <v>上周无销量</v>
      </c>
    </row>
    <row r="1155" spans="1:48">
      <c r="A1155" s="16" t="s">
        <v>2070</v>
      </c>
      <c r="B1155" t="s">
        <v>2071</v>
      </c>
      <c r="C1155" t="s">
        <v>2063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0</v>
      </c>
      <c r="J1155" s="26">
        <v>0</v>
      </c>
      <c r="K1155" s="26">
        <v>0</v>
      </c>
      <c r="L1155" s="26">
        <v>0</v>
      </c>
      <c r="M1155">
        <v>0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0</v>
      </c>
      <c r="AK1155">
        <v>0</v>
      </c>
      <c r="AL1155">
        <v>0</v>
      </c>
      <c r="AM1155">
        <v>0</v>
      </c>
      <c r="AN1155" s="18" t="s">
        <v>52</v>
      </c>
      <c r="AO1155" s="18" t="s">
        <v>52</v>
      </c>
      <c r="AP1155" s="18" t="s">
        <v>52</v>
      </c>
      <c r="AQ1155" s="18" t="s">
        <v>52</v>
      </c>
      <c r="AR1155" s="29">
        <v>0</v>
      </c>
      <c r="AS1155" s="29">
        <v>0</v>
      </c>
      <c r="AT1155" s="29">
        <v>0</v>
      </c>
      <c r="AU1155" s="24" t="str">
        <f t="shared" si="18"/>
        <v>库存为0</v>
      </c>
      <c r="AV1155" s="31" t="str">
        <f>IFERROR(时间!$B$4+AU1155,"上周无销量")</f>
        <v>上周无销量</v>
      </c>
    </row>
    <row r="1156" spans="1:48">
      <c r="A1156" s="16" t="s">
        <v>2072</v>
      </c>
      <c r="B1156" t="s">
        <v>2073</v>
      </c>
      <c r="C1156" t="s">
        <v>2063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0</v>
      </c>
      <c r="AK1156">
        <v>0</v>
      </c>
      <c r="AL1156">
        <v>0</v>
      </c>
      <c r="AM1156">
        <v>0</v>
      </c>
      <c r="AN1156" s="18" t="s">
        <v>52</v>
      </c>
      <c r="AO1156" s="18" t="s">
        <v>52</v>
      </c>
      <c r="AP1156" s="18" t="s">
        <v>52</v>
      </c>
      <c r="AQ1156" s="18" t="s">
        <v>52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2074</v>
      </c>
      <c r="B1157" t="s">
        <v>2075</v>
      </c>
      <c r="C1157" t="s">
        <v>2063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0</v>
      </c>
      <c r="K1157" s="26">
        <v>0</v>
      </c>
      <c r="L1157" s="26">
        <v>0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0</v>
      </c>
      <c r="AK1157">
        <v>0</v>
      </c>
      <c r="AL1157">
        <v>0</v>
      </c>
      <c r="AM1157">
        <v>0</v>
      </c>
      <c r="AN1157" s="18" t="s">
        <v>52</v>
      </c>
      <c r="AO1157" s="18" t="s">
        <v>52</v>
      </c>
      <c r="AP1157" s="18" t="s">
        <v>52</v>
      </c>
      <c r="AQ1157" s="18" t="s">
        <v>52</v>
      </c>
      <c r="AR1157" s="29">
        <v>0</v>
      </c>
      <c r="AS1157" s="29">
        <v>0</v>
      </c>
      <c r="AT1157" s="29">
        <v>0</v>
      </c>
      <c r="AU1157" s="24" t="str">
        <f t="shared" si="18"/>
        <v>库存为0</v>
      </c>
      <c r="AV1157" s="31" t="str">
        <f>IFERROR(时间!$B$4+AU1157,"上周无销量")</f>
        <v>上周无销量</v>
      </c>
    </row>
    <row r="1158" spans="1:48">
      <c r="A1158" s="16" t="s">
        <v>2076</v>
      </c>
      <c r="B1158" t="s">
        <v>2077</v>
      </c>
      <c r="C1158" t="s">
        <v>2063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0</v>
      </c>
      <c r="J1158" s="26">
        <v>0</v>
      </c>
      <c r="K1158" s="26">
        <v>0</v>
      </c>
      <c r="L1158" s="26">
        <v>0</v>
      </c>
      <c r="M1158">
        <v>0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0</v>
      </c>
      <c r="AK1158">
        <v>0</v>
      </c>
      <c r="AL1158">
        <v>0</v>
      </c>
      <c r="AM1158">
        <v>0</v>
      </c>
      <c r="AN1158" s="18" t="s">
        <v>52</v>
      </c>
      <c r="AO1158" s="18" t="s">
        <v>52</v>
      </c>
      <c r="AP1158" s="18" t="s">
        <v>52</v>
      </c>
      <c r="AQ1158" s="18" t="s">
        <v>52</v>
      </c>
      <c r="AR1158" s="29">
        <v>0</v>
      </c>
      <c r="AS1158" s="29">
        <v>0</v>
      </c>
      <c r="AT1158" s="29">
        <v>0</v>
      </c>
      <c r="AU1158" s="24" t="str">
        <f t="shared" ref="AU1158:AU1221" si="19">IF(AR1158="","库存为"&amp;M1158,IF(AS1158=0,"库存为"&amp;M1158,INT(M1158/AR1158)))</f>
        <v>库存为0</v>
      </c>
      <c r="AV1158" s="31" t="str">
        <f>IFERROR(时间!$B$4+AU1158,"上周无销量")</f>
        <v>上周无销量</v>
      </c>
    </row>
    <row r="1159" spans="1:48">
      <c r="A1159" s="16" t="s">
        <v>2078</v>
      </c>
      <c r="B1159" t="s">
        <v>2079</v>
      </c>
      <c r="C1159" t="s">
        <v>2063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0</v>
      </c>
      <c r="J1159" s="26">
        <v>0</v>
      </c>
      <c r="K1159" s="26">
        <v>0</v>
      </c>
      <c r="L1159" s="26">
        <v>0</v>
      </c>
      <c r="M1159">
        <v>0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0</v>
      </c>
      <c r="AK1159">
        <v>0</v>
      </c>
      <c r="AL1159">
        <v>0</v>
      </c>
      <c r="AM1159">
        <v>0</v>
      </c>
      <c r="AN1159" s="18" t="s">
        <v>52</v>
      </c>
      <c r="AO1159" s="18" t="s">
        <v>52</v>
      </c>
      <c r="AP1159" s="18" t="s">
        <v>52</v>
      </c>
      <c r="AQ1159" s="18" t="s">
        <v>52</v>
      </c>
      <c r="AR1159" s="29">
        <v>0</v>
      </c>
      <c r="AS1159" s="29">
        <v>0</v>
      </c>
      <c r="AT1159" s="29">
        <v>0</v>
      </c>
      <c r="AU1159" s="24" t="str">
        <f t="shared" si="19"/>
        <v>库存为0</v>
      </c>
      <c r="AV1159" s="31" t="str">
        <f>IFERROR(时间!$B$4+AU1159,"上周无销量")</f>
        <v>上周无销量</v>
      </c>
    </row>
    <row r="1160" spans="1:48">
      <c r="A1160" s="16" t="s">
        <v>2080</v>
      </c>
      <c r="B1160" t="s">
        <v>2081</v>
      </c>
      <c r="C1160" t="s">
        <v>2063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0</v>
      </c>
      <c r="K1160" s="26">
        <v>0</v>
      </c>
      <c r="L1160" s="26">
        <v>0</v>
      </c>
      <c r="M1160">
        <v>0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0</v>
      </c>
      <c r="AK1160">
        <v>0</v>
      </c>
      <c r="AL1160">
        <v>0</v>
      </c>
      <c r="AM1160">
        <v>0</v>
      </c>
      <c r="AN1160" s="18" t="s">
        <v>52</v>
      </c>
      <c r="AO1160" s="18" t="s">
        <v>52</v>
      </c>
      <c r="AP1160" s="18" t="s">
        <v>52</v>
      </c>
      <c r="AQ1160" s="18" t="s">
        <v>52</v>
      </c>
      <c r="AR1160" s="29">
        <v>0</v>
      </c>
      <c r="AS1160" s="29">
        <v>0</v>
      </c>
      <c r="AT1160" s="29">
        <v>0</v>
      </c>
      <c r="AU1160" s="24" t="str">
        <f t="shared" si="19"/>
        <v>库存为0</v>
      </c>
      <c r="AV1160" s="31" t="str">
        <f>IFERROR(时间!$B$4+AU1160,"上周无销量")</f>
        <v>上周无销量</v>
      </c>
    </row>
    <row r="1161" spans="1:48">
      <c r="A1161" s="16" t="s">
        <v>2082</v>
      </c>
      <c r="B1161" t="s">
        <v>2083</v>
      </c>
      <c r="C1161" t="s">
        <v>2063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0</v>
      </c>
      <c r="J1161" s="26">
        <v>0</v>
      </c>
      <c r="K1161" s="26">
        <v>0</v>
      </c>
      <c r="L1161" s="26">
        <v>0</v>
      </c>
      <c r="M1161">
        <v>0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0</v>
      </c>
      <c r="AK1161">
        <v>0</v>
      </c>
      <c r="AL1161">
        <v>0</v>
      </c>
      <c r="AM1161">
        <v>0</v>
      </c>
      <c r="AN1161" s="18" t="s">
        <v>52</v>
      </c>
      <c r="AO1161" s="18" t="s">
        <v>52</v>
      </c>
      <c r="AP1161" s="18" t="s">
        <v>52</v>
      </c>
      <c r="AQ1161" s="18" t="s">
        <v>52</v>
      </c>
      <c r="AR1161" s="29">
        <v>0</v>
      </c>
      <c r="AS1161" s="29">
        <v>0</v>
      </c>
      <c r="AT1161" s="29">
        <v>0</v>
      </c>
      <c r="AU1161" s="24" t="str">
        <f t="shared" si="19"/>
        <v>库存为0</v>
      </c>
      <c r="AV1161" s="31" t="str">
        <f>IFERROR(时间!$B$4+AU1161,"上周无销量")</f>
        <v>上周无销量</v>
      </c>
    </row>
    <row r="1162" spans="1:48">
      <c r="A1162" s="16" t="s">
        <v>2084</v>
      </c>
      <c r="B1162" t="s">
        <v>2085</v>
      </c>
      <c r="C1162" t="s">
        <v>2063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0</v>
      </c>
      <c r="J1162" s="26">
        <v>0</v>
      </c>
      <c r="K1162" s="26">
        <v>0</v>
      </c>
      <c r="L1162" s="26">
        <v>0</v>
      </c>
      <c r="M1162">
        <v>0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0</v>
      </c>
      <c r="AK1162">
        <v>0</v>
      </c>
      <c r="AL1162">
        <v>0</v>
      </c>
      <c r="AM1162">
        <v>0</v>
      </c>
      <c r="AN1162" s="18" t="s">
        <v>52</v>
      </c>
      <c r="AO1162" s="18" t="s">
        <v>52</v>
      </c>
      <c r="AP1162" s="18" t="s">
        <v>52</v>
      </c>
      <c r="AQ1162" s="18" t="s">
        <v>52</v>
      </c>
      <c r="AR1162" s="29">
        <v>0</v>
      </c>
      <c r="AS1162" s="29">
        <v>0</v>
      </c>
      <c r="AT1162" s="29">
        <v>0</v>
      </c>
      <c r="AU1162" s="24" t="str">
        <f t="shared" si="19"/>
        <v>库存为0</v>
      </c>
      <c r="AV1162" s="31" t="str">
        <f>IFERROR(时间!$B$4+AU1162,"上周无销量")</f>
        <v>上周无销量</v>
      </c>
    </row>
    <row r="1163" spans="1:48">
      <c r="A1163" s="16" t="s">
        <v>2086</v>
      </c>
      <c r="B1163" t="s">
        <v>2087</v>
      </c>
      <c r="C1163" t="s">
        <v>2063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0</v>
      </c>
      <c r="K1163" s="26">
        <v>0</v>
      </c>
      <c r="L1163" s="26">
        <v>0</v>
      </c>
      <c r="M1163">
        <v>0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0</v>
      </c>
      <c r="AK1163">
        <v>0</v>
      </c>
      <c r="AL1163">
        <v>0</v>
      </c>
      <c r="AM1163">
        <v>0</v>
      </c>
      <c r="AN1163" s="18" t="s">
        <v>52</v>
      </c>
      <c r="AO1163" s="18" t="s">
        <v>52</v>
      </c>
      <c r="AP1163" s="18" t="s">
        <v>52</v>
      </c>
      <c r="AQ1163" s="18" t="s">
        <v>52</v>
      </c>
      <c r="AR1163" s="29">
        <v>0</v>
      </c>
      <c r="AS1163" s="29">
        <v>0</v>
      </c>
      <c r="AT1163" s="29">
        <v>0</v>
      </c>
      <c r="AU1163" s="24" t="str">
        <f t="shared" si="19"/>
        <v>库存为0</v>
      </c>
      <c r="AV1163" s="31" t="str">
        <f>IFERROR(时间!$B$4+AU1163,"上周无销量")</f>
        <v>上周无销量</v>
      </c>
    </row>
    <row r="1164" spans="1:48">
      <c r="A1164" s="16" t="s">
        <v>2088</v>
      </c>
      <c r="B1164" t="s">
        <v>1576</v>
      </c>
      <c r="C1164" t="s">
        <v>2063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0</v>
      </c>
      <c r="J1164" s="26">
        <v>0</v>
      </c>
      <c r="K1164" s="26">
        <v>0</v>
      </c>
      <c r="L1164" s="26">
        <v>0</v>
      </c>
      <c r="M1164">
        <v>0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22</v>
      </c>
      <c r="AK1164">
        <v>23</v>
      </c>
      <c r="AL1164">
        <v>17</v>
      </c>
      <c r="AM1164">
        <v>11</v>
      </c>
      <c r="AN1164" s="18">
        <v>0</v>
      </c>
      <c r="AO1164" s="18">
        <v>0</v>
      </c>
      <c r="AP1164" s="18">
        <v>0</v>
      </c>
      <c r="AQ1164" s="18">
        <v>0</v>
      </c>
      <c r="AR1164" s="29">
        <v>0</v>
      </c>
      <c r="AS1164" s="29">
        <v>0</v>
      </c>
      <c r="AT1164" s="29">
        <v>0</v>
      </c>
      <c r="AU1164" s="24" t="str">
        <f t="shared" si="19"/>
        <v>库存为0</v>
      </c>
      <c r="AV1164" s="31" t="str">
        <f>IFERROR(时间!$B$4+AU1164,"上周无销量")</f>
        <v>上周无销量</v>
      </c>
    </row>
    <row r="1165" spans="1:48">
      <c r="A1165" s="16" t="s">
        <v>2089</v>
      </c>
      <c r="B1165" t="s">
        <v>2090</v>
      </c>
      <c r="C1165" t="s">
        <v>2063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0</v>
      </c>
      <c r="J1165" s="26">
        <v>0</v>
      </c>
      <c r="K1165" s="26">
        <v>0</v>
      </c>
      <c r="L1165" s="26">
        <v>0</v>
      </c>
      <c r="M1165">
        <v>0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0</v>
      </c>
      <c r="AK1165">
        <v>0</v>
      </c>
      <c r="AL1165">
        <v>0</v>
      </c>
      <c r="AM1165">
        <v>0</v>
      </c>
      <c r="AN1165" s="18" t="s">
        <v>52</v>
      </c>
      <c r="AO1165" s="18" t="s">
        <v>52</v>
      </c>
      <c r="AP1165" s="18" t="s">
        <v>52</v>
      </c>
      <c r="AQ1165" s="18" t="s">
        <v>52</v>
      </c>
      <c r="AR1165" s="29">
        <v>0</v>
      </c>
      <c r="AS1165" s="29">
        <v>0</v>
      </c>
      <c r="AT1165" s="29">
        <v>0</v>
      </c>
      <c r="AU1165" s="24" t="str">
        <f t="shared" si="19"/>
        <v>库存为0</v>
      </c>
      <c r="AV1165" s="31" t="str">
        <f>IFERROR(时间!$B$4+AU1165,"上周无销量")</f>
        <v>上周无销量</v>
      </c>
    </row>
    <row r="1166" spans="1:48">
      <c r="A1166" s="16" t="s">
        <v>2091</v>
      </c>
      <c r="B1166" t="s">
        <v>1583</v>
      </c>
      <c r="C1166" t="s">
        <v>2063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0</v>
      </c>
      <c r="J1166" s="26">
        <v>0</v>
      </c>
      <c r="K1166" s="26">
        <v>0</v>
      </c>
      <c r="L1166" s="26">
        <v>0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7</v>
      </c>
      <c r="AK1166">
        <v>11</v>
      </c>
      <c r="AL1166">
        <v>13</v>
      </c>
      <c r="AM1166">
        <v>3</v>
      </c>
      <c r="AN1166" s="18">
        <v>0</v>
      </c>
      <c r="AO1166" s="18">
        <v>0</v>
      </c>
      <c r="AP1166" s="18">
        <v>0</v>
      </c>
      <c r="AQ1166" s="18">
        <v>0</v>
      </c>
      <c r="AR1166" s="29">
        <v>0</v>
      </c>
      <c r="AS1166" s="29">
        <v>0</v>
      </c>
      <c r="AT1166" s="29">
        <v>0</v>
      </c>
      <c r="AU1166" s="24" t="str">
        <f t="shared" si="19"/>
        <v>库存为0</v>
      </c>
      <c r="AV1166" s="31" t="str">
        <f>IFERROR(时间!$B$4+AU1166,"上周无销量")</f>
        <v>上周无销量</v>
      </c>
    </row>
    <row r="1167" spans="1:48">
      <c r="A1167" s="16" t="s">
        <v>2092</v>
      </c>
      <c r="B1167" t="s">
        <v>1581</v>
      </c>
      <c r="C1167" t="s">
        <v>2063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3</v>
      </c>
      <c r="AK1167">
        <v>13</v>
      </c>
      <c r="AL1167">
        <v>8</v>
      </c>
      <c r="AM1167">
        <v>8</v>
      </c>
      <c r="AN1167" s="18">
        <v>0</v>
      </c>
      <c r="AO1167" s="18">
        <v>0</v>
      </c>
      <c r="AP1167" s="18">
        <v>0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2093</v>
      </c>
      <c r="B1168" t="s">
        <v>1579</v>
      </c>
      <c r="C1168" t="s">
        <v>2063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16</v>
      </c>
      <c r="AK1168">
        <v>26</v>
      </c>
      <c r="AL1168">
        <v>23</v>
      </c>
      <c r="AM1168">
        <v>25</v>
      </c>
      <c r="AN1168" s="18">
        <v>0</v>
      </c>
      <c r="AO1168" s="18">
        <v>0</v>
      </c>
      <c r="AP1168" s="18">
        <v>0</v>
      </c>
      <c r="AQ1168" s="18">
        <v>0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2094</v>
      </c>
      <c r="B1169" t="s">
        <v>1585</v>
      </c>
      <c r="C1169" t="s">
        <v>2063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0</v>
      </c>
      <c r="J1169" s="26">
        <v>0</v>
      </c>
      <c r="K1169" s="26">
        <v>0</v>
      </c>
      <c r="L1169" s="26">
        <v>0</v>
      </c>
      <c r="M1169">
        <v>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6</v>
      </c>
      <c r="AK1169">
        <v>6</v>
      </c>
      <c r="AL1169">
        <v>3</v>
      </c>
      <c r="AM1169">
        <v>8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0</v>
      </c>
      <c r="AU1169" s="24" t="str">
        <f t="shared" si="19"/>
        <v>库存为0</v>
      </c>
      <c r="AV1169" s="31" t="str">
        <f>IFERROR(时间!$B$4+AU1169,"上周无销量")</f>
        <v>上周无销量</v>
      </c>
    </row>
    <row r="1170" spans="1:48">
      <c r="A1170" s="16" t="s">
        <v>2095</v>
      </c>
      <c r="B1170" t="s">
        <v>1587</v>
      </c>
      <c r="C1170" t="s">
        <v>2063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0</v>
      </c>
      <c r="J1170" s="26">
        <v>0</v>
      </c>
      <c r="K1170" s="26">
        <v>0</v>
      </c>
      <c r="L1170" s="26">
        <v>0</v>
      </c>
      <c r="M1170">
        <v>0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4</v>
      </c>
      <c r="AK1170">
        <v>8</v>
      </c>
      <c r="AL1170">
        <v>1</v>
      </c>
      <c r="AM1170">
        <v>4</v>
      </c>
      <c r="AN1170" s="18">
        <v>0</v>
      </c>
      <c r="AO1170" s="18">
        <v>0</v>
      </c>
      <c r="AP1170" s="18">
        <v>0</v>
      </c>
      <c r="AQ1170" s="18">
        <v>0</v>
      </c>
      <c r="AR1170" s="29">
        <v>0</v>
      </c>
      <c r="AS1170" s="29">
        <v>0</v>
      </c>
      <c r="AT1170" s="29">
        <v>0</v>
      </c>
      <c r="AU1170" s="24" t="str">
        <f t="shared" si="19"/>
        <v>库存为0</v>
      </c>
      <c r="AV1170" s="31" t="str">
        <f>IFERROR(时间!$B$4+AU1170,"上周无销量")</f>
        <v>上周无销量</v>
      </c>
    </row>
    <row r="1171" spans="1:48">
      <c r="A1171" s="16" t="s">
        <v>2096</v>
      </c>
      <c r="B1171" t="s">
        <v>184</v>
      </c>
      <c r="C1171" t="s">
        <v>2063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0</v>
      </c>
      <c r="J1171" s="26">
        <v>0</v>
      </c>
      <c r="K1171" s="26">
        <v>0</v>
      </c>
      <c r="L1171" s="26">
        <v>0</v>
      </c>
      <c r="M1171">
        <v>0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13</v>
      </c>
      <c r="AK1171">
        <v>8</v>
      </c>
      <c r="AL1171">
        <v>15</v>
      </c>
      <c r="AM1171">
        <v>9</v>
      </c>
      <c r="AN1171" s="18">
        <v>0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0</v>
      </c>
      <c r="AU1171" s="24" t="str">
        <f t="shared" si="19"/>
        <v>库存为0</v>
      </c>
      <c r="AV1171" s="31" t="str">
        <f>IFERROR(时间!$B$4+AU1171,"上周无销量")</f>
        <v>上周无销量</v>
      </c>
    </row>
    <row r="1172" spans="1:48">
      <c r="A1172" s="16" t="s">
        <v>2097</v>
      </c>
      <c r="B1172" t="s">
        <v>186</v>
      </c>
      <c r="C1172" t="s">
        <v>2063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7</v>
      </c>
      <c r="AK1172">
        <v>11</v>
      </c>
      <c r="AL1172">
        <v>13</v>
      </c>
      <c r="AM1172">
        <v>13</v>
      </c>
      <c r="AN1172" s="18">
        <v>0</v>
      </c>
      <c r="AO1172" s="18">
        <v>0</v>
      </c>
      <c r="AP1172" s="18">
        <v>0</v>
      </c>
      <c r="AQ1172" s="18">
        <v>0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2098</v>
      </c>
      <c r="B1173" t="s">
        <v>188</v>
      </c>
      <c r="C1173" t="s">
        <v>2063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0</v>
      </c>
      <c r="J1173" s="26">
        <v>0</v>
      </c>
      <c r="K1173" s="26">
        <v>0</v>
      </c>
      <c r="L1173" s="26">
        <v>0</v>
      </c>
      <c r="M1173">
        <v>0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8</v>
      </c>
      <c r="AK1173">
        <v>9</v>
      </c>
      <c r="AL1173">
        <v>12</v>
      </c>
      <c r="AM1173">
        <v>5</v>
      </c>
      <c r="AN1173" s="18">
        <v>0</v>
      </c>
      <c r="AO1173" s="18">
        <v>0</v>
      </c>
      <c r="AP1173" s="18">
        <v>0</v>
      </c>
      <c r="AQ1173" s="18">
        <v>0</v>
      </c>
      <c r="AR1173" s="29">
        <v>0</v>
      </c>
      <c r="AS1173" s="29">
        <v>0</v>
      </c>
      <c r="AT1173" s="29">
        <v>0</v>
      </c>
      <c r="AU1173" s="24" t="str">
        <f t="shared" si="19"/>
        <v>库存为0</v>
      </c>
      <c r="AV1173" s="31" t="str">
        <f>IFERROR(时间!$B$4+AU1173,"上周无销量")</f>
        <v>上周无销量</v>
      </c>
    </row>
    <row r="1174" spans="1:48">
      <c r="A1174" s="16" t="s">
        <v>2099</v>
      </c>
      <c r="B1174" t="s">
        <v>190</v>
      </c>
      <c r="C1174" t="s">
        <v>2063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0</v>
      </c>
      <c r="J1174" s="26">
        <v>0</v>
      </c>
      <c r="K1174" s="26">
        <v>0</v>
      </c>
      <c r="L1174" s="26">
        <v>0</v>
      </c>
      <c r="M1174">
        <v>0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16</v>
      </c>
      <c r="AK1174">
        <v>24</v>
      </c>
      <c r="AL1174">
        <v>33</v>
      </c>
      <c r="AM1174">
        <v>28</v>
      </c>
      <c r="AN1174" s="18">
        <v>0</v>
      </c>
      <c r="AO1174" s="18">
        <v>0</v>
      </c>
      <c r="AP1174" s="18">
        <v>0</v>
      </c>
      <c r="AQ1174" s="18">
        <v>0</v>
      </c>
      <c r="AR1174" s="29">
        <v>0</v>
      </c>
      <c r="AS1174" s="29">
        <v>0</v>
      </c>
      <c r="AT1174" s="29">
        <v>0</v>
      </c>
      <c r="AU1174" s="24" t="str">
        <f t="shared" si="19"/>
        <v>库存为0</v>
      </c>
      <c r="AV1174" s="31" t="str">
        <f>IFERROR(时间!$B$4+AU1174,"上周无销量")</f>
        <v>上周无销量</v>
      </c>
    </row>
    <row r="1175" spans="1:48">
      <c r="A1175" s="16" t="s">
        <v>2100</v>
      </c>
      <c r="B1175" t="s">
        <v>192</v>
      </c>
      <c r="C1175" t="s">
        <v>2063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0</v>
      </c>
      <c r="J1175" s="26">
        <v>0</v>
      </c>
      <c r="K1175" s="26">
        <v>0</v>
      </c>
      <c r="L1175" s="26">
        <v>0</v>
      </c>
      <c r="M1175">
        <v>0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8</v>
      </c>
      <c r="AK1175">
        <v>5</v>
      </c>
      <c r="AL1175">
        <v>6</v>
      </c>
      <c r="AM1175">
        <v>8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0</v>
      </c>
      <c r="AU1175" s="24" t="str">
        <f t="shared" si="19"/>
        <v>库存为0</v>
      </c>
      <c r="AV1175" s="31" t="str">
        <f>IFERROR(时间!$B$4+AU1175,"上周无销量")</f>
        <v>上周无销量</v>
      </c>
    </row>
    <row r="1176" spans="1:48">
      <c r="A1176" s="16" t="s">
        <v>2101</v>
      </c>
      <c r="B1176" t="s">
        <v>2102</v>
      </c>
      <c r="C1176" t="s">
        <v>2063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0</v>
      </c>
      <c r="J1176" s="26">
        <v>0</v>
      </c>
      <c r="K1176" s="26">
        <v>0</v>
      </c>
      <c r="L1176" s="26">
        <v>0</v>
      </c>
      <c r="M1176">
        <v>0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11</v>
      </c>
      <c r="AK1176">
        <v>15</v>
      </c>
      <c r="AL1176">
        <v>20</v>
      </c>
      <c r="AM1176">
        <v>19</v>
      </c>
      <c r="AN1176" s="18">
        <v>0</v>
      </c>
      <c r="AO1176" s="18">
        <v>0</v>
      </c>
      <c r="AP1176" s="18">
        <v>0</v>
      </c>
      <c r="AQ1176" s="18">
        <v>0</v>
      </c>
      <c r="AR1176" s="29">
        <v>0</v>
      </c>
      <c r="AS1176" s="29">
        <v>0</v>
      </c>
      <c r="AT1176" s="29">
        <v>0</v>
      </c>
      <c r="AU1176" s="24" t="str">
        <f t="shared" si="19"/>
        <v>库存为0</v>
      </c>
      <c r="AV1176" s="31" t="str">
        <f>IFERROR(时间!$B$4+AU1176,"上周无销量")</f>
        <v>上周无销量</v>
      </c>
    </row>
    <row r="1177" spans="1:48">
      <c r="A1177" s="16" t="s">
        <v>2103</v>
      </c>
      <c r="B1177" t="s">
        <v>2104</v>
      </c>
      <c r="C1177" t="s">
        <v>2063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0</v>
      </c>
      <c r="J1177" s="26">
        <v>0</v>
      </c>
      <c r="K1177" s="26">
        <v>0</v>
      </c>
      <c r="L1177" s="26">
        <v>0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6</v>
      </c>
      <c r="AK1177">
        <v>17</v>
      </c>
      <c r="AL1177">
        <v>13</v>
      </c>
      <c r="AM1177">
        <v>7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0</v>
      </c>
      <c r="AU1177" s="24" t="str">
        <f t="shared" si="19"/>
        <v>库存为0</v>
      </c>
      <c r="AV1177" s="31" t="str">
        <f>IFERROR(时间!$B$4+AU1177,"上周无销量")</f>
        <v>上周无销量</v>
      </c>
    </row>
    <row r="1178" spans="1:48">
      <c r="A1178" s="16" t="s">
        <v>2105</v>
      </c>
      <c r="B1178" t="s">
        <v>2106</v>
      </c>
      <c r="C1178" t="s">
        <v>2063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0</v>
      </c>
      <c r="J1178" s="26">
        <v>0</v>
      </c>
      <c r="K1178" s="26">
        <v>0</v>
      </c>
      <c r="L1178" s="26">
        <v>0</v>
      </c>
      <c r="M1178">
        <v>0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9</v>
      </c>
      <c r="AK1178">
        <v>18</v>
      </c>
      <c r="AL1178">
        <v>18</v>
      </c>
      <c r="AM1178">
        <v>12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0</v>
      </c>
      <c r="AU1178" s="24" t="str">
        <f t="shared" si="19"/>
        <v>库存为0</v>
      </c>
      <c r="AV1178" s="31" t="str">
        <f>IFERROR(时间!$B$4+AU1178,"上周无销量")</f>
        <v>上周无销量</v>
      </c>
    </row>
    <row r="1179" spans="1:48">
      <c r="A1179" s="16" t="s">
        <v>2107</v>
      </c>
      <c r="B1179" t="s">
        <v>2108</v>
      </c>
      <c r="C1179" t="s">
        <v>2063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0</v>
      </c>
      <c r="J1179" s="26">
        <v>0</v>
      </c>
      <c r="K1179" s="26">
        <v>0</v>
      </c>
      <c r="L1179" s="26">
        <v>0</v>
      </c>
      <c r="M1179">
        <v>0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14</v>
      </c>
      <c r="AK1179">
        <v>26</v>
      </c>
      <c r="AL1179">
        <v>18</v>
      </c>
      <c r="AM1179">
        <v>19</v>
      </c>
      <c r="AN1179" s="18">
        <v>0</v>
      </c>
      <c r="AO1179" s="18">
        <v>0</v>
      </c>
      <c r="AP1179" s="18">
        <v>0</v>
      </c>
      <c r="AQ1179" s="18">
        <v>0</v>
      </c>
      <c r="AR1179" s="29">
        <v>0</v>
      </c>
      <c r="AS1179" s="29">
        <v>0</v>
      </c>
      <c r="AT1179" s="29">
        <v>0</v>
      </c>
      <c r="AU1179" s="24" t="str">
        <f t="shared" si="19"/>
        <v>库存为0</v>
      </c>
      <c r="AV1179" s="31" t="str">
        <f>IFERROR(时间!$B$4+AU1179,"上周无销量")</f>
        <v>上周无销量</v>
      </c>
    </row>
    <row r="1180" spans="1:48">
      <c r="A1180" s="16" t="s">
        <v>2109</v>
      </c>
      <c r="B1180" t="s">
        <v>2110</v>
      </c>
      <c r="C1180" t="s">
        <v>2063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0</v>
      </c>
      <c r="J1180" s="26">
        <v>0</v>
      </c>
      <c r="K1180" s="26">
        <v>0</v>
      </c>
      <c r="L1180" s="26">
        <v>0</v>
      </c>
      <c r="M1180">
        <v>0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0</v>
      </c>
      <c r="AK1180">
        <v>0</v>
      </c>
      <c r="AL1180">
        <v>0</v>
      </c>
      <c r="AM1180">
        <v>0</v>
      </c>
      <c r="AN1180" s="18" t="s">
        <v>52</v>
      </c>
      <c r="AO1180" s="18" t="s">
        <v>52</v>
      </c>
      <c r="AP1180" s="18" t="s">
        <v>52</v>
      </c>
      <c r="AQ1180" s="18" t="s">
        <v>52</v>
      </c>
      <c r="AR1180" s="29">
        <v>0</v>
      </c>
      <c r="AS1180" s="29">
        <v>0</v>
      </c>
      <c r="AT1180" s="29">
        <v>0</v>
      </c>
      <c r="AU1180" s="24" t="str">
        <f t="shared" si="19"/>
        <v>库存为0</v>
      </c>
      <c r="AV1180" s="31" t="str">
        <f>IFERROR(时间!$B$4+AU1180,"上周无销量")</f>
        <v>上周无销量</v>
      </c>
    </row>
    <row r="1181" spans="1:48">
      <c r="A1181" s="16" t="s">
        <v>2111</v>
      </c>
      <c r="B1181" t="s">
        <v>1595</v>
      </c>
      <c r="C1181" t="s">
        <v>2063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0</v>
      </c>
      <c r="J1181" s="26">
        <v>0</v>
      </c>
      <c r="K1181" s="26">
        <v>0</v>
      </c>
      <c r="L1181" s="26">
        <v>0</v>
      </c>
      <c r="M1181">
        <v>0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25</v>
      </c>
      <c r="AK1181">
        <v>19</v>
      </c>
      <c r="AL1181">
        <v>16</v>
      </c>
      <c r="AM1181">
        <v>7</v>
      </c>
      <c r="AN1181" s="18">
        <v>0</v>
      </c>
      <c r="AO1181" s="18">
        <v>0</v>
      </c>
      <c r="AP1181" s="18">
        <v>0</v>
      </c>
      <c r="AQ1181" s="18">
        <v>0</v>
      </c>
      <c r="AR1181" s="29">
        <v>0</v>
      </c>
      <c r="AS1181" s="29">
        <v>0</v>
      </c>
      <c r="AT1181" s="29">
        <v>0</v>
      </c>
      <c r="AU1181" s="24" t="str">
        <f t="shared" si="19"/>
        <v>库存为0</v>
      </c>
      <c r="AV1181" s="31" t="str">
        <f>IFERROR(时间!$B$4+AU1181,"上周无销量")</f>
        <v>上周无销量</v>
      </c>
    </row>
    <row r="1182" spans="1:48">
      <c r="A1182" s="16" t="s">
        <v>2112</v>
      </c>
      <c r="B1182" t="s">
        <v>1597</v>
      </c>
      <c r="C1182" t="s">
        <v>2063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0</v>
      </c>
      <c r="K1182" s="26">
        <v>0</v>
      </c>
      <c r="L1182" s="26">
        <v>0</v>
      </c>
      <c r="M1182">
        <v>0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27</v>
      </c>
      <c r="AK1182">
        <v>48</v>
      </c>
      <c r="AL1182">
        <v>59</v>
      </c>
      <c r="AM1182">
        <v>42</v>
      </c>
      <c r="AN1182" s="18">
        <v>0</v>
      </c>
      <c r="AO1182" s="18">
        <v>0</v>
      </c>
      <c r="AP1182" s="18">
        <v>0</v>
      </c>
      <c r="AQ1182" s="18">
        <v>0</v>
      </c>
      <c r="AR1182" s="29">
        <v>0</v>
      </c>
      <c r="AS1182" s="29">
        <v>0</v>
      </c>
      <c r="AT1182" s="29">
        <v>0</v>
      </c>
      <c r="AU1182" s="24" t="str">
        <f t="shared" si="19"/>
        <v>库存为0</v>
      </c>
      <c r="AV1182" s="31" t="str">
        <f>IFERROR(时间!$B$4+AU1182,"上周无销量")</f>
        <v>上周无销量</v>
      </c>
    </row>
    <row r="1183" spans="1:48">
      <c r="A1183" s="16" t="s">
        <v>2113</v>
      </c>
      <c r="B1183" t="s">
        <v>2114</v>
      </c>
      <c r="C1183" t="s">
        <v>2063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0</v>
      </c>
      <c r="J1183" s="26">
        <v>0</v>
      </c>
      <c r="K1183" s="26">
        <v>0</v>
      </c>
      <c r="L1183" s="26">
        <v>0</v>
      </c>
      <c r="M1183">
        <v>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5</v>
      </c>
      <c r="AK1183">
        <v>2</v>
      </c>
      <c r="AL1183">
        <v>4</v>
      </c>
      <c r="AM1183">
        <v>4</v>
      </c>
      <c r="AN1183" s="18">
        <v>0</v>
      </c>
      <c r="AO1183" s="18">
        <v>0</v>
      </c>
      <c r="AP1183" s="18">
        <v>0</v>
      </c>
      <c r="AQ1183" s="18">
        <v>0</v>
      </c>
      <c r="AR1183" s="29">
        <v>0</v>
      </c>
      <c r="AS1183" s="29">
        <v>0</v>
      </c>
      <c r="AT1183" s="29">
        <v>0</v>
      </c>
      <c r="AU1183" s="24" t="str">
        <f t="shared" si="19"/>
        <v>库存为0</v>
      </c>
      <c r="AV1183" s="31" t="str">
        <f>IFERROR(时间!$B$4+AU1183,"上周无销量")</f>
        <v>上周无销量</v>
      </c>
    </row>
    <row r="1184" spans="1:48">
      <c r="A1184" s="16" t="s">
        <v>2115</v>
      </c>
      <c r="B1184" t="s">
        <v>2116</v>
      </c>
      <c r="C1184" t="s">
        <v>2063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0</v>
      </c>
      <c r="AK1184">
        <v>0</v>
      </c>
      <c r="AL1184">
        <v>0</v>
      </c>
      <c r="AM1184">
        <v>0</v>
      </c>
      <c r="AN1184" s="18" t="s">
        <v>52</v>
      </c>
      <c r="AO1184" s="18" t="s">
        <v>52</v>
      </c>
      <c r="AP1184" s="18" t="s">
        <v>52</v>
      </c>
      <c r="AQ1184" s="18" t="s">
        <v>52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2117</v>
      </c>
      <c r="B1185" t="s">
        <v>1603</v>
      </c>
      <c r="C1185" t="s">
        <v>2063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0</v>
      </c>
      <c r="J1185" s="26">
        <v>0</v>
      </c>
      <c r="K1185" s="26">
        <v>0</v>
      </c>
      <c r="L1185" s="26">
        <v>0</v>
      </c>
      <c r="M1185">
        <v>0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23</v>
      </c>
      <c r="AK1185">
        <v>23</v>
      </c>
      <c r="AL1185">
        <v>6</v>
      </c>
      <c r="AM1185">
        <v>28</v>
      </c>
      <c r="AN1185" s="18">
        <v>0</v>
      </c>
      <c r="AO1185" s="18">
        <v>0</v>
      </c>
      <c r="AP1185" s="18">
        <v>0</v>
      </c>
      <c r="AQ1185" s="18">
        <v>0</v>
      </c>
      <c r="AR1185" s="29">
        <v>0</v>
      </c>
      <c r="AS1185" s="29">
        <v>0</v>
      </c>
      <c r="AT1185" s="29">
        <v>0</v>
      </c>
      <c r="AU1185" s="24" t="str">
        <f t="shared" si="19"/>
        <v>库存为0</v>
      </c>
      <c r="AV1185" s="31" t="str">
        <f>IFERROR(时间!$B$4+AU1185,"上周无销量")</f>
        <v>上周无销量</v>
      </c>
    </row>
    <row r="1186" spans="1:48">
      <c r="A1186" s="16" t="s">
        <v>2118</v>
      </c>
      <c r="B1186" t="s">
        <v>1605</v>
      </c>
      <c r="C1186" t="s">
        <v>2063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18</v>
      </c>
      <c r="AK1186">
        <v>18</v>
      </c>
      <c r="AL1186">
        <v>75</v>
      </c>
      <c r="AM1186">
        <v>35</v>
      </c>
      <c r="AN1186" s="18">
        <v>0</v>
      </c>
      <c r="AO1186" s="18">
        <v>0</v>
      </c>
      <c r="AP1186" s="18">
        <v>0</v>
      </c>
      <c r="AQ1186" s="18">
        <v>0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2119</v>
      </c>
      <c r="B1187" t="s">
        <v>1607</v>
      </c>
      <c r="C1187" t="s">
        <v>2063</v>
      </c>
      <c r="D1187" s="24">
        <v>0</v>
      </c>
      <c r="E1187" s="24">
        <v>0</v>
      </c>
      <c r="F1187" s="24">
        <v>0</v>
      </c>
      <c r="G1187" s="24">
        <v>0</v>
      </c>
      <c r="H1187" s="25">
        <v>0</v>
      </c>
      <c r="I1187">
        <v>0</v>
      </c>
      <c r="J1187" s="26">
        <v>0</v>
      </c>
      <c r="K1187" s="26">
        <v>0</v>
      </c>
      <c r="L1187" s="26">
        <v>0</v>
      </c>
      <c r="M1187">
        <v>0</v>
      </c>
      <c r="N1187">
        <v>0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16</v>
      </c>
      <c r="AK1187">
        <v>30</v>
      </c>
      <c r="AL1187">
        <v>71</v>
      </c>
      <c r="AM1187">
        <v>43</v>
      </c>
      <c r="AN1187" s="18">
        <v>0</v>
      </c>
      <c r="AO1187" s="18">
        <v>0</v>
      </c>
      <c r="AP1187" s="18">
        <v>0</v>
      </c>
      <c r="AQ1187" s="18">
        <v>0</v>
      </c>
      <c r="AR1187" s="29">
        <v>0</v>
      </c>
      <c r="AS1187" s="29">
        <v>0</v>
      </c>
      <c r="AT1187" s="29">
        <v>0</v>
      </c>
      <c r="AU1187" s="24" t="str">
        <f t="shared" si="19"/>
        <v>库存为0</v>
      </c>
      <c r="AV1187" s="31" t="str">
        <f>IFERROR(时间!$B$4+AU1187,"上周无销量")</f>
        <v>上周无销量</v>
      </c>
    </row>
    <row r="1188" spans="1:48">
      <c r="A1188" s="16" t="s">
        <v>2120</v>
      </c>
      <c r="B1188" t="s">
        <v>2121</v>
      </c>
      <c r="C1188" t="s">
        <v>2063</v>
      </c>
      <c r="D1188" s="24">
        <v>0</v>
      </c>
      <c r="E1188" s="24">
        <v>0</v>
      </c>
      <c r="F1188" s="24">
        <v>0</v>
      </c>
      <c r="G1188" s="24">
        <v>0</v>
      </c>
      <c r="H1188" s="25">
        <v>0</v>
      </c>
      <c r="I1188">
        <v>0</v>
      </c>
      <c r="J1188" s="26">
        <v>0</v>
      </c>
      <c r="K1188" s="26">
        <v>0</v>
      </c>
      <c r="L1188" s="26">
        <v>0</v>
      </c>
      <c r="M1188">
        <v>0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0</v>
      </c>
      <c r="AK1188">
        <v>0</v>
      </c>
      <c r="AL1188">
        <v>0</v>
      </c>
      <c r="AM1188">
        <v>0</v>
      </c>
      <c r="AN1188" s="18" t="s">
        <v>52</v>
      </c>
      <c r="AO1188" s="18" t="s">
        <v>52</v>
      </c>
      <c r="AP1188" s="18" t="s">
        <v>52</v>
      </c>
      <c r="AQ1188" s="18" t="s">
        <v>52</v>
      </c>
      <c r="AR1188" s="29">
        <v>0</v>
      </c>
      <c r="AS1188" s="29">
        <v>0</v>
      </c>
      <c r="AT1188" s="29">
        <v>0</v>
      </c>
      <c r="AU1188" s="24" t="str">
        <f t="shared" si="19"/>
        <v>库存为0</v>
      </c>
      <c r="AV1188" s="31" t="str">
        <f>IFERROR(时间!$B$4+AU1188,"上周无销量")</f>
        <v>上周无销量</v>
      </c>
    </row>
    <row r="1189" spans="1:48">
      <c r="A1189" s="16" t="s">
        <v>2122</v>
      </c>
      <c r="B1189" t="s">
        <v>2123</v>
      </c>
      <c r="C1189" t="s">
        <v>2063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0</v>
      </c>
      <c r="J1189" s="26">
        <v>0</v>
      </c>
      <c r="K1189" s="26">
        <v>0</v>
      </c>
      <c r="L1189" s="26">
        <v>0</v>
      </c>
      <c r="M1189">
        <v>0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0</v>
      </c>
      <c r="AK1189">
        <v>0</v>
      </c>
      <c r="AL1189">
        <v>0</v>
      </c>
      <c r="AM1189">
        <v>0</v>
      </c>
      <c r="AN1189" s="18" t="s">
        <v>52</v>
      </c>
      <c r="AO1189" s="18" t="s">
        <v>52</v>
      </c>
      <c r="AP1189" s="18" t="s">
        <v>52</v>
      </c>
      <c r="AQ1189" s="18" t="s">
        <v>52</v>
      </c>
      <c r="AR1189" s="29">
        <v>0</v>
      </c>
      <c r="AS1189" s="29">
        <v>0</v>
      </c>
      <c r="AT1189" s="29">
        <v>0</v>
      </c>
      <c r="AU1189" s="24" t="str">
        <f t="shared" si="19"/>
        <v>库存为0</v>
      </c>
      <c r="AV1189" s="31" t="str">
        <f>IFERROR(时间!$B$4+AU1189,"上周无销量")</f>
        <v>上周无销量</v>
      </c>
    </row>
    <row r="1190" spans="1:48">
      <c r="A1190" s="16" t="s">
        <v>2124</v>
      </c>
      <c r="B1190" t="s">
        <v>1612</v>
      </c>
      <c r="C1190" t="s">
        <v>2063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0</v>
      </c>
      <c r="J1190" s="26">
        <v>0</v>
      </c>
      <c r="K1190" s="26">
        <v>0</v>
      </c>
      <c r="L1190" s="26">
        <v>0</v>
      </c>
      <c r="M1190">
        <v>0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16</v>
      </c>
      <c r="AK1190">
        <v>12</v>
      </c>
      <c r="AL1190">
        <v>27</v>
      </c>
      <c r="AM1190">
        <v>25</v>
      </c>
      <c r="AN1190" s="18">
        <v>0</v>
      </c>
      <c r="AO1190" s="18">
        <v>0</v>
      </c>
      <c r="AP1190" s="18">
        <v>0</v>
      </c>
      <c r="AQ1190" s="18">
        <v>0</v>
      </c>
      <c r="AR1190" s="29">
        <v>0</v>
      </c>
      <c r="AS1190" s="29">
        <v>0</v>
      </c>
      <c r="AT1190" s="29">
        <v>0</v>
      </c>
      <c r="AU1190" s="24" t="str">
        <f t="shared" si="19"/>
        <v>库存为0</v>
      </c>
      <c r="AV1190" s="31" t="str">
        <f>IFERROR(时间!$B$4+AU1190,"上周无销量")</f>
        <v>上周无销量</v>
      </c>
    </row>
    <row r="1191" spans="1:48">
      <c r="A1191" s="16" t="s">
        <v>2125</v>
      </c>
      <c r="B1191" t="s">
        <v>2126</v>
      </c>
      <c r="C1191" t="s">
        <v>2127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0</v>
      </c>
      <c r="K1191" s="26">
        <v>0</v>
      </c>
      <c r="L1191" s="26">
        <v>0</v>
      </c>
      <c r="M1191">
        <v>0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16</v>
      </c>
      <c r="AK1191">
        <v>30</v>
      </c>
      <c r="AL1191">
        <v>2</v>
      </c>
      <c r="AM1191">
        <v>23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0</v>
      </c>
      <c r="AU1191" s="24" t="str">
        <f t="shared" si="19"/>
        <v>库存为0</v>
      </c>
      <c r="AV1191" s="31" t="str">
        <f>IFERROR(时间!$B$4+AU1191,"上周无销量")</f>
        <v>上周无销量</v>
      </c>
    </row>
    <row r="1192" spans="1:48">
      <c r="A1192" s="16" t="s">
        <v>2128</v>
      </c>
      <c r="B1192" t="s">
        <v>2129</v>
      </c>
      <c r="C1192" t="s">
        <v>2127</v>
      </c>
      <c r="D1192" s="24">
        <v>0</v>
      </c>
      <c r="E1192" s="24">
        <v>0</v>
      </c>
      <c r="F1192" s="24">
        <v>0</v>
      </c>
      <c r="G1192" s="24">
        <v>0</v>
      </c>
      <c r="H1192" s="25">
        <v>0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10</v>
      </c>
      <c r="AK1192">
        <v>16</v>
      </c>
      <c r="AL1192">
        <v>1</v>
      </c>
      <c r="AM1192">
        <v>1</v>
      </c>
      <c r="AN1192" s="18">
        <v>0</v>
      </c>
      <c r="AO1192" s="18">
        <v>0</v>
      </c>
      <c r="AP1192" s="18">
        <v>0</v>
      </c>
      <c r="AQ1192" s="18">
        <v>0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2130</v>
      </c>
      <c r="B1193" t="s">
        <v>2131</v>
      </c>
      <c r="C1193" t="s">
        <v>2127</v>
      </c>
      <c r="D1193" s="24">
        <v>0</v>
      </c>
      <c r="E1193" s="24">
        <v>0</v>
      </c>
      <c r="F1193" s="24">
        <v>0</v>
      </c>
      <c r="G1193" s="24">
        <v>0</v>
      </c>
      <c r="H1193" s="25">
        <v>0</v>
      </c>
      <c r="I1193">
        <v>0</v>
      </c>
      <c r="J1193" s="26">
        <v>0</v>
      </c>
      <c r="K1193" s="26">
        <v>0</v>
      </c>
      <c r="L1193" s="26">
        <v>0</v>
      </c>
      <c r="M1193">
        <v>0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0</v>
      </c>
      <c r="AK1193">
        <v>0</v>
      </c>
      <c r="AL1193">
        <v>0</v>
      </c>
      <c r="AM1193">
        <v>0</v>
      </c>
      <c r="AN1193" s="18" t="s">
        <v>52</v>
      </c>
      <c r="AO1193" s="18" t="s">
        <v>52</v>
      </c>
      <c r="AP1193" s="18" t="s">
        <v>52</v>
      </c>
      <c r="AQ1193" s="18" t="s">
        <v>52</v>
      </c>
      <c r="AR1193" s="29">
        <v>0</v>
      </c>
      <c r="AS1193" s="29">
        <v>0</v>
      </c>
      <c r="AT1193" s="29">
        <v>0</v>
      </c>
      <c r="AU1193" s="24" t="str">
        <f t="shared" si="19"/>
        <v>库存为0</v>
      </c>
      <c r="AV1193" s="31" t="str">
        <f>IFERROR(时间!$B$4+AU1193,"上周无销量")</f>
        <v>上周无销量</v>
      </c>
    </row>
    <row r="1194" spans="1:48">
      <c r="A1194" s="16" t="s">
        <v>2132</v>
      </c>
      <c r="B1194" t="s">
        <v>2133</v>
      </c>
      <c r="C1194" t="s">
        <v>2127</v>
      </c>
      <c r="D1194" s="24">
        <v>0</v>
      </c>
      <c r="E1194" s="24">
        <v>0</v>
      </c>
      <c r="F1194" s="24">
        <v>0</v>
      </c>
      <c r="G1194" s="24">
        <v>0</v>
      </c>
      <c r="H1194" s="25">
        <v>0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0</v>
      </c>
      <c r="O1194">
        <v>0</v>
      </c>
      <c r="P1194" t="s">
        <v>52</v>
      </c>
      <c r="Q1194" t="s">
        <v>52</v>
      </c>
      <c r="R1194" t="s">
        <v>52</v>
      </c>
      <c r="S1194" t="s">
        <v>52</v>
      </c>
      <c r="T1194" t="s">
        <v>52</v>
      </c>
      <c r="U1194" t="s">
        <v>52</v>
      </c>
      <c r="V1194" t="s">
        <v>52</v>
      </c>
      <c r="W1194" t="s">
        <v>52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10</v>
      </c>
      <c r="AK1194">
        <v>14</v>
      </c>
      <c r="AL1194">
        <v>7</v>
      </c>
      <c r="AM1194">
        <v>20</v>
      </c>
      <c r="AN1194" s="18">
        <v>0</v>
      </c>
      <c r="AO1194" s="18">
        <v>0</v>
      </c>
      <c r="AP1194" s="18">
        <v>0</v>
      </c>
      <c r="AQ1194" s="18">
        <v>0</v>
      </c>
      <c r="AR1194" s="29">
        <v>0</v>
      </c>
      <c r="AS1194" s="29">
        <v>0</v>
      </c>
      <c r="AT1194" s="29">
        <v>0</v>
      </c>
      <c r="AU1194" s="24" t="str">
        <f t="shared" si="19"/>
        <v>库存为0</v>
      </c>
      <c r="AV1194" s="31" t="str">
        <f>IFERROR(时间!$B$4+AU1194,"上周无销量")</f>
        <v>上周无销量</v>
      </c>
    </row>
    <row r="1195" spans="1:48">
      <c r="A1195" s="16" t="s">
        <v>2134</v>
      </c>
      <c r="B1195" t="s">
        <v>2135</v>
      </c>
      <c r="C1195" t="s">
        <v>2127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1</v>
      </c>
      <c r="AK1195">
        <v>2</v>
      </c>
      <c r="AL1195">
        <v>4</v>
      </c>
      <c r="AM1195">
        <v>2</v>
      </c>
      <c r="AN1195" s="18">
        <v>0</v>
      </c>
      <c r="AO1195" s="18">
        <v>0</v>
      </c>
      <c r="AP1195" s="18">
        <v>0</v>
      </c>
      <c r="AQ1195" s="18">
        <v>0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2136</v>
      </c>
      <c r="B1196" t="s">
        <v>2137</v>
      </c>
      <c r="C1196" t="s">
        <v>2127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0</v>
      </c>
      <c r="J1196" s="26">
        <v>0</v>
      </c>
      <c r="K1196" s="26">
        <v>0</v>
      </c>
      <c r="L1196" s="26">
        <v>0</v>
      </c>
      <c r="M1196">
        <v>0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0</v>
      </c>
      <c r="AK1196">
        <v>0</v>
      </c>
      <c r="AL1196">
        <v>0</v>
      </c>
      <c r="AM1196">
        <v>0</v>
      </c>
      <c r="AN1196" s="18" t="s">
        <v>52</v>
      </c>
      <c r="AO1196" s="18" t="s">
        <v>52</v>
      </c>
      <c r="AP1196" s="18" t="s">
        <v>52</v>
      </c>
      <c r="AQ1196" s="18" t="s">
        <v>52</v>
      </c>
      <c r="AR1196" s="29">
        <v>0</v>
      </c>
      <c r="AS1196" s="29">
        <v>0</v>
      </c>
      <c r="AT1196" s="29">
        <v>0</v>
      </c>
      <c r="AU1196" s="24" t="str">
        <f t="shared" si="19"/>
        <v>库存为0</v>
      </c>
      <c r="AV1196" s="31" t="str">
        <f>IFERROR(时间!$B$4+AU1196,"上周无销量")</f>
        <v>上周无销量</v>
      </c>
    </row>
    <row r="1197" spans="1:48">
      <c r="A1197" s="16" t="s">
        <v>2138</v>
      </c>
      <c r="B1197" t="s">
        <v>2139</v>
      </c>
      <c r="C1197" t="s">
        <v>2127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0</v>
      </c>
      <c r="J1197" s="26">
        <v>0</v>
      </c>
      <c r="K1197" s="26">
        <v>0</v>
      </c>
      <c r="L1197" s="26">
        <v>0</v>
      </c>
      <c r="M1197">
        <v>0</v>
      </c>
      <c r="N1197">
        <v>0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0</v>
      </c>
      <c r="AK1197">
        <v>0</v>
      </c>
      <c r="AL1197">
        <v>0</v>
      </c>
      <c r="AM1197">
        <v>0</v>
      </c>
      <c r="AN1197" s="18" t="s">
        <v>52</v>
      </c>
      <c r="AO1197" s="18" t="s">
        <v>52</v>
      </c>
      <c r="AP1197" s="18" t="s">
        <v>52</v>
      </c>
      <c r="AQ1197" s="18" t="s">
        <v>52</v>
      </c>
      <c r="AR1197" s="29">
        <v>0</v>
      </c>
      <c r="AS1197" s="29">
        <v>0</v>
      </c>
      <c r="AT1197" s="29">
        <v>0</v>
      </c>
      <c r="AU1197" s="24" t="str">
        <f t="shared" si="19"/>
        <v>库存为0</v>
      </c>
      <c r="AV1197" s="31" t="str">
        <f>IFERROR(时间!$B$4+AU1197,"上周无销量")</f>
        <v>上周无销量</v>
      </c>
    </row>
    <row r="1198" spans="1:48">
      <c r="A1198" s="16" t="s">
        <v>2140</v>
      </c>
      <c r="B1198" t="s">
        <v>2141</v>
      </c>
      <c r="C1198" t="s">
        <v>2127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0</v>
      </c>
      <c r="J1198" s="26">
        <v>0</v>
      </c>
      <c r="K1198" s="26">
        <v>0</v>
      </c>
      <c r="L1198" s="26">
        <v>0</v>
      </c>
      <c r="M1198">
        <v>0</v>
      </c>
      <c r="N1198">
        <v>0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0</v>
      </c>
      <c r="AK1198">
        <v>0</v>
      </c>
      <c r="AL1198">
        <v>0</v>
      </c>
      <c r="AM1198">
        <v>0</v>
      </c>
      <c r="AN1198" s="18" t="s">
        <v>52</v>
      </c>
      <c r="AO1198" s="18" t="s">
        <v>52</v>
      </c>
      <c r="AP1198" s="18" t="s">
        <v>52</v>
      </c>
      <c r="AQ1198" s="18" t="s">
        <v>52</v>
      </c>
      <c r="AR1198" s="29">
        <v>0</v>
      </c>
      <c r="AS1198" s="29">
        <v>0</v>
      </c>
      <c r="AT1198" s="29">
        <v>0</v>
      </c>
      <c r="AU1198" s="24" t="str">
        <f t="shared" si="19"/>
        <v>库存为0</v>
      </c>
      <c r="AV1198" s="31" t="str">
        <f>IFERROR(时间!$B$4+AU1198,"上周无销量")</f>
        <v>上周无销量</v>
      </c>
    </row>
    <row r="1199" spans="1:48">
      <c r="A1199" s="16" t="s">
        <v>2142</v>
      </c>
      <c r="B1199" t="s">
        <v>2143</v>
      </c>
      <c r="C1199" t="s">
        <v>2127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0</v>
      </c>
      <c r="J1199" s="26">
        <v>0</v>
      </c>
      <c r="K1199" s="26">
        <v>0</v>
      </c>
      <c r="L1199" s="26">
        <v>0</v>
      </c>
      <c r="M1199">
        <v>0</v>
      </c>
      <c r="N1199">
        <v>0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0</v>
      </c>
      <c r="AK1199">
        <v>0</v>
      </c>
      <c r="AL1199">
        <v>0</v>
      </c>
      <c r="AM1199">
        <v>0</v>
      </c>
      <c r="AN1199" s="18" t="s">
        <v>52</v>
      </c>
      <c r="AO1199" s="18" t="s">
        <v>52</v>
      </c>
      <c r="AP1199" s="18" t="s">
        <v>52</v>
      </c>
      <c r="AQ1199" s="18" t="s">
        <v>52</v>
      </c>
      <c r="AR1199" s="29">
        <v>0</v>
      </c>
      <c r="AS1199" s="29">
        <v>0</v>
      </c>
      <c r="AT1199" s="29">
        <v>0</v>
      </c>
      <c r="AU1199" s="24" t="str">
        <f t="shared" si="19"/>
        <v>库存为0</v>
      </c>
      <c r="AV1199" s="31" t="str">
        <f>IFERROR(时间!$B$4+AU1199,"上周无销量")</f>
        <v>上周无销量</v>
      </c>
    </row>
    <row r="1200" spans="1:48">
      <c r="A1200" s="16" t="s">
        <v>2144</v>
      </c>
      <c r="B1200" t="s">
        <v>2145</v>
      </c>
      <c r="C1200" t="s">
        <v>2127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0</v>
      </c>
      <c r="J1200" s="26">
        <v>0</v>
      </c>
      <c r="K1200" s="26">
        <v>0</v>
      </c>
      <c r="L1200" s="26">
        <v>0</v>
      </c>
      <c r="M1200">
        <v>0</v>
      </c>
      <c r="N1200">
        <v>0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1</v>
      </c>
      <c r="AK1200">
        <v>0</v>
      </c>
      <c r="AL1200">
        <v>2</v>
      </c>
      <c r="AM1200">
        <v>3</v>
      </c>
      <c r="AN1200" s="18">
        <v>0</v>
      </c>
      <c r="AO1200" s="18" t="s">
        <v>52</v>
      </c>
      <c r="AP1200" s="18">
        <v>0</v>
      </c>
      <c r="AQ1200" s="18">
        <v>0</v>
      </c>
      <c r="AR1200" s="29">
        <v>0</v>
      </c>
      <c r="AS1200" s="29">
        <v>0</v>
      </c>
      <c r="AT1200" s="29">
        <v>0</v>
      </c>
      <c r="AU1200" s="24" t="str">
        <f t="shared" si="19"/>
        <v>库存为0</v>
      </c>
      <c r="AV1200" s="31" t="str">
        <f>IFERROR(时间!$B$4+AU1200,"上周无销量")</f>
        <v>上周无销量</v>
      </c>
    </row>
    <row r="1201" spans="1:48">
      <c r="A1201" s="16" t="s">
        <v>2146</v>
      </c>
      <c r="B1201" t="s">
        <v>2147</v>
      </c>
      <c r="C1201" t="s">
        <v>2127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0</v>
      </c>
      <c r="J1201" s="26">
        <v>0</v>
      </c>
      <c r="K1201" s="26">
        <v>0</v>
      </c>
      <c r="L1201" s="26">
        <v>0</v>
      </c>
      <c r="M1201">
        <v>0</v>
      </c>
      <c r="N1201">
        <v>0</v>
      </c>
      <c r="O1201">
        <v>0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35</v>
      </c>
      <c r="AK1201">
        <v>31</v>
      </c>
      <c r="AL1201">
        <v>35</v>
      </c>
      <c r="AM1201">
        <v>17</v>
      </c>
      <c r="AN1201" s="18">
        <v>0</v>
      </c>
      <c r="AO1201" s="18">
        <v>0</v>
      </c>
      <c r="AP1201" s="18">
        <v>0</v>
      </c>
      <c r="AQ1201" s="18">
        <v>0</v>
      </c>
      <c r="AR1201" s="29">
        <v>0</v>
      </c>
      <c r="AS1201" s="29">
        <v>0</v>
      </c>
      <c r="AT1201" s="29">
        <v>0</v>
      </c>
      <c r="AU1201" s="24" t="str">
        <f t="shared" si="19"/>
        <v>库存为0</v>
      </c>
      <c r="AV1201" s="31" t="str">
        <f>IFERROR(时间!$B$4+AU1201,"上周无销量")</f>
        <v>上周无销量</v>
      </c>
    </row>
    <row r="1202" spans="1:48">
      <c r="A1202" s="16" t="s">
        <v>2148</v>
      </c>
      <c r="B1202" t="s">
        <v>1637</v>
      </c>
      <c r="C1202" t="s">
        <v>2127</v>
      </c>
      <c r="D1202" s="24">
        <v>0</v>
      </c>
      <c r="E1202" s="24">
        <v>0</v>
      </c>
      <c r="F1202" s="24">
        <v>0</v>
      </c>
      <c r="G1202" s="24">
        <v>0</v>
      </c>
      <c r="H1202" s="25">
        <v>0</v>
      </c>
      <c r="I1202">
        <v>0</v>
      </c>
      <c r="J1202" s="26">
        <v>0</v>
      </c>
      <c r="K1202" s="26">
        <v>0</v>
      </c>
      <c r="L1202" s="26">
        <v>0</v>
      </c>
      <c r="M1202">
        <v>0</v>
      </c>
      <c r="N1202">
        <v>0</v>
      </c>
      <c r="O1202">
        <v>0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31</v>
      </c>
      <c r="AK1202">
        <v>24</v>
      </c>
      <c r="AL1202">
        <v>22</v>
      </c>
      <c r="AM1202">
        <v>20</v>
      </c>
      <c r="AN1202" s="18">
        <v>0</v>
      </c>
      <c r="AO1202" s="18">
        <v>0</v>
      </c>
      <c r="AP1202" s="18">
        <v>0</v>
      </c>
      <c r="AQ1202" s="18">
        <v>0</v>
      </c>
      <c r="AR1202" s="29">
        <v>0</v>
      </c>
      <c r="AS1202" s="29">
        <v>0</v>
      </c>
      <c r="AT1202" s="29">
        <v>0</v>
      </c>
      <c r="AU1202" s="24" t="str">
        <f t="shared" si="19"/>
        <v>库存为0</v>
      </c>
      <c r="AV1202" s="31" t="str">
        <f>IFERROR(时间!$B$4+AU1202,"上周无销量")</f>
        <v>上周无销量</v>
      </c>
    </row>
    <row r="1203" spans="1:48">
      <c r="A1203" s="16" t="s">
        <v>2149</v>
      </c>
      <c r="B1203" t="s">
        <v>1639</v>
      </c>
      <c r="C1203" t="s">
        <v>2127</v>
      </c>
      <c r="D1203" s="24">
        <v>0</v>
      </c>
      <c r="E1203" s="24">
        <v>0</v>
      </c>
      <c r="F1203" s="24">
        <v>0</v>
      </c>
      <c r="G1203" s="24">
        <v>0</v>
      </c>
      <c r="H1203" s="25">
        <v>0</v>
      </c>
      <c r="I1203">
        <v>0</v>
      </c>
      <c r="J1203" s="26">
        <v>0</v>
      </c>
      <c r="K1203" s="26">
        <v>0</v>
      </c>
      <c r="L1203" s="26">
        <v>0</v>
      </c>
      <c r="M1203">
        <v>0</v>
      </c>
      <c r="N1203">
        <v>0</v>
      </c>
      <c r="O1203">
        <v>0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14</v>
      </c>
      <c r="AK1203">
        <v>16</v>
      </c>
      <c r="AL1203">
        <v>4</v>
      </c>
      <c r="AM1203">
        <v>12</v>
      </c>
      <c r="AN1203" s="18">
        <v>0</v>
      </c>
      <c r="AO1203" s="18">
        <v>0</v>
      </c>
      <c r="AP1203" s="18">
        <v>0</v>
      </c>
      <c r="AQ1203" s="18">
        <v>0</v>
      </c>
      <c r="AR1203" s="29">
        <v>0</v>
      </c>
      <c r="AS1203" s="29">
        <v>0</v>
      </c>
      <c r="AT1203" s="29">
        <v>0</v>
      </c>
      <c r="AU1203" s="24" t="str">
        <f t="shared" si="19"/>
        <v>库存为0</v>
      </c>
      <c r="AV1203" s="31" t="str">
        <f>IFERROR(时间!$B$4+AU1203,"上周无销量")</f>
        <v>上周无销量</v>
      </c>
    </row>
    <row r="1204" spans="1:48">
      <c r="A1204" s="16" t="s">
        <v>2150</v>
      </c>
      <c r="B1204" t="s">
        <v>2151</v>
      </c>
      <c r="C1204" t="s">
        <v>2127</v>
      </c>
      <c r="D1204" s="24">
        <v>0</v>
      </c>
      <c r="E1204" s="24">
        <v>0</v>
      </c>
      <c r="F1204" s="24">
        <v>0</v>
      </c>
      <c r="G1204" s="24">
        <v>0</v>
      </c>
      <c r="H1204" s="25">
        <v>0</v>
      </c>
      <c r="I1204">
        <v>0</v>
      </c>
      <c r="J1204" s="26">
        <v>6</v>
      </c>
      <c r="K1204" s="26">
        <v>0</v>
      </c>
      <c r="L1204" s="26">
        <v>0</v>
      </c>
      <c r="M1204">
        <v>6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24</v>
      </c>
      <c r="AK1204">
        <v>19</v>
      </c>
      <c r="AL1204">
        <v>13</v>
      </c>
      <c r="AM1204">
        <v>9</v>
      </c>
      <c r="AN1204" s="18">
        <v>0</v>
      </c>
      <c r="AO1204" s="18">
        <v>0</v>
      </c>
      <c r="AP1204" s="18">
        <v>0</v>
      </c>
      <c r="AQ1204" s="18">
        <v>0</v>
      </c>
      <c r="AR1204" s="29">
        <v>0</v>
      </c>
      <c r="AS1204" s="29">
        <v>0</v>
      </c>
      <c r="AT1204" s="29">
        <v>6</v>
      </c>
      <c r="AU1204" s="24" t="str">
        <f t="shared" si="19"/>
        <v>库存为6</v>
      </c>
      <c r="AV1204" s="31" t="str">
        <f>IFERROR(时间!$B$4+AU1204,"上周无销量")</f>
        <v>上周无销量</v>
      </c>
    </row>
    <row r="1205" spans="1:48">
      <c r="A1205" s="16" t="s">
        <v>2152</v>
      </c>
      <c r="B1205" t="s">
        <v>2153</v>
      </c>
      <c r="C1205" t="s">
        <v>2127</v>
      </c>
      <c r="D1205" s="24">
        <v>0</v>
      </c>
      <c r="E1205" s="24">
        <v>0</v>
      </c>
      <c r="F1205" s="24">
        <v>0</v>
      </c>
      <c r="G1205" s="24">
        <v>0</v>
      </c>
      <c r="H1205" s="25">
        <v>0</v>
      </c>
      <c r="I1205">
        <v>0</v>
      </c>
      <c r="J1205" s="26">
        <v>0</v>
      </c>
      <c r="K1205" s="26">
        <v>0</v>
      </c>
      <c r="L1205" s="26">
        <v>0</v>
      </c>
      <c r="M1205">
        <v>0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14</v>
      </c>
      <c r="AK1205">
        <v>11</v>
      </c>
      <c r="AL1205">
        <v>1</v>
      </c>
      <c r="AM1205">
        <v>8</v>
      </c>
      <c r="AN1205" s="18">
        <v>0</v>
      </c>
      <c r="AO1205" s="18">
        <v>0</v>
      </c>
      <c r="AP1205" s="18">
        <v>0</v>
      </c>
      <c r="AQ1205" s="18">
        <v>0</v>
      </c>
      <c r="AR1205" s="29">
        <v>0</v>
      </c>
      <c r="AS1205" s="29">
        <v>0</v>
      </c>
      <c r="AT1205" s="29">
        <v>0</v>
      </c>
      <c r="AU1205" s="24" t="str">
        <f t="shared" si="19"/>
        <v>库存为0</v>
      </c>
      <c r="AV1205" s="31" t="str">
        <f>IFERROR(时间!$B$4+AU1205,"上周无销量")</f>
        <v>上周无销量</v>
      </c>
    </row>
    <row r="1206" spans="1:48">
      <c r="A1206" s="16" t="s">
        <v>2154</v>
      </c>
      <c r="B1206" t="s">
        <v>2155</v>
      </c>
      <c r="C1206" t="s">
        <v>2127</v>
      </c>
      <c r="D1206" s="24">
        <v>0</v>
      </c>
      <c r="E1206" s="24">
        <v>0</v>
      </c>
      <c r="F1206" s="24">
        <v>0</v>
      </c>
      <c r="G1206" s="24">
        <v>0</v>
      </c>
      <c r="H1206" s="25">
        <v>0</v>
      </c>
      <c r="I1206">
        <v>0</v>
      </c>
      <c r="J1206" s="26">
        <v>0</v>
      </c>
      <c r="K1206" s="26">
        <v>0</v>
      </c>
      <c r="L1206" s="26">
        <v>0</v>
      </c>
      <c r="M1206">
        <v>0</v>
      </c>
      <c r="N1206">
        <v>0</v>
      </c>
      <c r="O1206">
        <v>0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1</v>
      </c>
      <c r="AK1206">
        <v>0</v>
      </c>
      <c r="AL1206">
        <v>0</v>
      </c>
      <c r="AM1206">
        <v>0</v>
      </c>
      <c r="AN1206" s="18">
        <v>0</v>
      </c>
      <c r="AO1206" s="18" t="s">
        <v>52</v>
      </c>
      <c r="AP1206" s="18" t="s">
        <v>52</v>
      </c>
      <c r="AQ1206" s="18" t="s">
        <v>52</v>
      </c>
      <c r="AR1206" s="29">
        <v>0</v>
      </c>
      <c r="AS1206" s="29">
        <v>0</v>
      </c>
      <c r="AT1206" s="29">
        <v>0</v>
      </c>
      <c r="AU1206" s="24" t="str">
        <f t="shared" si="19"/>
        <v>库存为0</v>
      </c>
      <c r="AV1206" s="31" t="str">
        <f>IFERROR(时间!$B$4+AU1206,"上周无销量")</f>
        <v>上周无销量</v>
      </c>
    </row>
    <row r="1207" spans="1:48">
      <c r="A1207" s="16" t="s">
        <v>2156</v>
      </c>
      <c r="B1207" t="s">
        <v>1647</v>
      </c>
      <c r="C1207" t="s">
        <v>2127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0</v>
      </c>
      <c r="J1207" s="26">
        <v>0</v>
      </c>
      <c r="K1207" s="26">
        <v>0</v>
      </c>
      <c r="L1207" s="26">
        <v>0</v>
      </c>
      <c r="M1207">
        <v>0</v>
      </c>
      <c r="N1207">
        <v>0</v>
      </c>
      <c r="O1207">
        <v>0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10</v>
      </c>
      <c r="AK1207">
        <v>10</v>
      </c>
      <c r="AL1207">
        <v>11</v>
      </c>
      <c r="AM1207">
        <v>9</v>
      </c>
      <c r="AN1207" s="18">
        <v>0</v>
      </c>
      <c r="AO1207" s="18">
        <v>0</v>
      </c>
      <c r="AP1207" s="18">
        <v>0</v>
      </c>
      <c r="AQ1207" s="18">
        <v>0</v>
      </c>
      <c r="AR1207" s="29">
        <v>0</v>
      </c>
      <c r="AS1207" s="29">
        <v>0</v>
      </c>
      <c r="AT1207" s="29">
        <v>0</v>
      </c>
      <c r="AU1207" s="24" t="str">
        <f t="shared" si="19"/>
        <v>库存为0</v>
      </c>
      <c r="AV1207" s="31" t="str">
        <f>IFERROR(时间!$B$4+AU1207,"上周无销量")</f>
        <v>上周无销量</v>
      </c>
    </row>
    <row r="1208" spans="1:48">
      <c r="A1208" s="16" t="s">
        <v>2157</v>
      </c>
      <c r="B1208" t="s">
        <v>1649</v>
      </c>
      <c r="C1208" t="s">
        <v>2127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0</v>
      </c>
      <c r="J1208" s="26">
        <v>0</v>
      </c>
      <c r="K1208" s="26">
        <v>0</v>
      </c>
      <c r="L1208" s="26">
        <v>0</v>
      </c>
      <c r="M1208">
        <v>0</v>
      </c>
      <c r="N1208">
        <v>0</v>
      </c>
      <c r="O1208">
        <v>0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7</v>
      </c>
      <c r="AK1208">
        <v>7</v>
      </c>
      <c r="AL1208">
        <v>8</v>
      </c>
      <c r="AM1208">
        <v>14</v>
      </c>
      <c r="AN1208" s="18">
        <v>0</v>
      </c>
      <c r="AO1208" s="18">
        <v>0</v>
      </c>
      <c r="AP1208" s="18">
        <v>0</v>
      </c>
      <c r="AQ1208" s="18">
        <v>0</v>
      </c>
      <c r="AR1208" s="29">
        <v>0</v>
      </c>
      <c r="AS1208" s="29">
        <v>0</v>
      </c>
      <c r="AT1208" s="29">
        <v>0</v>
      </c>
      <c r="AU1208" s="24" t="str">
        <f t="shared" si="19"/>
        <v>库存为0</v>
      </c>
      <c r="AV1208" s="31" t="str">
        <f>IFERROR(时间!$B$4+AU1208,"上周无销量")</f>
        <v>上周无销量</v>
      </c>
    </row>
    <row r="1209" spans="1:48">
      <c r="A1209" s="16" t="s">
        <v>2158</v>
      </c>
      <c r="B1209" t="s">
        <v>1651</v>
      </c>
      <c r="C1209" t="s">
        <v>2127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0</v>
      </c>
      <c r="J1209" s="26">
        <v>0</v>
      </c>
      <c r="K1209" s="26">
        <v>0</v>
      </c>
      <c r="L1209" s="26">
        <v>0</v>
      </c>
      <c r="M1209">
        <v>0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2</v>
      </c>
      <c r="AK1209">
        <v>7</v>
      </c>
      <c r="AL1209">
        <v>5</v>
      </c>
      <c r="AM1209">
        <v>3</v>
      </c>
      <c r="AN1209" s="18">
        <v>0</v>
      </c>
      <c r="AO1209" s="18">
        <v>0</v>
      </c>
      <c r="AP1209" s="18">
        <v>0</v>
      </c>
      <c r="AQ1209" s="18">
        <v>0</v>
      </c>
      <c r="AR1209" s="29">
        <v>0</v>
      </c>
      <c r="AS1209" s="29">
        <v>0</v>
      </c>
      <c r="AT1209" s="29">
        <v>0</v>
      </c>
      <c r="AU1209" s="24" t="str">
        <f t="shared" si="19"/>
        <v>库存为0</v>
      </c>
      <c r="AV1209" s="31" t="str">
        <f>IFERROR(时间!$B$4+AU1209,"上周无销量")</f>
        <v>上周无销量</v>
      </c>
    </row>
    <row r="1210" spans="1:48">
      <c r="A1210" s="16" t="s">
        <v>2159</v>
      </c>
      <c r="B1210" t="s">
        <v>1653</v>
      </c>
      <c r="C1210" t="s">
        <v>2127</v>
      </c>
      <c r="D1210" s="24">
        <v>0</v>
      </c>
      <c r="E1210" s="24">
        <v>0</v>
      </c>
      <c r="F1210" s="24">
        <v>0</v>
      </c>
      <c r="G1210" s="24">
        <v>0</v>
      </c>
      <c r="H1210" s="25">
        <v>0</v>
      </c>
      <c r="I1210">
        <v>0</v>
      </c>
      <c r="J1210" s="26">
        <v>0</v>
      </c>
      <c r="K1210" s="26">
        <v>0</v>
      </c>
      <c r="L1210" s="26">
        <v>0</v>
      </c>
      <c r="M1210">
        <v>0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10</v>
      </c>
      <c r="AK1210">
        <v>7</v>
      </c>
      <c r="AL1210">
        <v>7</v>
      </c>
      <c r="AM1210">
        <v>5</v>
      </c>
      <c r="AN1210" s="18">
        <v>0</v>
      </c>
      <c r="AO1210" s="18">
        <v>0</v>
      </c>
      <c r="AP1210" s="18">
        <v>0</v>
      </c>
      <c r="AQ1210" s="18">
        <v>0</v>
      </c>
      <c r="AR1210" s="29">
        <v>0</v>
      </c>
      <c r="AS1210" s="29">
        <v>0</v>
      </c>
      <c r="AT1210" s="29">
        <v>0</v>
      </c>
      <c r="AU1210" s="24" t="str">
        <f t="shared" si="19"/>
        <v>库存为0</v>
      </c>
      <c r="AV1210" s="31" t="str">
        <f>IFERROR(时间!$B$4+AU1210,"上周无销量")</f>
        <v>上周无销量</v>
      </c>
    </row>
    <row r="1211" spans="1:48">
      <c r="A1211" s="16" t="s">
        <v>2160</v>
      </c>
      <c r="B1211" t="s">
        <v>2161</v>
      </c>
      <c r="C1211" t="s">
        <v>2127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0</v>
      </c>
      <c r="J1211" s="26">
        <v>0</v>
      </c>
      <c r="K1211" s="26">
        <v>0</v>
      </c>
      <c r="L1211" s="26">
        <v>0</v>
      </c>
      <c r="M1211">
        <v>0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0</v>
      </c>
      <c r="AK1211">
        <v>0</v>
      </c>
      <c r="AL1211">
        <v>0</v>
      </c>
      <c r="AM1211">
        <v>0</v>
      </c>
      <c r="AN1211" s="18" t="s">
        <v>52</v>
      </c>
      <c r="AO1211" s="18" t="s">
        <v>52</v>
      </c>
      <c r="AP1211" s="18" t="s">
        <v>52</v>
      </c>
      <c r="AQ1211" s="18" t="s">
        <v>52</v>
      </c>
      <c r="AR1211" s="29">
        <v>0</v>
      </c>
      <c r="AS1211" s="29">
        <v>0</v>
      </c>
      <c r="AT1211" s="29">
        <v>0</v>
      </c>
      <c r="AU1211" s="24" t="str">
        <f t="shared" si="19"/>
        <v>库存为0</v>
      </c>
      <c r="AV1211" s="31" t="str">
        <f>IFERROR(时间!$B$4+AU1211,"上周无销量")</f>
        <v>上周无销量</v>
      </c>
    </row>
    <row r="1212" spans="1:48">
      <c r="A1212" s="16" t="s">
        <v>2162</v>
      </c>
      <c r="B1212" t="s">
        <v>2163</v>
      </c>
      <c r="C1212" t="s">
        <v>2127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0</v>
      </c>
      <c r="J1212" s="26">
        <v>0</v>
      </c>
      <c r="K1212" s="26">
        <v>0</v>
      </c>
      <c r="L1212" s="26">
        <v>0</v>
      </c>
      <c r="M1212">
        <v>0</v>
      </c>
      <c r="N1212">
        <v>0</v>
      </c>
      <c r="O1212">
        <v>0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0</v>
      </c>
      <c r="AK1212">
        <v>0</v>
      </c>
      <c r="AL1212">
        <v>0</v>
      </c>
      <c r="AM1212">
        <v>0</v>
      </c>
      <c r="AN1212" s="18" t="s">
        <v>52</v>
      </c>
      <c r="AO1212" s="18" t="s">
        <v>52</v>
      </c>
      <c r="AP1212" s="18" t="s">
        <v>52</v>
      </c>
      <c r="AQ1212" s="18" t="s">
        <v>52</v>
      </c>
      <c r="AR1212" s="29">
        <v>0</v>
      </c>
      <c r="AS1212" s="29">
        <v>0</v>
      </c>
      <c r="AT1212" s="29">
        <v>0</v>
      </c>
      <c r="AU1212" s="24" t="str">
        <f t="shared" si="19"/>
        <v>库存为0</v>
      </c>
      <c r="AV1212" s="31" t="str">
        <f>IFERROR(时间!$B$4+AU1212,"上周无销量")</f>
        <v>上周无销量</v>
      </c>
    </row>
    <row r="1213" spans="1:48">
      <c r="A1213" s="16" t="s">
        <v>2164</v>
      </c>
      <c r="B1213" t="s">
        <v>2165</v>
      </c>
      <c r="C1213" t="s">
        <v>2127</v>
      </c>
      <c r="D1213" s="24">
        <v>0</v>
      </c>
      <c r="E1213" s="24">
        <v>0</v>
      </c>
      <c r="F1213" s="24">
        <v>0</v>
      </c>
      <c r="G1213" s="24">
        <v>0</v>
      </c>
      <c r="H1213" s="25">
        <v>0</v>
      </c>
      <c r="I1213">
        <v>0</v>
      </c>
      <c r="J1213" s="26">
        <v>0</v>
      </c>
      <c r="K1213" s="26">
        <v>0</v>
      </c>
      <c r="L1213" s="26">
        <v>0</v>
      </c>
      <c r="M1213">
        <v>0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0</v>
      </c>
      <c r="AK1213">
        <v>0</v>
      </c>
      <c r="AL1213">
        <v>0</v>
      </c>
      <c r="AM1213">
        <v>0</v>
      </c>
      <c r="AN1213" s="18" t="s">
        <v>52</v>
      </c>
      <c r="AO1213" s="18" t="s">
        <v>52</v>
      </c>
      <c r="AP1213" s="18" t="s">
        <v>52</v>
      </c>
      <c r="AQ1213" s="18" t="s">
        <v>52</v>
      </c>
      <c r="AR1213" s="29">
        <v>0</v>
      </c>
      <c r="AS1213" s="29">
        <v>0</v>
      </c>
      <c r="AT1213" s="29">
        <v>0</v>
      </c>
      <c r="AU1213" s="24" t="str">
        <f t="shared" si="19"/>
        <v>库存为0</v>
      </c>
      <c r="AV1213" s="31" t="str">
        <f>IFERROR(时间!$B$4+AU1213,"上周无销量")</f>
        <v>上周无销量</v>
      </c>
    </row>
    <row r="1214" spans="1:48">
      <c r="A1214" s="16" t="s">
        <v>2166</v>
      </c>
      <c r="B1214" t="s">
        <v>2167</v>
      </c>
      <c r="C1214" t="s">
        <v>2127</v>
      </c>
      <c r="D1214" s="24">
        <v>0</v>
      </c>
      <c r="E1214" s="24">
        <v>0</v>
      </c>
      <c r="F1214" s="24">
        <v>0</v>
      </c>
      <c r="G1214" s="24">
        <v>0</v>
      </c>
      <c r="H1214" s="25">
        <v>0</v>
      </c>
      <c r="I1214">
        <v>0</v>
      </c>
      <c r="J1214" s="26">
        <v>0</v>
      </c>
      <c r="K1214" s="26">
        <v>0</v>
      </c>
      <c r="L1214" s="26">
        <v>0</v>
      </c>
      <c r="M1214">
        <v>0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0</v>
      </c>
      <c r="AK1214">
        <v>0</v>
      </c>
      <c r="AL1214">
        <v>0</v>
      </c>
      <c r="AM1214">
        <v>0</v>
      </c>
      <c r="AN1214" s="18" t="s">
        <v>52</v>
      </c>
      <c r="AO1214" s="18" t="s">
        <v>52</v>
      </c>
      <c r="AP1214" s="18" t="s">
        <v>52</v>
      </c>
      <c r="AQ1214" s="18" t="s">
        <v>52</v>
      </c>
      <c r="AR1214" s="29">
        <v>0</v>
      </c>
      <c r="AS1214" s="29">
        <v>0</v>
      </c>
      <c r="AT1214" s="29">
        <v>0</v>
      </c>
      <c r="AU1214" s="24" t="str">
        <f t="shared" si="19"/>
        <v>库存为0</v>
      </c>
      <c r="AV1214" s="31" t="str">
        <f>IFERROR(时间!$B$4+AU1214,"上周无销量")</f>
        <v>上周无销量</v>
      </c>
    </row>
    <row r="1215" spans="1:48">
      <c r="A1215" s="16" t="s">
        <v>2168</v>
      </c>
      <c r="B1215" t="s">
        <v>2169</v>
      </c>
      <c r="C1215" t="s">
        <v>2127</v>
      </c>
      <c r="D1215" s="24">
        <v>0</v>
      </c>
      <c r="E1215" s="24">
        <v>0</v>
      </c>
      <c r="F1215" s="24">
        <v>0</v>
      </c>
      <c r="G1215" s="24">
        <v>0</v>
      </c>
      <c r="H1215" s="25">
        <v>0</v>
      </c>
      <c r="I1215">
        <v>0</v>
      </c>
      <c r="J1215" s="26">
        <v>0</v>
      </c>
      <c r="K1215" s="26">
        <v>0</v>
      </c>
      <c r="L1215" s="26">
        <v>0</v>
      </c>
      <c r="M1215">
        <v>0</v>
      </c>
      <c r="N1215">
        <v>0</v>
      </c>
      <c r="O1215">
        <v>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0</v>
      </c>
      <c r="AK1215">
        <v>3</v>
      </c>
      <c r="AL1215">
        <v>3</v>
      </c>
      <c r="AM1215">
        <v>1</v>
      </c>
      <c r="AN1215" s="18" t="s">
        <v>52</v>
      </c>
      <c r="AO1215" s="18">
        <v>0</v>
      </c>
      <c r="AP1215" s="18">
        <v>0</v>
      </c>
      <c r="AQ1215" s="18">
        <v>0</v>
      </c>
      <c r="AR1215" s="29">
        <v>0</v>
      </c>
      <c r="AS1215" s="29">
        <v>0</v>
      </c>
      <c r="AT1215" s="29">
        <v>0</v>
      </c>
      <c r="AU1215" s="24" t="str">
        <f t="shared" si="19"/>
        <v>库存为0</v>
      </c>
      <c r="AV1215" s="31" t="str">
        <f>IFERROR(时间!$B$4+AU1215,"上周无销量")</f>
        <v>上周无销量</v>
      </c>
    </row>
    <row r="1216" spans="1:48">
      <c r="A1216" s="16" t="s">
        <v>2170</v>
      </c>
      <c r="B1216" t="s">
        <v>2042</v>
      </c>
      <c r="C1216" t="s">
        <v>2127</v>
      </c>
      <c r="D1216" s="24">
        <v>0</v>
      </c>
      <c r="E1216" s="24">
        <v>0</v>
      </c>
      <c r="F1216" s="24">
        <v>0</v>
      </c>
      <c r="G1216" s="24">
        <v>0</v>
      </c>
      <c r="H1216" s="25">
        <v>0</v>
      </c>
      <c r="I1216">
        <v>0</v>
      </c>
      <c r="J1216" s="26">
        <v>0</v>
      </c>
      <c r="K1216" s="26">
        <v>0</v>
      </c>
      <c r="L1216" s="26">
        <v>0</v>
      </c>
      <c r="M1216">
        <v>0</v>
      </c>
      <c r="N1216">
        <v>0</v>
      </c>
      <c r="O1216">
        <v>0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4</v>
      </c>
      <c r="AK1216">
        <v>10</v>
      </c>
      <c r="AL1216">
        <v>19</v>
      </c>
      <c r="AM1216">
        <v>13</v>
      </c>
      <c r="AN1216" s="18">
        <v>0</v>
      </c>
      <c r="AO1216" s="18">
        <v>0</v>
      </c>
      <c r="AP1216" s="18">
        <v>0</v>
      </c>
      <c r="AQ1216" s="18">
        <v>0</v>
      </c>
      <c r="AR1216" s="29">
        <v>0</v>
      </c>
      <c r="AS1216" s="29">
        <v>0</v>
      </c>
      <c r="AT1216" s="29">
        <v>0</v>
      </c>
      <c r="AU1216" s="24" t="str">
        <f t="shared" si="19"/>
        <v>库存为0</v>
      </c>
      <c r="AV1216" s="31" t="str">
        <f>IFERROR(时间!$B$4+AU1216,"上周无销量")</f>
        <v>上周无销量</v>
      </c>
    </row>
    <row r="1217" spans="1:48">
      <c r="A1217" s="16" t="s">
        <v>2171</v>
      </c>
      <c r="B1217" t="s">
        <v>2044</v>
      </c>
      <c r="C1217" t="s">
        <v>2127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0</v>
      </c>
      <c r="J1217" s="26">
        <v>0</v>
      </c>
      <c r="K1217" s="26">
        <v>0</v>
      </c>
      <c r="L1217" s="26">
        <v>0</v>
      </c>
      <c r="M1217">
        <v>0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8</v>
      </c>
      <c r="AK1217">
        <v>14</v>
      </c>
      <c r="AL1217">
        <v>17</v>
      </c>
      <c r="AM1217">
        <v>3</v>
      </c>
      <c r="AN1217" s="18">
        <v>0</v>
      </c>
      <c r="AO1217" s="18">
        <v>0</v>
      </c>
      <c r="AP1217" s="18">
        <v>0</v>
      </c>
      <c r="AQ1217" s="18">
        <v>0</v>
      </c>
      <c r="AR1217" s="29">
        <v>0</v>
      </c>
      <c r="AS1217" s="29">
        <v>0</v>
      </c>
      <c r="AT1217" s="29">
        <v>0</v>
      </c>
      <c r="AU1217" s="24" t="str">
        <f t="shared" si="19"/>
        <v>库存为0</v>
      </c>
      <c r="AV1217" s="31" t="str">
        <f>IFERROR(时间!$B$4+AU1217,"上周无销量")</f>
        <v>上周无销量</v>
      </c>
    </row>
    <row r="1218" spans="1:48">
      <c r="A1218" s="16" t="s">
        <v>2172</v>
      </c>
      <c r="B1218" t="s">
        <v>2046</v>
      </c>
      <c r="C1218" t="s">
        <v>2127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0</v>
      </c>
      <c r="J1218" s="26">
        <v>0</v>
      </c>
      <c r="K1218" s="26">
        <v>0</v>
      </c>
      <c r="L1218" s="26">
        <v>0</v>
      </c>
      <c r="M1218">
        <v>0</v>
      </c>
      <c r="N1218">
        <v>0</v>
      </c>
      <c r="O1218">
        <v>0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6</v>
      </c>
      <c r="AK1218">
        <v>10</v>
      </c>
      <c r="AL1218">
        <v>21</v>
      </c>
      <c r="AM1218">
        <v>15</v>
      </c>
      <c r="AN1218" s="18">
        <v>0</v>
      </c>
      <c r="AO1218" s="18">
        <v>0</v>
      </c>
      <c r="AP1218" s="18">
        <v>0</v>
      </c>
      <c r="AQ1218" s="18">
        <v>0</v>
      </c>
      <c r="AR1218" s="29">
        <v>0</v>
      </c>
      <c r="AS1218" s="29">
        <v>0</v>
      </c>
      <c r="AT1218" s="29">
        <v>0</v>
      </c>
      <c r="AU1218" s="24" t="str">
        <f t="shared" si="19"/>
        <v>库存为0</v>
      </c>
      <c r="AV1218" s="31" t="str">
        <f>IFERROR(时间!$B$4+AU1218,"上周无销量")</f>
        <v>上周无销量</v>
      </c>
    </row>
    <row r="1219" spans="1:48">
      <c r="A1219" s="16" t="s">
        <v>2173</v>
      </c>
      <c r="B1219" t="s">
        <v>2174</v>
      </c>
      <c r="C1219" t="s">
        <v>2127</v>
      </c>
      <c r="D1219" s="24">
        <v>0</v>
      </c>
      <c r="E1219" s="24">
        <v>0</v>
      </c>
      <c r="F1219" s="24">
        <v>0</v>
      </c>
      <c r="G1219" s="24">
        <v>0</v>
      </c>
      <c r="H1219" s="25">
        <v>0</v>
      </c>
      <c r="I1219">
        <v>0</v>
      </c>
      <c r="J1219" s="26">
        <v>0</v>
      </c>
      <c r="K1219" s="26">
        <v>0</v>
      </c>
      <c r="L1219" s="26">
        <v>0</v>
      </c>
      <c r="M1219">
        <v>0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8</v>
      </c>
      <c r="AK1219">
        <v>6</v>
      </c>
      <c r="AL1219">
        <v>6</v>
      </c>
      <c r="AM1219">
        <v>1</v>
      </c>
      <c r="AN1219" s="18">
        <v>0</v>
      </c>
      <c r="AO1219" s="18">
        <v>0</v>
      </c>
      <c r="AP1219" s="18">
        <v>0</v>
      </c>
      <c r="AQ1219" s="18">
        <v>0</v>
      </c>
      <c r="AR1219" s="29">
        <v>0</v>
      </c>
      <c r="AS1219" s="29">
        <v>0</v>
      </c>
      <c r="AT1219" s="29">
        <v>0</v>
      </c>
      <c r="AU1219" s="24" t="str">
        <f t="shared" si="19"/>
        <v>库存为0</v>
      </c>
      <c r="AV1219" s="31" t="str">
        <f>IFERROR(时间!$B$4+AU1219,"上周无销量")</f>
        <v>上周无销量</v>
      </c>
    </row>
    <row r="1220" spans="1:48">
      <c r="A1220" s="16" t="s">
        <v>2175</v>
      </c>
      <c r="B1220" t="s">
        <v>2176</v>
      </c>
      <c r="C1220" t="s">
        <v>2127</v>
      </c>
      <c r="D1220" s="24">
        <v>0</v>
      </c>
      <c r="E1220" s="24">
        <v>0</v>
      </c>
      <c r="F1220" s="24">
        <v>0</v>
      </c>
      <c r="G1220" s="24">
        <v>0</v>
      </c>
      <c r="H1220" s="25">
        <v>0</v>
      </c>
      <c r="I1220">
        <v>0</v>
      </c>
      <c r="J1220" s="26">
        <v>0</v>
      </c>
      <c r="K1220" s="26">
        <v>0</v>
      </c>
      <c r="L1220" s="26">
        <v>0</v>
      </c>
      <c r="M1220">
        <v>0</v>
      </c>
      <c r="N1220">
        <v>0</v>
      </c>
      <c r="O1220">
        <v>0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0</v>
      </c>
      <c r="AK1220">
        <v>0</v>
      </c>
      <c r="AL1220">
        <v>0</v>
      </c>
      <c r="AM1220">
        <v>0</v>
      </c>
      <c r="AN1220" s="18" t="s">
        <v>52</v>
      </c>
      <c r="AO1220" s="18" t="s">
        <v>52</v>
      </c>
      <c r="AP1220" s="18" t="s">
        <v>52</v>
      </c>
      <c r="AQ1220" s="18" t="s">
        <v>52</v>
      </c>
      <c r="AR1220" s="29">
        <v>0</v>
      </c>
      <c r="AS1220" s="29">
        <v>0</v>
      </c>
      <c r="AT1220" s="29">
        <v>0</v>
      </c>
      <c r="AU1220" s="24" t="str">
        <f t="shared" si="19"/>
        <v>库存为0</v>
      </c>
      <c r="AV1220" s="31" t="str">
        <f>IFERROR(时间!$B$4+AU1220,"上周无销量")</f>
        <v>上周无销量</v>
      </c>
    </row>
    <row r="1221" spans="1:48">
      <c r="A1221" s="16" t="s">
        <v>2177</v>
      </c>
      <c r="B1221" t="s">
        <v>1665</v>
      </c>
      <c r="C1221" t="s">
        <v>2127</v>
      </c>
      <c r="D1221" s="24">
        <v>0</v>
      </c>
      <c r="E1221" s="24">
        <v>0</v>
      </c>
      <c r="F1221" s="24">
        <v>0</v>
      </c>
      <c r="G1221" s="24">
        <v>0</v>
      </c>
      <c r="H1221" s="25">
        <v>0</v>
      </c>
      <c r="I1221">
        <v>0</v>
      </c>
      <c r="J1221" s="26">
        <v>0</v>
      </c>
      <c r="K1221" s="26">
        <v>0</v>
      </c>
      <c r="L1221" s="26">
        <v>0</v>
      </c>
      <c r="M1221">
        <v>0</v>
      </c>
      <c r="N1221">
        <v>0</v>
      </c>
      <c r="O1221">
        <v>0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14</v>
      </c>
      <c r="AK1221">
        <v>20</v>
      </c>
      <c r="AL1221">
        <v>4</v>
      </c>
      <c r="AM1221">
        <v>13</v>
      </c>
      <c r="AN1221" s="18">
        <v>0</v>
      </c>
      <c r="AO1221" s="18">
        <v>0</v>
      </c>
      <c r="AP1221" s="18">
        <v>0</v>
      </c>
      <c r="AQ1221" s="18">
        <v>0</v>
      </c>
      <c r="AR1221" s="29">
        <v>0</v>
      </c>
      <c r="AS1221" s="29">
        <v>0</v>
      </c>
      <c r="AT1221" s="29">
        <v>0</v>
      </c>
      <c r="AU1221" s="24" t="str">
        <f t="shared" si="19"/>
        <v>库存为0</v>
      </c>
      <c r="AV1221" s="31" t="str">
        <f>IFERROR(时间!$B$4+AU1221,"上周无销量")</f>
        <v>上周无销量</v>
      </c>
    </row>
    <row r="1222" spans="1:48">
      <c r="A1222" s="16" t="s">
        <v>2178</v>
      </c>
      <c r="B1222" t="s">
        <v>1667</v>
      </c>
      <c r="C1222" t="s">
        <v>2127</v>
      </c>
      <c r="D1222" s="24">
        <v>0</v>
      </c>
      <c r="E1222" s="24">
        <v>0</v>
      </c>
      <c r="F1222" s="24">
        <v>0</v>
      </c>
      <c r="G1222" s="24">
        <v>0</v>
      </c>
      <c r="H1222" s="25">
        <v>0</v>
      </c>
      <c r="I1222">
        <v>0</v>
      </c>
      <c r="J1222" s="26">
        <v>0</v>
      </c>
      <c r="K1222" s="26">
        <v>0</v>
      </c>
      <c r="L1222" s="26">
        <v>0</v>
      </c>
      <c r="M1222">
        <v>0</v>
      </c>
      <c r="N1222">
        <v>0</v>
      </c>
      <c r="O1222">
        <v>0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11</v>
      </c>
      <c r="AK1222">
        <v>24</v>
      </c>
      <c r="AL1222">
        <v>14</v>
      </c>
      <c r="AM1222">
        <v>21</v>
      </c>
      <c r="AN1222" s="18">
        <v>0</v>
      </c>
      <c r="AO1222" s="18">
        <v>0</v>
      </c>
      <c r="AP1222" s="18">
        <v>0</v>
      </c>
      <c r="AQ1222" s="18">
        <v>0</v>
      </c>
      <c r="AR1222" s="29">
        <v>0</v>
      </c>
      <c r="AS1222" s="29">
        <v>0</v>
      </c>
      <c r="AT1222" s="29">
        <v>0</v>
      </c>
      <c r="AU1222" s="24" t="str">
        <f t="shared" ref="AU1222:AU1285" si="20">IF(AR1222="","库存为"&amp;M1222,IF(AS1222=0,"库存为"&amp;M1222,INT(M1222/AR1222)))</f>
        <v>库存为0</v>
      </c>
      <c r="AV1222" s="31" t="str">
        <f>IFERROR(时间!$B$4+AU1222,"上周无销量")</f>
        <v>上周无销量</v>
      </c>
    </row>
    <row r="1223" spans="1:48">
      <c r="A1223" s="16" t="s">
        <v>2179</v>
      </c>
      <c r="B1223" t="s">
        <v>2180</v>
      </c>
      <c r="C1223" t="s">
        <v>2127</v>
      </c>
      <c r="D1223" s="24">
        <v>0</v>
      </c>
      <c r="E1223" s="24">
        <v>0</v>
      </c>
      <c r="F1223" s="24">
        <v>0</v>
      </c>
      <c r="G1223" s="24">
        <v>0</v>
      </c>
      <c r="H1223" s="25">
        <v>0</v>
      </c>
      <c r="I1223">
        <v>0</v>
      </c>
      <c r="J1223" s="26">
        <v>2</v>
      </c>
      <c r="K1223" s="26">
        <v>0</v>
      </c>
      <c r="L1223" s="26">
        <v>0</v>
      </c>
      <c r="M1223">
        <v>2</v>
      </c>
      <c r="N1223">
        <v>0</v>
      </c>
      <c r="O1223">
        <v>0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0</v>
      </c>
      <c r="AK1223">
        <v>0</v>
      </c>
      <c r="AL1223">
        <v>0</v>
      </c>
      <c r="AM1223">
        <v>0</v>
      </c>
      <c r="AN1223" s="18" t="s">
        <v>52</v>
      </c>
      <c r="AO1223" s="18" t="s">
        <v>52</v>
      </c>
      <c r="AP1223" s="18" t="s">
        <v>52</v>
      </c>
      <c r="AQ1223" s="18" t="s">
        <v>52</v>
      </c>
      <c r="AR1223" s="29">
        <v>0</v>
      </c>
      <c r="AS1223" s="29">
        <v>0</v>
      </c>
      <c r="AT1223" s="29">
        <v>2</v>
      </c>
      <c r="AU1223" s="24" t="str">
        <f t="shared" si="20"/>
        <v>库存为2</v>
      </c>
      <c r="AV1223" s="31" t="str">
        <f>IFERROR(时间!$B$4+AU1223,"上周无销量")</f>
        <v>上周无销量</v>
      </c>
    </row>
    <row r="1224" spans="1:48">
      <c r="A1224" s="16" t="s">
        <v>2181</v>
      </c>
      <c r="B1224" t="s">
        <v>1671</v>
      </c>
      <c r="C1224" t="s">
        <v>2127</v>
      </c>
      <c r="D1224" s="24">
        <v>0</v>
      </c>
      <c r="E1224" s="24">
        <v>0</v>
      </c>
      <c r="F1224" s="24">
        <v>0</v>
      </c>
      <c r="G1224" s="24">
        <v>0</v>
      </c>
      <c r="H1224" s="25">
        <v>0</v>
      </c>
      <c r="I1224">
        <v>0</v>
      </c>
      <c r="J1224" s="26">
        <v>0</v>
      </c>
      <c r="K1224" s="26">
        <v>0</v>
      </c>
      <c r="L1224" s="26">
        <v>0</v>
      </c>
      <c r="M1224">
        <v>0</v>
      </c>
      <c r="N1224">
        <v>0</v>
      </c>
      <c r="O1224">
        <v>0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5</v>
      </c>
      <c r="AK1224">
        <v>14</v>
      </c>
      <c r="AL1224">
        <v>1</v>
      </c>
      <c r="AM1224">
        <v>18</v>
      </c>
      <c r="AN1224" s="18">
        <v>0</v>
      </c>
      <c r="AO1224" s="18">
        <v>0</v>
      </c>
      <c r="AP1224" s="18">
        <v>0</v>
      </c>
      <c r="AQ1224" s="18">
        <v>0</v>
      </c>
      <c r="AR1224" s="29">
        <v>0</v>
      </c>
      <c r="AS1224" s="29">
        <v>0</v>
      </c>
      <c r="AT1224" s="29">
        <v>0</v>
      </c>
      <c r="AU1224" s="24" t="str">
        <f t="shared" si="20"/>
        <v>库存为0</v>
      </c>
      <c r="AV1224" s="31" t="str">
        <f>IFERROR(时间!$B$4+AU1224,"上周无销量")</f>
        <v>上周无销量</v>
      </c>
    </row>
    <row r="1225" spans="1:48">
      <c r="A1225" s="16" t="s">
        <v>2182</v>
      </c>
      <c r="B1225" t="s">
        <v>1673</v>
      </c>
      <c r="C1225" t="s">
        <v>2127</v>
      </c>
      <c r="D1225" s="24">
        <v>0</v>
      </c>
      <c r="E1225" s="24">
        <v>0</v>
      </c>
      <c r="F1225" s="24">
        <v>0</v>
      </c>
      <c r="G1225" s="24">
        <v>0</v>
      </c>
      <c r="H1225" s="25">
        <v>0</v>
      </c>
      <c r="I1225">
        <v>0</v>
      </c>
      <c r="J1225" s="26">
        <v>0</v>
      </c>
      <c r="K1225" s="26">
        <v>0</v>
      </c>
      <c r="L1225" s="26">
        <v>0</v>
      </c>
      <c r="M1225">
        <v>0</v>
      </c>
      <c r="N1225">
        <v>0</v>
      </c>
      <c r="O1225">
        <v>0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14</v>
      </c>
      <c r="AK1225">
        <v>13</v>
      </c>
      <c r="AL1225">
        <v>2</v>
      </c>
      <c r="AM1225">
        <v>14</v>
      </c>
      <c r="AN1225" s="18">
        <v>0</v>
      </c>
      <c r="AO1225" s="18">
        <v>0</v>
      </c>
      <c r="AP1225" s="18">
        <v>0</v>
      </c>
      <c r="AQ1225" s="18">
        <v>0</v>
      </c>
      <c r="AR1225" s="29">
        <v>0</v>
      </c>
      <c r="AS1225" s="29">
        <v>0</v>
      </c>
      <c r="AT1225" s="29">
        <v>0</v>
      </c>
      <c r="AU1225" s="24" t="str">
        <f t="shared" si="20"/>
        <v>库存为0</v>
      </c>
      <c r="AV1225" s="31" t="str">
        <f>IFERROR(时间!$B$4+AU1225,"上周无销量")</f>
        <v>上周无销量</v>
      </c>
    </row>
    <row r="1226" spans="1:48">
      <c r="A1226" s="16" t="s">
        <v>2183</v>
      </c>
      <c r="B1226" t="s">
        <v>1685</v>
      </c>
      <c r="C1226" t="s">
        <v>2127</v>
      </c>
      <c r="D1226" s="24">
        <v>0</v>
      </c>
      <c r="E1226" s="24">
        <v>0</v>
      </c>
      <c r="F1226" s="24">
        <v>0</v>
      </c>
      <c r="G1226" s="24">
        <v>0</v>
      </c>
      <c r="H1226" s="25">
        <v>0</v>
      </c>
      <c r="I1226">
        <v>0</v>
      </c>
      <c r="J1226" s="26">
        <v>0</v>
      </c>
      <c r="K1226" s="26">
        <v>0</v>
      </c>
      <c r="L1226" s="26">
        <v>0</v>
      </c>
      <c r="M1226">
        <v>0</v>
      </c>
      <c r="N1226">
        <v>0</v>
      </c>
      <c r="O1226">
        <v>0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9</v>
      </c>
      <c r="AK1226">
        <v>13</v>
      </c>
      <c r="AL1226">
        <v>5</v>
      </c>
      <c r="AM1226">
        <v>4</v>
      </c>
      <c r="AN1226" s="18">
        <v>0</v>
      </c>
      <c r="AO1226" s="18">
        <v>0</v>
      </c>
      <c r="AP1226" s="18">
        <v>0</v>
      </c>
      <c r="AQ1226" s="18">
        <v>0</v>
      </c>
      <c r="AR1226" s="29">
        <v>0</v>
      </c>
      <c r="AS1226" s="29">
        <v>0</v>
      </c>
      <c r="AT1226" s="29">
        <v>0</v>
      </c>
      <c r="AU1226" s="24" t="str">
        <f t="shared" si="20"/>
        <v>库存为0</v>
      </c>
      <c r="AV1226" s="31" t="str">
        <f>IFERROR(时间!$B$4+AU1226,"上周无销量")</f>
        <v>上周无销量</v>
      </c>
    </row>
    <row r="1227" spans="1:48">
      <c r="A1227" s="16" t="s">
        <v>2184</v>
      </c>
      <c r="B1227" t="s">
        <v>1687</v>
      </c>
      <c r="C1227" t="s">
        <v>2127</v>
      </c>
      <c r="D1227" s="24">
        <v>0</v>
      </c>
      <c r="E1227" s="24">
        <v>0</v>
      </c>
      <c r="F1227" s="24">
        <v>0</v>
      </c>
      <c r="G1227" s="24">
        <v>0</v>
      </c>
      <c r="H1227" s="25">
        <v>0</v>
      </c>
      <c r="I1227">
        <v>0</v>
      </c>
      <c r="J1227" s="26">
        <v>0</v>
      </c>
      <c r="K1227" s="26">
        <v>0</v>
      </c>
      <c r="L1227" s="26">
        <v>0</v>
      </c>
      <c r="M1227">
        <v>0</v>
      </c>
      <c r="N1227">
        <v>0</v>
      </c>
      <c r="O1227">
        <v>0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12</v>
      </c>
      <c r="AK1227">
        <v>27</v>
      </c>
      <c r="AL1227">
        <v>16</v>
      </c>
      <c r="AM1227">
        <v>17</v>
      </c>
      <c r="AN1227" s="18">
        <v>0</v>
      </c>
      <c r="AO1227" s="18">
        <v>0</v>
      </c>
      <c r="AP1227" s="18">
        <v>0</v>
      </c>
      <c r="AQ1227" s="18">
        <v>0</v>
      </c>
      <c r="AR1227" s="29">
        <v>0</v>
      </c>
      <c r="AS1227" s="29">
        <v>0</v>
      </c>
      <c r="AT1227" s="29">
        <v>0</v>
      </c>
      <c r="AU1227" s="24" t="str">
        <f t="shared" si="20"/>
        <v>库存为0</v>
      </c>
      <c r="AV1227" s="31" t="str">
        <f>IFERROR(时间!$B$4+AU1227,"上周无销量")</f>
        <v>上周无销量</v>
      </c>
    </row>
    <row r="1228" spans="1:48">
      <c r="A1228" s="16" t="s">
        <v>2185</v>
      </c>
      <c r="B1228" t="s">
        <v>1689</v>
      </c>
      <c r="C1228" t="s">
        <v>2127</v>
      </c>
      <c r="D1228" s="24">
        <v>0</v>
      </c>
      <c r="E1228" s="24">
        <v>0</v>
      </c>
      <c r="F1228" s="24">
        <v>0</v>
      </c>
      <c r="G1228" s="24">
        <v>0</v>
      </c>
      <c r="H1228" s="25">
        <v>0</v>
      </c>
      <c r="I1228">
        <v>0</v>
      </c>
      <c r="J1228" s="26">
        <v>5</v>
      </c>
      <c r="K1228" s="26">
        <v>0</v>
      </c>
      <c r="L1228" s="26">
        <v>0</v>
      </c>
      <c r="M1228">
        <v>5</v>
      </c>
      <c r="N1228">
        <v>0</v>
      </c>
      <c r="O1228">
        <v>0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13</v>
      </c>
      <c r="AK1228">
        <v>19</v>
      </c>
      <c r="AL1228">
        <v>13</v>
      </c>
      <c r="AM1228">
        <v>25</v>
      </c>
      <c r="AN1228" s="18">
        <v>0</v>
      </c>
      <c r="AO1228" s="18">
        <v>0</v>
      </c>
      <c r="AP1228" s="18">
        <v>0</v>
      </c>
      <c r="AQ1228" s="18">
        <v>0</v>
      </c>
      <c r="AR1228" s="29">
        <v>0</v>
      </c>
      <c r="AS1228" s="29">
        <v>0</v>
      </c>
      <c r="AT1228" s="29">
        <v>5</v>
      </c>
      <c r="AU1228" s="24" t="str">
        <f t="shared" si="20"/>
        <v>库存为5</v>
      </c>
      <c r="AV1228" s="31" t="str">
        <f>IFERROR(时间!$B$4+AU1228,"上周无销量")</f>
        <v>上周无销量</v>
      </c>
    </row>
    <row r="1229" spans="1:48">
      <c r="A1229" s="16" t="s">
        <v>2186</v>
      </c>
      <c r="B1229" t="s">
        <v>1691</v>
      </c>
      <c r="C1229" t="s">
        <v>2127</v>
      </c>
      <c r="D1229" s="24">
        <v>0</v>
      </c>
      <c r="E1229" s="24">
        <v>0</v>
      </c>
      <c r="F1229" s="24">
        <v>0</v>
      </c>
      <c r="G1229" s="24">
        <v>0</v>
      </c>
      <c r="H1229" s="25">
        <v>0</v>
      </c>
      <c r="I1229">
        <v>0</v>
      </c>
      <c r="J1229" s="26">
        <v>0</v>
      </c>
      <c r="K1229" s="26">
        <v>0</v>
      </c>
      <c r="L1229" s="26">
        <v>0</v>
      </c>
      <c r="M1229">
        <v>0</v>
      </c>
      <c r="N1229">
        <v>0</v>
      </c>
      <c r="O1229">
        <v>0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5</v>
      </c>
      <c r="AK1229">
        <v>24</v>
      </c>
      <c r="AL1229">
        <v>0</v>
      </c>
      <c r="AM1229">
        <v>58</v>
      </c>
      <c r="AN1229" s="18">
        <v>0</v>
      </c>
      <c r="AO1229" s="18">
        <v>0</v>
      </c>
      <c r="AP1229" s="18" t="s">
        <v>52</v>
      </c>
      <c r="AQ1229" s="18">
        <v>0</v>
      </c>
      <c r="AR1229" s="29">
        <v>0</v>
      </c>
      <c r="AS1229" s="29">
        <v>0</v>
      </c>
      <c r="AT1229" s="29">
        <v>0</v>
      </c>
      <c r="AU1229" s="24" t="str">
        <f t="shared" si="20"/>
        <v>库存为0</v>
      </c>
      <c r="AV1229" s="31" t="str">
        <f>IFERROR(时间!$B$4+AU1229,"上周无销量")</f>
        <v>上周无销量</v>
      </c>
    </row>
    <row r="1230" spans="1:48">
      <c r="A1230" s="16" t="s">
        <v>2187</v>
      </c>
      <c r="B1230" t="s">
        <v>1693</v>
      </c>
      <c r="C1230" t="s">
        <v>2127</v>
      </c>
      <c r="D1230" s="24">
        <v>0</v>
      </c>
      <c r="E1230" s="24">
        <v>0</v>
      </c>
      <c r="F1230" s="24">
        <v>0</v>
      </c>
      <c r="G1230" s="24">
        <v>0</v>
      </c>
      <c r="H1230" s="25">
        <v>0</v>
      </c>
      <c r="I1230">
        <v>0</v>
      </c>
      <c r="J1230" s="26">
        <v>0</v>
      </c>
      <c r="K1230" s="26">
        <v>0</v>
      </c>
      <c r="L1230" s="26">
        <v>0</v>
      </c>
      <c r="M1230">
        <v>0</v>
      </c>
      <c r="N1230">
        <v>0</v>
      </c>
      <c r="O1230">
        <v>0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0</v>
      </c>
      <c r="AK1230">
        <v>0</v>
      </c>
      <c r="AL1230">
        <v>0</v>
      </c>
      <c r="AM1230">
        <v>0</v>
      </c>
      <c r="AN1230" s="18" t="s">
        <v>52</v>
      </c>
      <c r="AO1230" s="18" t="s">
        <v>52</v>
      </c>
      <c r="AP1230" s="18" t="s">
        <v>52</v>
      </c>
      <c r="AQ1230" s="18" t="s">
        <v>52</v>
      </c>
      <c r="AR1230" s="29">
        <v>0</v>
      </c>
      <c r="AS1230" s="29">
        <v>0</v>
      </c>
      <c r="AT1230" s="29">
        <v>0</v>
      </c>
      <c r="AU1230" s="24" t="str">
        <f t="shared" si="20"/>
        <v>库存为0</v>
      </c>
      <c r="AV1230" s="31" t="str">
        <f>IFERROR(时间!$B$4+AU1230,"上周无销量")</f>
        <v>上周无销量</v>
      </c>
    </row>
    <row r="1231" spans="1:48">
      <c r="A1231" s="16" t="s">
        <v>2188</v>
      </c>
      <c r="B1231" t="s">
        <v>858</v>
      </c>
      <c r="C1231" t="s">
        <v>2189</v>
      </c>
      <c r="D1231" s="24">
        <v>0</v>
      </c>
      <c r="E1231" s="24">
        <v>0</v>
      </c>
      <c r="F1231" s="24">
        <v>0</v>
      </c>
      <c r="G1231" s="24">
        <v>0</v>
      </c>
      <c r="H1231" s="25">
        <v>0</v>
      </c>
      <c r="I1231">
        <v>11</v>
      </c>
      <c r="J1231" s="26">
        <v>0</v>
      </c>
      <c r="K1231" s="26">
        <v>0</v>
      </c>
      <c r="L1231" s="26">
        <v>2</v>
      </c>
      <c r="M1231">
        <v>13</v>
      </c>
      <c r="N1231">
        <v>0</v>
      </c>
      <c r="O1231">
        <v>15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6</v>
      </c>
      <c r="AK1231">
        <v>1</v>
      </c>
      <c r="AL1231">
        <v>7</v>
      </c>
      <c r="AM1231">
        <v>3</v>
      </c>
      <c r="AN1231" s="18">
        <v>0</v>
      </c>
      <c r="AO1231" s="18">
        <v>0</v>
      </c>
      <c r="AP1231" s="18">
        <v>0</v>
      </c>
      <c r="AQ1231" s="18">
        <v>0</v>
      </c>
      <c r="AR1231" s="29">
        <v>0</v>
      </c>
      <c r="AS1231" s="29">
        <v>0</v>
      </c>
      <c r="AT1231" s="29">
        <v>13</v>
      </c>
      <c r="AU1231" s="24" t="str">
        <f t="shared" si="20"/>
        <v>库存为13</v>
      </c>
      <c r="AV1231" s="31" t="str">
        <f>IFERROR(时间!$B$4+AU1231,"上周无销量")</f>
        <v>上周无销量</v>
      </c>
    </row>
    <row r="1232" spans="1:48">
      <c r="A1232" s="16" t="s">
        <v>2190</v>
      </c>
      <c r="B1232" t="s">
        <v>860</v>
      </c>
      <c r="C1232" t="s">
        <v>2189</v>
      </c>
      <c r="D1232" s="24">
        <v>0</v>
      </c>
      <c r="E1232" s="24">
        <v>0</v>
      </c>
      <c r="F1232" s="24">
        <v>0</v>
      </c>
      <c r="G1232" s="24">
        <v>0</v>
      </c>
      <c r="H1232" s="25">
        <v>0</v>
      </c>
      <c r="I1232">
        <v>26</v>
      </c>
      <c r="J1232" s="26">
        <v>12</v>
      </c>
      <c r="K1232" s="26">
        <v>0</v>
      </c>
      <c r="L1232" s="26">
        <v>0</v>
      </c>
      <c r="M1232">
        <v>38</v>
      </c>
      <c r="N1232">
        <v>0</v>
      </c>
      <c r="O1232">
        <v>25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3</v>
      </c>
      <c r="AK1232">
        <v>1</v>
      </c>
      <c r="AL1232">
        <v>6</v>
      </c>
      <c r="AM1232">
        <v>0</v>
      </c>
      <c r="AN1232" s="18">
        <v>0</v>
      </c>
      <c r="AO1232" s="18">
        <v>0</v>
      </c>
      <c r="AP1232" s="18">
        <v>0</v>
      </c>
      <c r="AQ1232" s="18" t="s">
        <v>52</v>
      </c>
      <c r="AR1232" s="29">
        <v>0</v>
      </c>
      <c r="AS1232" s="29">
        <v>0</v>
      </c>
      <c r="AT1232" s="29">
        <v>38</v>
      </c>
      <c r="AU1232" s="24" t="str">
        <f t="shared" si="20"/>
        <v>库存为38</v>
      </c>
      <c r="AV1232" s="31" t="str">
        <f>IFERROR(时间!$B$4+AU1232,"上周无销量")</f>
        <v>上周无销量</v>
      </c>
    </row>
    <row r="1233" spans="1:48">
      <c r="A1233" s="16" t="s">
        <v>2191</v>
      </c>
      <c r="B1233" t="s">
        <v>862</v>
      </c>
      <c r="C1233" t="s">
        <v>2189</v>
      </c>
      <c r="D1233" s="24">
        <v>0</v>
      </c>
      <c r="E1233" s="24">
        <v>0</v>
      </c>
      <c r="F1233" s="24">
        <v>0</v>
      </c>
      <c r="G1233" s="24">
        <v>0</v>
      </c>
      <c r="H1233" s="25">
        <v>0</v>
      </c>
      <c r="I1233">
        <v>9</v>
      </c>
      <c r="J1233" s="26">
        <v>0</v>
      </c>
      <c r="K1233" s="26">
        <v>0</v>
      </c>
      <c r="L1233" s="26">
        <v>0</v>
      </c>
      <c r="M1233">
        <v>9</v>
      </c>
      <c r="N1233">
        <v>0</v>
      </c>
      <c r="O1233">
        <v>9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1</v>
      </c>
      <c r="AK1233">
        <v>2</v>
      </c>
      <c r="AL1233">
        <v>10</v>
      </c>
      <c r="AM1233">
        <v>6</v>
      </c>
      <c r="AN1233" s="18">
        <v>0</v>
      </c>
      <c r="AO1233" s="18">
        <v>0</v>
      </c>
      <c r="AP1233" s="18">
        <v>0</v>
      </c>
      <c r="AQ1233" s="18">
        <v>0</v>
      </c>
      <c r="AR1233" s="29">
        <v>0</v>
      </c>
      <c r="AS1233" s="29">
        <v>0</v>
      </c>
      <c r="AT1233" s="29">
        <v>9</v>
      </c>
      <c r="AU1233" s="24" t="str">
        <f t="shared" si="20"/>
        <v>库存为9</v>
      </c>
      <c r="AV1233" s="31" t="str">
        <f>IFERROR(时间!$B$4+AU1233,"上周无销量")</f>
        <v>上周无销量</v>
      </c>
    </row>
    <row r="1234" spans="1:48">
      <c r="A1234" s="16" t="s">
        <v>2192</v>
      </c>
      <c r="B1234" t="s">
        <v>864</v>
      </c>
      <c r="C1234" t="s">
        <v>2189</v>
      </c>
      <c r="D1234" s="24">
        <v>0</v>
      </c>
      <c r="E1234" s="24">
        <v>0</v>
      </c>
      <c r="F1234" s="24">
        <v>0</v>
      </c>
      <c r="G1234" s="24">
        <v>0</v>
      </c>
      <c r="H1234" s="25">
        <v>0</v>
      </c>
      <c r="I1234">
        <v>0</v>
      </c>
      <c r="J1234" s="26">
        <v>0</v>
      </c>
      <c r="K1234" s="26">
        <v>0</v>
      </c>
      <c r="L1234" s="26">
        <v>0</v>
      </c>
      <c r="M1234">
        <v>0</v>
      </c>
      <c r="N1234">
        <v>0</v>
      </c>
      <c r="O1234">
        <v>0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0</v>
      </c>
      <c r="AK1234">
        <v>0</v>
      </c>
      <c r="AL1234">
        <v>0</v>
      </c>
      <c r="AM1234">
        <v>0</v>
      </c>
      <c r="AN1234" s="18" t="s">
        <v>52</v>
      </c>
      <c r="AO1234" s="18" t="s">
        <v>52</v>
      </c>
      <c r="AP1234" s="18" t="s">
        <v>52</v>
      </c>
      <c r="AQ1234" s="18" t="s">
        <v>52</v>
      </c>
      <c r="AR1234" s="29">
        <v>0</v>
      </c>
      <c r="AS1234" s="29">
        <v>0</v>
      </c>
      <c r="AT1234" s="29">
        <v>0</v>
      </c>
      <c r="AU1234" s="24" t="str">
        <f t="shared" si="20"/>
        <v>库存为0</v>
      </c>
      <c r="AV1234" s="31" t="str">
        <f>IFERROR(时间!$B$4+AU1234,"上周无销量")</f>
        <v>上周无销量</v>
      </c>
    </row>
    <row r="1235" spans="1:48">
      <c r="A1235" s="16" t="s">
        <v>2193</v>
      </c>
      <c r="B1235" t="s">
        <v>868</v>
      </c>
      <c r="C1235" t="s">
        <v>2189</v>
      </c>
      <c r="D1235" s="24">
        <v>1</v>
      </c>
      <c r="E1235" s="24">
        <v>0</v>
      </c>
      <c r="F1235" s="24">
        <v>1</v>
      </c>
      <c r="G1235" s="24">
        <v>0</v>
      </c>
      <c r="H1235" s="25">
        <v>22.98</v>
      </c>
      <c r="I1235">
        <v>10</v>
      </c>
      <c r="J1235" s="26">
        <v>0</v>
      </c>
      <c r="K1235" s="26">
        <v>0</v>
      </c>
      <c r="L1235" s="26">
        <v>1</v>
      </c>
      <c r="M1235">
        <v>11</v>
      </c>
      <c r="N1235">
        <v>0</v>
      </c>
      <c r="O1235">
        <v>12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10</v>
      </c>
      <c r="AK1235">
        <v>3</v>
      </c>
      <c r="AL1235">
        <v>6</v>
      </c>
      <c r="AM1235">
        <v>6</v>
      </c>
      <c r="AN1235" s="18">
        <v>0.1</v>
      </c>
      <c r="AO1235" s="18">
        <v>0</v>
      </c>
      <c r="AP1235" s="18">
        <v>0.166666666666667</v>
      </c>
      <c r="AQ1235" s="18">
        <v>0</v>
      </c>
      <c r="AR1235" s="29">
        <v>0.142857142857143</v>
      </c>
      <c r="AS1235" s="29">
        <v>8.57142857142857</v>
      </c>
      <c r="AT1235" s="29">
        <v>2.42857142857143</v>
      </c>
      <c r="AU1235" s="24">
        <f t="shared" si="20"/>
        <v>77</v>
      </c>
      <c r="AV1235" s="31">
        <f>IFERROR(时间!$B$4+AU1235,"上周无销量")</f>
        <v>43395</v>
      </c>
    </row>
    <row r="1236" spans="1:48">
      <c r="A1236" s="16" t="s">
        <v>2194</v>
      </c>
      <c r="B1236" t="s">
        <v>870</v>
      </c>
      <c r="C1236" t="s">
        <v>2189</v>
      </c>
      <c r="D1236" s="24">
        <v>0</v>
      </c>
      <c r="E1236" s="24">
        <v>0</v>
      </c>
      <c r="F1236" s="24">
        <v>0</v>
      </c>
      <c r="G1236" s="24">
        <v>2</v>
      </c>
      <c r="H1236" s="25">
        <v>12.98</v>
      </c>
      <c r="I1236">
        <v>3</v>
      </c>
      <c r="J1236" s="26">
        <v>0</v>
      </c>
      <c r="K1236" s="26">
        <v>0</v>
      </c>
      <c r="L1236" s="26">
        <v>0</v>
      </c>
      <c r="M1236">
        <v>3</v>
      </c>
      <c r="N1236">
        <v>0</v>
      </c>
      <c r="O1236">
        <v>2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7</v>
      </c>
      <c r="AK1236">
        <v>7</v>
      </c>
      <c r="AL1236">
        <v>14</v>
      </c>
      <c r="AM1236">
        <v>8</v>
      </c>
      <c r="AN1236" s="18">
        <v>0</v>
      </c>
      <c r="AO1236" s="18">
        <v>0</v>
      </c>
      <c r="AP1236" s="18">
        <v>0</v>
      </c>
      <c r="AQ1236" s="18">
        <v>0.25</v>
      </c>
      <c r="AR1236" s="29">
        <v>0</v>
      </c>
      <c r="AS1236" s="29">
        <v>0</v>
      </c>
      <c r="AT1236" s="29">
        <v>3</v>
      </c>
      <c r="AU1236" s="24" t="str">
        <f t="shared" si="20"/>
        <v>库存为3</v>
      </c>
      <c r="AV1236" s="31" t="str">
        <f>IFERROR(时间!$B$4+AU1236,"上周无销量")</f>
        <v>上周无销量</v>
      </c>
    </row>
    <row r="1237" spans="1:48">
      <c r="A1237" s="16" t="s">
        <v>2195</v>
      </c>
      <c r="B1237" t="s">
        <v>872</v>
      </c>
      <c r="C1237" t="s">
        <v>2189</v>
      </c>
      <c r="D1237" s="24">
        <v>0</v>
      </c>
      <c r="E1237" s="24">
        <v>0</v>
      </c>
      <c r="F1237" s="24">
        <v>0</v>
      </c>
      <c r="G1237" s="24">
        <v>0</v>
      </c>
      <c r="H1237" s="25">
        <v>0</v>
      </c>
      <c r="I1237">
        <v>0</v>
      </c>
      <c r="J1237" s="26">
        <v>11</v>
      </c>
      <c r="K1237" s="26">
        <v>0</v>
      </c>
      <c r="L1237" s="26">
        <v>0</v>
      </c>
      <c r="M1237">
        <v>11</v>
      </c>
      <c r="N1237">
        <v>0</v>
      </c>
      <c r="O1237">
        <v>0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0</v>
      </c>
      <c r="AK1237">
        <v>0</v>
      </c>
      <c r="AL1237">
        <v>0</v>
      </c>
      <c r="AM1237">
        <v>0</v>
      </c>
      <c r="AN1237" s="18" t="s">
        <v>52</v>
      </c>
      <c r="AO1237" s="18" t="s">
        <v>52</v>
      </c>
      <c r="AP1237" s="18" t="s">
        <v>52</v>
      </c>
      <c r="AQ1237" s="18" t="s">
        <v>52</v>
      </c>
      <c r="AR1237" s="29">
        <v>0</v>
      </c>
      <c r="AS1237" s="29">
        <v>0</v>
      </c>
      <c r="AT1237" s="29">
        <v>11</v>
      </c>
      <c r="AU1237" s="24" t="str">
        <f t="shared" si="20"/>
        <v>库存为11</v>
      </c>
      <c r="AV1237" s="31" t="str">
        <f>IFERROR(时间!$B$4+AU1237,"上周无销量")</f>
        <v>上周无销量</v>
      </c>
    </row>
    <row r="1238" spans="1:48">
      <c r="A1238" s="16" t="s">
        <v>2196</v>
      </c>
      <c r="B1238" t="s">
        <v>874</v>
      </c>
      <c r="C1238" t="s">
        <v>2189</v>
      </c>
      <c r="D1238" s="24">
        <v>0</v>
      </c>
      <c r="E1238" s="24">
        <v>0</v>
      </c>
      <c r="F1238" s="24">
        <v>0</v>
      </c>
      <c r="G1238" s="24">
        <v>0</v>
      </c>
      <c r="H1238" s="25">
        <v>0</v>
      </c>
      <c r="I1238">
        <v>7</v>
      </c>
      <c r="J1238" s="26">
        <v>0</v>
      </c>
      <c r="K1238" s="26">
        <v>0</v>
      </c>
      <c r="L1238" s="26">
        <v>0</v>
      </c>
      <c r="M1238">
        <v>7</v>
      </c>
      <c r="N1238">
        <v>0</v>
      </c>
      <c r="O1238">
        <v>6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3</v>
      </c>
      <c r="AK1238">
        <v>1</v>
      </c>
      <c r="AL1238">
        <v>5</v>
      </c>
      <c r="AM1238">
        <v>10</v>
      </c>
      <c r="AN1238" s="18">
        <v>0</v>
      </c>
      <c r="AO1238" s="18">
        <v>0</v>
      </c>
      <c r="AP1238" s="18">
        <v>0</v>
      </c>
      <c r="AQ1238" s="18">
        <v>0</v>
      </c>
      <c r="AR1238" s="29">
        <v>0</v>
      </c>
      <c r="AS1238" s="29">
        <v>0</v>
      </c>
      <c r="AT1238" s="29">
        <v>7</v>
      </c>
      <c r="AU1238" s="24" t="str">
        <f t="shared" si="20"/>
        <v>库存为7</v>
      </c>
      <c r="AV1238" s="31" t="str">
        <f>IFERROR(时间!$B$4+AU1238,"上周无销量")</f>
        <v>上周无销量</v>
      </c>
    </row>
    <row r="1239" spans="1:48">
      <c r="A1239" s="16" t="s">
        <v>2197</v>
      </c>
      <c r="B1239" t="s">
        <v>876</v>
      </c>
      <c r="C1239" t="s">
        <v>2189</v>
      </c>
      <c r="D1239" s="24">
        <v>0</v>
      </c>
      <c r="E1239" s="24">
        <v>0</v>
      </c>
      <c r="F1239" s="24">
        <v>0</v>
      </c>
      <c r="G1239" s="24">
        <v>0</v>
      </c>
      <c r="H1239" s="25">
        <v>0</v>
      </c>
      <c r="I1239">
        <v>0</v>
      </c>
      <c r="J1239" s="26">
        <v>0</v>
      </c>
      <c r="K1239" s="26">
        <v>0</v>
      </c>
      <c r="L1239" s="26">
        <v>0</v>
      </c>
      <c r="M1239">
        <v>0</v>
      </c>
      <c r="N1239">
        <v>0</v>
      </c>
      <c r="O1239">
        <v>0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0</v>
      </c>
      <c r="AK1239">
        <v>0</v>
      </c>
      <c r="AL1239">
        <v>0</v>
      </c>
      <c r="AM1239">
        <v>0</v>
      </c>
      <c r="AN1239" s="18" t="s">
        <v>52</v>
      </c>
      <c r="AO1239" s="18" t="s">
        <v>52</v>
      </c>
      <c r="AP1239" s="18" t="s">
        <v>52</v>
      </c>
      <c r="AQ1239" s="18" t="s">
        <v>52</v>
      </c>
      <c r="AR1239" s="29">
        <v>0</v>
      </c>
      <c r="AS1239" s="29">
        <v>0</v>
      </c>
      <c r="AT1239" s="29">
        <v>0</v>
      </c>
      <c r="AU1239" s="24" t="str">
        <f t="shared" si="20"/>
        <v>库存为0</v>
      </c>
      <c r="AV1239" s="31" t="str">
        <f>IFERROR(时间!$B$4+AU1239,"上周无销量")</f>
        <v>上周无销量</v>
      </c>
    </row>
    <row r="1240" spans="1:48">
      <c r="A1240" s="16" t="s">
        <v>2198</v>
      </c>
      <c r="B1240" t="s">
        <v>878</v>
      </c>
      <c r="C1240" t="s">
        <v>2189</v>
      </c>
      <c r="D1240" s="24">
        <v>1</v>
      </c>
      <c r="E1240" s="24">
        <v>1</v>
      </c>
      <c r="F1240" s="24">
        <v>0</v>
      </c>
      <c r="G1240" s="24">
        <v>0</v>
      </c>
      <c r="H1240" s="25">
        <v>22.98</v>
      </c>
      <c r="I1240">
        <v>2</v>
      </c>
      <c r="J1240" s="26">
        <v>14</v>
      </c>
      <c r="K1240" s="26">
        <v>0</v>
      </c>
      <c r="L1240" s="26">
        <v>0</v>
      </c>
      <c r="M1240">
        <v>16</v>
      </c>
      <c r="N1240">
        <v>0</v>
      </c>
      <c r="O1240">
        <v>2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6</v>
      </c>
      <c r="AK1240">
        <v>2</v>
      </c>
      <c r="AL1240">
        <v>4</v>
      </c>
      <c r="AM1240">
        <v>3</v>
      </c>
      <c r="AN1240" s="18">
        <v>0.166666666666667</v>
      </c>
      <c r="AO1240" s="18">
        <v>0.5</v>
      </c>
      <c r="AP1240" s="18">
        <v>0</v>
      </c>
      <c r="AQ1240" s="18">
        <v>0</v>
      </c>
      <c r="AR1240" s="29">
        <v>0.142857142857143</v>
      </c>
      <c r="AS1240" s="29">
        <v>8.57142857142857</v>
      </c>
      <c r="AT1240" s="29">
        <v>7.42857142857143</v>
      </c>
      <c r="AU1240" s="24">
        <f t="shared" si="20"/>
        <v>112</v>
      </c>
      <c r="AV1240" s="31">
        <f>IFERROR(时间!$B$4+AU1240,"上周无销量")</f>
        <v>43430</v>
      </c>
    </row>
    <row r="1241" spans="1:49">
      <c r="A1241" s="16" t="s">
        <v>2199</v>
      </c>
      <c r="B1241" t="s">
        <v>880</v>
      </c>
      <c r="C1241" t="s">
        <v>2189</v>
      </c>
      <c r="D1241" s="24">
        <v>0</v>
      </c>
      <c r="E1241" s="24">
        <v>0</v>
      </c>
      <c r="F1241" s="24">
        <v>0</v>
      </c>
      <c r="G1241" s="24">
        <v>0</v>
      </c>
      <c r="H1241" s="25">
        <v>0</v>
      </c>
      <c r="I1241">
        <v>16</v>
      </c>
      <c r="J1241" s="26">
        <v>0</v>
      </c>
      <c r="K1241" s="26">
        <v>0</v>
      </c>
      <c r="L1241" s="26">
        <v>0</v>
      </c>
      <c r="M1241">
        <v>16</v>
      </c>
      <c r="N1241">
        <v>0</v>
      </c>
      <c r="O1241">
        <v>17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3</v>
      </c>
      <c r="AK1241">
        <v>1</v>
      </c>
      <c r="AL1241">
        <v>3</v>
      </c>
      <c r="AM1241">
        <v>3</v>
      </c>
      <c r="AN1241" s="18">
        <v>0</v>
      </c>
      <c r="AO1241" s="18">
        <v>0</v>
      </c>
      <c r="AP1241" s="18">
        <v>0</v>
      </c>
      <c r="AQ1241" s="18">
        <v>0</v>
      </c>
      <c r="AR1241" s="29">
        <v>0</v>
      </c>
      <c r="AS1241" s="29">
        <v>0</v>
      </c>
      <c r="AT1241" s="29">
        <v>16</v>
      </c>
      <c r="AU1241" s="24" t="str">
        <f t="shared" si="20"/>
        <v>库存为16</v>
      </c>
      <c r="AV1241" s="31" t="str">
        <f>IFERROR(时间!$B$4+AU1241,"上周无销量")</f>
        <v>上周无销量</v>
      </c>
      <c r="AW1241" s="31"/>
    </row>
    <row r="1242" spans="1:48">
      <c r="A1242" s="16" t="s">
        <v>2200</v>
      </c>
      <c r="B1242" t="s">
        <v>882</v>
      </c>
      <c r="C1242" t="s">
        <v>2189</v>
      </c>
      <c r="D1242" s="24">
        <v>0</v>
      </c>
      <c r="E1242" s="24">
        <v>0</v>
      </c>
      <c r="F1242" s="24">
        <v>0</v>
      </c>
      <c r="G1242" s="24">
        <v>0</v>
      </c>
      <c r="H1242" s="25">
        <v>0</v>
      </c>
      <c r="I1242">
        <v>5</v>
      </c>
      <c r="J1242" s="26">
        <v>0</v>
      </c>
      <c r="K1242" s="26">
        <v>0</v>
      </c>
      <c r="L1242" s="26">
        <v>0</v>
      </c>
      <c r="M1242">
        <v>5</v>
      </c>
      <c r="N1242">
        <v>0</v>
      </c>
      <c r="O1242">
        <v>4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2</v>
      </c>
      <c r="AK1242">
        <v>2</v>
      </c>
      <c r="AL1242">
        <v>13</v>
      </c>
      <c r="AM1242">
        <v>4</v>
      </c>
      <c r="AN1242" s="18">
        <v>0</v>
      </c>
      <c r="AO1242" s="18">
        <v>0</v>
      </c>
      <c r="AP1242" s="18">
        <v>0</v>
      </c>
      <c r="AQ1242" s="18">
        <v>0</v>
      </c>
      <c r="AR1242" s="29">
        <v>0</v>
      </c>
      <c r="AS1242" s="29">
        <v>0</v>
      </c>
      <c r="AT1242" s="29">
        <v>5</v>
      </c>
      <c r="AU1242" s="24" t="str">
        <f t="shared" si="20"/>
        <v>库存为5</v>
      </c>
      <c r="AV1242" s="31" t="str">
        <f>IFERROR(时间!$B$4+AU1242,"上周无销量")</f>
        <v>上周无销量</v>
      </c>
    </row>
    <row r="1243" spans="1:48">
      <c r="A1243" s="16" t="s">
        <v>2201</v>
      </c>
      <c r="B1243" t="s">
        <v>884</v>
      </c>
      <c r="C1243" t="s">
        <v>2189</v>
      </c>
      <c r="D1243" s="24">
        <v>0</v>
      </c>
      <c r="E1243" s="24">
        <v>0</v>
      </c>
      <c r="F1243" s="24">
        <v>0</v>
      </c>
      <c r="G1243" s="24">
        <v>0</v>
      </c>
      <c r="H1243" s="25">
        <v>0</v>
      </c>
      <c r="I1243">
        <v>0</v>
      </c>
      <c r="J1243" s="26">
        <v>0</v>
      </c>
      <c r="K1243" s="26">
        <v>0</v>
      </c>
      <c r="L1243" s="26">
        <v>0</v>
      </c>
      <c r="M1243">
        <v>0</v>
      </c>
      <c r="N1243">
        <v>0</v>
      </c>
      <c r="O1243">
        <v>0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0</v>
      </c>
      <c r="AK1243">
        <v>0</v>
      </c>
      <c r="AL1243">
        <v>0</v>
      </c>
      <c r="AM1243">
        <v>0</v>
      </c>
      <c r="AN1243" s="18" t="s">
        <v>52</v>
      </c>
      <c r="AO1243" s="18" t="s">
        <v>52</v>
      </c>
      <c r="AP1243" s="18" t="s">
        <v>52</v>
      </c>
      <c r="AQ1243" s="18" t="s">
        <v>52</v>
      </c>
      <c r="AR1243" s="29">
        <v>0</v>
      </c>
      <c r="AS1243" s="29">
        <v>0</v>
      </c>
      <c r="AT1243" s="29">
        <v>0</v>
      </c>
      <c r="AU1243" s="24" t="str">
        <f t="shared" si="20"/>
        <v>库存为0</v>
      </c>
      <c r="AV1243" s="31" t="str">
        <f>IFERROR(时间!$B$4+AU1243,"上周无销量")</f>
        <v>上周无销量</v>
      </c>
    </row>
    <row r="1244" spans="1:48">
      <c r="A1244" s="16" t="s">
        <v>2202</v>
      </c>
      <c r="B1244" t="s">
        <v>886</v>
      </c>
      <c r="C1244" t="s">
        <v>2189</v>
      </c>
      <c r="D1244" s="24">
        <v>0</v>
      </c>
      <c r="E1244" s="24">
        <v>0</v>
      </c>
      <c r="F1244" s="24">
        <v>1</v>
      </c>
      <c r="G1244" s="24">
        <v>0</v>
      </c>
      <c r="H1244" s="25">
        <v>22.98</v>
      </c>
      <c r="I1244">
        <v>8</v>
      </c>
      <c r="J1244" s="26">
        <v>0</v>
      </c>
      <c r="K1244" s="26">
        <v>0</v>
      </c>
      <c r="L1244" s="26">
        <v>0</v>
      </c>
      <c r="M1244">
        <v>8</v>
      </c>
      <c r="N1244">
        <v>0</v>
      </c>
      <c r="O1244">
        <v>9</v>
      </c>
      <c r="P1244">
        <v>244</v>
      </c>
      <c r="Q1244">
        <v>192</v>
      </c>
      <c r="R1244">
        <v>262</v>
      </c>
      <c r="S1244">
        <v>178</v>
      </c>
      <c r="T1244">
        <v>2</v>
      </c>
      <c r="U1244">
        <v>2</v>
      </c>
      <c r="V1244">
        <v>3</v>
      </c>
      <c r="W1244">
        <v>1</v>
      </c>
      <c r="X1244" s="18">
        <v>0.00819672131147541</v>
      </c>
      <c r="Y1244" s="18">
        <v>0.0104166666666667</v>
      </c>
      <c r="Z1244" s="18">
        <v>0.0114503816793893</v>
      </c>
      <c r="AA1244" s="18">
        <v>0.00561797752808989</v>
      </c>
      <c r="AB1244">
        <v>0.97</v>
      </c>
      <c r="AC1244">
        <v>1.52</v>
      </c>
      <c r="AD1244">
        <v>2.04</v>
      </c>
      <c r="AE1244">
        <v>0.68</v>
      </c>
      <c r="AF1244" s="18" t="s">
        <v>2203</v>
      </c>
      <c r="AG1244" s="18" t="s">
        <v>2204</v>
      </c>
      <c r="AH1244" s="18">
        <v>0.0887728459530026</v>
      </c>
      <c r="AI1244" s="18" t="s">
        <v>2205</v>
      </c>
      <c r="AJ1244">
        <v>6</v>
      </c>
      <c r="AK1244">
        <v>1</v>
      </c>
      <c r="AL1244">
        <v>4</v>
      </c>
      <c r="AM1244">
        <v>6</v>
      </c>
      <c r="AN1244" s="18">
        <v>0</v>
      </c>
      <c r="AO1244" s="18">
        <v>0</v>
      </c>
      <c r="AP1244" s="18">
        <v>0.25</v>
      </c>
      <c r="AQ1244" s="18">
        <v>0</v>
      </c>
      <c r="AR1244" s="29">
        <v>0</v>
      </c>
      <c r="AS1244" s="29">
        <v>0</v>
      </c>
      <c r="AT1244" s="29">
        <v>8</v>
      </c>
      <c r="AU1244" s="24" t="str">
        <f t="shared" si="20"/>
        <v>库存为8</v>
      </c>
      <c r="AV1244" s="31" t="str">
        <f>IFERROR(时间!$B$4+AU1244,"上周无销量")</f>
        <v>上周无销量</v>
      </c>
    </row>
    <row r="1245" spans="1:48">
      <c r="A1245" s="16" t="s">
        <v>2206</v>
      </c>
      <c r="B1245" t="s">
        <v>888</v>
      </c>
      <c r="C1245" t="s">
        <v>2189</v>
      </c>
      <c r="D1245" s="24">
        <v>1</v>
      </c>
      <c r="E1245" s="24">
        <v>0</v>
      </c>
      <c r="F1245" s="24">
        <v>1</v>
      </c>
      <c r="G1245" s="24">
        <v>0</v>
      </c>
      <c r="H1245" s="25">
        <v>22.98</v>
      </c>
      <c r="I1245">
        <v>30</v>
      </c>
      <c r="J1245" s="26">
        <v>20</v>
      </c>
      <c r="K1245" s="26">
        <v>0</v>
      </c>
      <c r="L1245" s="26">
        <v>0</v>
      </c>
      <c r="M1245">
        <v>50</v>
      </c>
      <c r="N1245">
        <v>0</v>
      </c>
      <c r="O1245">
        <v>29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9</v>
      </c>
      <c r="AK1245">
        <v>2</v>
      </c>
      <c r="AL1245">
        <v>6</v>
      </c>
      <c r="AM1245">
        <v>5</v>
      </c>
      <c r="AN1245" s="18">
        <v>0.111111111111111</v>
      </c>
      <c r="AO1245" s="18">
        <v>0</v>
      </c>
      <c r="AP1245" s="18">
        <v>0.166666666666667</v>
      </c>
      <c r="AQ1245" s="18">
        <v>0</v>
      </c>
      <c r="AR1245" s="29">
        <v>0.142857142857143</v>
      </c>
      <c r="AS1245" s="29">
        <v>8.57142857142857</v>
      </c>
      <c r="AT1245" s="29">
        <v>41.4285714285714</v>
      </c>
      <c r="AU1245" s="24">
        <f t="shared" si="20"/>
        <v>350</v>
      </c>
      <c r="AV1245" s="31">
        <f>IFERROR(时间!$B$4+AU1245,"上周无销量")</f>
        <v>43668</v>
      </c>
    </row>
    <row r="1246" spans="1:48">
      <c r="A1246" s="16" t="s">
        <v>2207</v>
      </c>
      <c r="B1246" t="s">
        <v>890</v>
      </c>
      <c r="C1246" t="s">
        <v>2189</v>
      </c>
      <c r="D1246" s="24">
        <v>1</v>
      </c>
      <c r="E1246" s="24">
        <v>0</v>
      </c>
      <c r="F1246" s="24">
        <v>0</v>
      </c>
      <c r="G1246" s="24">
        <v>0</v>
      </c>
      <c r="H1246" s="25">
        <v>12.98</v>
      </c>
      <c r="I1246">
        <v>13</v>
      </c>
      <c r="J1246" s="26">
        <v>0</v>
      </c>
      <c r="K1246" s="26">
        <v>0</v>
      </c>
      <c r="L1246" s="26">
        <v>0</v>
      </c>
      <c r="M1246">
        <v>13</v>
      </c>
      <c r="N1246">
        <v>0</v>
      </c>
      <c r="O1246">
        <v>13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7</v>
      </c>
      <c r="AK1246">
        <v>2</v>
      </c>
      <c r="AL1246">
        <v>11</v>
      </c>
      <c r="AM1246">
        <v>5</v>
      </c>
      <c r="AN1246" s="18">
        <v>0.142857142857143</v>
      </c>
      <c r="AO1246" s="18">
        <v>0</v>
      </c>
      <c r="AP1246" s="18">
        <v>0</v>
      </c>
      <c r="AQ1246" s="18">
        <v>0</v>
      </c>
      <c r="AR1246" s="29">
        <v>0.142857142857143</v>
      </c>
      <c r="AS1246" s="29">
        <v>8.57142857142857</v>
      </c>
      <c r="AT1246" s="29">
        <v>4.42857142857143</v>
      </c>
      <c r="AU1246" s="24">
        <f t="shared" si="20"/>
        <v>91</v>
      </c>
      <c r="AV1246" s="31">
        <f>IFERROR(时间!$B$4+AU1246,"上周无销量")</f>
        <v>43409</v>
      </c>
    </row>
    <row r="1247" spans="1:48">
      <c r="A1247" s="16" t="s">
        <v>2208</v>
      </c>
      <c r="B1247" t="s">
        <v>892</v>
      </c>
      <c r="C1247" t="s">
        <v>2189</v>
      </c>
      <c r="D1247" s="24">
        <v>2</v>
      </c>
      <c r="E1247" s="24">
        <v>1</v>
      </c>
      <c r="F1247" s="24">
        <v>0</v>
      </c>
      <c r="G1247" s="24">
        <v>0</v>
      </c>
      <c r="H1247" s="25">
        <v>22.98</v>
      </c>
      <c r="I1247">
        <v>0</v>
      </c>
      <c r="J1247" s="26">
        <v>0</v>
      </c>
      <c r="K1247" s="26">
        <v>0</v>
      </c>
      <c r="L1247" s="26">
        <v>0</v>
      </c>
      <c r="M1247">
        <v>0</v>
      </c>
      <c r="N1247">
        <v>0</v>
      </c>
      <c r="O1247">
        <v>0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1</v>
      </c>
      <c r="AK1247">
        <v>5</v>
      </c>
      <c r="AL1247">
        <v>9</v>
      </c>
      <c r="AM1247">
        <v>7</v>
      </c>
      <c r="AN1247" s="18">
        <v>2</v>
      </c>
      <c r="AO1247" s="18">
        <v>0.2</v>
      </c>
      <c r="AP1247" s="18">
        <v>0</v>
      </c>
      <c r="AQ1247" s="18">
        <v>0</v>
      </c>
      <c r="AR1247" s="29">
        <v>0.285714285714286</v>
      </c>
      <c r="AS1247" s="29">
        <v>17.1428571428571</v>
      </c>
      <c r="AT1247" s="29">
        <v>-17.1428571428571</v>
      </c>
      <c r="AU1247" s="24">
        <f t="shared" si="20"/>
        <v>0</v>
      </c>
      <c r="AV1247" s="31">
        <f>IFERROR(时间!$B$4+AU1247,"上周无销量")</f>
        <v>43318</v>
      </c>
    </row>
    <row r="1248" spans="1:48">
      <c r="A1248" s="16" t="s">
        <v>2209</v>
      </c>
      <c r="B1248" t="s">
        <v>894</v>
      </c>
      <c r="C1248" t="s">
        <v>2189</v>
      </c>
      <c r="D1248" s="24">
        <v>1</v>
      </c>
      <c r="E1248" s="24">
        <v>0</v>
      </c>
      <c r="F1248" s="24">
        <v>0</v>
      </c>
      <c r="G1248" s="24">
        <v>0</v>
      </c>
      <c r="H1248" s="25">
        <v>22.98</v>
      </c>
      <c r="I1248">
        <v>9</v>
      </c>
      <c r="J1248" s="26">
        <v>0</v>
      </c>
      <c r="K1248" s="26">
        <v>0</v>
      </c>
      <c r="L1248" s="26">
        <v>0</v>
      </c>
      <c r="M1248">
        <v>9</v>
      </c>
      <c r="N1248">
        <v>0</v>
      </c>
      <c r="O1248">
        <v>10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9</v>
      </c>
      <c r="AK1248">
        <v>1</v>
      </c>
      <c r="AL1248">
        <v>17</v>
      </c>
      <c r="AM1248">
        <v>4</v>
      </c>
      <c r="AN1248" s="18">
        <v>0.111111111111111</v>
      </c>
      <c r="AO1248" s="18">
        <v>0</v>
      </c>
      <c r="AP1248" s="18">
        <v>0</v>
      </c>
      <c r="AQ1248" s="18">
        <v>0</v>
      </c>
      <c r="AR1248" s="29">
        <v>0.142857142857143</v>
      </c>
      <c r="AS1248" s="29">
        <v>8.57142857142857</v>
      </c>
      <c r="AT1248" s="29">
        <v>0.428571428571429</v>
      </c>
      <c r="AU1248" s="24">
        <f t="shared" si="20"/>
        <v>63</v>
      </c>
      <c r="AV1248" s="31">
        <f>IFERROR(时间!$B$4+AU1248,"上周无销量")</f>
        <v>43381</v>
      </c>
    </row>
    <row r="1249" spans="1:48">
      <c r="A1249" s="16" t="s">
        <v>2210</v>
      </c>
      <c r="B1249" t="s">
        <v>896</v>
      </c>
      <c r="C1249" t="s">
        <v>2189</v>
      </c>
      <c r="D1249" s="24">
        <v>0</v>
      </c>
      <c r="E1249" s="24">
        <v>1</v>
      </c>
      <c r="F1249" s="24">
        <v>0</v>
      </c>
      <c r="G1249" s="24">
        <v>1</v>
      </c>
      <c r="H1249" s="25">
        <v>22.98</v>
      </c>
      <c r="I1249">
        <v>18</v>
      </c>
      <c r="J1249" s="26">
        <v>0</v>
      </c>
      <c r="K1249" s="26">
        <v>0</v>
      </c>
      <c r="L1249" s="26">
        <v>0</v>
      </c>
      <c r="M1249">
        <v>18</v>
      </c>
      <c r="N1249">
        <v>0</v>
      </c>
      <c r="O1249">
        <v>18</v>
      </c>
      <c r="P1249">
        <v>2846</v>
      </c>
      <c r="Q1249">
        <v>416</v>
      </c>
      <c r="R1249">
        <v>800</v>
      </c>
      <c r="S1249">
        <v>808</v>
      </c>
      <c r="T1249">
        <v>3</v>
      </c>
      <c r="U1249">
        <v>5</v>
      </c>
      <c r="V1249">
        <v>2</v>
      </c>
      <c r="W1249">
        <v>7</v>
      </c>
      <c r="X1249" s="18">
        <v>0.00105411103302881</v>
      </c>
      <c r="Y1249" s="18">
        <v>0.0120192307692308</v>
      </c>
      <c r="Z1249" s="18">
        <v>0.0025</v>
      </c>
      <c r="AA1249" s="18">
        <v>0.00866336633663366</v>
      </c>
      <c r="AB1249">
        <v>1.74</v>
      </c>
      <c r="AC1249">
        <v>1.92</v>
      </c>
      <c r="AD1249">
        <v>0.97</v>
      </c>
      <c r="AE1249">
        <v>4.28</v>
      </c>
      <c r="AF1249" s="18" t="s">
        <v>2211</v>
      </c>
      <c r="AG1249" s="18">
        <v>0.0835509138381201</v>
      </c>
      <c r="AH1249" s="18" t="s">
        <v>2203</v>
      </c>
      <c r="AI1249" s="18">
        <v>0.186248912097476</v>
      </c>
      <c r="AJ1249">
        <v>7</v>
      </c>
      <c r="AK1249">
        <v>3</v>
      </c>
      <c r="AL1249">
        <v>9</v>
      </c>
      <c r="AM1249">
        <v>5</v>
      </c>
      <c r="AN1249" s="18">
        <v>0</v>
      </c>
      <c r="AO1249" s="18">
        <v>0.333333333333333</v>
      </c>
      <c r="AP1249" s="18">
        <v>0</v>
      </c>
      <c r="AQ1249" s="18">
        <v>0.2</v>
      </c>
      <c r="AR1249" s="29">
        <v>0</v>
      </c>
      <c r="AS1249" s="29">
        <v>0</v>
      </c>
      <c r="AT1249" s="29">
        <v>18</v>
      </c>
      <c r="AU1249" s="24" t="str">
        <f t="shared" si="20"/>
        <v>库存为18</v>
      </c>
      <c r="AV1249" s="31" t="str">
        <f>IFERROR(时间!$B$4+AU1249,"上周无销量")</f>
        <v>上周无销量</v>
      </c>
    </row>
    <row r="1250" spans="1:48">
      <c r="A1250" s="16" t="s">
        <v>2212</v>
      </c>
      <c r="B1250" t="s">
        <v>898</v>
      </c>
      <c r="C1250" t="s">
        <v>2189</v>
      </c>
      <c r="D1250" s="24">
        <v>0</v>
      </c>
      <c r="E1250" s="24">
        <v>0</v>
      </c>
      <c r="F1250" s="24">
        <v>0</v>
      </c>
      <c r="G1250" s="24">
        <v>0</v>
      </c>
      <c r="H1250" s="25">
        <v>0</v>
      </c>
      <c r="I1250">
        <v>10</v>
      </c>
      <c r="J1250" s="26">
        <v>0</v>
      </c>
      <c r="K1250" s="26">
        <v>0</v>
      </c>
      <c r="L1250" s="26">
        <v>0</v>
      </c>
      <c r="M1250">
        <v>10</v>
      </c>
      <c r="N1250">
        <v>0</v>
      </c>
      <c r="O1250">
        <v>9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6</v>
      </c>
      <c r="AK1250">
        <v>3</v>
      </c>
      <c r="AL1250">
        <v>4</v>
      </c>
      <c r="AM1250">
        <v>4</v>
      </c>
      <c r="AN1250" s="18">
        <v>0</v>
      </c>
      <c r="AO1250" s="18">
        <v>0</v>
      </c>
      <c r="AP1250" s="18">
        <v>0</v>
      </c>
      <c r="AQ1250" s="18">
        <v>0</v>
      </c>
      <c r="AR1250" s="29">
        <v>0</v>
      </c>
      <c r="AS1250" s="29">
        <v>0</v>
      </c>
      <c r="AT1250" s="29">
        <v>10</v>
      </c>
      <c r="AU1250" s="24" t="str">
        <f t="shared" si="20"/>
        <v>库存为10</v>
      </c>
      <c r="AV1250" s="31" t="str">
        <f>IFERROR(时间!$B$4+AU1250,"上周无销量")</f>
        <v>上周无销量</v>
      </c>
    </row>
    <row r="1251" spans="1:49">
      <c r="A1251" s="16" t="s">
        <v>2213</v>
      </c>
      <c r="B1251" t="s">
        <v>900</v>
      </c>
      <c r="C1251" t="s">
        <v>2189</v>
      </c>
      <c r="D1251" s="24">
        <v>0</v>
      </c>
      <c r="E1251" s="24">
        <v>0</v>
      </c>
      <c r="F1251" s="24">
        <v>0</v>
      </c>
      <c r="G1251" s="24">
        <v>0</v>
      </c>
      <c r="H1251" s="25">
        <v>0</v>
      </c>
      <c r="I1251">
        <v>16</v>
      </c>
      <c r="J1251" s="26">
        <v>0</v>
      </c>
      <c r="K1251" s="26">
        <v>0</v>
      </c>
      <c r="L1251" s="26">
        <v>0</v>
      </c>
      <c r="M1251">
        <v>16</v>
      </c>
      <c r="N1251">
        <v>0</v>
      </c>
      <c r="O1251">
        <v>17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2</v>
      </c>
      <c r="AK1251">
        <v>2</v>
      </c>
      <c r="AL1251">
        <v>5</v>
      </c>
      <c r="AM1251">
        <v>3</v>
      </c>
      <c r="AN1251" s="18">
        <v>0</v>
      </c>
      <c r="AO1251" s="18">
        <v>0</v>
      </c>
      <c r="AP1251" s="18">
        <v>0</v>
      </c>
      <c r="AQ1251" s="18">
        <v>0</v>
      </c>
      <c r="AR1251" s="29">
        <v>0</v>
      </c>
      <c r="AS1251" s="29">
        <v>0</v>
      </c>
      <c r="AT1251" s="29">
        <v>16</v>
      </c>
      <c r="AU1251" s="24" t="str">
        <f t="shared" si="20"/>
        <v>库存为16</v>
      </c>
      <c r="AV1251" s="31" t="str">
        <f>IFERROR(时间!$B$4+AU1251,"上周无销量")</f>
        <v>上周无销量</v>
      </c>
      <c r="AW1251" s="31"/>
    </row>
    <row r="1252" spans="1:49">
      <c r="A1252" s="16" t="s">
        <v>2214</v>
      </c>
      <c r="B1252" t="s">
        <v>902</v>
      </c>
      <c r="C1252" t="s">
        <v>2189</v>
      </c>
      <c r="D1252" s="24">
        <v>0</v>
      </c>
      <c r="E1252" s="24">
        <v>0</v>
      </c>
      <c r="F1252" s="24">
        <v>1</v>
      </c>
      <c r="G1252" s="24">
        <v>0</v>
      </c>
      <c r="H1252" s="25">
        <v>12.98</v>
      </c>
      <c r="I1252">
        <v>13</v>
      </c>
      <c r="J1252" s="26">
        <v>0</v>
      </c>
      <c r="K1252" s="26">
        <v>0</v>
      </c>
      <c r="L1252" s="26">
        <v>0</v>
      </c>
      <c r="M1252">
        <v>13</v>
      </c>
      <c r="N1252">
        <v>0</v>
      </c>
      <c r="O1252">
        <v>12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0</v>
      </c>
      <c r="AK1252">
        <v>3</v>
      </c>
      <c r="AL1252">
        <v>9</v>
      </c>
      <c r="AM1252">
        <v>4</v>
      </c>
      <c r="AN1252" s="18" t="s">
        <v>52</v>
      </c>
      <c r="AO1252" s="18">
        <v>0</v>
      </c>
      <c r="AP1252" s="18">
        <v>0.111111111111111</v>
      </c>
      <c r="AQ1252" s="18">
        <v>0</v>
      </c>
      <c r="AR1252" s="29">
        <v>0</v>
      </c>
      <c r="AS1252" s="29">
        <v>0</v>
      </c>
      <c r="AT1252" s="29">
        <v>13</v>
      </c>
      <c r="AU1252" s="24" t="str">
        <f t="shared" si="20"/>
        <v>库存为13</v>
      </c>
      <c r="AV1252" s="31" t="str">
        <f>IFERROR(时间!$B$4+AU1252,"上周无销量")</f>
        <v>上周无销量</v>
      </c>
      <c r="AW1252" s="31"/>
    </row>
    <row r="1253" spans="1:48">
      <c r="A1253" s="16" t="s">
        <v>2215</v>
      </c>
      <c r="B1253" t="s">
        <v>904</v>
      </c>
      <c r="C1253" t="s">
        <v>2189</v>
      </c>
      <c r="D1253" s="24">
        <v>0</v>
      </c>
      <c r="E1253" s="24">
        <v>1</v>
      </c>
      <c r="F1253" s="24">
        <v>1</v>
      </c>
      <c r="G1253" s="24">
        <v>1</v>
      </c>
      <c r="H1253" s="25">
        <v>22.98</v>
      </c>
      <c r="I1253">
        <v>7</v>
      </c>
      <c r="J1253" s="26">
        <v>0</v>
      </c>
      <c r="K1253" s="26">
        <v>0</v>
      </c>
      <c r="L1253" s="26">
        <v>0</v>
      </c>
      <c r="M1253">
        <v>7</v>
      </c>
      <c r="N1253">
        <v>0</v>
      </c>
      <c r="O1253">
        <v>6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3</v>
      </c>
      <c r="AK1253">
        <v>2</v>
      </c>
      <c r="AL1253">
        <v>5</v>
      </c>
      <c r="AM1253">
        <v>3</v>
      </c>
      <c r="AN1253" s="18">
        <v>0</v>
      </c>
      <c r="AO1253" s="18">
        <v>0.5</v>
      </c>
      <c r="AP1253" s="18">
        <v>0.2</v>
      </c>
      <c r="AQ1253" s="18">
        <v>0.333333333333333</v>
      </c>
      <c r="AR1253" s="29">
        <v>0</v>
      </c>
      <c r="AS1253" s="29">
        <v>0</v>
      </c>
      <c r="AT1253" s="29">
        <v>7</v>
      </c>
      <c r="AU1253" s="24" t="str">
        <f t="shared" si="20"/>
        <v>库存为7</v>
      </c>
      <c r="AV1253" s="31" t="str">
        <f>IFERROR(时间!$B$4+AU1253,"上周无销量")</f>
        <v>上周无销量</v>
      </c>
    </row>
    <row r="1254" spans="1:48">
      <c r="A1254" s="16" t="s">
        <v>2216</v>
      </c>
      <c r="B1254" t="s">
        <v>906</v>
      </c>
      <c r="C1254" t="s">
        <v>2189</v>
      </c>
      <c r="D1254" s="24">
        <v>0</v>
      </c>
      <c r="E1254" s="24">
        <v>0</v>
      </c>
      <c r="F1254" s="24">
        <v>0</v>
      </c>
      <c r="G1254" s="24">
        <v>0</v>
      </c>
      <c r="H1254" s="25">
        <v>0</v>
      </c>
      <c r="I1254">
        <v>11</v>
      </c>
      <c r="J1254" s="26">
        <v>0</v>
      </c>
      <c r="K1254" s="26">
        <v>0</v>
      </c>
      <c r="L1254" s="26">
        <v>0</v>
      </c>
      <c r="M1254">
        <v>11</v>
      </c>
      <c r="N1254">
        <v>0</v>
      </c>
      <c r="O1254">
        <v>11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3</v>
      </c>
      <c r="AK1254">
        <v>1</v>
      </c>
      <c r="AL1254">
        <v>7</v>
      </c>
      <c r="AM1254">
        <v>3</v>
      </c>
      <c r="AN1254" s="18">
        <v>0</v>
      </c>
      <c r="AO1254" s="18">
        <v>0</v>
      </c>
      <c r="AP1254" s="18">
        <v>0</v>
      </c>
      <c r="AQ1254" s="18">
        <v>0</v>
      </c>
      <c r="AR1254" s="29">
        <v>0</v>
      </c>
      <c r="AS1254" s="29">
        <v>0</v>
      </c>
      <c r="AT1254" s="29">
        <v>11</v>
      </c>
      <c r="AU1254" s="24" t="str">
        <f t="shared" si="20"/>
        <v>库存为11</v>
      </c>
      <c r="AV1254" s="31" t="str">
        <f>IFERROR(时间!$B$4+AU1254,"上周无销量")</f>
        <v>上周无销量</v>
      </c>
    </row>
    <row r="1255" spans="1:48">
      <c r="A1255" s="16" t="s">
        <v>2217</v>
      </c>
      <c r="B1255" t="s">
        <v>908</v>
      </c>
      <c r="C1255" t="s">
        <v>2189</v>
      </c>
      <c r="D1255" s="24">
        <v>0</v>
      </c>
      <c r="E1255" s="24">
        <v>0</v>
      </c>
      <c r="F1255" s="24">
        <v>0</v>
      </c>
      <c r="G1255" s="24">
        <v>0</v>
      </c>
      <c r="H1255" s="25">
        <v>0</v>
      </c>
      <c r="I1255">
        <v>5</v>
      </c>
      <c r="J1255" s="26">
        <v>16</v>
      </c>
      <c r="K1255" s="26">
        <v>0</v>
      </c>
      <c r="L1255" s="26">
        <v>0</v>
      </c>
      <c r="M1255">
        <v>21</v>
      </c>
      <c r="N1255">
        <v>0</v>
      </c>
      <c r="O1255">
        <v>2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7</v>
      </c>
      <c r="AK1255">
        <v>3</v>
      </c>
      <c r="AL1255">
        <v>9</v>
      </c>
      <c r="AM1255">
        <v>9</v>
      </c>
      <c r="AN1255" s="18">
        <v>0</v>
      </c>
      <c r="AO1255" s="18">
        <v>0</v>
      </c>
      <c r="AP1255" s="18">
        <v>0</v>
      </c>
      <c r="AQ1255" s="18">
        <v>0</v>
      </c>
      <c r="AR1255" s="29">
        <v>0</v>
      </c>
      <c r="AS1255" s="29">
        <v>0</v>
      </c>
      <c r="AT1255" s="29">
        <v>21</v>
      </c>
      <c r="AU1255" s="24" t="str">
        <f t="shared" si="20"/>
        <v>库存为21</v>
      </c>
      <c r="AV1255" s="31" t="str">
        <f>IFERROR(时间!$B$4+AU1255,"上周无销量")</f>
        <v>上周无销量</v>
      </c>
    </row>
    <row r="1256" spans="1:48">
      <c r="A1256" s="16" t="s">
        <v>2218</v>
      </c>
      <c r="B1256" t="s">
        <v>910</v>
      </c>
      <c r="C1256" t="s">
        <v>2189</v>
      </c>
      <c r="D1256" s="24">
        <v>0</v>
      </c>
      <c r="E1256" s="24">
        <v>0</v>
      </c>
      <c r="F1256" s="24">
        <v>1</v>
      </c>
      <c r="G1256" s="24">
        <v>1</v>
      </c>
      <c r="H1256" s="25">
        <v>22.98</v>
      </c>
      <c r="I1256">
        <v>13</v>
      </c>
      <c r="J1256" s="26">
        <v>0</v>
      </c>
      <c r="K1256" s="26">
        <v>0</v>
      </c>
      <c r="L1256" s="26">
        <v>0</v>
      </c>
      <c r="M1256">
        <v>13</v>
      </c>
      <c r="N1256">
        <v>0</v>
      </c>
      <c r="O1256">
        <v>11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3</v>
      </c>
      <c r="AK1256">
        <v>2</v>
      </c>
      <c r="AL1256">
        <v>3</v>
      </c>
      <c r="AM1256">
        <v>8</v>
      </c>
      <c r="AN1256" s="18">
        <v>0</v>
      </c>
      <c r="AO1256" s="18">
        <v>0</v>
      </c>
      <c r="AP1256" s="18">
        <v>0.333333333333333</v>
      </c>
      <c r="AQ1256" s="18">
        <v>0.125</v>
      </c>
      <c r="AR1256" s="29">
        <v>0</v>
      </c>
      <c r="AS1256" s="29">
        <v>0</v>
      </c>
      <c r="AT1256" s="29">
        <v>13</v>
      </c>
      <c r="AU1256" s="24" t="str">
        <f t="shared" si="20"/>
        <v>库存为13</v>
      </c>
      <c r="AV1256" s="31" t="str">
        <f>IFERROR(时间!$B$4+AU1256,"上周无销量")</f>
        <v>上周无销量</v>
      </c>
    </row>
    <row r="1257" spans="1:48">
      <c r="A1257" s="16" t="s">
        <v>2219</v>
      </c>
      <c r="B1257" t="s">
        <v>912</v>
      </c>
      <c r="C1257" t="s">
        <v>2189</v>
      </c>
      <c r="D1257" s="24">
        <v>1</v>
      </c>
      <c r="E1257" s="24">
        <v>1</v>
      </c>
      <c r="F1257" s="24">
        <v>0</v>
      </c>
      <c r="G1257" s="24">
        <v>1</v>
      </c>
      <c r="H1257" s="25">
        <v>12.98</v>
      </c>
      <c r="I1257">
        <v>1</v>
      </c>
      <c r="J1257" s="26">
        <v>0</v>
      </c>
      <c r="K1257" s="26">
        <v>0</v>
      </c>
      <c r="L1257" s="26">
        <v>0</v>
      </c>
      <c r="M1257">
        <v>1</v>
      </c>
      <c r="N1257">
        <v>0</v>
      </c>
      <c r="O1257">
        <v>0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4</v>
      </c>
      <c r="AK1257">
        <v>1</v>
      </c>
      <c r="AL1257">
        <v>6</v>
      </c>
      <c r="AM1257">
        <v>1</v>
      </c>
      <c r="AN1257" s="18">
        <v>0.25</v>
      </c>
      <c r="AO1257" s="18">
        <v>1</v>
      </c>
      <c r="AP1257" s="18">
        <v>0</v>
      </c>
      <c r="AQ1257" s="18">
        <v>1</v>
      </c>
      <c r="AR1257" s="29">
        <v>0.142857142857143</v>
      </c>
      <c r="AS1257" s="29">
        <v>8.57142857142857</v>
      </c>
      <c r="AT1257" s="29">
        <v>-7.57142857142857</v>
      </c>
      <c r="AU1257" s="24">
        <f t="shared" si="20"/>
        <v>7</v>
      </c>
      <c r="AV1257" s="31">
        <f>IFERROR(时间!$B$4+AU1257,"上周无销量")</f>
        <v>43325</v>
      </c>
    </row>
    <row r="1258" spans="1:48">
      <c r="A1258" s="16" t="s">
        <v>2220</v>
      </c>
      <c r="B1258" t="s">
        <v>914</v>
      </c>
      <c r="C1258" t="s">
        <v>2189</v>
      </c>
      <c r="D1258" s="24">
        <v>0</v>
      </c>
      <c r="E1258" s="24">
        <v>1</v>
      </c>
      <c r="F1258" s="24">
        <v>0</v>
      </c>
      <c r="G1258" s="24">
        <v>1</v>
      </c>
      <c r="H1258" s="25">
        <v>22.98</v>
      </c>
      <c r="I1258">
        <v>13</v>
      </c>
      <c r="J1258" s="26">
        <v>0</v>
      </c>
      <c r="K1258" s="26">
        <v>0</v>
      </c>
      <c r="L1258" s="26">
        <v>0</v>
      </c>
      <c r="M1258">
        <v>13</v>
      </c>
      <c r="N1258">
        <v>0</v>
      </c>
      <c r="O1258">
        <v>13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8</v>
      </c>
      <c r="AK1258">
        <v>1</v>
      </c>
      <c r="AL1258">
        <v>10</v>
      </c>
      <c r="AM1258">
        <v>2</v>
      </c>
      <c r="AN1258" s="18">
        <v>0</v>
      </c>
      <c r="AO1258" s="18">
        <v>1</v>
      </c>
      <c r="AP1258" s="18">
        <v>0</v>
      </c>
      <c r="AQ1258" s="18">
        <v>0.5</v>
      </c>
      <c r="AR1258" s="29">
        <v>0</v>
      </c>
      <c r="AS1258" s="29">
        <v>0</v>
      </c>
      <c r="AT1258" s="29">
        <v>13</v>
      </c>
      <c r="AU1258" s="24" t="str">
        <f t="shared" si="20"/>
        <v>库存为13</v>
      </c>
      <c r="AV1258" s="31" t="str">
        <f>IFERROR(时间!$B$4+AU1258,"上周无销量")</f>
        <v>上周无销量</v>
      </c>
    </row>
    <row r="1259" spans="1:48">
      <c r="A1259" s="16" t="s">
        <v>2221</v>
      </c>
      <c r="B1259" t="s">
        <v>916</v>
      </c>
      <c r="C1259" t="s">
        <v>2189</v>
      </c>
      <c r="D1259" s="24">
        <v>0</v>
      </c>
      <c r="E1259" s="24">
        <v>1</v>
      </c>
      <c r="F1259" s="24">
        <v>0</v>
      </c>
      <c r="G1259" s="24">
        <v>0</v>
      </c>
      <c r="H1259" s="25">
        <v>22.98</v>
      </c>
      <c r="I1259">
        <v>9</v>
      </c>
      <c r="J1259" s="26">
        <v>0</v>
      </c>
      <c r="K1259" s="26">
        <v>0</v>
      </c>
      <c r="L1259" s="26">
        <v>0</v>
      </c>
      <c r="M1259">
        <v>9</v>
      </c>
      <c r="N1259">
        <v>0</v>
      </c>
      <c r="O1259">
        <v>8</v>
      </c>
      <c r="P1259">
        <v>4</v>
      </c>
      <c r="Q1259">
        <v>16</v>
      </c>
      <c r="R1259">
        <v>15</v>
      </c>
      <c r="S1259">
        <v>7</v>
      </c>
      <c r="T1259">
        <v>0</v>
      </c>
      <c r="U1259">
        <v>0</v>
      </c>
      <c r="V1259">
        <v>0</v>
      </c>
      <c r="W1259">
        <v>0</v>
      </c>
      <c r="X1259" s="18">
        <v>0</v>
      </c>
      <c r="Y1259" s="18">
        <v>0</v>
      </c>
      <c r="Z1259" s="18">
        <v>0</v>
      </c>
      <c r="AA1259" s="18">
        <v>0</v>
      </c>
      <c r="AB1259">
        <v>0</v>
      </c>
      <c r="AC1259">
        <v>0</v>
      </c>
      <c r="AD1259">
        <v>0</v>
      </c>
      <c r="AE1259">
        <v>0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4</v>
      </c>
      <c r="AK1259">
        <v>0</v>
      </c>
      <c r="AL1259">
        <v>12</v>
      </c>
      <c r="AM1259">
        <v>6</v>
      </c>
      <c r="AN1259" s="18">
        <v>0</v>
      </c>
      <c r="AO1259" s="18" t="s">
        <v>52</v>
      </c>
      <c r="AP1259" s="18">
        <v>0</v>
      </c>
      <c r="AQ1259" s="18">
        <v>0</v>
      </c>
      <c r="AR1259" s="29">
        <v>0</v>
      </c>
      <c r="AS1259" s="29">
        <v>0</v>
      </c>
      <c r="AT1259" s="29">
        <v>9</v>
      </c>
      <c r="AU1259" s="24" t="str">
        <f t="shared" si="20"/>
        <v>库存为9</v>
      </c>
      <c r="AV1259" s="31" t="str">
        <f>IFERROR(时间!$B$4+AU1259,"上周无销量")</f>
        <v>上周无销量</v>
      </c>
    </row>
    <row r="1260" spans="1:48">
      <c r="A1260" s="16" t="s">
        <v>2222</v>
      </c>
      <c r="B1260" t="s">
        <v>918</v>
      </c>
      <c r="C1260" t="s">
        <v>2189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24</v>
      </c>
      <c r="J1260" s="26">
        <v>0</v>
      </c>
      <c r="K1260" s="26">
        <v>0</v>
      </c>
      <c r="L1260" s="26">
        <v>0</v>
      </c>
      <c r="M1260">
        <v>24</v>
      </c>
      <c r="N1260">
        <v>0</v>
      </c>
      <c r="O1260">
        <v>24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5</v>
      </c>
      <c r="AK1260">
        <v>1</v>
      </c>
      <c r="AL1260">
        <v>7</v>
      </c>
      <c r="AM1260">
        <v>4</v>
      </c>
      <c r="AN1260" s="18">
        <v>0</v>
      </c>
      <c r="AO1260" s="18">
        <v>0</v>
      </c>
      <c r="AP1260" s="18">
        <v>0</v>
      </c>
      <c r="AQ1260" s="18">
        <v>0</v>
      </c>
      <c r="AR1260" s="29">
        <v>0</v>
      </c>
      <c r="AS1260" s="29">
        <v>0</v>
      </c>
      <c r="AT1260" s="29">
        <v>24</v>
      </c>
      <c r="AU1260" s="24" t="str">
        <f t="shared" si="20"/>
        <v>库存为24</v>
      </c>
      <c r="AV1260" s="31" t="str">
        <f>IFERROR(时间!$B$4+AU1260,"上周无销量")</f>
        <v>上周无销量</v>
      </c>
    </row>
    <row r="1261" spans="1:48">
      <c r="A1261" s="16" t="s">
        <v>2223</v>
      </c>
      <c r="B1261" t="s">
        <v>920</v>
      </c>
      <c r="C1261" t="s">
        <v>2189</v>
      </c>
      <c r="D1261" s="24">
        <v>1</v>
      </c>
      <c r="E1261" s="24">
        <v>0</v>
      </c>
      <c r="F1261" s="24">
        <v>0</v>
      </c>
      <c r="G1261" s="24">
        <v>1</v>
      </c>
      <c r="H1261" s="25">
        <v>22.98</v>
      </c>
      <c r="I1261">
        <v>27</v>
      </c>
      <c r="J1261" s="26">
        <v>0</v>
      </c>
      <c r="K1261" s="26">
        <v>0</v>
      </c>
      <c r="L1261" s="26">
        <v>0</v>
      </c>
      <c r="M1261">
        <v>27</v>
      </c>
      <c r="N1261">
        <v>0</v>
      </c>
      <c r="O1261">
        <v>26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2</v>
      </c>
      <c r="AK1261">
        <v>1</v>
      </c>
      <c r="AL1261">
        <v>6</v>
      </c>
      <c r="AM1261">
        <v>3</v>
      </c>
      <c r="AN1261" s="18">
        <v>0.5</v>
      </c>
      <c r="AO1261" s="18">
        <v>0</v>
      </c>
      <c r="AP1261" s="18">
        <v>0</v>
      </c>
      <c r="AQ1261" s="18">
        <v>0.333333333333333</v>
      </c>
      <c r="AR1261" s="29">
        <v>0.142857142857143</v>
      </c>
      <c r="AS1261" s="29">
        <v>8.57142857142857</v>
      </c>
      <c r="AT1261" s="29">
        <v>18.4285714285714</v>
      </c>
      <c r="AU1261" s="24">
        <f t="shared" si="20"/>
        <v>189</v>
      </c>
      <c r="AV1261" s="31">
        <f>IFERROR(时间!$B$4+AU1261,"上周无销量")</f>
        <v>43507</v>
      </c>
    </row>
    <row r="1262" spans="1:48">
      <c r="A1262" s="16" t="s">
        <v>2224</v>
      </c>
      <c r="B1262" t="s">
        <v>922</v>
      </c>
      <c r="C1262" t="s">
        <v>2189</v>
      </c>
      <c r="D1262" s="24">
        <v>1</v>
      </c>
      <c r="E1262" s="24">
        <v>0</v>
      </c>
      <c r="F1262" s="24">
        <v>2</v>
      </c>
      <c r="G1262" s="24">
        <v>1</v>
      </c>
      <c r="H1262" s="25">
        <v>12.98</v>
      </c>
      <c r="I1262">
        <v>7</v>
      </c>
      <c r="J1262" s="26">
        <v>0</v>
      </c>
      <c r="K1262" s="26">
        <v>0</v>
      </c>
      <c r="L1262" s="26">
        <v>0</v>
      </c>
      <c r="M1262">
        <v>7</v>
      </c>
      <c r="N1262">
        <v>0</v>
      </c>
      <c r="O1262">
        <v>5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2</v>
      </c>
      <c r="AK1262">
        <v>1</v>
      </c>
      <c r="AL1262">
        <v>8</v>
      </c>
      <c r="AM1262">
        <v>4</v>
      </c>
      <c r="AN1262" s="18">
        <v>0.5</v>
      </c>
      <c r="AO1262" s="18">
        <v>0</v>
      </c>
      <c r="AP1262" s="18">
        <v>0.25</v>
      </c>
      <c r="AQ1262" s="18">
        <v>0.25</v>
      </c>
      <c r="AR1262" s="29">
        <v>0.142857142857143</v>
      </c>
      <c r="AS1262" s="29">
        <v>8.57142857142857</v>
      </c>
      <c r="AT1262" s="29">
        <v>-1.57142857142857</v>
      </c>
      <c r="AU1262" s="24">
        <f t="shared" si="20"/>
        <v>49</v>
      </c>
      <c r="AV1262" s="31">
        <f>IFERROR(时间!$B$4+AU1262,"上周无销量")</f>
        <v>43367</v>
      </c>
    </row>
    <row r="1263" spans="1:48">
      <c r="A1263" s="16" t="s">
        <v>2225</v>
      </c>
      <c r="B1263" t="s">
        <v>924</v>
      </c>
      <c r="C1263" t="s">
        <v>2189</v>
      </c>
      <c r="D1263" s="24">
        <v>1</v>
      </c>
      <c r="E1263" s="24">
        <v>0</v>
      </c>
      <c r="F1263" s="24">
        <v>1</v>
      </c>
      <c r="G1263" s="24">
        <v>1</v>
      </c>
      <c r="H1263" s="25">
        <v>22.98</v>
      </c>
      <c r="I1263">
        <v>11</v>
      </c>
      <c r="J1263" s="26">
        <v>0</v>
      </c>
      <c r="K1263" s="26">
        <v>0</v>
      </c>
      <c r="L1263" s="26">
        <v>0</v>
      </c>
      <c r="M1263">
        <v>11</v>
      </c>
      <c r="N1263">
        <v>0</v>
      </c>
      <c r="O1263">
        <v>10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4</v>
      </c>
      <c r="AK1263">
        <v>4</v>
      </c>
      <c r="AL1263">
        <v>6</v>
      </c>
      <c r="AM1263">
        <v>4</v>
      </c>
      <c r="AN1263" s="18">
        <v>0.25</v>
      </c>
      <c r="AO1263" s="18">
        <v>0</v>
      </c>
      <c r="AP1263" s="18">
        <v>0.166666666666667</v>
      </c>
      <c r="AQ1263" s="18">
        <v>0.25</v>
      </c>
      <c r="AR1263" s="29">
        <v>0.142857142857143</v>
      </c>
      <c r="AS1263" s="29">
        <v>8.57142857142857</v>
      </c>
      <c r="AT1263" s="29">
        <v>2.42857142857143</v>
      </c>
      <c r="AU1263" s="24">
        <f t="shared" si="20"/>
        <v>77</v>
      </c>
      <c r="AV1263" s="31">
        <f>IFERROR(时间!$B$4+AU1263,"上周无销量")</f>
        <v>43395</v>
      </c>
    </row>
    <row r="1264" spans="1:48">
      <c r="A1264" s="16" t="s">
        <v>2226</v>
      </c>
      <c r="B1264" t="s">
        <v>2227</v>
      </c>
      <c r="C1264" t="s">
        <v>2228</v>
      </c>
      <c r="D1264" s="24">
        <v>2</v>
      </c>
      <c r="E1264" s="24">
        <v>0</v>
      </c>
      <c r="F1264" s="24">
        <v>7</v>
      </c>
      <c r="G1264" s="24">
        <v>7</v>
      </c>
      <c r="H1264" s="25">
        <v>23.98</v>
      </c>
      <c r="I1264">
        <v>7</v>
      </c>
      <c r="J1264" s="26">
        <v>0</v>
      </c>
      <c r="K1264" s="26">
        <v>0</v>
      </c>
      <c r="L1264" s="26">
        <v>0</v>
      </c>
      <c r="M1264">
        <v>7</v>
      </c>
      <c r="N1264">
        <v>0</v>
      </c>
      <c r="O1264">
        <v>4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23</v>
      </c>
      <c r="AK1264">
        <v>20</v>
      </c>
      <c r="AL1264">
        <v>35</v>
      </c>
      <c r="AM1264">
        <v>28</v>
      </c>
      <c r="AN1264" s="18">
        <v>0.0869565217391304</v>
      </c>
      <c r="AO1264" s="18">
        <v>0</v>
      </c>
      <c r="AP1264" s="18">
        <v>0.2</v>
      </c>
      <c r="AQ1264" s="18">
        <v>0.25</v>
      </c>
      <c r="AR1264" s="29">
        <v>0.285714285714286</v>
      </c>
      <c r="AS1264" s="29">
        <v>17.1428571428571</v>
      </c>
      <c r="AT1264" s="29">
        <v>-10.1428571428571</v>
      </c>
      <c r="AU1264" s="24">
        <f t="shared" si="20"/>
        <v>24</v>
      </c>
      <c r="AV1264" s="31">
        <f>IFERROR(时间!$B$4+AU1264,"上周无销量")</f>
        <v>43342</v>
      </c>
    </row>
    <row r="1265" spans="1:48">
      <c r="A1265" s="16" t="s">
        <v>2229</v>
      </c>
      <c r="B1265" t="s">
        <v>2230</v>
      </c>
      <c r="C1265" t="s">
        <v>2228</v>
      </c>
      <c r="D1265" s="24">
        <v>1</v>
      </c>
      <c r="E1265" s="24">
        <v>2</v>
      </c>
      <c r="F1265" s="24">
        <v>2</v>
      </c>
      <c r="G1265" s="24">
        <v>1</v>
      </c>
      <c r="H1265" s="25">
        <v>23.98</v>
      </c>
      <c r="I1265">
        <v>19</v>
      </c>
      <c r="J1265" s="26">
        <v>0</v>
      </c>
      <c r="K1265" s="26">
        <v>0</v>
      </c>
      <c r="L1265" s="26">
        <v>2</v>
      </c>
      <c r="M1265">
        <v>21</v>
      </c>
      <c r="N1265">
        <v>0</v>
      </c>
      <c r="O1265">
        <v>23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9</v>
      </c>
      <c r="AK1265">
        <v>9</v>
      </c>
      <c r="AL1265">
        <v>16</v>
      </c>
      <c r="AM1265">
        <v>6</v>
      </c>
      <c r="AN1265" s="18">
        <v>0.111111111111111</v>
      </c>
      <c r="AO1265" s="18">
        <v>0.222222222222222</v>
      </c>
      <c r="AP1265" s="18">
        <v>0.125</v>
      </c>
      <c r="AQ1265" s="18">
        <v>0.166666666666667</v>
      </c>
      <c r="AR1265" s="29">
        <v>0.142857142857143</v>
      </c>
      <c r="AS1265" s="29">
        <v>8.57142857142857</v>
      </c>
      <c r="AT1265" s="29">
        <v>12.4285714285714</v>
      </c>
      <c r="AU1265" s="24">
        <f t="shared" si="20"/>
        <v>147</v>
      </c>
      <c r="AV1265" s="31">
        <f>IFERROR(时间!$B$4+AU1265,"上周无销量")</f>
        <v>43465</v>
      </c>
    </row>
    <row r="1266" spans="1:48">
      <c r="A1266" s="16" t="s">
        <v>2231</v>
      </c>
      <c r="B1266" t="s">
        <v>2232</v>
      </c>
      <c r="C1266" t="s">
        <v>2228</v>
      </c>
      <c r="D1266" s="24">
        <v>2</v>
      </c>
      <c r="E1266" s="24">
        <v>1</v>
      </c>
      <c r="F1266" s="24">
        <v>0</v>
      </c>
      <c r="G1266" s="24">
        <v>0</v>
      </c>
      <c r="H1266" s="25">
        <v>19</v>
      </c>
      <c r="I1266">
        <v>12</v>
      </c>
      <c r="J1266" s="26">
        <v>0</v>
      </c>
      <c r="K1266" s="26">
        <v>0</v>
      </c>
      <c r="L1266" s="26">
        <v>0</v>
      </c>
      <c r="M1266">
        <v>12</v>
      </c>
      <c r="N1266">
        <v>0</v>
      </c>
      <c r="O1266">
        <v>9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14</v>
      </c>
      <c r="AK1266">
        <v>14</v>
      </c>
      <c r="AL1266">
        <v>22</v>
      </c>
      <c r="AM1266">
        <v>9</v>
      </c>
      <c r="AN1266" s="18">
        <v>0.142857142857143</v>
      </c>
      <c r="AO1266" s="18">
        <v>0.0714285714285714</v>
      </c>
      <c r="AP1266" s="18">
        <v>0</v>
      </c>
      <c r="AQ1266" s="18">
        <v>0</v>
      </c>
      <c r="AR1266" s="29">
        <v>0.285714285714286</v>
      </c>
      <c r="AS1266" s="29">
        <v>17.1428571428571</v>
      </c>
      <c r="AT1266" s="29">
        <v>-5.14285714285714</v>
      </c>
      <c r="AU1266" s="24">
        <f t="shared" si="20"/>
        <v>42</v>
      </c>
      <c r="AV1266" s="31">
        <f>IFERROR(时间!$B$4+AU1266,"上周无销量")</f>
        <v>43360</v>
      </c>
    </row>
    <row r="1267" spans="1:48">
      <c r="A1267" s="16" t="s">
        <v>2233</v>
      </c>
      <c r="B1267" t="s">
        <v>2234</v>
      </c>
      <c r="C1267" t="s">
        <v>2228</v>
      </c>
      <c r="D1267" s="24">
        <v>0</v>
      </c>
      <c r="E1267" s="24">
        <v>0</v>
      </c>
      <c r="F1267" s="24">
        <v>0</v>
      </c>
      <c r="G1267" s="24">
        <v>0</v>
      </c>
      <c r="H1267" s="25">
        <v>0</v>
      </c>
      <c r="I1267">
        <v>0</v>
      </c>
      <c r="J1267" s="26">
        <v>0</v>
      </c>
      <c r="K1267" s="26">
        <v>0</v>
      </c>
      <c r="L1267" s="26">
        <v>0</v>
      </c>
      <c r="M1267">
        <v>0</v>
      </c>
      <c r="N1267">
        <v>0</v>
      </c>
      <c r="O1267">
        <v>0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0</v>
      </c>
      <c r="AK1267">
        <v>0</v>
      </c>
      <c r="AL1267">
        <v>0</v>
      </c>
      <c r="AM1267">
        <v>0</v>
      </c>
      <c r="AN1267" s="18" t="s">
        <v>52</v>
      </c>
      <c r="AO1267" s="18" t="s">
        <v>52</v>
      </c>
      <c r="AP1267" s="18" t="s">
        <v>52</v>
      </c>
      <c r="AQ1267" s="18" t="s">
        <v>52</v>
      </c>
      <c r="AR1267" s="29">
        <v>0</v>
      </c>
      <c r="AS1267" s="29">
        <v>0</v>
      </c>
      <c r="AT1267" s="29">
        <v>0</v>
      </c>
      <c r="AU1267" s="24" t="str">
        <f t="shared" si="20"/>
        <v>库存为0</v>
      </c>
      <c r="AV1267" s="31" t="str">
        <f>IFERROR(时间!$B$4+AU1267,"上周无销量")</f>
        <v>上周无销量</v>
      </c>
    </row>
    <row r="1268" spans="1:48">
      <c r="A1268" s="16" t="s">
        <v>2235</v>
      </c>
      <c r="B1268" t="s">
        <v>2236</v>
      </c>
      <c r="C1268" t="s">
        <v>2228</v>
      </c>
      <c r="D1268" s="24">
        <v>0</v>
      </c>
      <c r="E1268" s="24">
        <v>0</v>
      </c>
      <c r="F1268" s="24">
        <v>0</v>
      </c>
      <c r="G1268" s="24">
        <v>0</v>
      </c>
      <c r="H1268" s="25">
        <v>0</v>
      </c>
      <c r="I1268">
        <v>2</v>
      </c>
      <c r="J1268" s="26">
        <v>0</v>
      </c>
      <c r="K1268" s="26">
        <v>0</v>
      </c>
      <c r="L1268" s="26">
        <v>0</v>
      </c>
      <c r="M1268">
        <v>2</v>
      </c>
      <c r="N1268">
        <v>0</v>
      </c>
      <c r="O1268">
        <v>2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0</v>
      </c>
      <c r="AK1268">
        <v>0</v>
      </c>
      <c r="AL1268">
        <v>0</v>
      </c>
      <c r="AM1268">
        <v>0</v>
      </c>
      <c r="AN1268" s="18" t="s">
        <v>52</v>
      </c>
      <c r="AO1268" s="18" t="s">
        <v>52</v>
      </c>
      <c r="AP1268" s="18" t="s">
        <v>52</v>
      </c>
      <c r="AQ1268" s="18" t="s">
        <v>52</v>
      </c>
      <c r="AR1268" s="29">
        <v>0</v>
      </c>
      <c r="AS1268" s="29">
        <v>0</v>
      </c>
      <c r="AT1268" s="29">
        <v>2</v>
      </c>
      <c r="AU1268" s="24" t="str">
        <f t="shared" si="20"/>
        <v>库存为2</v>
      </c>
      <c r="AV1268" s="31" t="str">
        <f>IFERROR(时间!$B$4+AU1268,"上周无销量")</f>
        <v>上周无销量</v>
      </c>
    </row>
    <row r="1269" spans="1:48">
      <c r="A1269" s="16" t="s">
        <v>2237</v>
      </c>
      <c r="B1269" t="s">
        <v>2238</v>
      </c>
      <c r="C1269" t="s">
        <v>2228</v>
      </c>
      <c r="D1269" s="24">
        <v>0</v>
      </c>
      <c r="E1269" s="24">
        <v>0</v>
      </c>
      <c r="F1269" s="24">
        <v>0</v>
      </c>
      <c r="G1269" s="24">
        <v>0</v>
      </c>
      <c r="H1269" s="25">
        <v>0</v>
      </c>
      <c r="I1269">
        <v>1</v>
      </c>
      <c r="J1269" s="26">
        <v>0</v>
      </c>
      <c r="K1269" s="26">
        <v>0</v>
      </c>
      <c r="L1269" s="26">
        <v>0</v>
      </c>
      <c r="M1269">
        <v>1</v>
      </c>
      <c r="N1269">
        <v>0</v>
      </c>
      <c r="O1269">
        <v>0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2</v>
      </c>
      <c r="AK1269">
        <v>2</v>
      </c>
      <c r="AL1269">
        <v>1</v>
      </c>
      <c r="AM1269">
        <v>3</v>
      </c>
      <c r="AN1269" s="18">
        <v>0</v>
      </c>
      <c r="AO1269" s="18">
        <v>0</v>
      </c>
      <c r="AP1269" s="18">
        <v>0</v>
      </c>
      <c r="AQ1269" s="18">
        <v>0</v>
      </c>
      <c r="AR1269" s="29">
        <v>0</v>
      </c>
      <c r="AS1269" s="29">
        <v>0</v>
      </c>
      <c r="AT1269" s="29">
        <v>1</v>
      </c>
      <c r="AU1269" s="24" t="str">
        <f t="shared" si="20"/>
        <v>库存为1</v>
      </c>
      <c r="AV1269" s="31" t="str">
        <f>IFERROR(时间!$B$4+AU1269,"上周无销量")</f>
        <v>上周无销量</v>
      </c>
    </row>
    <row r="1270" spans="1:48">
      <c r="A1270" s="16" t="s">
        <v>2239</v>
      </c>
      <c r="B1270" t="s">
        <v>937</v>
      </c>
      <c r="C1270" t="s">
        <v>2228</v>
      </c>
      <c r="D1270" s="24">
        <v>0</v>
      </c>
      <c r="E1270" s="24">
        <v>0</v>
      </c>
      <c r="F1270" s="24">
        <v>1</v>
      </c>
      <c r="G1270" s="24">
        <v>0</v>
      </c>
      <c r="H1270" s="25">
        <v>20.98</v>
      </c>
      <c r="I1270">
        <v>15</v>
      </c>
      <c r="J1270" s="26">
        <v>0</v>
      </c>
      <c r="K1270" s="26">
        <v>0</v>
      </c>
      <c r="L1270" s="26">
        <v>0</v>
      </c>
      <c r="M1270">
        <v>15</v>
      </c>
      <c r="N1270">
        <v>0</v>
      </c>
      <c r="O1270">
        <v>14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39</v>
      </c>
      <c r="AK1270">
        <v>53</v>
      </c>
      <c r="AL1270">
        <v>50</v>
      </c>
      <c r="AM1270">
        <v>28</v>
      </c>
      <c r="AN1270" s="18">
        <v>0</v>
      </c>
      <c r="AO1270" s="18">
        <v>0</v>
      </c>
      <c r="AP1270" s="18">
        <v>0.02</v>
      </c>
      <c r="AQ1270" s="18">
        <v>0</v>
      </c>
      <c r="AR1270" s="29">
        <v>0</v>
      </c>
      <c r="AS1270" s="29">
        <v>0</v>
      </c>
      <c r="AT1270" s="29">
        <v>15</v>
      </c>
      <c r="AU1270" s="24" t="str">
        <f t="shared" si="20"/>
        <v>库存为15</v>
      </c>
      <c r="AV1270" s="31" t="str">
        <f>IFERROR(时间!$B$4+AU1270,"上周无销量")</f>
        <v>上周无销量</v>
      </c>
    </row>
    <row r="1271" spans="1:48">
      <c r="A1271" s="16" t="s">
        <v>2240</v>
      </c>
      <c r="B1271" t="s">
        <v>940</v>
      </c>
      <c r="C1271" t="s">
        <v>2228</v>
      </c>
      <c r="D1271" s="24">
        <v>0</v>
      </c>
      <c r="E1271" s="24">
        <v>0</v>
      </c>
      <c r="F1271" s="24">
        <v>0</v>
      </c>
      <c r="G1271" s="24">
        <v>0</v>
      </c>
      <c r="H1271" s="25">
        <v>0</v>
      </c>
      <c r="I1271">
        <v>0</v>
      </c>
      <c r="J1271" s="26">
        <v>0</v>
      </c>
      <c r="K1271" s="26">
        <v>0</v>
      </c>
      <c r="L1271" s="26">
        <v>0</v>
      </c>
      <c r="M1271">
        <v>0</v>
      </c>
      <c r="N1271">
        <v>0</v>
      </c>
      <c r="O1271">
        <v>0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5</v>
      </c>
      <c r="AK1271">
        <v>14</v>
      </c>
      <c r="AL1271">
        <v>12</v>
      </c>
      <c r="AM1271">
        <v>10</v>
      </c>
      <c r="AN1271" s="18">
        <v>0</v>
      </c>
      <c r="AO1271" s="18">
        <v>0</v>
      </c>
      <c r="AP1271" s="18">
        <v>0</v>
      </c>
      <c r="AQ1271" s="18">
        <v>0</v>
      </c>
      <c r="AR1271" s="29">
        <v>0</v>
      </c>
      <c r="AS1271" s="29">
        <v>0</v>
      </c>
      <c r="AT1271" s="29">
        <v>0</v>
      </c>
      <c r="AU1271" s="24" t="str">
        <f t="shared" si="20"/>
        <v>库存为0</v>
      </c>
      <c r="AV1271" s="31" t="str">
        <f>IFERROR(时间!$B$4+AU1271,"上周无销量")</f>
        <v>上周无销量</v>
      </c>
    </row>
    <row r="1272" spans="1:48">
      <c r="A1272" s="16" t="s">
        <v>2241</v>
      </c>
      <c r="B1272" t="s">
        <v>2242</v>
      </c>
      <c r="C1272" t="s">
        <v>2228</v>
      </c>
      <c r="D1272" s="24">
        <v>0</v>
      </c>
      <c r="E1272" s="24">
        <v>0</v>
      </c>
      <c r="F1272" s="24">
        <v>0</v>
      </c>
      <c r="G1272" s="24">
        <v>0</v>
      </c>
      <c r="H1272" s="25">
        <v>0</v>
      </c>
      <c r="I1272">
        <v>0</v>
      </c>
      <c r="J1272" s="26">
        <v>0</v>
      </c>
      <c r="K1272" s="26">
        <v>0</v>
      </c>
      <c r="L1272" s="26">
        <v>0</v>
      </c>
      <c r="M1272">
        <v>0</v>
      </c>
      <c r="N1272">
        <v>0</v>
      </c>
      <c r="O1272">
        <v>0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0</v>
      </c>
      <c r="AK1272">
        <v>0</v>
      </c>
      <c r="AL1272">
        <v>0</v>
      </c>
      <c r="AM1272">
        <v>0</v>
      </c>
      <c r="AN1272" s="18" t="s">
        <v>52</v>
      </c>
      <c r="AO1272" s="18" t="s">
        <v>52</v>
      </c>
      <c r="AP1272" s="18" t="s">
        <v>52</v>
      </c>
      <c r="AQ1272" s="18" t="s">
        <v>52</v>
      </c>
      <c r="AR1272" s="29">
        <v>0</v>
      </c>
      <c r="AS1272" s="29">
        <v>0</v>
      </c>
      <c r="AT1272" s="29">
        <v>0</v>
      </c>
      <c r="AU1272" s="24" t="str">
        <f t="shared" si="20"/>
        <v>库存为0</v>
      </c>
      <c r="AV1272" s="31" t="str">
        <f>IFERROR(时间!$B$4+AU1272,"上周无销量")</f>
        <v>上周无销量</v>
      </c>
    </row>
    <row r="1273" spans="1:48">
      <c r="A1273" s="16" t="s">
        <v>2243</v>
      </c>
      <c r="B1273" t="s">
        <v>945</v>
      </c>
      <c r="C1273" t="s">
        <v>2228</v>
      </c>
      <c r="D1273" s="24">
        <v>0</v>
      </c>
      <c r="E1273" s="24">
        <v>0</v>
      </c>
      <c r="F1273" s="24">
        <v>0</v>
      </c>
      <c r="G1273" s="24">
        <v>0</v>
      </c>
      <c r="H1273" s="25">
        <v>0</v>
      </c>
      <c r="I1273">
        <v>1</v>
      </c>
      <c r="J1273" s="26">
        <v>0</v>
      </c>
      <c r="K1273" s="26">
        <v>0</v>
      </c>
      <c r="L1273" s="26">
        <v>0</v>
      </c>
      <c r="M1273">
        <v>1</v>
      </c>
      <c r="N1273">
        <v>0</v>
      </c>
      <c r="O1273">
        <v>0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2</v>
      </c>
      <c r="AK1273">
        <v>0</v>
      </c>
      <c r="AL1273">
        <v>0</v>
      </c>
      <c r="AM1273">
        <v>0</v>
      </c>
      <c r="AN1273" s="18">
        <v>0</v>
      </c>
      <c r="AO1273" s="18" t="s">
        <v>52</v>
      </c>
      <c r="AP1273" s="18" t="s">
        <v>52</v>
      </c>
      <c r="AQ1273" s="18" t="s">
        <v>52</v>
      </c>
      <c r="AR1273" s="29">
        <v>0</v>
      </c>
      <c r="AS1273" s="29">
        <v>0</v>
      </c>
      <c r="AT1273" s="29">
        <v>1</v>
      </c>
      <c r="AU1273" s="24" t="str">
        <f t="shared" si="20"/>
        <v>库存为1</v>
      </c>
      <c r="AV1273" s="31" t="str">
        <f>IFERROR(时间!$B$4+AU1273,"上周无销量")</f>
        <v>上周无销量</v>
      </c>
    </row>
    <row r="1274" spans="1:48">
      <c r="A1274" s="16" t="s">
        <v>2244</v>
      </c>
      <c r="B1274" t="s">
        <v>2245</v>
      </c>
      <c r="C1274" t="s">
        <v>2228</v>
      </c>
      <c r="D1274" s="24">
        <v>0</v>
      </c>
      <c r="E1274" s="24">
        <v>0</v>
      </c>
      <c r="F1274" s="24">
        <v>0</v>
      </c>
      <c r="G1274" s="24">
        <v>0</v>
      </c>
      <c r="H1274" s="25">
        <v>0</v>
      </c>
      <c r="I1274">
        <v>0</v>
      </c>
      <c r="J1274" s="26">
        <v>0</v>
      </c>
      <c r="K1274" s="26">
        <v>0</v>
      </c>
      <c r="L1274" s="26">
        <v>0</v>
      </c>
      <c r="M1274">
        <v>0</v>
      </c>
      <c r="N1274">
        <v>0</v>
      </c>
      <c r="O1274">
        <v>0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0</v>
      </c>
      <c r="AK1274">
        <v>0</v>
      </c>
      <c r="AL1274">
        <v>0</v>
      </c>
      <c r="AM1274">
        <v>0</v>
      </c>
      <c r="AN1274" s="18" t="s">
        <v>52</v>
      </c>
      <c r="AO1274" s="18" t="s">
        <v>52</v>
      </c>
      <c r="AP1274" s="18" t="s">
        <v>52</v>
      </c>
      <c r="AQ1274" s="18" t="s">
        <v>52</v>
      </c>
      <c r="AR1274" s="29">
        <v>0</v>
      </c>
      <c r="AS1274" s="29">
        <v>0</v>
      </c>
      <c r="AT1274" s="29">
        <v>0</v>
      </c>
      <c r="AU1274" s="24" t="str">
        <f t="shared" si="20"/>
        <v>库存为0</v>
      </c>
      <c r="AV1274" s="31" t="str">
        <f>IFERROR(时间!$B$4+AU1274,"上周无销量")</f>
        <v>上周无销量</v>
      </c>
    </row>
    <row r="1275" spans="1:48">
      <c r="A1275" s="16" t="s">
        <v>2246</v>
      </c>
      <c r="B1275" t="s">
        <v>2247</v>
      </c>
      <c r="C1275" t="s">
        <v>2228</v>
      </c>
      <c r="D1275" s="24">
        <v>2</v>
      </c>
      <c r="E1275" s="24">
        <v>4</v>
      </c>
      <c r="F1275" s="24">
        <v>0</v>
      </c>
      <c r="G1275" s="24">
        <v>3</v>
      </c>
      <c r="H1275" s="25">
        <v>21.6466666666667</v>
      </c>
      <c r="I1275">
        <v>30</v>
      </c>
      <c r="J1275" s="26">
        <v>0</v>
      </c>
      <c r="K1275" s="26">
        <v>0</v>
      </c>
      <c r="L1275" s="26">
        <v>0</v>
      </c>
      <c r="M1275">
        <v>30</v>
      </c>
      <c r="N1275">
        <v>0</v>
      </c>
      <c r="O1275">
        <v>29</v>
      </c>
      <c r="P1275" t="s">
        <v>52</v>
      </c>
      <c r="Q1275" t="s">
        <v>52</v>
      </c>
      <c r="R1275" t="s">
        <v>52</v>
      </c>
      <c r="S1275" t="s">
        <v>52</v>
      </c>
      <c r="T1275" t="s">
        <v>52</v>
      </c>
      <c r="U1275" t="s">
        <v>52</v>
      </c>
      <c r="V1275" t="s">
        <v>52</v>
      </c>
      <c r="W1275" t="s">
        <v>52</v>
      </c>
      <c r="X1275" s="18" t="s">
        <v>52</v>
      </c>
      <c r="Y1275" s="18" t="s">
        <v>52</v>
      </c>
      <c r="Z1275" s="18" t="s">
        <v>52</v>
      </c>
      <c r="AA1275" s="18" t="s">
        <v>52</v>
      </c>
      <c r="AB1275" t="s">
        <v>52</v>
      </c>
      <c r="AC1275" t="s">
        <v>52</v>
      </c>
      <c r="AD1275" t="s">
        <v>52</v>
      </c>
      <c r="AE1275" t="s">
        <v>52</v>
      </c>
      <c r="AF1275" s="18" t="s">
        <v>52</v>
      </c>
      <c r="AG1275" s="18" t="s">
        <v>52</v>
      </c>
      <c r="AH1275" s="18" t="s">
        <v>52</v>
      </c>
      <c r="AI1275" s="18" t="s">
        <v>52</v>
      </c>
      <c r="AJ1275">
        <v>17</v>
      </c>
      <c r="AK1275">
        <v>16</v>
      </c>
      <c r="AL1275">
        <v>30</v>
      </c>
      <c r="AM1275">
        <v>26</v>
      </c>
      <c r="AN1275" s="18">
        <v>0.117647058823529</v>
      </c>
      <c r="AO1275" s="18">
        <v>0.25</v>
      </c>
      <c r="AP1275" s="18">
        <v>0</v>
      </c>
      <c r="AQ1275" s="18">
        <v>0.115384615384615</v>
      </c>
      <c r="AR1275" s="29">
        <v>0.285714285714286</v>
      </c>
      <c r="AS1275" s="29">
        <v>17.1428571428571</v>
      </c>
      <c r="AT1275" s="29">
        <v>12.8571428571429</v>
      </c>
      <c r="AU1275" s="24">
        <f t="shared" si="20"/>
        <v>105</v>
      </c>
      <c r="AV1275" s="31">
        <f>IFERROR(时间!$B$4+AU1275,"上周无销量")</f>
        <v>43423</v>
      </c>
    </row>
    <row r="1276" spans="1:48">
      <c r="A1276" s="16" t="s">
        <v>2248</v>
      </c>
      <c r="B1276" t="s">
        <v>2249</v>
      </c>
      <c r="C1276" t="s">
        <v>2228</v>
      </c>
      <c r="D1276" s="24">
        <v>0</v>
      </c>
      <c r="E1276" s="24">
        <v>0</v>
      </c>
      <c r="F1276" s="24">
        <v>0</v>
      </c>
      <c r="G1276" s="24">
        <v>0</v>
      </c>
      <c r="H1276" s="25">
        <v>0</v>
      </c>
      <c r="I1276">
        <v>1</v>
      </c>
      <c r="J1276" s="26">
        <v>0</v>
      </c>
      <c r="K1276" s="26">
        <v>0</v>
      </c>
      <c r="L1276" s="26">
        <v>0</v>
      </c>
      <c r="M1276">
        <v>1</v>
      </c>
      <c r="N1276">
        <v>0</v>
      </c>
      <c r="O1276">
        <v>0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0</v>
      </c>
      <c r="AK1276">
        <v>0</v>
      </c>
      <c r="AL1276">
        <v>0</v>
      </c>
      <c r="AM1276">
        <v>0</v>
      </c>
      <c r="AN1276" s="18" t="s">
        <v>52</v>
      </c>
      <c r="AO1276" s="18" t="s">
        <v>52</v>
      </c>
      <c r="AP1276" s="18" t="s">
        <v>52</v>
      </c>
      <c r="AQ1276" s="18" t="s">
        <v>52</v>
      </c>
      <c r="AR1276" s="29">
        <v>0</v>
      </c>
      <c r="AS1276" s="29">
        <v>0</v>
      </c>
      <c r="AT1276" s="29">
        <v>1</v>
      </c>
      <c r="AU1276" s="24" t="str">
        <f t="shared" si="20"/>
        <v>库存为1</v>
      </c>
      <c r="AV1276" s="31" t="str">
        <f>IFERROR(时间!$B$4+AU1276,"上周无销量")</f>
        <v>上周无销量</v>
      </c>
    </row>
    <row r="1277" spans="1:48">
      <c r="A1277" s="16" t="s">
        <v>2250</v>
      </c>
      <c r="B1277" t="s">
        <v>2251</v>
      </c>
      <c r="C1277" t="s">
        <v>2228</v>
      </c>
      <c r="D1277" s="24">
        <v>0</v>
      </c>
      <c r="E1277" s="24">
        <v>1</v>
      </c>
      <c r="F1277" s="24">
        <v>0</v>
      </c>
      <c r="G1277" s="24">
        <v>0</v>
      </c>
      <c r="H1277" s="25">
        <v>22.98</v>
      </c>
      <c r="I1277">
        <v>13</v>
      </c>
      <c r="J1277" s="26">
        <v>0</v>
      </c>
      <c r="K1277" s="26">
        <v>0</v>
      </c>
      <c r="L1277" s="26">
        <v>1</v>
      </c>
      <c r="M1277">
        <v>14</v>
      </c>
      <c r="N1277">
        <v>0</v>
      </c>
      <c r="O1277">
        <v>14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12</v>
      </c>
      <c r="AK1277">
        <v>19</v>
      </c>
      <c r="AL1277">
        <v>10</v>
      </c>
      <c r="AM1277">
        <v>7</v>
      </c>
      <c r="AN1277" s="18">
        <v>0</v>
      </c>
      <c r="AO1277" s="18">
        <v>0.0526315789473684</v>
      </c>
      <c r="AP1277" s="18">
        <v>0</v>
      </c>
      <c r="AQ1277" s="18">
        <v>0</v>
      </c>
      <c r="AR1277" s="29">
        <v>0</v>
      </c>
      <c r="AS1277" s="29">
        <v>0</v>
      </c>
      <c r="AT1277" s="29">
        <v>14</v>
      </c>
      <c r="AU1277" s="24" t="str">
        <f t="shared" si="20"/>
        <v>库存为14</v>
      </c>
      <c r="AV1277" s="31" t="str">
        <f>IFERROR(时间!$B$4+AU1277,"上周无销量")</f>
        <v>上周无销量</v>
      </c>
    </row>
    <row r="1278" spans="1:48">
      <c r="A1278" s="16" t="s">
        <v>2252</v>
      </c>
      <c r="B1278" t="s">
        <v>2253</v>
      </c>
      <c r="C1278" t="s">
        <v>2228</v>
      </c>
      <c r="D1278" s="24">
        <v>0</v>
      </c>
      <c r="E1278" s="24">
        <v>0</v>
      </c>
      <c r="F1278" s="24">
        <v>0</v>
      </c>
      <c r="G1278" s="24">
        <v>0</v>
      </c>
      <c r="H1278" s="25">
        <v>0</v>
      </c>
      <c r="I1278">
        <v>0</v>
      </c>
      <c r="J1278" s="26">
        <v>0</v>
      </c>
      <c r="K1278" s="26">
        <v>0</v>
      </c>
      <c r="L1278" s="26">
        <v>0</v>
      </c>
      <c r="M1278">
        <v>0</v>
      </c>
      <c r="N1278">
        <v>0</v>
      </c>
      <c r="O1278">
        <v>0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0</v>
      </c>
      <c r="AK1278">
        <v>0</v>
      </c>
      <c r="AL1278">
        <v>0</v>
      </c>
      <c r="AM1278">
        <v>0</v>
      </c>
      <c r="AN1278" s="18" t="s">
        <v>52</v>
      </c>
      <c r="AO1278" s="18" t="s">
        <v>52</v>
      </c>
      <c r="AP1278" s="18" t="s">
        <v>52</v>
      </c>
      <c r="AQ1278" s="18" t="s">
        <v>52</v>
      </c>
      <c r="AR1278" s="29">
        <v>0</v>
      </c>
      <c r="AS1278" s="29">
        <v>0</v>
      </c>
      <c r="AT1278" s="29">
        <v>0</v>
      </c>
      <c r="AU1278" s="24" t="str">
        <f t="shared" si="20"/>
        <v>库存为0</v>
      </c>
      <c r="AV1278" s="31" t="str">
        <f>IFERROR(时间!$B$4+AU1278,"上周无销量")</f>
        <v>上周无销量</v>
      </c>
    </row>
    <row r="1279" spans="1:48">
      <c r="A1279" s="16" t="s">
        <v>2254</v>
      </c>
      <c r="B1279" t="s">
        <v>2255</v>
      </c>
      <c r="C1279" t="s">
        <v>2228</v>
      </c>
      <c r="D1279" s="24">
        <v>0</v>
      </c>
      <c r="E1279" s="24">
        <v>0</v>
      </c>
      <c r="F1279" s="24">
        <v>0</v>
      </c>
      <c r="G1279" s="24">
        <v>0</v>
      </c>
      <c r="H1279" s="25">
        <v>0</v>
      </c>
      <c r="I1279">
        <v>1</v>
      </c>
      <c r="J1279" s="26">
        <v>0</v>
      </c>
      <c r="K1279" s="26">
        <v>0</v>
      </c>
      <c r="L1279" s="26">
        <v>0</v>
      </c>
      <c r="M1279">
        <v>1</v>
      </c>
      <c r="N1279">
        <v>0</v>
      </c>
      <c r="O1279">
        <v>1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0</v>
      </c>
      <c r="AK1279">
        <v>0</v>
      </c>
      <c r="AL1279">
        <v>0</v>
      </c>
      <c r="AM1279">
        <v>0</v>
      </c>
      <c r="AN1279" s="18" t="s">
        <v>52</v>
      </c>
      <c r="AO1279" s="18" t="s">
        <v>52</v>
      </c>
      <c r="AP1279" s="18" t="s">
        <v>52</v>
      </c>
      <c r="AQ1279" s="18" t="s">
        <v>52</v>
      </c>
      <c r="AR1279" s="29">
        <v>0</v>
      </c>
      <c r="AS1279" s="29">
        <v>0</v>
      </c>
      <c r="AT1279" s="29">
        <v>1</v>
      </c>
      <c r="AU1279" s="24" t="str">
        <f t="shared" si="20"/>
        <v>库存为1</v>
      </c>
      <c r="AV1279" s="31" t="str">
        <f>IFERROR(时间!$B$4+AU1279,"上周无销量")</f>
        <v>上周无销量</v>
      </c>
    </row>
    <row r="1280" spans="1:49">
      <c r="A1280" s="16" t="s">
        <v>2256</v>
      </c>
      <c r="B1280" t="s">
        <v>956</v>
      </c>
      <c r="C1280" t="s">
        <v>2257</v>
      </c>
      <c r="D1280" s="24">
        <v>1</v>
      </c>
      <c r="E1280" s="24">
        <v>0</v>
      </c>
      <c r="F1280" s="24">
        <v>1</v>
      </c>
      <c r="G1280" s="24">
        <v>0</v>
      </c>
      <c r="H1280" s="25">
        <v>22.98</v>
      </c>
      <c r="I1280">
        <v>9</v>
      </c>
      <c r="J1280" s="26">
        <v>0</v>
      </c>
      <c r="K1280" s="26">
        <v>0</v>
      </c>
      <c r="L1280" s="26">
        <v>0</v>
      </c>
      <c r="M1280">
        <v>9</v>
      </c>
      <c r="N1280">
        <v>0</v>
      </c>
      <c r="O1280">
        <v>9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4</v>
      </c>
      <c r="AK1280">
        <v>8</v>
      </c>
      <c r="AL1280">
        <v>7</v>
      </c>
      <c r="AM1280">
        <v>3</v>
      </c>
      <c r="AN1280" s="18">
        <v>0.25</v>
      </c>
      <c r="AO1280" s="18">
        <v>0</v>
      </c>
      <c r="AP1280" s="18">
        <v>0.142857142857143</v>
      </c>
      <c r="AQ1280" s="18">
        <v>0</v>
      </c>
      <c r="AR1280" s="29">
        <v>0.142857142857143</v>
      </c>
      <c r="AS1280" s="29">
        <v>8.57142857142857</v>
      </c>
      <c r="AT1280" s="29">
        <v>0.428571428571429</v>
      </c>
      <c r="AU1280" s="24">
        <f t="shared" si="20"/>
        <v>63</v>
      </c>
      <c r="AV1280" s="31">
        <f>IFERROR(时间!$B$4+AU1280,"上周无销量")</f>
        <v>43381</v>
      </c>
      <c r="AW1280" s="31"/>
    </row>
    <row r="1281" spans="1:49">
      <c r="A1281" s="16" t="s">
        <v>2258</v>
      </c>
      <c r="B1281" t="s">
        <v>959</v>
      </c>
      <c r="C1281" t="s">
        <v>2257</v>
      </c>
      <c r="D1281" s="24">
        <v>1</v>
      </c>
      <c r="E1281" s="24">
        <v>1</v>
      </c>
      <c r="F1281" s="24">
        <v>0</v>
      </c>
      <c r="G1281" s="24">
        <v>1</v>
      </c>
      <c r="H1281" s="25">
        <v>22.98</v>
      </c>
      <c r="I1281">
        <v>24</v>
      </c>
      <c r="J1281" s="26">
        <v>0</v>
      </c>
      <c r="K1281" s="26">
        <v>0</v>
      </c>
      <c r="L1281" s="26">
        <v>0</v>
      </c>
      <c r="M1281">
        <v>24</v>
      </c>
      <c r="N1281">
        <v>0</v>
      </c>
      <c r="O1281">
        <v>3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11</v>
      </c>
      <c r="AK1281">
        <v>5</v>
      </c>
      <c r="AL1281">
        <v>7</v>
      </c>
      <c r="AM1281">
        <v>5</v>
      </c>
      <c r="AN1281" s="18">
        <v>0.0909090909090909</v>
      </c>
      <c r="AO1281" s="18">
        <v>0.2</v>
      </c>
      <c r="AP1281" s="18">
        <v>0</v>
      </c>
      <c r="AQ1281" s="18">
        <v>0.2</v>
      </c>
      <c r="AR1281" s="29">
        <v>0.142857142857143</v>
      </c>
      <c r="AS1281" s="29">
        <v>8.57142857142857</v>
      </c>
      <c r="AT1281" s="29">
        <v>15.4285714285714</v>
      </c>
      <c r="AU1281" s="24">
        <f t="shared" si="20"/>
        <v>168</v>
      </c>
      <c r="AV1281" s="31">
        <f>IFERROR(时间!$B$4+AU1281,"上周无销量")</f>
        <v>43486</v>
      </c>
      <c r="AW1281" s="31"/>
    </row>
    <row r="1282" spans="1:48">
      <c r="A1282" s="16" t="s">
        <v>2259</v>
      </c>
      <c r="B1282" t="s">
        <v>961</v>
      </c>
      <c r="C1282" t="s">
        <v>2257</v>
      </c>
      <c r="D1282" s="24">
        <v>2</v>
      </c>
      <c r="E1282" s="24">
        <v>1</v>
      </c>
      <c r="F1282" s="24">
        <v>1</v>
      </c>
      <c r="G1282" s="24">
        <v>0</v>
      </c>
      <c r="H1282" s="25">
        <v>22.98</v>
      </c>
      <c r="I1282">
        <v>38</v>
      </c>
      <c r="J1282" s="26">
        <v>0</v>
      </c>
      <c r="K1282" s="26">
        <v>0</v>
      </c>
      <c r="L1282" s="26">
        <v>0</v>
      </c>
      <c r="M1282">
        <v>38</v>
      </c>
      <c r="N1282">
        <v>0</v>
      </c>
      <c r="O1282">
        <v>20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6</v>
      </c>
      <c r="AK1282">
        <v>7</v>
      </c>
      <c r="AL1282">
        <v>3</v>
      </c>
      <c r="AM1282">
        <v>3</v>
      </c>
      <c r="AN1282" s="18">
        <v>0.333333333333333</v>
      </c>
      <c r="AO1282" s="18">
        <v>0.142857142857143</v>
      </c>
      <c r="AP1282" s="18">
        <v>0.333333333333333</v>
      </c>
      <c r="AQ1282" s="18">
        <v>0</v>
      </c>
      <c r="AR1282" s="29">
        <v>0.285714285714286</v>
      </c>
      <c r="AS1282" s="29">
        <v>17.1428571428571</v>
      </c>
      <c r="AT1282" s="29">
        <v>20.8571428571429</v>
      </c>
      <c r="AU1282" s="24">
        <f t="shared" si="20"/>
        <v>133</v>
      </c>
      <c r="AV1282" s="31">
        <f>IFERROR(时间!$B$4+AU1282,"上周无销量")</f>
        <v>43451</v>
      </c>
    </row>
    <row r="1283" spans="1:48">
      <c r="A1283" s="16" t="s">
        <v>2260</v>
      </c>
      <c r="B1283" t="s">
        <v>963</v>
      </c>
      <c r="C1283" t="s">
        <v>2257</v>
      </c>
      <c r="D1283" s="24">
        <v>1</v>
      </c>
      <c r="E1283" s="24">
        <v>0</v>
      </c>
      <c r="F1283" s="24">
        <v>0</v>
      </c>
      <c r="G1283" s="24">
        <v>0</v>
      </c>
      <c r="H1283" s="25">
        <v>22.98</v>
      </c>
      <c r="I1283">
        <v>2</v>
      </c>
      <c r="J1283" s="26">
        <v>0</v>
      </c>
      <c r="K1283" s="26">
        <v>0</v>
      </c>
      <c r="L1283" s="26">
        <v>0</v>
      </c>
      <c r="M1283">
        <v>2</v>
      </c>
      <c r="N1283">
        <v>0</v>
      </c>
      <c r="O1283">
        <v>0</v>
      </c>
      <c r="P1283">
        <v>1530</v>
      </c>
      <c r="Q1283">
        <v>0</v>
      </c>
      <c r="R1283">
        <v>0</v>
      </c>
      <c r="S1283">
        <v>0</v>
      </c>
      <c r="T1283">
        <v>1</v>
      </c>
      <c r="U1283">
        <v>0</v>
      </c>
      <c r="V1283">
        <v>0</v>
      </c>
      <c r="W1283">
        <v>0</v>
      </c>
      <c r="X1283" s="18">
        <v>0.00065359477124183</v>
      </c>
      <c r="Y1283" s="18" t="s">
        <v>52</v>
      </c>
      <c r="Z1283" s="18" t="s">
        <v>52</v>
      </c>
      <c r="AA1283" s="18" t="s">
        <v>52</v>
      </c>
      <c r="AB1283">
        <v>0.33</v>
      </c>
      <c r="AC1283">
        <v>0</v>
      </c>
      <c r="AD1283">
        <v>0</v>
      </c>
      <c r="AE1283">
        <v>0</v>
      </c>
      <c r="AF1283" s="18">
        <v>0.0143603133159269</v>
      </c>
      <c r="AG1283" s="18" t="s">
        <v>52</v>
      </c>
      <c r="AH1283" s="18" t="s">
        <v>52</v>
      </c>
      <c r="AI1283" s="18" t="s">
        <v>52</v>
      </c>
      <c r="AJ1283">
        <v>19</v>
      </c>
      <c r="AK1283">
        <v>16</v>
      </c>
      <c r="AL1283">
        <v>10</v>
      </c>
      <c r="AM1283">
        <v>9</v>
      </c>
      <c r="AN1283" s="18">
        <v>0.0526315789473684</v>
      </c>
      <c r="AO1283" s="18">
        <v>0</v>
      </c>
      <c r="AP1283" s="18">
        <v>0</v>
      </c>
      <c r="AQ1283" s="18">
        <v>0</v>
      </c>
      <c r="AR1283" s="29">
        <v>0.142857142857143</v>
      </c>
      <c r="AS1283" s="29">
        <v>8.57142857142857</v>
      </c>
      <c r="AT1283" s="29">
        <v>-6.57142857142857</v>
      </c>
      <c r="AU1283" s="24">
        <f t="shared" si="20"/>
        <v>14</v>
      </c>
      <c r="AV1283" s="31">
        <f>IFERROR(时间!$B$4+AU1283,"上周无销量")</f>
        <v>43332</v>
      </c>
    </row>
    <row r="1284" spans="1:48">
      <c r="A1284" s="16" t="s">
        <v>2261</v>
      </c>
      <c r="B1284" t="s">
        <v>965</v>
      </c>
      <c r="C1284" t="s">
        <v>2257</v>
      </c>
      <c r="D1284" s="24">
        <v>0</v>
      </c>
      <c r="E1284" s="24">
        <v>0</v>
      </c>
      <c r="F1284" s="24">
        <v>0</v>
      </c>
      <c r="G1284" s="24">
        <v>0</v>
      </c>
      <c r="H1284" s="25">
        <v>0</v>
      </c>
      <c r="I1284">
        <v>29</v>
      </c>
      <c r="J1284" s="26">
        <v>0</v>
      </c>
      <c r="K1284" s="26">
        <v>0</v>
      </c>
      <c r="L1284" s="26">
        <v>0</v>
      </c>
      <c r="M1284">
        <v>29</v>
      </c>
      <c r="N1284">
        <v>0</v>
      </c>
      <c r="O1284">
        <v>10</v>
      </c>
      <c r="P1284">
        <v>265</v>
      </c>
      <c r="Q1284">
        <v>378</v>
      </c>
      <c r="R1284">
        <v>428</v>
      </c>
      <c r="S1284">
        <v>329</v>
      </c>
      <c r="T1284">
        <v>0</v>
      </c>
      <c r="U1284">
        <v>4</v>
      </c>
      <c r="V1284">
        <v>3</v>
      </c>
      <c r="W1284">
        <v>0</v>
      </c>
      <c r="X1284" s="18">
        <v>0</v>
      </c>
      <c r="Y1284" s="18">
        <v>0.0105820105820106</v>
      </c>
      <c r="Z1284" s="18">
        <v>0.00700934579439252</v>
      </c>
      <c r="AA1284" s="18">
        <v>0</v>
      </c>
      <c r="AB1284">
        <v>0</v>
      </c>
      <c r="AC1284">
        <v>2.37</v>
      </c>
      <c r="AD1284">
        <v>1.35</v>
      </c>
      <c r="AE1284">
        <v>0</v>
      </c>
      <c r="AF1284" s="18" t="s">
        <v>52</v>
      </c>
      <c r="AG1284" s="18" t="s">
        <v>2262</v>
      </c>
      <c r="AH1284" s="18" t="s">
        <v>2263</v>
      </c>
      <c r="AI1284" s="18" t="s">
        <v>52</v>
      </c>
      <c r="AJ1284">
        <v>5</v>
      </c>
      <c r="AK1284">
        <v>6</v>
      </c>
      <c r="AL1284">
        <v>9</v>
      </c>
      <c r="AM1284">
        <v>6</v>
      </c>
      <c r="AN1284" s="18">
        <v>0</v>
      </c>
      <c r="AO1284" s="18">
        <v>0</v>
      </c>
      <c r="AP1284" s="18">
        <v>0</v>
      </c>
      <c r="AQ1284" s="18">
        <v>0</v>
      </c>
      <c r="AR1284" s="29">
        <v>0</v>
      </c>
      <c r="AS1284" s="29">
        <v>0</v>
      </c>
      <c r="AT1284" s="29">
        <v>29</v>
      </c>
      <c r="AU1284" s="24" t="str">
        <f t="shared" si="20"/>
        <v>库存为29</v>
      </c>
      <c r="AV1284" s="31" t="str">
        <f>IFERROR(时间!$B$4+AU1284,"上周无销量")</f>
        <v>上周无销量</v>
      </c>
    </row>
    <row r="1285" spans="1:48">
      <c r="A1285" s="16" t="s">
        <v>2264</v>
      </c>
      <c r="B1285" t="s">
        <v>967</v>
      </c>
      <c r="C1285" t="s">
        <v>2257</v>
      </c>
      <c r="D1285" s="24">
        <v>0</v>
      </c>
      <c r="E1285" s="24">
        <v>0</v>
      </c>
      <c r="F1285" s="24">
        <v>0</v>
      </c>
      <c r="G1285" s="24">
        <v>0</v>
      </c>
      <c r="H1285" s="25">
        <v>0</v>
      </c>
      <c r="I1285">
        <v>19</v>
      </c>
      <c r="J1285" s="26">
        <v>0</v>
      </c>
      <c r="K1285" s="26">
        <v>0</v>
      </c>
      <c r="L1285" s="26">
        <v>0</v>
      </c>
      <c r="M1285">
        <v>19</v>
      </c>
      <c r="N1285">
        <v>0</v>
      </c>
      <c r="O1285">
        <v>19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3</v>
      </c>
      <c r="AK1285">
        <v>1</v>
      </c>
      <c r="AL1285">
        <v>2</v>
      </c>
      <c r="AM1285">
        <v>5</v>
      </c>
      <c r="AN1285" s="18">
        <v>0</v>
      </c>
      <c r="AO1285" s="18">
        <v>0</v>
      </c>
      <c r="AP1285" s="18">
        <v>0</v>
      </c>
      <c r="AQ1285" s="18">
        <v>0</v>
      </c>
      <c r="AR1285" s="29">
        <v>0</v>
      </c>
      <c r="AS1285" s="29">
        <v>0</v>
      </c>
      <c r="AT1285" s="29">
        <v>19</v>
      </c>
      <c r="AU1285" s="24" t="str">
        <f t="shared" si="20"/>
        <v>库存为19</v>
      </c>
      <c r="AV1285" s="31" t="str">
        <f>IFERROR(时间!$B$4+AU1285,"上周无销量")</f>
        <v>上周无销量</v>
      </c>
    </row>
    <row r="1286" spans="1:48">
      <c r="A1286" s="16" t="s">
        <v>2265</v>
      </c>
      <c r="B1286" t="s">
        <v>969</v>
      </c>
      <c r="C1286" t="s">
        <v>2257</v>
      </c>
      <c r="D1286" s="24">
        <v>3</v>
      </c>
      <c r="E1286" s="24">
        <v>0</v>
      </c>
      <c r="F1286" s="24">
        <v>0</v>
      </c>
      <c r="G1286" s="24">
        <v>0</v>
      </c>
      <c r="H1286" s="25">
        <v>22.98</v>
      </c>
      <c r="I1286">
        <v>33</v>
      </c>
      <c r="J1286" s="26">
        <v>0</v>
      </c>
      <c r="K1286" s="26">
        <v>0</v>
      </c>
      <c r="L1286" s="26">
        <v>0</v>
      </c>
      <c r="M1286">
        <v>33</v>
      </c>
      <c r="N1286">
        <v>0</v>
      </c>
      <c r="O1286">
        <v>17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4</v>
      </c>
      <c r="AK1286">
        <v>7</v>
      </c>
      <c r="AL1286">
        <v>2</v>
      </c>
      <c r="AM1286">
        <v>3</v>
      </c>
      <c r="AN1286" s="18">
        <v>0.75</v>
      </c>
      <c r="AO1286" s="18">
        <v>0</v>
      </c>
      <c r="AP1286" s="18">
        <v>0</v>
      </c>
      <c r="AQ1286" s="18">
        <v>0</v>
      </c>
      <c r="AR1286" s="29">
        <v>0.428571428571429</v>
      </c>
      <c r="AS1286" s="29">
        <v>25.7142857142857</v>
      </c>
      <c r="AT1286" s="29">
        <v>7.28571428571429</v>
      </c>
      <c r="AU1286" s="24">
        <f t="shared" ref="AU1286:AU1349" si="21">IF(AR1286="","库存为"&amp;M1286,IF(AS1286=0,"库存为"&amp;M1286,INT(M1286/AR1286)))</f>
        <v>77</v>
      </c>
      <c r="AV1286" s="31">
        <f>IFERROR(时间!$B$4+AU1286,"上周无销量")</f>
        <v>43395</v>
      </c>
    </row>
    <row r="1287" spans="1:48">
      <c r="A1287" s="16" t="s">
        <v>2266</v>
      </c>
      <c r="B1287" t="s">
        <v>971</v>
      </c>
      <c r="C1287" t="s">
        <v>2257</v>
      </c>
      <c r="D1287" s="24">
        <v>0</v>
      </c>
      <c r="E1287" s="24">
        <v>0</v>
      </c>
      <c r="F1287" s="24">
        <v>0</v>
      </c>
      <c r="G1287" s="24">
        <v>0</v>
      </c>
      <c r="H1287" s="25">
        <v>0</v>
      </c>
      <c r="I1287">
        <v>37</v>
      </c>
      <c r="J1287" s="26">
        <v>0</v>
      </c>
      <c r="K1287" s="26">
        <v>0</v>
      </c>
      <c r="L1287" s="26">
        <v>0</v>
      </c>
      <c r="M1287">
        <v>37</v>
      </c>
      <c r="N1287">
        <v>0</v>
      </c>
      <c r="O1287">
        <v>8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4</v>
      </c>
      <c r="AK1287">
        <v>4</v>
      </c>
      <c r="AL1287">
        <v>2</v>
      </c>
      <c r="AM1287">
        <v>6</v>
      </c>
      <c r="AN1287" s="18">
        <v>0</v>
      </c>
      <c r="AO1287" s="18">
        <v>0</v>
      </c>
      <c r="AP1287" s="18">
        <v>0</v>
      </c>
      <c r="AQ1287" s="18">
        <v>0</v>
      </c>
      <c r="AR1287" s="29">
        <v>0</v>
      </c>
      <c r="AS1287" s="29">
        <v>0</v>
      </c>
      <c r="AT1287" s="29">
        <v>37</v>
      </c>
      <c r="AU1287" s="24" t="str">
        <f t="shared" si="21"/>
        <v>库存为37</v>
      </c>
      <c r="AV1287" s="31" t="str">
        <f>IFERROR(时间!$B$4+AU1287,"上周无销量")</f>
        <v>上周无销量</v>
      </c>
    </row>
    <row r="1288" spans="1:48">
      <c r="A1288" s="16" t="s">
        <v>2267</v>
      </c>
      <c r="B1288" t="s">
        <v>973</v>
      </c>
      <c r="C1288" t="s">
        <v>2257</v>
      </c>
      <c r="D1288" s="24">
        <v>0</v>
      </c>
      <c r="E1288" s="24">
        <v>0</v>
      </c>
      <c r="F1288" s="24">
        <v>0</v>
      </c>
      <c r="G1288" s="24">
        <v>0</v>
      </c>
      <c r="H1288" s="25">
        <v>0</v>
      </c>
      <c r="I1288">
        <v>8</v>
      </c>
      <c r="J1288" s="26">
        <v>0</v>
      </c>
      <c r="K1288" s="26">
        <v>0</v>
      </c>
      <c r="L1288" s="26">
        <v>0</v>
      </c>
      <c r="M1288">
        <v>8</v>
      </c>
      <c r="N1288">
        <v>0</v>
      </c>
      <c r="O1288">
        <v>7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2</v>
      </c>
      <c r="AK1288">
        <v>4</v>
      </c>
      <c r="AL1288">
        <v>7</v>
      </c>
      <c r="AM1288">
        <v>4</v>
      </c>
      <c r="AN1288" s="18">
        <v>0</v>
      </c>
      <c r="AO1288" s="18">
        <v>0</v>
      </c>
      <c r="AP1288" s="18">
        <v>0</v>
      </c>
      <c r="AQ1288" s="18">
        <v>0</v>
      </c>
      <c r="AR1288" s="29">
        <v>0</v>
      </c>
      <c r="AS1288" s="29">
        <v>0</v>
      </c>
      <c r="AT1288" s="29">
        <v>8</v>
      </c>
      <c r="AU1288" s="24" t="str">
        <f t="shared" si="21"/>
        <v>库存为8</v>
      </c>
      <c r="AV1288" s="31" t="str">
        <f>IFERROR(时间!$B$4+AU1288,"上周无销量")</f>
        <v>上周无销量</v>
      </c>
    </row>
    <row r="1289" spans="1:48">
      <c r="A1289" s="16" t="s">
        <v>2268</v>
      </c>
      <c r="B1289" t="s">
        <v>975</v>
      </c>
      <c r="C1289" t="s">
        <v>2257</v>
      </c>
      <c r="D1289" s="24">
        <v>1</v>
      </c>
      <c r="E1289" s="24">
        <v>0</v>
      </c>
      <c r="F1289" s="24">
        <v>0</v>
      </c>
      <c r="G1289" s="24">
        <v>0</v>
      </c>
      <c r="H1289" s="25">
        <v>22.98</v>
      </c>
      <c r="I1289">
        <v>34</v>
      </c>
      <c r="J1289" s="26">
        <v>0</v>
      </c>
      <c r="K1289" s="26">
        <v>0</v>
      </c>
      <c r="L1289" s="26">
        <v>0</v>
      </c>
      <c r="M1289">
        <v>34</v>
      </c>
      <c r="N1289">
        <v>0</v>
      </c>
      <c r="O1289">
        <v>11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8</v>
      </c>
      <c r="AK1289">
        <v>9</v>
      </c>
      <c r="AL1289">
        <v>8</v>
      </c>
      <c r="AM1289">
        <v>7</v>
      </c>
      <c r="AN1289" s="18">
        <v>0.125</v>
      </c>
      <c r="AO1289" s="18">
        <v>0</v>
      </c>
      <c r="AP1289" s="18">
        <v>0</v>
      </c>
      <c r="AQ1289" s="18">
        <v>0</v>
      </c>
      <c r="AR1289" s="29">
        <v>0.142857142857143</v>
      </c>
      <c r="AS1289" s="29">
        <v>8.57142857142857</v>
      </c>
      <c r="AT1289" s="29">
        <v>25.4285714285714</v>
      </c>
      <c r="AU1289" s="24">
        <f t="shared" si="21"/>
        <v>238</v>
      </c>
      <c r="AV1289" s="31">
        <f>IFERROR(时间!$B$4+AU1289,"上周无销量")</f>
        <v>43556</v>
      </c>
    </row>
    <row r="1290" spans="1:48">
      <c r="A1290" s="16" t="s">
        <v>2269</v>
      </c>
      <c r="B1290" t="s">
        <v>977</v>
      </c>
      <c r="C1290" t="s">
        <v>2257</v>
      </c>
      <c r="D1290" s="24">
        <v>0</v>
      </c>
      <c r="E1290" s="24">
        <v>0</v>
      </c>
      <c r="F1290" s="24">
        <v>0</v>
      </c>
      <c r="G1290" s="24">
        <v>0</v>
      </c>
      <c r="H1290" s="25">
        <v>0</v>
      </c>
      <c r="I1290">
        <v>37</v>
      </c>
      <c r="J1290" s="26">
        <v>0</v>
      </c>
      <c r="K1290" s="26">
        <v>0</v>
      </c>
      <c r="L1290" s="26">
        <v>0</v>
      </c>
      <c r="M1290">
        <v>37</v>
      </c>
      <c r="N1290">
        <v>0</v>
      </c>
      <c r="O1290">
        <v>12</v>
      </c>
      <c r="P1290">
        <v>0</v>
      </c>
      <c r="Q1290">
        <v>0</v>
      </c>
      <c r="R1290">
        <v>0</v>
      </c>
      <c r="S1290">
        <v>115</v>
      </c>
      <c r="T1290">
        <v>0</v>
      </c>
      <c r="U1290">
        <v>0</v>
      </c>
      <c r="V1290">
        <v>0</v>
      </c>
      <c r="W1290">
        <v>0</v>
      </c>
      <c r="X1290" s="18" t="s">
        <v>52</v>
      </c>
      <c r="Y1290" s="18" t="s">
        <v>52</v>
      </c>
      <c r="Z1290" s="18" t="s">
        <v>52</v>
      </c>
      <c r="AA1290" s="18">
        <v>0</v>
      </c>
      <c r="AB1290">
        <v>0</v>
      </c>
      <c r="AC1290">
        <v>0</v>
      </c>
      <c r="AD1290">
        <v>0</v>
      </c>
      <c r="AE1290">
        <v>0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4</v>
      </c>
      <c r="AK1290">
        <v>3</v>
      </c>
      <c r="AL1290">
        <v>3</v>
      </c>
      <c r="AM1290">
        <v>3</v>
      </c>
      <c r="AN1290" s="18">
        <v>0</v>
      </c>
      <c r="AO1290" s="18">
        <v>0</v>
      </c>
      <c r="AP1290" s="18">
        <v>0</v>
      </c>
      <c r="AQ1290" s="18">
        <v>0</v>
      </c>
      <c r="AR1290" s="29">
        <v>0</v>
      </c>
      <c r="AS1290" s="29">
        <v>0</v>
      </c>
      <c r="AT1290" s="29">
        <v>37</v>
      </c>
      <c r="AU1290" s="24" t="str">
        <f t="shared" si="21"/>
        <v>库存为37</v>
      </c>
      <c r="AV1290" s="31" t="str">
        <f>IFERROR(时间!$B$4+AU1290,"上周无销量")</f>
        <v>上周无销量</v>
      </c>
    </row>
    <row r="1291" spans="1:48">
      <c r="A1291" s="16" t="s">
        <v>2270</v>
      </c>
      <c r="B1291" t="s">
        <v>979</v>
      </c>
      <c r="C1291" t="s">
        <v>2257</v>
      </c>
      <c r="D1291" s="24">
        <v>1</v>
      </c>
      <c r="E1291" s="24">
        <v>1</v>
      </c>
      <c r="F1291" s="24">
        <v>0</v>
      </c>
      <c r="G1291" s="24">
        <v>0</v>
      </c>
      <c r="H1291" s="25">
        <v>22.98</v>
      </c>
      <c r="I1291">
        <v>13</v>
      </c>
      <c r="J1291" s="26">
        <v>0</v>
      </c>
      <c r="K1291" s="26">
        <v>0</v>
      </c>
      <c r="L1291" s="26">
        <v>0</v>
      </c>
      <c r="M1291">
        <v>13</v>
      </c>
      <c r="N1291">
        <v>0</v>
      </c>
      <c r="O1291">
        <v>0</v>
      </c>
      <c r="P1291">
        <v>2419</v>
      </c>
      <c r="Q1291">
        <v>1292</v>
      </c>
      <c r="R1291">
        <v>2718</v>
      </c>
      <c r="S1291">
        <v>2222</v>
      </c>
      <c r="T1291">
        <v>6</v>
      </c>
      <c r="U1291">
        <v>7</v>
      </c>
      <c r="V1291">
        <v>6</v>
      </c>
      <c r="W1291">
        <v>2</v>
      </c>
      <c r="X1291" s="18">
        <v>0.00248036378668871</v>
      </c>
      <c r="Y1291" s="18">
        <v>0.00541795665634675</v>
      </c>
      <c r="Z1291" s="18">
        <v>0.0022075055187638</v>
      </c>
      <c r="AA1291" s="18">
        <v>0.0009000900090009</v>
      </c>
      <c r="AB1291">
        <v>4.41</v>
      </c>
      <c r="AC1291">
        <v>3.21</v>
      </c>
      <c r="AD1291">
        <v>3.19</v>
      </c>
      <c r="AE1291">
        <v>0.84</v>
      </c>
      <c r="AF1291" s="18">
        <v>0.191906005221932</v>
      </c>
      <c r="AG1291" s="18">
        <v>0.139686684073107</v>
      </c>
      <c r="AH1291" s="18" t="s">
        <v>2271</v>
      </c>
      <c r="AI1291" s="18" t="s">
        <v>2272</v>
      </c>
      <c r="AJ1291">
        <v>29</v>
      </c>
      <c r="AK1291">
        <v>6</v>
      </c>
      <c r="AL1291">
        <v>9</v>
      </c>
      <c r="AM1291">
        <v>6</v>
      </c>
      <c r="AN1291" s="18">
        <v>0.0344827586206897</v>
      </c>
      <c r="AO1291" s="18">
        <v>0.166666666666667</v>
      </c>
      <c r="AP1291" s="18">
        <v>0</v>
      </c>
      <c r="AQ1291" s="18">
        <v>0</v>
      </c>
      <c r="AR1291" s="29">
        <v>0.142857142857143</v>
      </c>
      <c r="AS1291" s="29">
        <v>8.57142857142857</v>
      </c>
      <c r="AT1291" s="29">
        <v>4.42857142857143</v>
      </c>
      <c r="AU1291" s="24">
        <f t="shared" si="21"/>
        <v>91</v>
      </c>
      <c r="AV1291" s="31">
        <f>IFERROR(时间!$B$4+AU1291,"上周无销量")</f>
        <v>43409</v>
      </c>
    </row>
    <row r="1292" spans="1:48">
      <c r="A1292" s="16" t="s">
        <v>2273</v>
      </c>
      <c r="B1292" t="s">
        <v>981</v>
      </c>
      <c r="C1292" t="s">
        <v>2257</v>
      </c>
      <c r="D1292" s="24">
        <v>1</v>
      </c>
      <c r="E1292" s="24">
        <v>0</v>
      </c>
      <c r="F1292" s="24">
        <v>1</v>
      </c>
      <c r="G1292" s="24">
        <v>0</v>
      </c>
      <c r="H1292" s="25">
        <v>14.99</v>
      </c>
      <c r="I1292">
        <v>39</v>
      </c>
      <c r="J1292" s="26">
        <v>0</v>
      </c>
      <c r="K1292" s="26">
        <v>0</v>
      </c>
      <c r="L1292" s="26">
        <v>0</v>
      </c>
      <c r="M1292">
        <v>39</v>
      </c>
      <c r="N1292">
        <v>0</v>
      </c>
      <c r="O1292">
        <v>9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8</v>
      </c>
      <c r="AK1292">
        <v>10</v>
      </c>
      <c r="AL1292">
        <v>5</v>
      </c>
      <c r="AM1292">
        <v>4</v>
      </c>
      <c r="AN1292" s="18">
        <v>0.125</v>
      </c>
      <c r="AO1292" s="18">
        <v>0</v>
      </c>
      <c r="AP1292" s="18">
        <v>0.2</v>
      </c>
      <c r="AQ1292" s="18">
        <v>0</v>
      </c>
      <c r="AR1292" s="29">
        <v>0.142857142857143</v>
      </c>
      <c r="AS1292" s="29">
        <v>8.57142857142857</v>
      </c>
      <c r="AT1292" s="29">
        <v>30.4285714285714</v>
      </c>
      <c r="AU1292" s="24">
        <f t="shared" si="21"/>
        <v>273</v>
      </c>
      <c r="AV1292" s="31">
        <f>IFERROR(时间!$B$4+AU1292,"上周无销量")</f>
        <v>43591</v>
      </c>
    </row>
    <row r="1293" spans="1:48">
      <c r="A1293" s="16" t="s">
        <v>2274</v>
      </c>
      <c r="B1293" t="s">
        <v>983</v>
      </c>
      <c r="C1293" t="s">
        <v>2257</v>
      </c>
      <c r="D1293" s="24">
        <v>0</v>
      </c>
      <c r="E1293" s="24">
        <v>0</v>
      </c>
      <c r="F1293" s="24">
        <v>0</v>
      </c>
      <c r="G1293" s="24">
        <v>0</v>
      </c>
      <c r="H1293" s="25">
        <v>0</v>
      </c>
      <c r="I1293">
        <v>3</v>
      </c>
      <c r="J1293" s="26">
        <v>0</v>
      </c>
      <c r="K1293" s="26">
        <v>0</v>
      </c>
      <c r="L1293" s="26">
        <v>0</v>
      </c>
      <c r="M1293">
        <v>3</v>
      </c>
      <c r="N1293">
        <v>0</v>
      </c>
      <c r="O1293">
        <v>0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7</v>
      </c>
      <c r="AK1293">
        <v>11</v>
      </c>
      <c r="AL1293">
        <v>8</v>
      </c>
      <c r="AM1293">
        <v>4</v>
      </c>
      <c r="AN1293" s="18">
        <v>0</v>
      </c>
      <c r="AO1293" s="18">
        <v>0</v>
      </c>
      <c r="AP1293" s="18">
        <v>0</v>
      </c>
      <c r="AQ1293" s="18">
        <v>0</v>
      </c>
      <c r="AR1293" s="29">
        <v>0</v>
      </c>
      <c r="AS1293" s="29">
        <v>0</v>
      </c>
      <c r="AT1293" s="29">
        <v>3</v>
      </c>
      <c r="AU1293" s="24" t="str">
        <f t="shared" si="21"/>
        <v>库存为3</v>
      </c>
      <c r="AV1293" s="31" t="str">
        <f>IFERROR(时间!$B$4+AU1293,"上周无销量")</f>
        <v>上周无销量</v>
      </c>
    </row>
    <row r="1294" spans="1:48">
      <c r="A1294" s="16" t="s">
        <v>2275</v>
      </c>
      <c r="B1294" t="s">
        <v>985</v>
      </c>
      <c r="C1294" t="s">
        <v>2257</v>
      </c>
      <c r="D1294" s="24">
        <v>3</v>
      </c>
      <c r="E1294" s="24">
        <v>1</v>
      </c>
      <c r="F1294" s="24">
        <v>0</v>
      </c>
      <c r="G1294" s="24">
        <v>1</v>
      </c>
      <c r="H1294" s="25">
        <v>22.98</v>
      </c>
      <c r="I1294">
        <v>27</v>
      </c>
      <c r="J1294" s="26">
        <v>0</v>
      </c>
      <c r="K1294" s="26">
        <v>0</v>
      </c>
      <c r="L1294" s="26">
        <v>0</v>
      </c>
      <c r="M1294">
        <v>27</v>
      </c>
      <c r="N1294">
        <v>0</v>
      </c>
      <c r="O1294">
        <v>7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9</v>
      </c>
      <c r="AK1294">
        <v>2</v>
      </c>
      <c r="AL1294">
        <v>7</v>
      </c>
      <c r="AM1294">
        <v>0</v>
      </c>
      <c r="AN1294" s="18">
        <v>0.333333333333333</v>
      </c>
      <c r="AO1294" s="18">
        <v>0.5</v>
      </c>
      <c r="AP1294" s="18">
        <v>0</v>
      </c>
      <c r="AQ1294" s="18" t="s">
        <v>52</v>
      </c>
      <c r="AR1294" s="29">
        <v>0.428571428571429</v>
      </c>
      <c r="AS1294" s="29">
        <v>25.7142857142857</v>
      </c>
      <c r="AT1294" s="29">
        <v>1.28571428571429</v>
      </c>
      <c r="AU1294" s="24">
        <f t="shared" si="21"/>
        <v>63</v>
      </c>
      <c r="AV1294" s="31">
        <f>IFERROR(时间!$B$4+AU1294,"上周无销量")</f>
        <v>43381</v>
      </c>
    </row>
    <row r="1295" spans="1:48">
      <c r="A1295" s="16" t="s">
        <v>2276</v>
      </c>
      <c r="B1295" t="s">
        <v>987</v>
      </c>
      <c r="C1295" t="s">
        <v>2257</v>
      </c>
      <c r="D1295" s="24">
        <v>0</v>
      </c>
      <c r="E1295" s="24">
        <v>0</v>
      </c>
      <c r="F1295" s="24">
        <v>0</v>
      </c>
      <c r="G1295" s="24">
        <v>0</v>
      </c>
      <c r="H1295" s="25">
        <v>0</v>
      </c>
      <c r="I1295">
        <v>37</v>
      </c>
      <c r="J1295" s="26">
        <v>0</v>
      </c>
      <c r="K1295" s="26">
        <v>0</v>
      </c>
      <c r="L1295" s="26">
        <v>0</v>
      </c>
      <c r="M1295">
        <v>37</v>
      </c>
      <c r="N1295">
        <v>0</v>
      </c>
      <c r="O1295">
        <v>12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1</v>
      </c>
      <c r="AK1295">
        <v>0</v>
      </c>
      <c r="AL1295">
        <v>2</v>
      </c>
      <c r="AM1295">
        <v>1</v>
      </c>
      <c r="AN1295" s="18">
        <v>0</v>
      </c>
      <c r="AO1295" s="18" t="s">
        <v>52</v>
      </c>
      <c r="AP1295" s="18">
        <v>0</v>
      </c>
      <c r="AQ1295" s="18">
        <v>0</v>
      </c>
      <c r="AR1295" s="29">
        <v>0</v>
      </c>
      <c r="AS1295" s="29">
        <v>0</v>
      </c>
      <c r="AT1295" s="29">
        <v>37</v>
      </c>
      <c r="AU1295" s="24" t="str">
        <f t="shared" si="21"/>
        <v>库存为37</v>
      </c>
      <c r="AV1295" s="31" t="str">
        <f>IFERROR(时间!$B$4+AU1295,"上周无销量")</f>
        <v>上周无销量</v>
      </c>
    </row>
    <row r="1296" spans="1:48">
      <c r="A1296" s="16" t="s">
        <v>2277</v>
      </c>
      <c r="B1296" t="s">
        <v>989</v>
      </c>
      <c r="C1296" t="s">
        <v>2257</v>
      </c>
      <c r="D1296" s="24">
        <v>1</v>
      </c>
      <c r="E1296" s="24">
        <v>0</v>
      </c>
      <c r="F1296" s="24">
        <v>0</v>
      </c>
      <c r="G1296" s="24">
        <v>0</v>
      </c>
      <c r="H1296" s="25">
        <v>22.98</v>
      </c>
      <c r="I1296">
        <v>27</v>
      </c>
      <c r="J1296" s="26">
        <v>0</v>
      </c>
      <c r="K1296" s="26">
        <v>0</v>
      </c>
      <c r="L1296" s="26">
        <v>0</v>
      </c>
      <c r="M1296">
        <v>27</v>
      </c>
      <c r="N1296">
        <v>0</v>
      </c>
      <c r="O1296">
        <v>6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7</v>
      </c>
      <c r="AK1296">
        <v>6</v>
      </c>
      <c r="AL1296">
        <v>6</v>
      </c>
      <c r="AM1296">
        <v>3</v>
      </c>
      <c r="AN1296" s="18">
        <v>0.142857142857143</v>
      </c>
      <c r="AO1296" s="18">
        <v>0</v>
      </c>
      <c r="AP1296" s="18">
        <v>0</v>
      </c>
      <c r="AQ1296" s="18">
        <v>0</v>
      </c>
      <c r="AR1296" s="29">
        <v>0.142857142857143</v>
      </c>
      <c r="AS1296" s="29">
        <v>8.57142857142857</v>
      </c>
      <c r="AT1296" s="29">
        <v>18.4285714285714</v>
      </c>
      <c r="AU1296" s="24">
        <f t="shared" si="21"/>
        <v>189</v>
      </c>
      <c r="AV1296" s="31">
        <f>IFERROR(时间!$B$4+AU1296,"上周无销量")</f>
        <v>43507</v>
      </c>
    </row>
    <row r="1297" spans="1:48">
      <c r="A1297" s="16" t="s">
        <v>2278</v>
      </c>
      <c r="B1297" t="s">
        <v>991</v>
      </c>
      <c r="C1297" t="s">
        <v>2257</v>
      </c>
      <c r="D1297" s="24">
        <v>0</v>
      </c>
      <c r="E1297" s="24">
        <v>0</v>
      </c>
      <c r="F1297" s="24">
        <v>1</v>
      </c>
      <c r="G1297" s="24">
        <v>0</v>
      </c>
      <c r="H1297" s="25">
        <v>22.98</v>
      </c>
      <c r="I1297">
        <v>35</v>
      </c>
      <c r="J1297" s="26">
        <v>0</v>
      </c>
      <c r="K1297" s="26">
        <v>0</v>
      </c>
      <c r="L1297" s="26">
        <v>0</v>
      </c>
      <c r="M1297">
        <v>35</v>
      </c>
      <c r="N1297">
        <v>0</v>
      </c>
      <c r="O1297">
        <v>10</v>
      </c>
      <c r="P1297">
        <v>205</v>
      </c>
      <c r="Q1297">
        <v>0</v>
      </c>
      <c r="R1297">
        <v>0</v>
      </c>
      <c r="S1297">
        <v>0</v>
      </c>
      <c r="T1297">
        <v>2</v>
      </c>
      <c r="U1297">
        <v>0</v>
      </c>
      <c r="V1297">
        <v>0</v>
      </c>
      <c r="W1297">
        <v>0</v>
      </c>
      <c r="X1297" s="18">
        <v>0.00975609756097561</v>
      </c>
      <c r="Y1297" s="18" t="s">
        <v>52</v>
      </c>
      <c r="Z1297" s="18" t="s">
        <v>52</v>
      </c>
      <c r="AA1297" s="18" t="s">
        <v>52</v>
      </c>
      <c r="AB1297">
        <v>1.88</v>
      </c>
      <c r="AC1297">
        <v>0</v>
      </c>
      <c r="AD1297">
        <v>0</v>
      </c>
      <c r="AE1297">
        <v>0</v>
      </c>
      <c r="AF1297" s="18" t="s">
        <v>2279</v>
      </c>
      <c r="AG1297" s="18" t="s">
        <v>52</v>
      </c>
      <c r="AH1297" s="18" t="s">
        <v>52</v>
      </c>
      <c r="AI1297" s="18" t="s">
        <v>52</v>
      </c>
      <c r="AJ1297">
        <v>6</v>
      </c>
      <c r="AK1297">
        <v>8</v>
      </c>
      <c r="AL1297">
        <v>7</v>
      </c>
      <c r="AM1297">
        <v>3</v>
      </c>
      <c r="AN1297" s="18">
        <v>0</v>
      </c>
      <c r="AO1297" s="18">
        <v>0</v>
      </c>
      <c r="AP1297" s="18">
        <v>0.142857142857143</v>
      </c>
      <c r="AQ1297" s="18">
        <v>0</v>
      </c>
      <c r="AR1297" s="29">
        <v>0</v>
      </c>
      <c r="AS1297" s="29">
        <v>0</v>
      </c>
      <c r="AT1297" s="29">
        <v>35</v>
      </c>
      <c r="AU1297" s="24" t="str">
        <f t="shared" si="21"/>
        <v>库存为35</v>
      </c>
      <c r="AV1297" s="31" t="str">
        <f>IFERROR(时间!$B$4+AU1297,"上周无销量")</f>
        <v>上周无销量</v>
      </c>
    </row>
    <row r="1298" spans="1:48">
      <c r="A1298" s="16" t="s">
        <v>2280</v>
      </c>
      <c r="B1298" t="s">
        <v>993</v>
      </c>
      <c r="C1298" t="s">
        <v>2257</v>
      </c>
      <c r="D1298" s="24">
        <v>1</v>
      </c>
      <c r="E1298" s="24">
        <v>0</v>
      </c>
      <c r="F1298" s="24">
        <v>0</v>
      </c>
      <c r="G1298" s="24">
        <v>0</v>
      </c>
      <c r="H1298" s="25">
        <v>22.98</v>
      </c>
      <c r="I1298">
        <v>0</v>
      </c>
      <c r="J1298" s="26">
        <v>0</v>
      </c>
      <c r="K1298" s="26">
        <v>0</v>
      </c>
      <c r="L1298" s="26">
        <v>0</v>
      </c>
      <c r="M1298">
        <v>0</v>
      </c>
      <c r="N1298">
        <v>0</v>
      </c>
      <c r="O1298">
        <v>0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4</v>
      </c>
      <c r="AK1298">
        <v>3</v>
      </c>
      <c r="AL1298">
        <v>6</v>
      </c>
      <c r="AM1298">
        <v>1</v>
      </c>
      <c r="AN1298" s="18">
        <v>0.25</v>
      </c>
      <c r="AO1298" s="18">
        <v>0</v>
      </c>
      <c r="AP1298" s="18">
        <v>0</v>
      </c>
      <c r="AQ1298" s="18">
        <v>0</v>
      </c>
      <c r="AR1298" s="29">
        <v>0.142857142857143</v>
      </c>
      <c r="AS1298" s="29">
        <v>8.57142857142857</v>
      </c>
      <c r="AT1298" s="29">
        <v>-8.57142857142857</v>
      </c>
      <c r="AU1298" s="24">
        <f t="shared" si="21"/>
        <v>0</v>
      </c>
      <c r="AV1298" s="31">
        <f>IFERROR(时间!$B$4+AU1298,"上周无销量")</f>
        <v>43318</v>
      </c>
    </row>
    <row r="1299" spans="1:48">
      <c r="A1299" s="16" t="s">
        <v>2281</v>
      </c>
      <c r="B1299" t="s">
        <v>995</v>
      </c>
      <c r="C1299" t="s">
        <v>2257</v>
      </c>
      <c r="D1299" s="24">
        <v>1</v>
      </c>
      <c r="E1299" s="24">
        <v>1</v>
      </c>
      <c r="F1299" s="24">
        <v>2</v>
      </c>
      <c r="G1299" s="24">
        <v>0</v>
      </c>
      <c r="H1299" s="25">
        <v>22.98</v>
      </c>
      <c r="I1299">
        <v>26</v>
      </c>
      <c r="J1299" s="26">
        <v>0</v>
      </c>
      <c r="K1299" s="26">
        <v>0</v>
      </c>
      <c r="L1299" s="26">
        <v>0</v>
      </c>
      <c r="M1299">
        <v>26</v>
      </c>
      <c r="N1299">
        <v>0</v>
      </c>
      <c r="O1299">
        <v>2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5</v>
      </c>
      <c r="AK1299">
        <v>11</v>
      </c>
      <c r="AL1299">
        <v>5</v>
      </c>
      <c r="AM1299">
        <v>5</v>
      </c>
      <c r="AN1299" s="18">
        <v>0.2</v>
      </c>
      <c r="AO1299" s="18">
        <v>0.0909090909090909</v>
      </c>
      <c r="AP1299" s="18">
        <v>0.4</v>
      </c>
      <c r="AQ1299" s="18">
        <v>0</v>
      </c>
      <c r="AR1299" s="29">
        <v>0.142857142857143</v>
      </c>
      <c r="AS1299" s="29">
        <v>8.57142857142857</v>
      </c>
      <c r="AT1299" s="29">
        <v>17.4285714285714</v>
      </c>
      <c r="AU1299" s="24">
        <f t="shared" si="21"/>
        <v>182</v>
      </c>
      <c r="AV1299" s="31">
        <f>IFERROR(时间!$B$4+AU1299,"上周无销量")</f>
        <v>43500</v>
      </c>
    </row>
    <row r="1300" spans="1:48">
      <c r="A1300" s="16" t="s">
        <v>2282</v>
      </c>
      <c r="B1300" t="s">
        <v>999</v>
      </c>
      <c r="C1300" t="s">
        <v>2257</v>
      </c>
      <c r="D1300" s="24">
        <v>1</v>
      </c>
      <c r="E1300" s="24">
        <v>0</v>
      </c>
      <c r="F1300" s="24">
        <v>0</v>
      </c>
      <c r="G1300" s="24">
        <v>0</v>
      </c>
      <c r="H1300" s="25">
        <v>22.98</v>
      </c>
      <c r="I1300">
        <v>14</v>
      </c>
      <c r="J1300" s="26">
        <v>0</v>
      </c>
      <c r="K1300" s="26">
        <v>0</v>
      </c>
      <c r="L1300" s="26">
        <v>0</v>
      </c>
      <c r="M1300">
        <v>14</v>
      </c>
      <c r="N1300">
        <v>0</v>
      </c>
      <c r="O1300">
        <v>13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4</v>
      </c>
      <c r="AK1300">
        <v>5</v>
      </c>
      <c r="AL1300">
        <v>6</v>
      </c>
      <c r="AM1300">
        <v>5</v>
      </c>
      <c r="AN1300" s="18">
        <v>0.25</v>
      </c>
      <c r="AO1300" s="18">
        <v>0</v>
      </c>
      <c r="AP1300" s="18">
        <v>0</v>
      </c>
      <c r="AQ1300" s="18">
        <v>0</v>
      </c>
      <c r="AR1300" s="29">
        <v>0.142857142857143</v>
      </c>
      <c r="AS1300" s="29">
        <v>8.57142857142857</v>
      </c>
      <c r="AT1300" s="29">
        <v>5.42857142857143</v>
      </c>
      <c r="AU1300" s="24">
        <f t="shared" si="21"/>
        <v>98</v>
      </c>
      <c r="AV1300" s="31">
        <f>IFERROR(时间!$B$4+AU1300,"上周无销量")</f>
        <v>43416</v>
      </c>
    </row>
    <row r="1301" spans="1:48">
      <c r="A1301" s="16" t="s">
        <v>2283</v>
      </c>
      <c r="B1301" t="s">
        <v>1001</v>
      </c>
      <c r="C1301" t="s">
        <v>2257</v>
      </c>
      <c r="D1301" s="24">
        <v>0</v>
      </c>
      <c r="E1301" s="24">
        <v>0</v>
      </c>
      <c r="F1301" s="24">
        <v>1</v>
      </c>
      <c r="G1301" s="24">
        <v>0</v>
      </c>
      <c r="H1301" s="25">
        <v>22.98</v>
      </c>
      <c r="I1301">
        <v>14</v>
      </c>
      <c r="J1301" s="26">
        <v>0</v>
      </c>
      <c r="K1301" s="26">
        <v>0</v>
      </c>
      <c r="L1301" s="26">
        <v>0</v>
      </c>
      <c r="M1301">
        <v>14</v>
      </c>
      <c r="N1301">
        <v>0</v>
      </c>
      <c r="O1301">
        <v>11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5</v>
      </c>
      <c r="AK1301">
        <v>1</v>
      </c>
      <c r="AL1301">
        <v>4</v>
      </c>
      <c r="AM1301">
        <v>1</v>
      </c>
      <c r="AN1301" s="18">
        <v>0</v>
      </c>
      <c r="AO1301" s="18">
        <v>0</v>
      </c>
      <c r="AP1301" s="18">
        <v>0.25</v>
      </c>
      <c r="AQ1301" s="18">
        <v>0</v>
      </c>
      <c r="AR1301" s="29">
        <v>0</v>
      </c>
      <c r="AS1301" s="29">
        <v>0</v>
      </c>
      <c r="AT1301" s="29">
        <v>14</v>
      </c>
      <c r="AU1301" s="24" t="str">
        <f t="shared" si="21"/>
        <v>库存为14</v>
      </c>
      <c r="AV1301" s="31" t="str">
        <f>IFERROR(时间!$B$4+AU1301,"上周无销量")</f>
        <v>上周无销量</v>
      </c>
    </row>
    <row r="1302" spans="1:48">
      <c r="A1302" s="16" t="s">
        <v>2284</v>
      </c>
      <c r="B1302" t="s">
        <v>1003</v>
      </c>
      <c r="C1302" t="s">
        <v>2257</v>
      </c>
      <c r="D1302" s="24">
        <v>0</v>
      </c>
      <c r="E1302" s="24">
        <v>0</v>
      </c>
      <c r="F1302" s="24">
        <v>0</v>
      </c>
      <c r="G1302" s="24">
        <v>0</v>
      </c>
      <c r="H1302" s="25">
        <v>0</v>
      </c>
      <c r="I1302">
        <v>9</v>
      </c>
      <c r="J1302" s="26">
        <v>0</v>
      </c>
      <c r="K1302" s="26">
        <v>0</v>
      </c>
      <c r="L1302" s="26">
        <v>0</v>
      </c>
      <c r="M1302">
        <v>9</v>
      </c>
      <c r="N1302">
        <v>0</v>
      </c>
      <c r="O1302">
        <v>7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8</v>
      </c>
      <c r="AK1302">
        <v>6</v>
      </c>
      <c r="AL1302">
        <v>8</v>
      </c>
      <c r="AM1302">
        <v>6</v>
      </c>
      <c r="AN1302" s="18">
        <v>0</v>
      </c>
      <c r="AO1302" s="18">
        <v>0</v>
      </c>
      <c r="AP1302" s="18">
        <v>0</v>
      </c>
      <c r="AQ1302" s="18">
        <v>0</v>
      </c>
      <c r="AR1302" s="29">
        <v>0</v>
      </c>
      <c r="AS1302" s="29">
        <v>0</v>
      </c>
      <c r="AT1302" s="29">
        <v>9</v>
      </c>
      <c r="AU1302" s="24" t="str">
        <f t="shared" si="21"/>
        <v>库存为9</v>
      </c>
      <c r="AV1302" s="31" t="str">
        <f>IFERROR(时间!$B$4+AU1302,"上周无销量")</f>
        <v>上周无销量</v>
      </c>
    </row>
    <row r="1303" spans="1:48">
      <c r="A1303" s="16" t="s">
        <v>2285</v>
      </c>
      <c r="B1303" t="s">
        <v>1005</v>
      </c>
      <c r="C1303" t="s">
        <v>2257</v>
      </c>
      <c r="D1303" s="24">
        <v>2</v>
      </c>
      <c r="E1303" s="24">
        <v>0</v>
      </c>
      <c r="F1303" s="24">
        <v>0</v>
      </c>
      <c r="G1303" s="24">
        <v>0</v>
      </c>
      <c r="H1303" s="25">
        <v>22.98</v>
      </c>
      <c r="I1303">
        <v>19</v>
      </c>
      <c r="J1303" s="26">
        <v>0</v>
      </c>
      <c r="K1303" s="26">
        <v>0</v>
      </c>
      <c r="L1303" s="26">
        <v>0</v>
      </c>
      <c r="M1303">
        <v>19</v>
      </c>
      <c r="N1303">
        <v>0</v>
      </c>
      <c r="O1303">
        <v>17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3</v>
      </c>
      <c r="AK1303">
        <v>4</v>
      </c>
      <c r="AL1303">
        <v>5</v>
      </c>
      <c r="AM1303">
        <v>4</v>
      </c>
      <c r="AN1303" s="18">
        <v>0.666666666666667</v>
      </c>
      <c r="AO1303" s="18">
        <v>0</v>
      </c>
      <c r="AP1303" s="18">
        <v>0</v>
      </c>
      <c r="AQ1303" s="18">
        <v>0</v>
      </c>
      <c r="AR1303" s="29">
        <v>0.285714285714286</v>
      </c>
      <c r="AS1303" s="29">
        <v>17.1428571428571</v>
      </c>
      <c r="AT1303" s="29">
        <v>1.85714285714286</v>
      </c>
      <c r="AU1303" s="24">
        <f t="shared" si="21"/>
        <v>66</v>
      </c>
      <c r="AV1303" s="31">
        <f>IFERROR(时间!$B$4+AU1303,"上周无销量")</f>
        <v>43384</v>
      </c>
    </row>
    <row r="1304" spans="1:48">
      <c r="A1304" s="16" t="s">
        <v>2286</v>
      </c>
      <c r="B1304" t="s">
        <v>1007</v>
      </c>
      <c r="C1304" t="s">
        <v>2257</v>
      </c>
      <c r="D1304" s="24">
        <v>0</v>
      </c>
      <c r="E1304" s="24">
        <v>0</v>
      </c>
      <c r="F1304" s="24">
        <v>0</v>
      </c>
      <c r="G1304" s="24">
        <v>0</v>
      </c>
      <c r="H1304" s="25">
        <v>0</v>
      </c>
      <c r="I1304">
        <v>5</v>
      </c>
      <c r="J1304" s="26">
        <v>0</v>
      </c>
      <c r="K1304" s="26">
        <v>0</v>
      </c>
      <c r="L1304" s="26">
        <v>0</v>
      </c>
      <c r="M1304">
        <v>5</v>
      </c>
      <c r="N1304">
        <v>0</v>
      </c>
      <c r="O1304">
        <v>5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2</v>
      </c>
      <c r="AK1304">
        <v>7</v>
      </c>
      <c r="AL1304">
        <v>8</v>
      </c>
      <c r="AM1304">
        <v>5</v>
      </c>
      <c r="AN1304" s="18">
        <v>0</v>
      </c>
      <c r="AO1304" s="18">
        <v>0</v>
      </c>
      <c r="AP1304" s="18">
        <v>0</v>
      </c>
      <c r="AQ1304" s="18">
        <v>0</v>
      </c>
      <c r="AR1304" s="29">
        <v>0</v>
      </c>
      <c r="AS1304" s="29">
        <v>0</v>
      </c>
      <c r="AT1304" s="29">
        <v>5</v>
      </c>
      <c r="AU1304" s="24" t="str">
        <f t="shared" si="21"/>
        <v>库存为5</v>
      </c>
      <c r="AV1304" s="31" t="str">
        <f>IFERROR(时间!$B$4+AU1304,"上周无销量")</f>
        <v>上周无销量</v>
      </c>
    </row>
    <row r="1305" spans="1:49">
      <c r="A1305" s="16" t="s">
        <v>2287</v>
      </c>
      <c r="B1305" t="s">
        <v>1009</v>
      </c>
      <c r="C1305" t="s">
        <v>2257</v>
      </c>
      <c r="D1305" s="24">
        <v>0</v>
      </c>
      <c r="E1305" s="24">
        <v>2</v>
      </c>
      <c r="F1305" s="24">
        <v>0</v>
      </c>
      <c r="G1305" s="24">
        <v>0</v>
      </c>
      <c r="H1305" s="25">
        <v>22.98</v>
      </c>
      <c r="I1305">
        <v>28</v>
      </c>
      <c r="J1305" s="26">
        <v>0</v>
      </c>
      <c r="K1305" s="26">
        <v>0</v>
      </c>
      <c r="L1305" s="26">
        <v>1</v>
      </c>
      <c r="M1305">
        <v>29</v>
      </c>
      <c r="N1305">
        <v>0</v>
      </c>
      <c r="O1305">
        <v>7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5</v>
      </c>
      <c r="AK1305">
        <v>2</v>
      </c>
      <c r="AL1305">
        <v>5</v>
      </c>
      <c r="AM1305">
        <v>3</v>
      </c>
      <c r="AN1305" s="18">
        <v>0</v>
      </c>
      <c r="AO1305" s="18">
        <v>1</v>
      </c>
      <c r="AP1305" s="18">
        <v>0</v>
      </c>
      <c r="AQ1305" s="18">
        <v>0</v>
      </c>
      <c r="AR1305" s="29">
        <v>0</v>
      </c>
      <c r="AS1305" s="29">
        <v>0</v>
      </c>
      <c r="AT1305" s="29">
        <v>29</v>
      </c>
      <c r="AU1305" s="24" t="str">
        <f t="shared" si="21"/>
        <v>库存为29</v>
      </c>
      <c r="AV1305" s="31" t="str">
        <f>IFERROR(时间!$B$4+AU1305,"上周无销量")</f>
        <v>上周无销量</v>
      </c>
      <c r="AW1305" s="31"/>
    </row>
    <row r="1306" spans="1:48">
      <c r="A1306" s="16" t="s">
        <v>2288</v>
      </c>
      <c r="B1306" t="s">
        <v>1011</v>
      </c>
      <c r="C1306" t="s">
        <v>2257</v>
      </c>
      <c r="D1306" s="24">
        <v>0</v>
      </c>
      <c r="E1306" s="24">
        <v>1</v>
      </c>
      <c r="F1306" s="24">
        <v>1</v>
      </c>
      <c r="G1306" s="24">
        <v>0</v>
      </c>
      <c r="H1306" s="25">
        <v>14.98</v>
      </c>
      <c r="I1306">
        <v>24</v>
      </c>
      <c r="J1306" s="26">
        <v>0</v>
      </c>
      <c r="K1306" s="26">
        <v>0</v>
      </c>
      <c r="L1306" s="26">
        <v>0</v>
      </c>
      <c r="M1306">
        <v>24</v>
      </c>
      <c r="N1306">
        <v>0</v>
      </c>
      <c r="O1306">
        <v>5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9</v>
      </c>
      <c r="AK1306">
        <v>6</v>
      </c>
      <c r="AL1306">
        <v>6</v>
      </c>
      <c r="AM1306">
        <v>2</v>
      </c>
      <c r="AN1306" s="18">
        <v>0</v>
      </c>
      <c r="AO1306" s="18">
        <v>0.166666666666667</v>
      </c>
      <c r="AP1306" s="18">
        <v>0.166666666666667</v>
      </c>
      <c r="AQ1306" s="18">
        <v>0</v>
      </c>
      <c r="AR1306" s="29">
        <v>0</v>
      </c>
      <c r="AS1306" s="29">
        <v>0</v>
      </c>
      <c r="AT1306" s="29">
        <v>24</v>
      </c>
      <c r="AU1306" s="24" t="str">
        <f t="shared" si="21"/>
        <v>库存为24</v>
      </c>
      <c r="AV1306" s="31" t="str">
        <f>IFERROR(时间!$B$4+AU1306,"上周无销量")</f>
        <v>上周无销量</v>
      </c>
    </row>
    <row r="1307" spans="1:48">
      <c r="A1307" s="16" t="s">
        <v>2289</v>
      </c>
      <c r="B1307" t="s">
        <v>1013</v>
      </c>
      <c r="C1307" t="s">
        <v>2257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11</v>
      </c>
      <c r="J1307" s="26">
        <v>0</v>
      </c>
      <c r="K1307" s="26">
        <v>0</v>
      </c>
      <c r="L1307" s="26">
        <v>0</v>
      </c>
      <c r="M1307">
        <v>11</v>
      </c>
      <c r="N1307">
        <v>0</v>
      </c>
      <c r="O1307">
        <v>11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2</v>
      </c>
      <c r="AK1307">
        <v>6</v>
      </c>
      <c r="AL1307">
        <v>3</v>
      </c>
      <c r="AM1307">
        <v>4</v>
      </c>
      <c r="AN1307" s="18">
        <v>0</v>
      </c>
      <c r="AO1307" s="18">
        <v>0</v>
      </c>
      <c r="AP1307" s="18">
        <v>0</v>
      </c>
      <c r="AQ1307" s="18">
        <v>0</v>
      </c>
      <c r="AR1307" s="29">
        <v>0</v>
      </c>
      <c r="AS1307" s="29">
        <v>0</v>
      </c>
      <c r="AT1307" s="29">
        <v>11</v>
      </c>
      <c r="AU1307" s="24" t="str">
        <f t="shared" si="21"/>
        <v>库存为11</v>
      </c>
      <c r="AV1307" s="31" t="str">
        <f>IFERROR(时间!$B$4+AU1307,"上周无销量")</f>
        <v>上周无销量</v>
      </c>
    </row>
    <row r="1308" spans="1:48">
      <c r="A1308" s="16" t="s">
        <v>2290</v>
      </c>
      <c r="B1308" t="s">
        <v>1015</v>
      </c>
      <c r="C1308" t="s">
        <v>2257</v>
      </c>
      <c r="D1308" s="24">
        <v>1</v>
      </c>
      <c r="E1308" s="24">
        <v>0</v>
      </c>
      <c r="F1308" s="24">
        <v>0</v>
      </c>
      <c r="G1308" s="24">
        <v>0</v>
      </c>
      <c r="H1308" s="25">
        <v>22.98</v>
      </c>
      <c r="I1308">
        <v>21</v>
      </c>
      <c r="J1308" s="26">
        <v>0</v>
      </c>
      <c r="K1308" s="26">
        <v>0</v>
      </c>
      <c r="L1308" s="26">
        <v>0</v>
      </c>
      <c r="M1308">
        <v>21</v>
      </c>
      <c r="N1308">
        <v>0</v>
      </c>
      <c r="O1308">
        <v>1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4</v>
      </c>
      <c r="AK1308">
        <v>3</v>
      </c>
      <c r="AL1308">
        <v>5</v>
      </c>
      <c r="AM1308">
        <v>1</v>
      </c>
      <c r="AN1308" s="18">
        <v>0.25</v>
      </c>
      <c r="AO1308" s="18">
        <v>0</v>
      </c>
      <c r="AP1308" s="18">
        <v>0</v>
      </c>
      <c r="AQ1308" s="18">
        <v>0</v>
      </c>
      <c r="AR1308" s="29">
        <v>0.142857142857143</v>
      </c>
      <c r="AS1308" s="29">
        <v>8.57142857142857</v>
      </c>
      <c r="AT1308" s="29">
        <v>12.4285714285714</v>
      </c>
      <c r="AU1308" s="24">
        <f t="shared" si="21"/>
        <v>147</v>
      </c>
      <c r="AV1308" s="31">
        <f>IFERROR(时间!$B$4+AU1308,"上周无销量")</f>
        <v>43465</v>
      </c>
    </row>
    <row r="1309" spans="1:48">
      <c r="A1309" s="16" t="s">
        <v>2291</v>
      </c>
      <c r="B1309" t="s">
        <v>1019</v>
      </c>
      <c r="C1309" t="s">
        <v>2257</v>
      </c>
      <c r="D1309" s="24">
        <v>3</v>
      </c>
      <c r="E1309" s="24">
        <v>2</v>
      </c>
      <c r="F1309" s="24">
        <v>2</v>
      </c>
      <c r="G1309" s="24">
        <v>0</v>
      </c>
      <c r="H1309" s="25">
        <v>22.98</v>
      </c>
      <c r="I1309">
        <v>26</v>
      </c>
      <c r="J1309" s="26">
        <v>0</v>
      </c>
      <c r="K1309" s="26">
        <v>0</v>
      </c>
      <c r="L1309" s="26">
        <v>0</v>
      </c>
      <c r="M1309">
        <v>26</v>
      </c>
      <c r="N1309">
        <v>0</v>
      </c>
      <c r="O1309">
        <v>12</v>
      </c>
      <c r="P1309">
        <v>1342</v>
      </c>
      <c r="Q1309">
        <v>0</v>
      </c>
      <c r="R1309">
        <v>0</v>
      </c>
      <c r="S1309">
        <v>0</v>
      </c>
      <c r="T1309">
        <v>3</v>
      </c>
      <c r="U1309">
        <v>0</v>
      </c>
      <c r="V1309">
        <v>0</v>
      </c>
      <c r="W1309">
        <v>0</v>
      </c>
      <c r="X1309" s="18">
        <v>0.0022354694485842</v>
      </c>
      <c r="Y1309" s="18" t="s">
        <v>52</v>
      </c>
      <c r="Z1309" s="18" t="s">
        <v>52</v>
      </c>
      <c r="AA1309" s="18" t="s">
        <v>52</v>
      </c>
      <c r="AB1309">
        <v>2.29</v>
      </c>
      <c r="AC1309">
        <v>0</v>
      </c>
      <c r="AD1309">
        <v>0</v>
      </c>
      <c r="AE1309">
        <v>0</v>
      </c>
      <c r="AF1309" s="18">
        <v>0.0332172903974471</v>
      </c>
      <c r="AG1309" s="18" t="s">
        <v>52</v>
      </c>
      <c r="AH1309" s="18" t="s">
        <v>52</v>
      </c>
      <c r="AI1309" s="18" t="s">
        <v>52</v>
      </c>
      <c r="AJ1309">
        <v>30</v>
      </c>
      <c r="AK1309">
        <v>12</v>
      </c>
      <c r="AL1309">
        <v>6</v>
      </c>
      <c r="AM1309">
        <v>4</v>
      </c>
      <c r="AN1309" s="18">
        <v>0.1</v>
      </c>
      <c r="AO1309" s="18">
        <v>0.166666666666667</v>
      </c>
      <c r="AP1309" s="18">
        <v>0.333333333333333</v>
      </c>
      <c r="AQ1309" s="18">
        <v>0</v>
      </c>
      <c r="AR1309" s="29">
        <v>0.428571428571429</v>
      </c>
      <c r="AS1309" s="29">
        <v>25.7142857142857</v>
      </c>
      <c r="AT1309" s="29">
        <v>0.285714285714288</v>
      </c>
      <c r="AU1309" s="24">
        <f t="shared" si="21"/>
        <v>60</v>
      </c>
      <c r="AV1309" s="31">
        <f>IFERROR(时间!$B$4+AU1309,"上周无销量")</f>
        <v>43378</v>
      </c>
    </row>
    <row r="1310" spans="1:48">
      <c r="A1310" s="16" t="s">
        <v>2292</v>
      </c>
      <c r="B1310" t="s">
        <v>1021</v>
      </c>
      <c r="C1310" t="s">
        <v>2257</v>
      </c>
      <c r="D1310" s="24">
        <v>2</v>
      </c>
      <c r="E1310" s="24">
        <v>0</v>
      </c>
      <c r="F1310" s="24">
        <v>0</v>
      </c>
      <c r="G1310" s="24">
        <v>1</v>
      </c>
      <c r="H1310" s="25">
        <v>22.98</v>
      </c>
      <c r="I1310">
        <v>37</v>
      </c>
      <c r="J1310" s="26">
        <v>0</v>
      </c>
      <c r="K1310" s="26">
        <v>0</v>
      </c>
      <c r="L1310" s="26">
        <v>0</v>
      </c>
      <c r="M1310">
        <v>37</v>
      </c>
      <c r="N1310">
        <v>0</v>
      </c>
      <c r="O1310">
        <v>13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15</v>
      </c>
      <c r="AK1310">
        <v>5</v>
      </c>
      <c r="AL1310">
        <v>7</v>
      </c>
      <c r="AM1310">
        <v>5</v>
      </c>
      <c r="AN1310" s="18">
        <v>0.133333333333333</v>
      </c>
      <c r="AO1310" s="18">
        <v>0</v>
      </c>
      <c r="AP1310" s="18">
        <v>0</v>
      </c>
      <c r="AQ1310" s="18">
        <v>0.2</v>
      </c>
      <c r="AR1310" s="29">
        <v>0.285714285714286</v>
      </c>
      <c r="AS1310" s="29">
        <v>17.1428571428571</v>
      </c>
      <c r="AT1310" s="29">
        <v>19.8571428571429</v>
      </c>
      <c r="AU1310" s="24">
        <f t="shared" si="21"/>
        <v>129</v>
      </c>
      <c r="AV1310" s="31">
        <f>IFERROR(时间!$B$4+AU1310,"上周无销量")</f>
        <v>43447</v>
      </c>
    </row>
    <row r="1311" spans="1:48">
      <c r="A1311" s="16" t="s">
        <v>2293</v>
      </c>
      <c r="B1311" t="s">
        <v>1023</v>
      </c>
      <c r="C1311" t="s">
        <v>2257</v>
      </c>
      <c r="D1311" s="24">
        <v>2</v>
      </c>
      <c r="E1311" s="24">
        <v>0</v>
      </c>
      <c r="F1311" s="24">
        <v>1</v>
      </c>
      <c r="G1311" s="24">
        <v>0</v>
      </c>
      <c r="H1311" s="25">
        <v>22.98</v>
      </c>
      <c r="I1311">
        <v>10</v>
      </c>
      <c r="J1311" s="26">
        <v>0</v>
      </c>
      <c r="K1311" s="26">
        <v>0</v>
      </c>
      <c r="L1311" s="26">
        <v>0</v>
      </c>
      <c r="M1311">
        <v>10</v>
      </c>
      <c r="N1311">
        <v>0</v>
      </c>
      <c r="O1311">
        <v>0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6</v>
      </c>
      <c r="AK1311">
        <v>1</v>
      </c>
      <c r="AL1311">
        <v>6</v>
      </c>
      <c r="AM1311">
        <v>2</v>
      </c>
      <c r="AN1311" s="18">
        <v>0.333333333333333</v>
      </c>
      <c r="AO1311" s="18">
        <v>0</v>
      </c>
      <c r="AP1311" s="18">
        <v>0.166666666666667</v>
      </c>
      <c r="AQ1311" s="18">
        <v>0</v>
      </c>
      <c r="AR1311" s="29">
        <v>0.285714285714286</v>
      </c>
      <c r="AS1311" s="29">
        <v>17.1428571428571</v>
      </c>
      <c r="AT1311" s="29">
        <v>-7.14285714285714</v>
      </c>
      <c r="AU1311" s="24">
        <f t="shared" si="21"/>
        <v>35</v>
      </c>
      <c r="AV1311" s="31">
        <f>IFERROR(时间!$B$4+AU1311,"上周无销量")</f>
        <v>43353</v>
      </c>
    </row>
    <row r="1312" spans="1:48">
      <c r="A1312" s="16" t="s">
        <v>2294</v>
      </c>
      <c r="B1312" t="s">
        <v>1025</v>
      </c>
      <c r="C1312" t="s">
        <v>2257</v>
      </c>
      <c r="D1312" s="24">
        <v>3</v>
      </c>
      <c r="E1312" s="24">
        <v>2</v>
      </c>
      <c r="F1312" s="24">
        <v>2</v>
      </c>
      <c r="G1312" s="24">
        <v>0</v>
      </c>
      <c r="H1312" s="25">
        <v>22.98</v>
      </c>
      <c r="I1312">
        <v>18</v>
      </c>
      <c r="J1312" s="26">
        <v>0</v>
      </c>
      <c r="K1312" s="26">
        <v>0</v>
      </c>
      <c r="L1312" s="26">
        <v>0</v>
      </c>
      <c r="M1312">
        <v>18</v>
      </c>
      <c r="N1312">
        <v>0</v>
      </c>
      <c r="O1312">
        <v>0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9</v>
      </c>
      <c r="AK1312">
        <v>7</v>
      </c>
      <c r="AL1312">
        <v>11</v>
      </c>
      <c r="AM1312">
        <v>5</v>
      </c>
      <c r="AN1312" s="18">
        <v>0.333333333333333</v>
      </c>
      <c r="AO1312" s="18">
        <v>0.285714285714286</v>
      </c>
      <c r="AP1312" s="18">
        <v>0.181818181818182</v>
      </c>
      <c r="AQ1312" s="18">
        <v>0</v>
      </c>
      <c r="AR1312" s="29">
        <v>0.428571428571429</v>
      </c>
      <c r="AS1312" s="29">
        <v>25.7142857142857</v>
      </c>
      <c r="AT1312" s="29">
        <v>-7.71428571428571</v>
      </c>
      <c r="AU1312" s="24">
        <f t="shared" si="21"/>
        <v>42</v>
      </c>
      <c r="AV1312" s="31">
        <f>IFERROR(时间!$B$4+AU1312,"上周无销量")</f>
        <v>43360</v>
      </c>
    </row>
    <row r="1313" spans="1:48">
      <c r="A1313" s="16" t="s">
        <v>2295</v>
      </c>
      <c r="B1313" t="s">
        <v>1027</v>
      </c>
      <c r="C1313" t="s">
        <v>2296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11</v>
      </c>
      <c r="J1313" s="26">
        <v>0</v>
      </c>
      <c r="K1313" s="26">
        <v>0</v>
      </c>
      <c r="L1313" s="26">
        <v>0</v>
      </c>
      <c r="M1313">
        <v>11</v>
      </c>
      <c r="N1313">
        <v>0</v>
      </c>
      <c r="O1313">
        <v>5</v>
      </c>
      <c r="P1313">
        <v>822</v>
      </c>
      <c r="Q1313">
        <v>130</v>
      </c>
      <c r="R1313">
        <v>150</v>
      </c>
      <c r="S1313">
        <v>229</v>
      </c>
      <c r="T1313">
        <v>5</v>
      </c>
      <c r="U1313">
        <v>1</v>
      </c>
      <c r="V1313">
        <v>0</v>
      </c>
      <c r="W1313">
        <v>2</v>
      </c>
      <c r="X1313" s="18">
        <v>0.00608272506082725</v>
      </c>
      <c r="Y1313" s="18">
        <v>0.00769230769230769</v>
      </c>
      <c r="Z1313" s="18">
        <v>0</v>
      </c>
      <c r="AA1313" s="18">
        <v>0.00873362445414847</v>
      </c>
      <c r="AB1313">
        <v>4.27</v>
      </c>
      <c r="AC1313">
        <v>0.42</v>
      </c>
      <c r="AD1313">
        <v>0</v>
      </c>
      <c r="AE1313">
        <v>0.98</v>
      </c>
      <c r="AF1313" s="18" t="s">
        <v>2297</v>
      </c>
      <c r="AG1313" s="18" t="s">
        <v>2298</v>
      </c>
      <c r="AH1313" s="18" t="s">
        <v>52</v>
      </c>
      <c r="AI1313" s="18" t="s">
        <v>2299</v>
      </c>
      <c r="AJ1313">
        <v>7</v>
      </c>
      <c r="AK1313">
        <v>12</v>
      </c>
      <c r="AL1313">
        <v>7</v>
      </c>
      <c r="AM1313">
        <v>8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11</v>
      </c>
      <c r="AU1313" s="24" t="str">
        <f t="shared" si="21"/>
        <v>库存为11</v>
      </c>
      <c r="AV1313" s="31" t="str">
        <f>IFERROR(时间!$B$4+AU1313,"上周无销量")</f>
        <v>上周无销量</v>
      </c>
    </row>
    <row r="1314" spans="1:48">
      <c r="A1314" s="16" t="s">
        <v>2300</v>
      </c>
      <c r="B1314" t="s">
        <v>1030</v>
      </c>
      <c r="C1314" t="s">
        <v>2296</v>
      </c>
      <c r="D1314" s="24">
        <v>1</v>
      </c>
      <c r="E1314" s="24">
        <v>0</v>
      </c>
      <c r="F1314" s="24">
        <v>0</v>
      </c>
      <c r="G1314" s="24">
        <v>0</v>
      </c>
      <c r="H1314" s="25">
        <v>22.98</v>
      </c>
      <c r="I1314">
        <v>10</v>
      </c>
      <c r="J1314" s="26">
        <v>0</v>
      </c>
      <c r="K1314" s="26">
        <v>0</v>
      </c>
      <c r="L1314" s="26">
        <v>0</v>
      </c>
      <c r="M1314">
        <v>10</v>
      </c>
      <c r="N1314">
        <v>0</v>
      </c>
      <c r="O1314">
        <v>9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4</v>
      </c>
      <c r="AK1314">
        <v>12</v>
      </c>
      <c r="AL1314">
        <v>14</v>
      </c>
      <c r="AM1314">
        <v>5</v>
      </c>
      <c r="AN1314" s="18">
        <v>0.25</v>
      </c>
      <c r="AO1314" s="18">
        <v>0</v>
      </c>
      <c r="AP1314" s="18">
        <v>0</v>
      </c>
      <c r="AQ1314" s="18">
        <v>0</v>
      </c>
      <c r="AR1314" s="29">
        <v>0.142857142857143</v>
      </c>
      <c r="AS1314" s="29">
        <v>8.57142857142857</v>
      </c>
      <c r="AT1314" s="29">
        <v>1.42857142857143</v>
      </c>
      <c r="AU1314" s="24">
        <f t="shared" si="21"/>
        <v>70</v>
      </c>
      <c r="AV1314" s="31">
        <f>IFERROR(时间!$B$4+AU1314,"上周无销量")</f>
        <v>43388</v>
      </c>
    </row>
    <row r="1315" spans="1:48">
      <c r="A1315" s="16" t="s">
        <v>2301</v>
      </c>
      <c r="B1315" t="s">
        <v>1032</v>
      </c>
      <c r="C1315" t="s">
        <v>2296</v>
      </c>
      <c r="D1315" s="24">
        <v>1</v>
      </c>
      <c r="E1315" s="24">
        <v>0</v>
      </c>
      <c r="F1315" s="24">
        <v>0</v>
      </c>
      <c r="G1315" s="24">
        <v>0</v>
      </c>
      <c r="H1315" s="25">
        <v>22.98</v>
      </c>
      <c r="I1315">
        <v>4</v>
      </c>
      <c r="J1315" s="26">
        <v>0</v>
      </c>
      <c r="K1315" s="26">
        <v>0</v>
      </c>
      <c r="L1315" s="26">
        <v>0</v>
      </c>
      <c r="M1315">
        <v>4</v>
      </c>
      <c r="N1315">
        <v>0</v>
      </c>
      <c r="O1315">
        <v>4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7</v>
      </c>
      <c r="AK1315">
        <v>5</v>
      </c>
      <c r="AL1315">
        <v>7</v>
      </c>
      <c r="AM1315">
        <v>8</v>
      </c>
      <c r="AN1315" s="18">
        <v>0.142857142857143</v>
      </c>
      <c r="AO1315" s="18">
        <v>0</v>
      </c>
      <c r="AP1315" s="18">
        <v>0</v>
      </c>
      <c r="AQ1315" s="18">
        <v>0</v>
      </c>
      <c r="AR1315" s="29">
        <v>0.142857142857143</v>
      </c>
      <c r="AS1315" s="29">
        <v>8.57142857142857</v>
      </c>
      <c r="AT1315" s="29">
        <v>-4.57142857142857</v>
      </c>
      <c r="AU1315" s="24">
        <f t="shared" si="21"/>
        <v>28</v>
      </c>
      <c r="AV1315" s="31">
        <f>IFERROR(时间!$B$4+AU1315,"上周无销量")</f>
        <v>43346</v>
      </c>
    </row>
    <row r="1316" spans="1:48">
      <c r="A1316" s="16" t="s">
        <v>2302</v>
      </c>
      <c r="B1316" t="s">
        <v>1034</v>
      </c>
      <c r="C1316" t="s">
        <v>2296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7</v>
      </c>
      <c r="J1316" s="26">
        <v>0</v>
      </c>
      <c r="K1316" s="26">
        <v>0</v>
      </c>
      <c r="L1316" s="26">
        <v>0</v>
      </c>
      <c r="M1316">
        <v>7</v>
      </c>
      <c r="N1316">
        <v>0</v>
      </c>
      <c r="O1316">
        <v>6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5</v>
      </c>
      <c r="AK1316">
        <v>5</v>
      </c>
      <c r="AL1316">
        <v>10</v>
      </c>
      <c r="AM1316">
        <v>5</v>
      </c>
      <c r="AN1316" s="18">
        <v>0</v>
      </c>
      <c r="AO1316" s="18">
        <v>0</v>
      </c>
      <c r="AP1316" s="18">
        <v>0</v>
      </c>
      <c r="AQ1316" s="18">
        <v>0</v>
      </c>
      <c r="AR1316" s="29">
        <v>0</v>
      </c>
      <c r="AS1316" s="29">
        <v>0</v>
      </c>
      <c r="AT1316" s="29">
        <v>7</v>
      </c>
      <c r="AU1316" s="24" t="str">
        <f t="shared" si="21"/>
        <v>库存为7</v>
      </c>
      <c r="AV1316" s="31" t="str">
        <f>IFERROR(时间!$B$4+AU1316,"上周无销量")</f>
        <v>上周无销量</v>
      </c>
    </row>
    <row r="1317" spans="1:48">
      <c r="A1317" s="16" t="s">
        <v>2303</v>
      </c>
      <c r="B1317" t="s">
        <v>1036</v>
      </c>
      <c r="C1317" t="s">
        <v>2296</v>
      </c>
      <c r="D1317" s="24">
        <v>0</v>
      </c>
      <c r="E1317" s="24">
        <v>0</v>
      </c>
      <c r="F1317" s="24">
        <v>1</v>
      </c>
      <c r="G1317" s="24">
        <v>0</v>
      </c>
      <c r="H1317" s="25">
        <v>22.98</v>
      </c>
      <c r="I1317">
        <v>10</v>
      </c>
      <c r="J1317" s="26">
        <v>0</v>
      </c>
      <c r="K1317" s="26">
        <v>0</v>
      </c>
      <c r="L1317" s="26">
        <v>0</v>
      </c>
      <c r="M1317">
        <v>10</v>
      </c>
      <c r="N1317">
        <v>0</v>
      </c>
      <c r="O1317">
        <v>9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2</v>
      </c>
      <c r="AK1317">
        <v>8</v>
      </c>
      <c r="AL1317">
        <v>9</v>
      </c>
      <c r="AM1317">
        <v>5</v>
      </c>
      <c r="AN1317" s="18">
        <v>0</v>
      </c>
      <c r="AO1317" s="18">
        <v>0</v>
      </c>
      <c r="AP1317" s="18">
        <v>0.111111111111111</v>
      </c>
      <c r="AQ1317" s="18">
        <v>0</v>
      </c>
      <c r="AR1317" s="29">
        <v>0</v>
      </c>
      <c r="AS1317" s="29">
        <v>0</v>
      </c>
      <c r="AT1317" s="29">
        <v>10</v>
      </c>
      <c r="AU1317" s="24" t="str">
        <f t="shared" si="21"/>
        <v>库存为10</v>
      </c>
      <c r="AV1317" s="31" t="str">
        <f>IFERROR(时间!$B$4+AU1317,"上周无销量")</f>
        <v>上周无销量</v>
      </c>
    </row>
    <row r="1318" spans="1:48">
      <c r="A1318" s="16" t="s">
        <v>2304</v>
      </c>
      <c r="B1318" t="s">
        <v>1038</v>
      </c>
      <c r="C1318" t="s">
        <v>2296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12</v>
      </c>
      <c r="J1318" s="26">
        <v>0</v>
      </c>
      <c r="K1318" s="26">
        <v>0</v>
      </c>
      <c r="L1318" s="26">
        <v>0</v>
      </c>
      <c r="M1318">
        <v>12</v>
      </c>
      <c r="N1318">
        <v>0</v>
      </c>
      <c r="O1318">
        <v>11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5</v>
      </c>
      <c r="AK1318">
        <v>4</v>
      </c>
      <c r="AL1318">
        <v>9</v>
      </c>
      <c r="AM1318">
        <v>8</v>
      </c>
      <c r="AN1318" s="18">
        <v>0</v>
      </c>
      <c r="AO1318" s="18">
        <v>0</v>
      </c>
      <c r="AP1318" s="18">
        <v>0</v>
      </c>
      <c r="AQ1318" s="18">
        <v>0</v>
      </c>
      <c r="AR1318" s="29">
        <v>0</v>
      </c>
      <c r="AS1318" s="29">
        <v>0</v>
      </c>
      <c r="AT1318" s="29">
        <v>12</v>
      </c>
      <c r="AU1318" s="24" t="str">
        <f t="shared" si="21"/>
        <v>库存为12</v>
      </c>
      <c r="AV1318" s="31" t="str">
        <f>IFERROR(时间!$B$4+AU1318,"上周无销量")</f>
        <v>上周无销量</v>
      </c>
    </row>
    <row r="1319" spans="1:48">
      <c r="A1319" s="16" t="s">
        <v>2305</v>
      </c>
      <c r="B1319" t="s">
        <v>1040</v>
      </c>
      <c r="C1319" t="s">
        <v>2296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7</v>
      </c>
      <c r="J1319" s="26">
        <v>0</v>
      </c>
      <c r="K1319" s="26">
        <v>0</v>
      </c>
      <c r="L1319" s="26">
        <v>0</v>
      </c>
      <c r="M1319">
        <v>7</v>
      </c>
      <c r="N1319">
        <v>0</v>
      </c>
      <c r="O1319">
        <v>7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8</v>
      </c>
      <c r="AK1319">
        <v>10</v>
      </c>
      <c r="AL1319">
        <v>9</v>
      </c>
      <c r="AM1319">
        <v>11</v>
      </c>
      <c r="AN1319" s="18">
        <v>0</v>
      </c>
      <c r="AO1319" s="18">
        <v>0</v>
      </c>
      <c r="AP1319" s="18">
        <v>0</v>
      </c>
      <c r="AQ1319" s="18">
        <v>0</v>
      </c>
      <c r="AR1319" s="29">
        <v>0</v>
      </c>
      <c r="AS1319" s="29">
        <v>0</v>
      </c>
      <c r="AT1319" s="29">
        <v>7</v>
      </c>
      <c r="AU1319" s="24" t="str">
        <f t="shared" si="21"/>
        <v>库存为7</v>
      </c>
      <c r="AV1319" s="31" t="str">
        <f>IFERROR(时间!$B$4+AU1319,"上周无销量")</f>
        <v>上周无销量</v>
      </c>
    </row>
    <row r="1320" spans="1:48">
      <c r="A1320" s="16" t="s">
        <v>2306</v>
      </c>
      <c r="B1320" t="s">
        <v>1042</v>
      </c>
      <c r="C1320" t="s">
        <v>2296</v>
      </c>
      <c r="D1320" s="24">
        <v>1</v>
      </c>
      <c r="E1320" s="24">
        <v>2</v>
      </c>
      <c r="F1320" s="24">
        <v>1</v>
      </c>
      <c r="G1320" s="24">
        <v>0</v>
      </c>
      <c r="H1320" s="25">
        <v>22.98</v>
      </c>
      <c r="I1320">
        <v>8</v>
      </c>
      <c r="J1320" s="26">
        <v>0</v>
      </c>
      <c r="K1320" s="26">
        <v>0</v>
      </c>
      <c r="L1320" s="26">
        <v>0</v>
      </c>
      <c r="M1320">
        <v>8</v>
      </c>
      <c r="N1320">
        <v>0</v>
      </c>
      <c r="O1320">
        <v>8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6</v>
      </c>
      <c r="AK1320">
        <v>5</v>
      </c>
      <c r="AL1320">
        <v>8</v>
      </c>
      <c r="AM1320">
        <v>6</v>
      </c>
      <c r="AN1320" s="18">
        <v>0.166666666666667</v>
      </c>
      <c r="AO1320" s="18">
        <v>0.4</v>
      </c>
      <c r="AP1320" s="18">
        <v>0.125</v>
      </c>
      <c r="AQ1320" s="18">
        <v>0</v>
      </c>
      <c r="AR1320" s="29">
        <v>0.142857142857143</v>
      </c>
      <c r="AS1320" s="29">
        <v>8.57142857142857</v>
      </c>
      <c r="AT1320" s="29">
        <v>-0.571428571428571</v>
      </c>
      <c r="AU1320" s="24">
        <f t="shared" si="21"/>
        <v>56</v>
      </c>
      <c r="AV1320" s="31">
        <f>IFERROR(时间!$B$4+AU1320,"上周无销量")</f>
        <v>43374</v>
      </c>
    </row>
    <row r="1321" spans="1:48">
      <c r="A1321" s="16" t="s">
        <v>2307</v>
      </c>
      <c r="B1321" t="s">
        <v>1044</v>
      </c>
      <c r="C1321" t="s">
        <v>2296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1</v>
      </c>
      <c r="J1321" s="26">
        <v>0</v>
      </c>
      <c r="K1321" s="26">
        <v>0</v>
      </c>
      <c r="L1321" s="26">
        <v>0</v>
      </c>
      <c r="M1321">
        <v>1</v>
      </c>
      <c r="N1321">
        <v>0</v>
      </c>
      <c r="O1321">
        <v>0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7</v>
      </c>
      <c r="AK1321">
        <v>8</v>
      </c>
      <c r="AL1321">
        <v>9</v>
      </c>
      <c r="AM1321">
        <v>6</v>
      </c>
      <c r="AN1321" s="18">
        <v>0</v>
      </c>
      <c r="AO1321" s="18">
        <v>0</v>
      </c>
      <c r="AP1321" s="18">
        <v>0</v>
      </c>
      <c r="AQ1321" s="18">
        <v>0</v>
      </c>
      <c r="AR1321" s="29">
        <v>0</v>
      </c>
      <c r="AS1321" s="29">
        <v>0</v>
      </c>
      <c r="AT1321" s="29">
        <v>1</v>
      </c>
      <c r="AU1321" s="24" t="str">
        <f t="shared" si="21"/>
        <v>库存为1</v>
      </c>
      <c r="AV1321" s="31" t="str">
        <f>IFERROR(时间!$B$4+AU1321,"上周无销量")</f>
        <v>上周无销量</v>
      </c>
    </row>
    <row r="1322" spans="1:48">
      <c r="A1322" s="16" t="s">
        <v>2308</v>
      </c>
      <c r="B1322" t="s">
        <v>1046</v>
      </c>
      <c r="C1322" t="s">
        <v>2296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11</v>
      </c>
      <c r="J1322" s="26">
        <v>0</v>
      </c>
      <c r="K1322" s="26">
        <v>0</v>
      </c>
      <c r="L1322" s="26">
        <v>0</v>
      </c>
      <c r="M1322">
        <v>11</v>
      </c>
      <c r="N1322">
        <v>0</v>
      </c>
      <c r="O1322">
        <v>11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1</v>
      </c>
      <c r="AK1322">
        <v>6</v>
      </c>
      <c r="AL1322">
        <v>2</v>
      </c>
      <c r="AM1322">
        <v>6</v>
      </c>
      <c r="AN1322" s="18">
        <v>0</v>
      </c>
      <c r="AO1322" s="18">
        <v>0</v>
      </c>
      <c r="AP1322" s="18">
        <v>0</v>
      </c>
      <c r="AQ1322" s="18">
        <v>0</v>
      </c>
      <c r="AR1322" s="29">
        <v>0</v>
      </c>
      <c r="AS1322" s="29">
        <v>0</v>
      </c>
      <c r="AT1322" s="29">
        <v>11</v>
      </c>
      <c r="AU1322" s="24" t="str">
        <f t="shared" si="21"/>
        <v>库存为11</v>
      </c>
      <c r="AV1322" s="31" t="str">
        <f>IFERROR(时间!$B$4+AU1322,"上周无销量")</f>
        <v>上周无销量</v>
      </c>
    </row>
    <row r="1323" spans="1:48">
      <c r="A1323" s="16" t="s">
        <v>2309</v>
      </c>
      <c r="B1323" t="s">
        <v>1048</v>
      </c>
      <c r="C1323" t="s">
        <v>2296</v>
      </c>
      <c r="D1323" s="24">
        <v>0</v>
      </c>
      <c r="E1323" s="24">
        <v>0</v>
      </c>
      <c r="F1323" s="24">
        <v>0</v>
      </c>
      <c r="G1323" s="24">
        <v>1</v>
      </c>
      <c r="H1323" s="25">
        <v>22.98</v>
      </c>
      <c r="I1323">
        <v>22</v>
      </c>
      <c r="J1323" s="26">
        <v>0</v>
      </c>
      <c r="K1323" s="26">
        <v>0</v>
      </c>
      <c r="L1323" s="26">
        <v>0</v>
      </c>
      <c r="M1323">
        <v>22</v>
      </c>
      <c r="N1323">
        <v>0</v>
      </c>
      <c r="O1323">
        <v>20</v>
      </c>
      <c r="P1323">
        <v>373</v>
      </c>
      <c r="Q1323">
        <v>0</v>
      </c>
      <c r="R1323">
        <v>0</v>
      </c>
      <c r="S1323">
        <v>0</v>
      </c>
      <c r="T1323">
        <v>3</v>
      </c>
      <c r="U1323">
        <v>0</v>
      </c>
      <c r="V1323">
        <v>0</v>
      </c>
      <c r="W1323">
        <v>0</v>
      </c>
      <c r="X1323" s="18">
        <v>0.00804289544235925</v>
      </c>
      <c r="Y1323" s="18" t="s">
        <v>52</v>
      </c>
      <c r="Z1323" s="18" t="s">
        <v>52</v>
      </c>
      <c r="AA1323" s="18" t="s">
        <v>52</v>
      </c>
      <c r="AB1323">
        <v>1.68</v>
      </c>
      <c r="AC1323">
        <v>0</v>
      </c>
      <c r="AD1323">
        <v>0</v>
      </c>
      <c r="AE1323">
        <v>0</v>
      </c>
      <c r="AF1323" s="18" t="s">
        <v>2310</v>
      </c>
      <c r="AG1323" s="18" t="s">
        <v>52</v>
      </c>
      <c r="AH1323" s="18" t="s">
        <v>52</v>
      </c>
      <c r="AI1323" s="18" t="s">
        <v>52</v>
      </c>
      <c r="AJ1323">
        <v>9</v>
      </c>
      <c r="AK1323">
        <v>6</v>
      </c>
      <c r="AL1323">
        <v>8</v>
      </c>
      <c r="AM1323">
        <v>5</v>
      </c>
      <c r="AN1323" s="18">
        <v>0</v>
      </c>
      <c r="AO1323" s="18">
        <v>0</v>
      </c>
      <c r="AP1323" s="18">
        <v>0</v>
      </c>
      <c r="AQ1323" s="18">
        <v>0.2</v>
      </c>
      <c r="AR1323" s="29">
        <v>0</v>
      </c>
      <c r="AS1323" s="29">
        <v>0</v>
      </c>
      <c r="AT1323" s="29">
        <v>22</v>
      </c>
      <c r="AU1323" s="24" t="str">
        <f t="shared" si="21"/>
        <v>库存为22</v>
      </c>
      <c r="AV1323" s="31" t="str">
        <f>IFERROR(时间!$B$4+AU1323,"上周无销量")</f>
        <v>上周无销量</v>
      </c>
    </row>
    <row r="1324" spans="1:49">
      <c r="A1324" s="16" t="s">
        <v>2311</v>
      </c>
      <c r="B1324" t="s">
        <v>1050</v>
      </c>
      <c r="C1324" t="s">
        <v>2296</v>
      </c>
      <c r="D1324" s="24">
        <v>0</v>
      </c>
      <c r="E1324" s="24">
        <v>1</v>
      </c>
      <c r="F1324" s="24">
        <v>1</v>
      </c>
      <c r="G1324" s="24">
        <v>0</v>
      </c>
      <c r="H1324" s="25">
        <v>22.98</v>
      </c>
      <c r="I1324">
        <v>15</v>
      </c>
      <c r="J1324" s="26">
        <v>0</v>
      </c>
      <c r="K1324" s="26">
        <v>0</v>
      </c>
      <c r="L1324" s="26">
        <v>0</v>
      </c>
      <c r="M1324">
        <v>15</v>
      </c>
      <c r="N1324">
        <v>0</v>
      </c>
      <c r="O1324">
        <v>14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8</v>
      </c>
      <c r="AK1324">
        <v>9</v>
      </c>
      <c r="AL1324">
        <v>8</v>
      </c>
      <c r="AM1324">
        <v>13</v>
      </c>
      <c r="AN1324" s="18">
        <v>0</v>
      </c>
      <c r="AO1324" s="18">
        <v>0.111111111111111</v>
      </c>
      <c r="AP1324" s="18">
        <v>0.125</v>
      </c>
      <c r="AQ1324" s="18">
        <v>0</v>
      </c>
      <c r="AR1324" s="29">
        <v>0</v>
      </c>
      <c r="AS1324" s="29">
        <v>0</v>
      </c>
      <c r="AT1324" s="29">
        <v>15</v>
      </c>
      <c r="AU1324" s="24" t="str">
        <f t="shared" si="21"/>
        <v>库存为15</v>
      </c>
      <c r="AV1324" s="31" t="str">
        <f>IFERROR(时间!$B$4+AU1324,"上周无销量")</f>
        <v>上周无销量</v>
      </c>
      <c r="AW1324" s="31"/>
    </row>
    <row r="1325" spans="1:49">
      <c r="A1325" s="16" t="s">
        <v>2312</v>
      </c>
      <c r="B1325" t="s">
        <v>1052</v>
      </c>
      <c r="C1325" t="s">
        <v>2296</v>
      </c>
      <c r="D1325" s="24">
        <v>0</v>
      </c>
      <c r="E1325" s="24">
        <v>0</v>
      </c>
      <c r="F1325" s="24">
        <v>0</v>
      </c>
      <c r="G1325" s="24">
        <v>0</v>
      </c>
      <c r="H1325" s="25">
        <v>0</v>
      </c>
      <c r="I1325">
        <v>13</v>
      </c>
      <c r="J1325" s="26">
        <v>0</v>
      </c>
      <c r="K1325" s="26">
        <v>0</v>
      </c>
      <c r="L1325" s="26">
        <v>0</v>
      </c>
      <c r="M1325">
        <v>13</v>
      </c>
      <c r="N1325">
        <v>0</v>
      </c>
      <c r="O1325">
        <v>11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1</v>
      </c>
      <c r="AK1325">
        <v>6</v>
      </c>
      <c r="AL1325">
        <v>5</v>
      </c>
      <c r="AM1325">
        <v>5</v>
      </c>
      <c r="AN1325" s="18">
        <v>0</v>
      </c>
      <c r="AO1325" s="18">
        <v>0</v>
      </c>
      <c r="AP1325" s="18">
        <v>0</v>
      </c>
      <c r="AQ1325" s="18">
        <v>0</v>
      </c>
      <c r="AR1325" s="29">
        <v>0</v>
      </c>
      <c r="AS1325" s="29">
        <v>0</v>
      </c>
      <c r="AT1325" s="29">
        <v>13</v>
      </c>
      <c r="AU1325" s="24" t="str">
        <f t="shared" si="21"/>
        <v>库存为13</v>
      </c>
      <c r="AV1325" s="31" t="str">
        <f>IFERROR(时间!$B$4+AU1325,"上周无销量")</f>
        <v>上周无销量</v>
      </c>
      <c r="AW1325" s="31"/>
    </row>
    <row r="1326" spans="1:48">
      <c r="A1326" s="16" t="s">
        <v>2313</v>
      </c>
      <c r="B1326" t="s">
        <v>1054</v>
      </c>
      <c r="C1326" t="s">
        <v>2296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1</v>
      </c>
      <c r="J1326" s="26">
        <v>0</v>
      </c>
      <c r="K1326" s="26">
        <v>0</v>
      </c>
      <c r="L1326" s="26">
        <v>0</v>
      </c>
      <c r="M1326">
        <v>1</v>
      </c>
      <c r="N1326">
        <v>0</v>
      </c>
      <c r="O1326">
        <v>0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8</v>
      </c>
      <c r="AK1326">
        <v>9</v>
      </c>
      <c r="AL1326">
        <v>8</v>
      </c>
      <c r="AM1326">
        <v>8</v>
      </c>
      <c r="AN1326" s="18">
        <v>0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1</v>
      </c>
      <c r="AU1326" s="24" t="str">
        <f t="shared" si="21"/>
        <v>库存为1</v>
      </c>
      <c r="AV1326" s="31" t="str">
        <f>IFERROR(时间!$B$4+AU1326,"上周无销量")</f>
        <v>上周无销量</v>
      </c>
    </row>
    <row r="1327" spans="1:48">
      <c r="A1327" s="16" t="s">
        <v>2314</v>
      </c>
      <c r="B1327" t="s">
        <v>1056</v>
      </c>
      <c r="C1327" t="s">
        <v>2296</v>
      </c>
      <c r="D1327" s="24">
        <v>1</v>
      </c>
      <c r="E1327" s="24">
        <v>0</v>
      </c>
      <c r="F1327" s="24">
        <v>1</v>
      </c>
      <c r="G1327" s="24">
        <v>0</v>
      </c>
      <c r="H1327" s="25">
        <v>22.98</v>
      </c>
      <c r="I1327">
        <v>16</v>
      </c>
      <c r="J1327" s="26">
        <v>0</v>
      </c>
      <c r="K1327" s="26">
        <v>0</v>
      </c>
      <c r="L1327" s="26">
        <v>0</v>
      </c>
      <c r="M1327">
        <v>16</v>
      </c>
      <c r="N1327">
        <v>0</v>
      </c>
      <c r="O1327">
        <v>17</v>
      </c>
      <c r="P1327">
        <v>7010</v>
      </c>
      <c r="Q1327">
        <v>845</v>
      </c>
      <c r="R1327">
        <v>1202</v>
      </c>
      <c r="S1327">
        <v>1310</v>
      </c>
      <c r="T1327">
        <v>10</v>
      </c>
      <c r="U1327">
        <v>5</v>
      </c>
      <c r="V1327">
        <v>6</v>
      </c>
      <c r="W1327">
        <v>3</v>
      </c>
      <c r="X1327" s="18">
        <v>0.0014265335235378</v>
      </c>
      <c r="Y1327" s="18">
        <v>0.00591715976331361</v>
      </c>
      <c r="Z1327" s="18">
        <v>0.00499168053244592</v>
      </c>
      <c r="AA1327" s="18">
        <v>0.00229007633587786</v>
      </c>
      <c r="AB1327">
        <v>4.84</v>
      </c>
      <c r="AC1327">
        <v>1.88</v>
      </c>
      <c r="AD1327">
        <v>1.81</v>
      </c>
      <c r="AE1327">
        <v>0.94</v>
      </c>
      <c r="AF1327" s="18">
        <v>0.210617928633594</v>
      </c>
      <c r="AG1327" s="18" t="s">
        <v>2279</v>
      </c>
      <c r="AH1327" s="18">
        <v>0.0787641427328111</v>
      </c>
      <c r="AI1327" s="18" t="s">
        <v>2315</v>
      </c>
      <c r="AJ1327">
        <v>18</v>
      </c>
      <c r="AK1327">
        <v>7</v>
      </c>
      <c r="AL1327">
        <v>9</v>
      </c>
      <c r="AM1327">
        <v>7</v>
      </c>
      <c r="AN1327" s="18">
        <v>0.0555555555555556</v>
      </c>
      <c r="AO1327" s="18">
        <v>0</v>
      </c>
      <c r="AP1327" s="18">
        <v>0.111111111111111</v>
      </c>
      <c r="AQ1327" s="18">
        <v>0</v>
      </c>
      <c r="AR1327" s="29">
        <v>0.142857142857143</v>
      </c>
      <c r="AS1327" s="29">
        <v>8.57142857142857</v>
      </c>
      <c r="AT1327" s="29">
        <v>7.42857142857143</v>
      </c>
      <c r="AU1327" s="24">
        <f t="shared" si="21"/>
        <v>112</v>
      </c>
      <c r="AV1327" s="31">
        <f>IFERROR(时间!$B$4+AU1327,"上周无销量")</f>
        <v>43430</v>
      </c>
    </row>
    <row r="1328" spans="1:49">
      <c r="A1328" s="16" t="s">
        <v>2316</v>
      </c>
      <c r="B1328" t="s">
        <v>1058</v>
      </c>
      <c r="C1328" t="s">
        <v>2296</v>
      </c>
      <c r="D1328" s="24">
        <v>1</v>
      </c>
      <c r="E1328" s="24">
        <v>0</v>
      </c>
      <c r="F1328" s="24">
        <v>0</v>
      </c>
      <c r="G1328" s="24">
        <v>2</v>
      </c>
      <c r="H1328" s="25">
        <v>22.98</v>
      </c>
      <c r="I1328">
        <v>4</v>
      </c>
      <c r="J1328" s="26">
        <v>0</v>
      </c>
      <c r="K1328" s="26">
        <v>0</v>
      </c>
      <c r="L1328" s="26">
        <v>0</v>
      </c>
      <c r="M1328">
        <v>4</v>
      </c>
      <c r="N1328">
        <v>0</v>
      </c>
      <c r="O1328">
        <v>4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5</v>
      </c>
      <c r="AK1328">
        <v>7</v>
      </c>
      <c r="AL1328">
        <v>6</v>
      </c>
      <c r="AM1328">
        <v>9</v>
      </c>
      <c r="AN1328" s="18">
        <v>0.2</v>
      </c>
      <c r="AO1328" s="18">
        <v>0</v>
      </c>
      <c r="AP1328" s="18">
        <v>0</v>
      </c>
      <c r="AQ1328" s="18">
        <v>0.222222222222222</v>
      </c>
      <c r="AR1328" s="29">
        <v>0.142857142857143</v>
      </c>
      <c r="AS1328" s="29">
        <v>8.57142857142857</v>
      </c>
      <c r="AT1328" s="29">
        <v>-4.57142857142857</v>
      </c>
      <c r="AU1328" s="24">
        <f t="shared" si="21"/>
        <v>28</v>
      </c>
      <c r="AV1328" s="31">
        <f>IFERROR(时间!$B$4+AU1328,"上周无销量")</f>
        <v>43346</v>
      </c>
      <c r="AW1328" s="31"/>
    </row>
    <row r="1329" spans="1:48">
      <c r="A1329" s="16" t="s">
        <v>2317</v>
      </c>
      <c r="B1329" t="s">
        <v>1060</v>
      </c>
      <c r="C1329" t="s">
        <v>2296</v>
      </c>
      <c r="D1329" s="24">
        <v>0</v>
      </c>
      <c r="E1329" s="24">
        <v>1</v>
      </c>
      <c r="F1329" s="24">
        <v>0</v>
      </c>
      <c r="G1329" s="24">
        <v>1</v>
      </c>
      <c r="H1329" s="25">
        <v>22.98</v>
      </c>
      <c r="I1329">
        <v>5</v>
      </c>
      <c r="J1329" s="26">
        <v>0</v>
      </c>
      <c r="K1329" s="26">
        <v>0</v>
      </c>
      <c r="L1329" s="26">
        <v>0</v>
      </c>
      <c r="M1329">
        <v>5</v>
      </c>
      <c r="N1329">
        <v>0</v>
      </c>
      <c r="O1329">
        <v>4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6</v>
      </c>
      <c r="AK1329">
        <v>4</v>
      </c>
      <c r="AL1329">
        <v>8</v>
      </c>
      <c r="AM1329">
        <v>8</v>
      </c>
      <c r="AN1329" s="18">
        <v>0</v>
      </c>
      <c r="AO1329" s="18">
        <v>0.25</v>
      </c>
      <c r="AP1329" s="18">
        <v>0</v>
      </c>
      <c r="AQ1329" s="18">
        <v>0.125</v>
      </c>
      <c r="AR1329" s="29">
        <v>0</v>
      </c>
      <c r="AS1329" s="29">
        <v>0</v>
      </c>
      <c r="AT1329" s="29">
        <v>5</v>
      </c>
      <c r="AU1329" s="24" t="str">
        <f t="shared" si="21"/>
        <v>库存为5</v>
      </c>
      <c r="AV1329" s="31" t="str">
        <f>IFERROR(时间!$B$4+AU1329,"上周无销量")</f>
        <v>上周无销量</v>
      </c>
    </row>
    <row r="1330" spans="1:49">
      <c r="A1330" s="16" t="s">
        <v>2318</v>
      </c>
      <c r="B1330" t="s">
        <v>1062</v>
      </c>
      <c r="C1330" t="s">
        <v>2296</v>
      </c>
      <c r="D1330" s="24">
        <v>0</v>
      </c>
      <c r="E1330" s="24">
        <v>2</v>
      </c>
      <c r="F1330" s="24">
        <v>0</v>
      </c>
      <c r="G1330" s="24">
        <v>0</v>
      </c>
      <c r="H1330" s="25">
        <v>22.98</v>
      </c>
      <c r="I1330">
        <v>4</v>
      </c>
      <c r="J1330" s="26">
        <v>0</v>
      </c>
      <c r="K1330" s="26">
        <v>0</v>
      </c>
      <c r="L1330" s="26">
        <v>0</v>
      </c>
      <c r="M1330">
        <v>4</v>
      </c>
      <c r="N1330">
        <v>0</v>
      </c>
      <c r="O1330">
        <v>4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5</v>
      </c>
      <c r="AK1330">
        <v>4</v>
      </c>
      <c r="AL1330">
        <v>7</v>
      </c>
      <c r="AM1330">
        <v>7</v>
      </c>
      <c r="AN1330" s="18">
        <v>0</v>
      </c>
      <c r="AO1330" s="18">
        <v>0.5</v>
      </c>
      <c r="AP1330" s="18">
        <v>0</v>
      </c>
      <c r="AQ1330" s="18">
        <v>0</v>
      </c>
      <c r="AR1330" s="29">
        <v>0</v>
      </c>
      <c r="AS1330" s="29">
        <v>0</v>
      </c>
      <c r="AT1330" s="29">
        <v>4</v>
      </c>
      <c r="AU1330" s="24" t="str">
        <f t="shared" si="21"/>
        <v>库存为4</v>
      </c>
      <c r="AV1330" s="31" t="str">
        <f>IFERROR(时间!$B$4+AU1330,"上周无销量")</f>
        <v>上周无销量</v>
      </c>
      <c r="AW1330" s="31"/>
    </row>
    <row r="1331" spans="1:49">
      <c r="A1331" s="16" t="s">
        <v>2319</v>
      </c>
      <c r="B1331" t="s">
        <v>1064</v>
      </c>
      <c r="C1331" t="s">
        <v>2296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1</v>
      </c>
      <c r="J1331" s="26">
        <v>0</v>
      </c>
      <c r="K1331" s="26">
        <v>0</v>
      </c>
      <c r="L1331" s="26">
        <v>0</v>
      </c>
      <c r="M1331">
        <v>1</v>
      </c>
      <c r="N1331">
        <v>0</v>
      </c>
      <c r="O1331">
        <v>0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16</v>
      </c>
      <c r="AK1331">
        <v>4</v>
      </c>
      <c r="AL1331">
        <v>13</v>
      </c>
      <c r="AM1331">
        <v>7</v>
      </c>
      <c r="AN1331" s="18">
        <v>0</v>
      </c>
      <c r="AO1331" s="18">
        <v>0</v>
      </c>
      <c r="AP1331" s="18">
        <v>0</v>
      </c>
      <c r="AQ1331" s="18">
        <v>0</v>
      </c>
      <c r="AR1331" s="29">
        <v>0</v>
      </c>
      <c r="AS1331" s="29">
        <v>0</v>
      </c>
      <c r="AT1331" s="29">
        <v>1</v>
      </c>
      <c r="AU1331" s="24" t="str">
        <f t="shared" si="21"/>
        <v>库存为1</v>
      </c>
      <c r="AV1331" s="31" t="str">
        <f>IFERROR(时间!$B$4+AU1331,"上周无销量")</f>
        <v>上周无销量</v>
      </c>
      <c r="AW1331" s="31"/>
    </row>
    <row r="1332" spans="1:49">
      <c r="A1332" s="16" t="s">
        <v>2320</v>
      </c>
      <c r="B1332" t="s">
        <v>1066</v>
      </c>
      <c r="C1332" t="s">
        <v>2296</v>
      </c>
      <c r="D1332" s="24">
        <v>0</v>
      </c>
      <c r="E1332" s="24">
        <v>0</v>
      </c>
      <c r="F1332" s="24">
        <v>0</v>
      </c>
      <c r="G1332" s="24">
        <v>0</v>
      </c>
      <c r="H1332" s="25">
        <v>0</v>
      </c>
      <c r="I1332">
        <v>0</v>
      </c>
      <c r="J1332" s="26">
        <v>0</v>
      </c>
      <c r="K1332" s="26">
        <v>0</v>
      </c>
      <c r="L1332" s="26">
        <v>0</v>
      </c>
      <c r="M1332">
        <v>0</v>
      </c>
      <c r="N1332">
        <v>0</v>
      </c>
      <c r="O1332">
        <v>0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0</v>
      </c>
      <c r="AK1332">
        <v>0</v>
      </c>
      <c r="AL1332">
        <v>0</v>
      </c>
      <c r="AM1332">
        <v>0</v>
      </c>
      <c r="AN1332" s="18" t="s">
        <v>52</v>
      </c>
      <c r="AO1332" s="18" t="s">
        <v>52</v>
      </c>
      <c r="AP1332" s="18" t="s">
        <v>52</v>
      </c>
      <c r="AQ1332" s="18" t="s">
        <v>52</v>
      </c>
      <c r="AR1332" s="29">
        <v>0</v>
      </c>
      <c r="AS1332" s="29">
        <v>0</v>
      </c>
      <c r="AT1332" s="29">
        <v>0</v>
      </c>
      <c r="AU1332" s="24" t="str">
        <f t="shared" si="21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2321</v>
      </c>
      <c r="B1333" t="s">
        <v>2322</v>
      </c>
      <c r="C1333" t="s">
        <v>2296</v>
      </c>
      <c r="D1333" s="24">
        <v>0</v>
      </c>
      <c r="E1333" s="24">
        <v>0</v>
      </c>
      <c r="F1333" s="24">
        <v>0</v>
      </c>
      <c r="G1333" s="24">
        <v>0</v>
      </c>
      <c r="H1333" s="25">
        <v>0</v>
      </c>
      <c r="I1333">
        <v>1</v>
      </c>
      <c r="J1333" s="26">
        <v>0</v>
      </c>
      <c r="K1333" s="26">
        <v>0</v>
      </c>
      <c r="L1333" s="26">
        <v>0</v>
      </c>
      <c r="M1333">
        <v>1</v>
      </c>
      <c r="N1333">
        <v>0</v>
      </c>
      <c r="O1333">
        <v>1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8</v>
      </c>
      <c r="AK1333">
        <v>5</v>
      </c>
      <c r="AL1333">
        <v>2</v>
      </c>
      <c r="AM1333">
        <v>6</v>
      </c>
      <c r="AN1333" s="18">
        <v>0</v>
      </c>
      <c r="AO1333" s="18">
        <v>0</v>
      </c>
      <c r="AP1333" s="18">
        <v>0</v>
      </c>
      <c r="AQ1333" s="18">
        <v>0</v>
      </c>
      <c r="AR1333" s="29">
        <v>0</v>
      </c>
      <c r="AS1333" s="29">
        <v>0</v>
      </c>
      <c r="AT1333" s="29">
        <v>1</v>
      </c>
      <c r="AU1333" s="24" t="str">
        <f t="shared" si="21"/>
        <v>库存为1</v>
      </c>
      <c r="AV1333" s="31" t="str">
        <f>IFERROR(时间!$B$4+AU1333,"上周无销量")</f>
        <v>上周无销量</v>
      </c>
      <c r="AW1333" s="31"/>
    </row>
    <row r="1334" spans="1:49">
      <c r="A1334" s="16" t="s">
        <v>2323</v>
      </c>
      <c r="B1334" t="s">
        <v>1071</v>
      </c>
      <c r="C1334" t="s">
        <v>2296</v>
      </c>
      <c r="D1334" s="24">
        <v>0</v>
      </c>
      <c r="E1334" s="24">
        <v>0</v>
      </c>
      <c r="F1334" s="24">
        <v>0</v>
      </c>
      <c r="G1334" s="24">
        <v>0</v>
      </c>
      <c r="H1334" s="25">
        <v>0</v>
      </c>
      <c r="I1334">
        <v>32</v>
      </c>
      <c r="J1334" s="26">
        <v>0</v>
      </c>
      <c r="K1334" s="26">
        <v>0</v>
      </c>
      <c r="L1334" s="26">
        <v>0</v>
      </c>
      <c r="M1334">
        <v>32</v>
      </c>
      <c r="N1334">
        <v>0</v>
      </c>
      <c r="O1334">
        <v>15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5</v>
      </c>
      <c r="AK1334">
        <v>6</v>
      </c>
      <c r="AL1334">
        <v>7</v>
      </c>
      <c r="AM1334">
        <v>6</v>
      </c>
      <c r="AN1334" s="18">
        <v>0</v>
      </c>
      <c r="AO1334" s="18">
        <v>0</v>
      </c>
      <c r="AP1334" s="18">
        <v>0</v>
      </c>
      <c r="AQ1334" s="18">
        <v>0</v>
      </c>
      <c r="AR1334" s="29">
        <v>0</v>
      </c>
      <c r="AS1334" s="29">
        <v>0</v>
      </c>
      <c r="AT1334" s="29">
        <v>32</v>
      </c>
      <c r="AU1334" s="24" t="str">
        <f t="shared" si="21"/>
        <v>库存为32</v>
      </c>
      <c r="AV1334" s="31" t="str">
        <f>IFERROR(时间!$B$4+AU1334,"上周无销量")</f>
        <v>上周无销量</v>
      </c>
      <c r="AW1334" s="31"/>
    </row>
    <row r="1335" spans="1:49">
      <c r="A1335" s="16" t="s">
        <v>2324</v>
      </c>
      <c r="B1335" t="s">
        <v>1073</v>
      </c>
      <c r="C1335" t="s">
        <v>2296</v>
      </c>
      <c r="D1335" s="24">
        <v>0</v>
      </c>
      <c r="E1335" s="24">
        <v>0</v>
      </c>
      <c r="F1335" s="24">
        <v>0</v>
      </c>
      <c r="G1335" s="24">
        <v>0</v>
      </c>
      <c r="H1335" s="25">
        <v>0</v>
      </c>
      <c r="I1335">
        <v>1</v>
      </c>
      <c r="J1335" s="26">
        <v>0</v>
      </c>
      <c r="K1335" s="26">
        <v>0</v>
      </c>
      <c r="L1335" s="26">
        <v>0</v>
      </c>
      <c r="M1335">
        <v>1</v>
      </c>
      <c r="N1335">
        <v>0</v>
      </c>
      <c r="O1335">
        <v>0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17</v>
      </c>
      <c r="AK1335">
        <v>6</v>
      </c>
      <c r="AL1335">
        <v>11</v>
      </c>
      <c r="AM1335">
        <v>15</v>
      </c>
      <c r="AN1335" s="18">
        <v>0</v>
      </c>
      <c r="AO1335" s="18">
        <v>0</v>
      </c>
      <c r="AP1335" s="18">
        <v>0</v>
      </c>
      <c r="AQ1335" s="18">
        <v>0</v>
      </c>
      <c r="AR1335" s="29">
        <v>0</v>
      </c>
      <c r="AS1335" s="29">
        <v>0</v>
      </c>
      <c r="AT1335" s="29">
        <v>1</v>
      </c>
      <c r="AU1335" s="24" t="str">
        <f t="shared" si="21"/>
        <v>库存为1</v>
      </c>
      <c r="AV1335" s="31" t="str">
        <f>IFERROR(时间!$B$4+AU1335,"上周无销量")</f>
        <v>上周无销量</v>
      </c>
      <c r="AW1335" s="31"/>
    </row>
    <row r="1336" spans="1:49">
      <c r="A1336" s="16" t="s">
        <v>2325</v>
      </c>
      <c r="B1336" t="s">
        <v>1075</v>
      </c>
      <c r="C1336" t="s">
        <v>2296</v>
      </c>
      <c r="D1336" s="24">
        <v>0</v>
      </c>
      <c r="E1336" s="24">
        <v>0</v>
      </c>
      <c r="F1336" s="24">
        <v>0</v>
      </c>
      <c r="G1336" s="24">
        <v>0</v>
      </c>
      <c r="H1336" s="25">
        <v>0</v>
      </c>
      <c r="I1336">
        <v>29</v>
      </c>
      <c r="J1336" s="26">
        <v>0</v>
      </c>
      <c r="K1336" s="26">
        <v>0</v>
      </c>
      <c r="L1336" s="26">
        <v>0</v>
      </c>
      <c r="M1336">
        <v>29</v>
      </c>
      <c r="N1336">
        <v>0</v>
      </c>
      <c r="O1336">
        <v>8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11</v>
      </c>
      <c r="AK1336">
        <v>3</v>
      </c>
      <c r="AL1336">
        <v>9</v>
      </c>
      <c r="AM1336">
        <v>8</v>
      </c>
      <c r="AN1336" s="18">
        <v>0</v>
      </c>
      <c r="AO1336" s="18">
        <v>0</v>
      </c>
      <c r="AP1336" s="18">
        <v>0</v>
      </c>
      <c r="AQ1336" s="18">
        <v>0</v>
      </c>
      <c r="AR1336" s="29">
        <v>0</v>
      </c>
      <c r="AS1336" s="29">
        <v>0</v>
      </c>
      <c r="AT1336" s="29">
        <v>29</v>
      </c>
      <c r="AU1336" s="24" t="str">
        <f t="shared" si="21"/>
        <v>库存为29</v>
      </c>
      <c r="AV1336" s="31" t="str">
        <f>IFERROR(时间!$B$4+AU1336,"上周无销量")</f>
        <v>上周无销量</v>
      </c>
      <c r="AW1336" s="31"/>
    </row>
    <row r="1337" spans="1:49">
      <c r="A1337" s="16" t="s">
        <v>2326</v>
      </c>
      <c r="B1337" t="s">
        <v>1077</v>
      </c>
      <c r="C1337" t="s">
        <v>2296</v>
      </c>
      <c r="D1337" s="24">
        <v>0</v>
      </c>
      <c r="E1337" s="24">
        <v>0</v>
      </c>
      <c r="F1337" s="24">
        <v>0</v>
      </c>
      <c r="G1337" s="24">
        <v>1</v>
      </c>
      <c r="H1337" s="25">
        <v>22.98</v>
      </c>
      <c r="I1337">
        <v>22</v>
      </c>
      <c r="J1337" s="26">
        <v>0</v>
      </c>
      <c r="K1337" s="26">
        <v>0</v>
      </c>
      <c r="L1337" s="26">
        <v>0</v>
      </c>
      <c r="M1337">
        <v>22</v>
      </c>
      <c r="N1337">
        <v>0</v>
      </c>
      <c r="O1337">
        <v>6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1</v>
      </c>
      <c r="AK1337">
        <v>8</v>
      </c>
      <c r="AL1337">
        <v>2</v>
      </c>
      <c r="AM1337">
        <v>6</v>
      </c>
      <c r="AN1337" s="18">
        <v>0</v>
      </c>
      <c r="AO1337" s="18">
        <v>0</v>
      </c>
      <c r="AP1337" s="18">
        <v>0</v>
      </c>
      <c r="AQ1337" s="18">
        <v>0.166666666666667</v>
      </c>
      <c r="AR1337" s="29">
        <v>0</v>
      </c>
      <c r="AS1337" s="29">
        <v>0</v>
      </c>
      <c r="AT1337" s="29">
        <v>22</v>
      </c>
      <c r="AU1337" s="24" t="str">
        <f t="shared" si="21"/>
        <v>库存为22</v>
      </c>
      <c r="AV1337" s="31" t="str">
        <f>IFERROR(时间!$B$4+AU1337,"上周无销量")</f>
        <v>上周无销量</v>
      </c>
      <c r="AW1337" s="31"/>
    </row>
    <row r="1338" spans="1:48">
      <c r="A1338" s="16" t="s">
        <v>2327</v>
      </c>
      <c r="B1338" t="s">
        <v>1079</v>
      </c>
      <c r="C1338" t="s">
        <v>2296</v>
      </c>
      <c r="D1338" s="24">
        <v>0</v>
      </c>
      <c r="E1338" s="24">
        <v>0</v>
      </c>
      <c r="F1338" s="24">
        <v>0</v>
      </c>
      <c r="G1338" s="24">
        <v>0</v>
      </c>
      <c r="H1338" s="25">
        <v>0</v>
      </c>
      <c r="I1338">
        <v>31</v>
      </c>
      <c r="J1338" s="26">
        <v>0</v>
      </c>
      <c r="K1338" s="26">
        <v>0</v>
      </c>
      <c r="L1338" s="26">
        <v>0</v>
      </c>
      <c r="M1338">
        <v>31</v>
      </c>
      <c r="N1338">
        <v>0</v>
      </c>
      <c r="O1338">
        <v>26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6</v>
      </c>
      <c r="AK1338">
        <v>5</v>
      </c>
      <c r="AL1338">
        <v>10</v>
      </c>
      <c r="AM1338">
        <v>7</v>
      </c>
      <c r="AN1338" s="18">
        <v>0</v>
      </c>
      <c r="AO1338" s="18">
        <v>0</v>
      </c>
      <c r="AP1338" s="18">
        <v>0</v>
      </c>
      <c r="AQ1338" s="18">
        <v>0</v>
      </c>
      <c r="AR1338" s="29">
        <v>0</v>
      </c>
      <c r="AS1338" s="29">
        <v>0</v>
      </c>
      <c r="AT1338" s="29">
        <v>31</v>
      </c>
      <c r="AU1338" s="24" t="str">
        <f t="shared" si="21"/>
        <v>库存为31</v>
      </c>
      <c r="AV1338" s="31" t="str">
        <f>IFERROR(时间!$B$4+AU1338,"上周无销量")</f>
        <v>上周无销量</v>
      </c>
    </row>
    <row r="1339" spans="1:49">
      <c r="A1339" s="16" t="s">
        <v>2328</v>
      </c>
      <c r="B1339" t="s">
        <v>1081</v>
      </c>
      <c r="C1339" t="s">
        <v>2296</v>
      </c>
      <c r="D1339" s="24">
        <v>0</v>
      </c>
      <c r="E1339" s="24">
        <v>0</v>
      </c>
      <c r="F1339" s="24">
        <v>0</v>
      </c>
      <c r="G1339" s="24">
        <v>0</v>
      </c>
      <c r="H1339" s="25">
        <v>0</v>
      </c>
      <c r="I1339">
        <v>31</v>
      </c>
      <c r="J1339" s="26">
        <v>0</v>
      </c>
      <c r="K1339" s="26">
        <v>0</v>
      </c>
      <c r="L1339" s="26">
        <v>0</v>
      </c>
      <c r="M1339">
        <v>31</v>
      </c>
      <c r="N1339">
        <v>0</v>
      </c>
      <c r="O1339">
        <v>31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3</v>
      </c>
      <c r="AK1339">
        <v>1</v>
      </c>
      <c r="AL1339">
        <v>4</v>
      </c>
      <c r="AM1339">
        <v>4</v>
      </c>
      <c r="AN1339" s="18">
        <v>0</v>
      </c>
      <c r="AO1339" s="18">
        <v>0</v>
      </c>
      <c r="AP1339" s="18">
        <v>0</v>
      </c>
      <c r="AQ1339" s="18">
        <v>0</v>
      </c>
      <c r="AR1339" s="29">
        <v>0</v>
      </c>
      <c r="AS1339" s="29">
        <v>0</v>
      </c>
      <c r="AT1339" s="29">
        <v>31</v>
      </c>
      <c r="AU1339" s="24" t="str">
        <f t="shared" si="21"/>
        <v>库存为31</v>
      </c>
      <c r="AV1339" s="31" t="str">
        <f>IFERROR(时间!$B$4+AU1339,"上周无销量")</f>
        <v>上周无销量</v>
      </c>
      <c r="AW1339" s="31"/>
    </row>
    <row r="1340" spans="1:48">
      <c r="A1340" s="16" t="s">
        <v>2329</v>
      </c>
      <c r="B1340" t="s">
        <v>1083</v>
      </c>
      <c r="C1340" t="s">
        <v>2296</v>
      </c>
      <c r="D1340" s="24">
        <v>0</v>
      </c>
      <c r="E1340" s="24">
        <v>0</v>
      </c>
      <c r="F1340" s="24">
        <v>0</v>
      </c>
      <c r="G1340" s="24">
        <v>0</v>
      </c>
      <c r="H1340" s="25">
        <v>0</v>
      </c>
      <c r="I1340">
        <v>16</v>
      </c>
      <c r="J1340" s="26">
        <v>0</v>
      </c>
      <c r="K1340" s="26">
        <v>0</v>
      </c>
      <c r="L1340" s="26">
        <v>0</v>
      </c>
      <c r="M1340">
        <v>16</v>
      </c>
      <c r="N1340">
        <v>0</v>
      </c>
      <c r="O1340">
        <v>16</v>
      </c>
      <c r="P1340" t="s">
        <v>52</v>
      </c>
      <c r="Q1340" t="s">
        <v>52</v>
      </c>
      <c r="R1340" t="s">
        <v>52</v>
      </c>
      <c r="S1340" t="s">
        <v>52</v>
      </c>
      <c r="T1340" t="s">
        <v>52</v>
      </c>
      <c r="U1340" t="s">
        <v>52</v>
      </c>
      <c r="V1340" t="s">
        <v>52</v>
      </c>
      <c r="W1340" t="s">
        <v>52</v>
      </c>
      <c r="X1340" s="18" t="s">
        <v>52</v>
      </c>
      <c r="Y1340" s="18" t="s">
        <v>52</v>
      </c>
      <c r="Z1340" s="18" t="s">
        <v>52</v>
      </c>
      <c r="AA1340" s="18" t="s">
        <v>52</v>
      </c>
      <c r="AB1340" t="s">
        <v>52</v>
      </c>
      <c r="AC1340" t="s">
        <v>52</v>
      </c>
      <c r="AD1340" t="s">
        <v>52</v>
      </c>
      <c r="AE1340" t="s">
        <v>52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1</v>
      </c>
      <c r="AK1340">
        <v>11</v>
      </c>
      <c r="AL1340">
        <v>8</v>
      </c>
      <c r="AM1340">
        <v>4</v>
      </c>
      <c r="AN1340" s="18">
        <v>0</v>
      </c>
      <c r="AO1340" s="18">
        <v>0</v>
      </c>
      <c r="AP1340" s="18">
        <v>0</v>
      </c>
      <c r="AQ1340" s="18">
        <v>0</v>
      </c>
      <c r="AR1340" s="29">
        <v>0</v>
      </c>
      <c r="AS1340" s="29">
        <v>0</v>
      </c>
      <c r="AT1340" s="29">
        <v>16</v>
      </c>
      <c r="AU1340" s="24" t="str">
        <f t="shared" si="21"/>
        <v>库存为16</v>
      </c>
      <c r="AV1340" s="31" t="str">
        <f>IFERROR(时间!$B$4+AU1340,"上周无销量")</f>
        <v>上周无销量</v>
      </c>
    </row>
    <row r="1341" spans="1:48">
      <c r="A1341" s="16" t="s">
        <v>2330</v>
      </c>
      <c r="B1341" t="s">
        <v>1085</v>
      </c>
      <c r="C1341" t="s">
        <v>2296</v>
      </c>
      <c r="D1341" s="24">
        <v>0</v>
      </c>
      <c r="E1341" s="24">
        <v>0</v>
      </c>
      <c r="F1341" s="24">
        <v>0</v>
      </c>
      <c r="G1341" s="24">
        <v>0</v>
      </c>
      <c r="H1341" s="25">
        <v>0</v>
      </c>
      <c r="I1341">
        <v>27</v>
      </c>
      <c r="J1341" s="26">
        <v>0</v>
      </c>
      <c r="K1341" s="26">
        <v>0</v>
      </c>
      <c r="L1341" s="26">
        <v>0</v>
      </c>
      <c r="M1341">
        <v>27</v>
      </c>
      <c r="N1341">
        <v>0</v>
      </c>
      <c r="O1341">
        <v>26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5</v>
      </c>
      <c r="AK1341">
        <v>2</v>
      </c>
      <c r="AL1341">
        <v>10</v>
      </c>
      <c r="AM1341">
        <v>10</v>
      </c>
      <c r="AN1341" s="18">
        <v>0</v>
      </c>
      <c r="AO1341" s="18">
        <v>0</v>
      </c>
      <c r="AP1341" s="18">
        <v>0</v>
      </c>
      <c r="AQ1341" s="18">
        <v>0</v>
      </c>
      <c r="AR1341" s="29">
        <v>0</v>
      </c>
      <c r="AS1341" s="29">
        <v>0</v>
      </c>
      <c r="AT1341" s="29">
        <v>27</v>
      </c>
      <c r="AU1341" s="24" t="str">
        <f t="shared" si="21"/>
        <v>库存为27</v>
      </c>
      <c r="AV1341" s="31" t="str">
        <f>IFERROR(时间!$B$4+AU1341,"上周无销量")</f>
        <v>上周无销量</v>
      </c>
    </row>
    <row r="1342" spans="1:48">
      <c r="A1342" s="16" t="s">
        <v>2331</v>
      </c>
      <c r="B1342" t="s">
        <v>1087</v>
      </c>
      <c r="C1342" t="s">
        <v>2296</v>
      </c>
      <c r="D1342" s="24">
        <v>1</v>
      </c>
      <c r="E1342" s="24">
        <v>0</v>
      </c>
      <c r="F1342" s="24">
        <v>0</v>
      </c>
      <c r="G1342" s="24">
        <v>0</v>
      </c>
      <c r="H1342" s="25">
        <v>22.98</v>
      </c>
      <c r="I1342">
        <v>21</v>
      </c>
      <c r="J1342" s="26">
        <v>0</v>
      </c>
      <c r="K1342" s="26">
        <v>0</v>
      </c>
      <c r="L1342" s="26">
        <v>0</v>
      </c>
      <c r="M1342">
        <v>21</v>
      </c>
      <c r="N1342">
        <v>0</v>
      </c>
      <c r="O1342">
        <v>3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7</v>
      </c>
      <c r="AK1342">
        <v>11</v>
      </c>
      <c r="AL1342">
        <v>5</v>
      </c>
      <c r="AM1342">
        <v>8</v>
      </c>
      <c r="AN1342" s="18">
        <v>0.142857142857143</v>
      </c>
      <c r="AO1342" s="18">
        <v>0</v>
      </c>
      <c r="AP1342" s="18">
        <v>0</v>
      </c>
      <c r="AQ1342" s="18">
        <v>0</v>
      </c>
      <c r="AR1342" s="29">
        <v>0.142857142857143</v>
      </c>
      <c r="AS1342" s="29">
        <v>8.57142857142857</v>
      </c>
      <c r="AT1342" s="29">
        <v>12.4285714285714</v>
      </c>
      <c r="AU1342" s="24">
        <f t="shared" si="21"/>
        <v>147</v>
      </c>
      <c r="AV1342" s="31">
        <f>IFERROR(时间!$B$4+AU1342,"上周无销量")</f>
        <v>43465</v>
      </c>
    </row>
    <row r="1343" spans="1:48">
      <c r="A1343" s="16" t="s">
        <v>2332</v>
      </c>
      <c r="B1343" t="s">
        <v>1089</v>
      </c>
      <c r="C1343" t="s">
        <v>2296</v>
      </c>
      <c r="D1343" s="24">
        <v>0</v>
      </c>
      <c r="E1343" s="24">
        <v>0</v>
      </c>
      <c r="F1343" s="24">
        <v>3</v>
      </c>
      <c r="G1343" s="24">
        <v>0</v>
      </c>
      <c r="H1343" s="25">
        <v>22.98</v>
      </c>
      <c r="I1343">
        <v>25</v>
      </c>
      <c r="J1343" s="26">
        <v>0</v>
      </c>
      <c r="K1343" s="26">
        <v>0</v>
      </c>
      <c r="L1343" s="26">
        <v>0</v>
      </c>
      <c r="M1343">
        <v>25</v>
      </c>
      <c r="N1343">
        <v>0</v>
      </c>
      <c r="O1343">
        <v>24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3</v>
      </c>
      <c r="AK1343">
        <v>7</v>
      </c>
      <c r="AL1343">
        <v>7</v>
      </c>
      <c r="AM1343">
        <v>8</v>
      </c>
      <c r="AN1343" s="18">
        <v>0</v>
      </c>
      <c r="AO1343" s="18">
        <v>0</v>
      </c>
      <c r="AP1343" s="18">
        <v>0.428571428571429</v>
      </c>
      <c r="AQ1343" s="18">
        <v>0</v>
      </c>
      <c r="AR1343" s="29">
        <v>0</v>
      </c>
      <c r="AS1343" s="29">
        <v>0</v>
      </c>
      <c r="AT1343" s="29">
        <v>25</v>
      </c>
      <c r="AU1343" s="24" t="str">
        <f t="shared" si="21"/>
        <v>库存为25</v>
      </c>
      <c r="AV1343" s="31" t="str">
        <f>IFERROR(时间!$B$4+AU1343,"上周无销量")</f>
        <v>上周无销量</v>
      </c>
    </row>
    <row r="1344" spans="1:48">
      <c r="A1344" s="16" t="s">
        <v>2333</v>
      </c>
      <c r="B1344" t="s">
        <v>1091</v>
      </c>
      <c r="C1344" t="s">
        <v>2296</v>
      </c>
      <c r="D1344" s="24">
        <v>0</v>
      </c>
      <c r="E1344" s="24">
        <v>0</v>
      </c>
      <c r="F1344" s="24">
        <v>0</v>
      </c>
      <c r="G1344" s="24">
        <v>0</v>
      </c>
      <c r="H1344" s="25">
        <v>0</v>
      </c>
      <c r="I1344">
        <v>23</v>
      </c>
      <c r="J1344" s="26">
        <v>0</v>
      </c>
      <c r="K1344" s="26">
        <v>0</v>
      </c>
      <c r="L1344" s="26">
        <v>0</v>
      </c>
      <c r="M1344">
        <v>23</v>
      </c>
      <c r="N1344">
        <v>0</v>
      </c>
      <c r="O1344">
        <v>21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5</v>
      </c>
      <c r="AK1344">
        <v>1</v>
      </c>
      <c r="AL1344">
        <v>5</v>
      </c>
      <c r="AM1344">
        <v>6</v>
      </c>
      <c r="AN1344" s="18">
        <v>0</v>
      </c>
      <c r="AO1344" s="18">
        <v>0</v>
      </c>
      <c r="AP1344" s="18">
        <v>0</v>
      </c>
      <c r="AQ1344" s="18">
        <v>0</v>
      </c>
      <c r="AR1344" s="29">
        <v>0</v>
      </c>
      <c r="AS1344" s="29">
        <v>0</v>
      </c>
      <c r="AT1344" s="29">
        <v>23</v>
      </c>
      <c r="AU1344" s="24" t="str">
        <f t="shared" si="21"/>
        <v>库存为23</v>
      </c>
      <c r="AV1344" s="31" t="str">
        <f>IFERROR(时间!$B$4+AU1344,"上周无销量")</f>
        <v>上周无销量</v>
      </c>
    </row>
    <row r="1345" spans="1:49">
      <c r="A1345" s="16" t="s">
        <v>2334</v>
      </c>
      <c r="B1345" t="s">
        <v>1093</v>
      </c>
      <c r="C1345" t="s">
        <v>2296</v>
      </c>
      <c r="D1345" s="24">
        <v>0</v>
      </c>
      <c r="E1345" s="24">
        <v>0</v>
      </c>
      <c r="F1345" s="24">
        <v>0</v>
      </c>
      <c r="G1345" s="24">
        <v>0</v>
      </c>
      <c r="H1345" s="25">
        <v>0</v>
      </c>
      <c r="I1345">
        <v>16</v>
      </c>
      <c r="J1345" s="26">
        <v>0</v>
      </c>
      <c r="K1345" s="26">
        <v>0</v>
      </c>
      <c r="L1345" s="26">
        <v>0</v>
      </c>
      <c r="M1345">
        <v>16</v>
      </c>
      <c r="N1345">
        <v>0</v>
      </c>
      <c r="O1345">
        <v>16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9</v>
      </c>
      <c r="AK1345">
        <v>7</v>
      </c>
      <c r="AL1345">
        <v>8</v>
      </c>
      <c r="AM1345">
        <v>3</v>
      </c>
      <c r="AN1345" s="18">
        <v>0</v>
      </c>
      <c r="AO1345" s="18">
        <v>0</v>
      </c>
      <c r="AP1345" s="18">
        <v>0</v>
      </c>
      <c r="AQ1345" s="18">
        <v>0</v>
      </c>
      <c r="AR1345" s="29">
        <v>0</v>
      </c>
      <c r="AS1345" s="29">
        <v>0</v>
      </c>
      <c r="AT1345" s="29">
        <v>16</v>
      </c>
      <c r="AU1345" s="24" t="str">
        <f t="shared" si="21"/>
        <v>库存为16</v>
      </c>
      <c r="AV1345" s="31" t="str">
        <f>IFERROR(时间!$B$4+AU1345,"上周无销量")</f>
        <v>上周无销量</v>
      </c>
      <c r="AW1345" s="31"/>
    </row>
    <row r="1346" spans="1:48">
      <c r="A1346" s="16" t="s">
        <v>2335</v>
      </c>
      <c r="B1346" t="s">
        <v>1095</v>
      </c>
      <c r="C1346" t="s">
        <v>2296</v>
      </c>
      <c r="D1346" s="24">
        <v>0</v>
      </c>
      <c r="E1346" s="24">
        <v>0</v>
      </c>
      <c r="F1346" s="24">
        <v>0</v>
      </c>
      <c r="G1346" s="24">
        <v>1</v>
      </c>
      <c r="H1346" s="25">
        <v>22.98</v>
      </c>
      <c r="I1346">
        <v>28</v>
      </c>
      <c r="J1346" s="26">
        <v>0</v>
      </c>
      <c r="K1346" s="26">
        <v>0</v>
      </c>
      <c r="L1346" s="26">
        <v>0</v>
      </c>
      <c r="M1346">
        <v>28</v>
      </c>
      <c r="N1346">
        <v>0</v>
      </c>
      <c r="O1346">
        <v>28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1</v>
      </c>
      <c r="AK1346">
        <v>3</v>
      </c>
      <c r="AL1346">
        <v>6</v>
      </c>
      <c r="AM1346">
        <v>4</v>
      </c>
      <c r="AN1346" s="18">
        <v>0</v>
      </c>
      <c r="AO1346" s="18">
        <v>0</v>
      </c>
      <c r="AP1346" s="18">
        <v>0</v>
      </c>
      <c r="AQ1346" s="18">
        <v>0.25</v>
      </c>
      <c r="AR1346" s="29">
        <v>0</v>
      </c>
      <c r="AS1346" s="29">
        <v>0</v>
      </c>
      <c r="AT1346" s="29">
        <v>28</v>
      </c>
      <c r="AU1346" s="24" t="str">
        <f t="shared" si="21"/>
        <v>库存为28</v>
      </c>
      <c r="AV1346" s="31" t="str">
        <f>IFERROR(时间!$B$4+AU1346,"上周无销量")</f>
        <v>上周无销量</v>
      </c>
    </row>
    <row r="1347" spans="1:48">
      <c r="A1347" s="16" t="s">
        <v>2336</v>
      </c>
      <c r="B1347" t="s">
        <v>1097</v>
      </c>
      <c r="C1347" t="s">
        <v>2337</v>
      </c>
      <c r="D1347" s="24">
        <v>1</v>
      </c>
      <c r="E1347" s="24">
        <v>0</v>
      </c>
      <c r="F1347" s="24">
        <v>1</v>
      </c>
      <c r="G1347" s="24">
        <v>0</v>
      </c>
      <c r="H1347" s="25">
        <v>23.48</v>
      </c>
      <c r="I1347">
        <v>19</v>
      </c>
      <c r="J1347" s="26">
        <v>0</v>
      </c>
      <c r="K1347" s="26">
        <v>0</v>
      </c>
      <c r="L1347" s="26">
        <v>0</v>
      </c>
      <c r="M1347">
        <v>19</v>
      </c>
      <c r="N1347">
        <v>0</v>
      </c>
      <c r="O1347">
        <v>20</v>
      </c>
      <c r="P1347">
        <v>0</v>
      </c>
      <c r="Q1347">
        <v>0</v>
      </c>
      <c r="R1347">
        <v>374</v>
      </c>
      <c r="S1347">
        <v>2361</v>
      </c>
      <c r="T1347">
        <v>0</v>
      </c>
      <c r="U1347">
        <v>0</v>
      </c>
      <c r="V1347">
        <v>1</v>
      </c>
      <c r="W1347">
        <v>2</v>
      </c>
      <c r="X1347" s="18" t="s">
        <v>52</v>
      </c>
      <c r="Y1347" s="18" t="s">
        <v>52</v>
      </c>
      <c r="Z1347" s="18">
        <v>0.00267379679144385</v>
      </c>
      <c r="AA1347" s="18">
        <v>0.000847098686997035</v>
      </c>
      <c r="AB1347">
        <v>0</v>
      </c>
      <c r="AC1347">
        <v>0</v>
      </c>
      <c r="AD1347">
        <v>0.56</v>
      </c>
      <c r="AE1347">
        <v>1.23</v>
      </c>
      <c r="AF1347" s="18" t="s">
        <v>52</v>
      </c>
      <c r="AG1347" s="18" t="s">
        <v>52</v>
      </c>
      <c r="AH1347" s="18">
        <v>0.0238500851788756</v>
      </c>
      <c r="AI1347" s="18" t="s">
        <v>2338</v>
      </c>
      <c r="AJ1347">
        <v>4</v>
      </c>
      <c r="AK1347">
        <v>8</v>
      </c>
      <c r="AL1347">
        <v>7</v>
      </c>
      <c r="AM1347">
        <v>4</v>
      </c>
      <c r="AN1347" s="18">
        <v>0.25</v>
      </c>
      <c r="AO1347" s="18">
        <v>0</v>
      </c>
      <c r="AP1347" s="18">
        <v>0.142857142857143</v>
      </c>
      <c r="AQ1347" s="18">
        <v>0</v>
      </c>
      <c r="AR1347" s="29">
        <v>0.142857142857143</v>
      </c>
      <c r="AS1347" s="29">
        <v>8.57142857142857</v>
      </c>
      <c r="AT1347" s="29">
        <v>10.4285714285714</v>
      </c>
      <c r="AU1347" s="24">
        <f t="shared" si="21"/>
        <v>133</v>
      </c>
      <c r="AV1347" s="31">
        <f>IFERROR(时间!$B$4+AU1347,"上周无销量")</f>
        <v>43451</v>
      </c>
    </row>
    <row r="1348" spans="1:48">
      <c r="A1348" s="16" t="s">
        <v>2339</v>
      </c>
      <c r="B1348" t="s">
        <v>1100</v>
      </c>
      <c r="C1348" t="s">
        <v>2337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15</v>
      </c>
      <c r="J1348" s="26">
        <v>0</v>
      </c>
      <c r="K1348" s="26">
        <v>0</v>
      </c>
      <c r="L1348" s="26">
        <v>0</v>
      </c>
      <c r="M1348">
        <v>15</v>
      </c>
      <c r="N1348">
        <v>0</v>
      </c>
      <c r="O1348">
        <v>15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8</v>
      </c>
      <c r="AK1348">
        <v>7</v>
      </c>
      <c r="AL1348">
        <v>3</v>
      </c>
      <c r="AM1348">
        <v>2</v>
      </c>
      <c r="AN1348" s="18">
        <v>0</v>
      </c>
      <c r="AO1348" s="18">
        <v>0</v>
      </c>
      <c r="AP1348" s="18">
        <v>0</v>
      </c>
      <c r="AQ1348" s="18">
        <v>0</v>
      </c>
      <c r="AR1348" s="29">
        <v>0</v>
      </c>
      <c r="AS1348" s="29">
        <v>0</v>
      </c>
      <c r="AT1348" s="29">
        <v>15</v>
      </c>
      <c r="AU1348" s="24" t="str">
        <f t="shared" si="21"/>
        <v>库存为15</v>
      </c>
      <c r="AV1348" s="31" t="str">
        <f>IFERROR(时间!$B$4+AU1348,"上周无销量")</f>
        <v>上周无销量</v>
      </c>
    </row>
    <row r="1349" spans="1:49">
      <c r="A1349" s="16" t="s">
        <v>2340</v>
      </c>
      <c r="B1349" t="s">
        <v>1102</v>
      </c>
      <c r="C1349" t="s">
        <v>2337</v>
      </c>
      <c r="D1349" s="24">
        <v>0</v>
      </c>
      <c r="E1349" s="24">
        <v>0</v>
      </c>
      <c r="F1349" s="24">
        <v>0</v>
      </c>
      <c r="G1349" s="24">
        <v>0</v>
      </c>
      <c r="H1349" s="25">
        <v>0</v>
      </c>
      <c r="I1349">
        <v>20</v>
      </c>
      <c r="J1349" s="26">
        <v>0</v>
      </c>
      <c r="K1349" s="26">
        <v>0</v>
      </c>
      <c r="L1349" s="26">
        <v>0</v>
      </c>
      <c r="M1349">
        <v>20</v>
      </c>
      <c r="N1349">
        <v>0</v>
      </c>
      <c r="O1349">
        <v>20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5</v>
      </c>
      <c r="AK1349">
        <v>12</v>
      </c>
      <c r="AL1349">
        <v>7</v>
      </c>
      <c r="AM1349">
        <v>5</v>
      </c>
      <c r="AN1349" s="18">
        <v>0</v>
      </c>
      <c r="AO1349" s="18">
        <v>0</v>
      </c>
      <c r="AP1349" s="18">
        <v>0</v>
      </c>
      <c r="AQ1349" s="18">
        <v>0</v>
      </c>
      <c r="AR1349" s="29">
        <v>0</v>
      </c>
      <c r="AS1349" s="29">
        <v>0</v>
      </c>
      <c r="AT1349" s="29">
        <v>20</v>
      </c>
      <c r="AU1349" s="24" t="str">
        <f t="shared" si="21"/>
        <v>库存为20</v>
      </c>
      <c r="AV1349" s="31" t="str">
        <f>IFERROR(时间!$B$4+AU1349,"上周无销量")</f>
        <v>上周无销量</v>
      </c>
      <c r="AW1349" s="31"/>
    </row>
    <row r="1350" spans="1:48">
      <c r="A1350" s="16" t="s">
        <v>2341</v>
      </c>
      <c r="B1350" t="s">
        <v>1104</v>
      </c>
      <c r="C1350" t="s">
        <v>2337</v>
      </c>
      <c r="D1350" s="24">
        <v>0</v>
      </c>
      <c r="E1350" s="24">
        <v>0</v>
      </c>
      <c r="F1350" s="24">
        <v>0</v>
      </c>
      <c r="G1350" s="24">
        <v>0</v>
      </c>
      <c r="H1350" s="25">
        <v>0</v>
      </c>
      <c r="I1350">
        <v>20</v>
      </c>
      <c r="J1350" s="26">
        <v>0</v>
      </c>
      <c r="K1350" s="26">
        <v>0</v>
      </c>
      <c r="L1350" s="26">
        <v>0</v>
      </c>
      <c r="M1350">
        <v>20</v>
      </c>
      <c r="N1350">
        <v>0</v>
      </c>
      <c r="O1350">
        <v>19</v>
      </c>
      <c r="P1350">
        <v>1558</v>
      </c>
      <c r="Q1350">
        <v>213</v>
      </c>
      <c r="R1350">
        <v>0</v>
      </c>
      <c r="S1350">
        <v>0</v>
      </c>
      <c r="T1350">
        <v>6</v>
      </c>
      <c r="U1350">
        <v>2</v>
      </c>
      <c r="V1350">
        <v>0</v>
      </c>
      <c r="W1350">
        <v>0</v>
      </c>
      <c r="X1350" s="18">
        <v>0.00385109114249037</v>
      </c>
      <c r="Y1350" s="18">
        <v>0.00938967136150235</v>
      </c>
      <c r="Z1350" s="18" t="s">
        <v>52</v>
      </c>
      <c r="AA1350" s="18" t="s">
        <v>52</v>
      </c>
      <c r="AB1350">
        <v>2.75</v>
      </c>
      <c r="AC1350">
        <v>0.99</v>
      </c>
      <c r="AD1350">
        <v>0</v>
      </c>
      <c r="AE1350">
        <v>0</v>
      </c>
      <c r="AF1350" s="18" t="s">
        <v>2342</v>
      </c>
      <c r="AG1350" s="18" t="s">
        <v>2343</v>
      </c>
      <c r="AH1350" s="18" t="s">
        <v>52</v>
      </c>
      <c r="AI1350" s="18" t="s">
        <v>52</v>
      </c>
      <c r="AJ1350">
        <v>8</v>
      </c>
      <c r="AK1350">
        <v>4</v>
      </c>
      <c r="AL1350">
        <v>4</v>
      </c>
      <c r="AM1350">
        <v>0</v>
      </c>
      <c r="AN1350" s="18">
        <v>0</v>
      </c>
      <c r="AO1350" s="18">
        <v>0</v>
      </c>
      <c r="AP1350" s="18">
        <v>0</v>
      </c>
      <c r="AQ1350" s="18" t="s">
        <v>52</v>
      </c>
      <c r="AR1350" s="29">
        <v>0</v>
      </c>
      <c r="AS1350" s="29">
        <v>0</v>
      </c>
      <c r="AT1350" s="29">
        <v>20</v>
      </c>
      <c r="AU1350" s="24" t="str">
        <f t="shared" ref="AU1350:AU1413" si="22">IF(AR1350="","库存为"&amp;M1350,IF(AS1350=0,"库存为"&amp;M1350,INT(M1350/AR1350)))</f>
        <v>库存为20</v>
      </c>
      <c r="AV1350" s="31" t="str">
        <f>IFERROR(时间!$B$4+AU1350,"上周无销量")</f>
        <v>上周无销量</v>
      </c>
    </row>
    <row r="1351" spans="1:48">
      <c r="A1351" s="16" t="s">
        <v>2344</v>
      </c>
      <c r="B1351" t="s">
        <v>1106</v>
      </c>
      <c r="C1351" t="s">
        <v>2337</v>
      </c>
      <c r="D1351" s="24">
        <v>0</v>
      </c>
      <c r="E1351" s="24">
        <v>0</v>
      </c>
      <c r="F1351" s="24">
        <v>0</v>
      </c>
      <c r="G1351" s="24">
        <v>1</v>
      </c>
      <c r="H1351" s="25">
        <v>24.98</v>
      </c>
      <c r="I1351">
        <v>8</v>
      </c>
      <c r="J1351" s="26">
        <v>0</v>
      </c>
      <c r="K1351" s="26">
        <v>0</v>
      </c>
      <c r="L1351" s="26">
        <v>2</v>
      </c>
      <c r="M1351">
        <v>10</v>
      </c>
      <c r="N1351">
        <v>0</v>
      </c>
      <c r="O1351">
        <v>13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9</v>
      </c>
      <c r="AK1351">
        <v>1</v>
      </c>
      <c r="AL1351">
        <v>6</v>
      </c>
      <c r="AM1351">
        <v>2</v>
      </c>
      <c r="AN1351" s="18">
        <v>0</v>
      </c>
      <c r="AO1351" s="18">
        <v>0</v>
      </c>
      <c r="AP1351" s="18">
        <v>0</v>
      </c>
      <c r="AQ1351" s="18">
        <v>0.5</v>
      </c>
      <c r="AR1351" s="29">
        <v>0</v>
      </c>
      <c r="AS1351" s="29">
        <v>0</v>
      </c>
      <c r="AT1351" s="29">
        <v>10</v>
      </c>
      <c r="AU1351" s="24" t="str">
        <f t="shared" si="22"/>
        <v>库存为10</v>
      </c>
      <c r="AV1351" s="31" t="str">
        <f>IFERROR(时间!$B$4+AU1351,"上周无销量")</f>
        <v>上周无销量</v>
      </c>
    </row>
    <row r="1352" spans="1:48">
      <c r="A1352" s="16" t="s">
        <v>2345</v>
      </c>
      <c r="B1352" t="s">
        <v>1108</v>
      </c>
      <c r="C1352" t="s">
        <v>2337</v>
      </c>
      <c r="D1352" s="24">
        <v>1</v>
      </c>
      <c r="E1352" s="24">
        <v>2</v>
      </c>
      <c r="F1352" s="24">
        <v>1</v>
      </c>
      <c r="G1352" s="24">
        <v>3</v>
      </c>
      <c r="H1352" s="25">
        <v>20.4085714285714</v>
      </c>
      <c r="I1352">
        <v>10</v>
      </c>
      <c r="J1352" s="26">
        <v>0</v>
      </c>
      <c r="K1352" s="26">
        <v>0</v>
      </c>
      <c r="L1352" s="26">
        <v>0</v>
      </c>
      <c r="M1352">
        <v>10</v>
      </c>
      <c r="N1352">
        <v>0</v>
      </c>
      <c r="O1352">
        <v>4</v>
      </c>
      <c r="P1352">
        <v>0</v>
      </c>
      <c r="Q1352">
        <v>0</v>
      </c>
      <c r="R1352">
        <v>40</v>
      </c>
      <c r="S1352">
        <v>4485</v>
      </c>
      <c r="T1352">
        <v>0</v>
      </c>
      <c r="U1352">
        <v>0</v>
      </c>
      <c r="V1352">
        <v>0</v>
      </c>
      <c r="W1352">
        <v>7</v>
      </c>
      <c r="X1352" s="18" t="s">
        <v>52</v>
      </c>
      <c r="Y1352" s="18" t="s">
        <v>52</v>
      </c>
      <c r="Z1352" s="18">
        <v>0</v>
      </c>
      <c r="AA1352" s="18">
        <v>0.00156075808249721</v>
      </c>
      <c r="AB1352">
        <v>0</v>
      </c>
      <c r="AC1352">
        <v>0</v>
      </c>
      <c r="AD1352">
        <v>0</v>
      </c>
      <c r="AE1352">
        <v>4.08</v>
      </c>
      <c r="AF1352" s="18" t="s">
        <v>52</v>
      </c>
      <c r="AG1352" s="18" t="s">
        <v>52</v>
      </c>
      <c r="AH1352" s="18" t="s">
        <v>52</v>
      </c>
      <c r="AI1352" s="18">
        <v>0.0666386672266556</v>
      </c>
      <c r="AJ1352">
        <v>4</v>
      </c>
      <c r="AK1352">
        <v>6</v>
      </c>
      <c r="AL1352">
        <v>8</v>
      </c>
      <c r="AM1352">
        <v>4</v>
      </c>
      <c r="AN1352" s="18">
        <v>0.25</v>
      </c>
      <c r="AO1352" s="18">
        <v>0.333333333333333</v>
      </c>
      <c r="AP1352" s="18">
        <v>0.125</v>
      </c>
      <c r="AQ1352" s="18">
        <v>0.75</v>
      </c>
      <c r="AR1352" s="29">
        <v>0.142857142857143</v>
      </c>
      <c r="AS1352" s="29">
        <v>8.57142857142857</v>
      </c>
      <c r="AT1352" s="29">
        <v>1.42857142857143</v>
      </c>
      <c r="AU1352" s="24">
        <f t="shared" si="22"/>
        <v>70</v>
      </c>
      <c r="AV1352" s="31">
        <f>IFERROR(时间!$B$4+AU1352,"上周无销量")</f>
        <v>43388</v>
      </c>
    </row>
    <row r="1353" spans="1:48">
      <c r="A1353" s="16" t="s">
        <v>2346</v>
      </c>
      <c r="B1353" t="s">
        <v>1110</v>
      </c>
      <c r="C1353" t="s">
        <v>2337</v>
      </c>
      <c r="D1353" s="24">
        <v>0</v>
      </c>
      <c r="E1353" s="24">
        <v>1</v>
      </c>
      <c r="F1353" s="24">
        <v>0</v>
      </c>
      <c r="G1353" s="24">
        <v>3</v>
      </c>
      <c r="H1353" s="25">
        <v>22.98</v>
      </c>
      <c r="I1353">
        <v>18</v>
      </c>
      <c r="J1353" s="26">
        <v>0</v>
      </c>
      <c r="K1353" s="26">
        <v>0</v>
      </c>
      <c r="L1353" s="26">
        <v>0</v>
      </c>
      <c r="M1353">
        <v>18</v>
      </c>
      <c r="N1353">
        <v>0</v>
      </c>
      <c r="O1353">
        <v>14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2</v>
      </c>
      <c r="AK1353">
        <v>8</v>
      </c>
      <c r="AL1353">
        <v>5</v>
      </c>
      <c r="AM1353">
        <v>6</v>
      </c>
      <c r="AN1353" s="18">
        <v>0</v>
      </c>
      <c r="AO1353" s="18">
        <v>0.125</v>
      </c>
      <c r="AP1353" s="18">
        <v>0</v>
      </c>
      <c r="AQ1353" s="18">
        <v>0.5</v>
      </c>
      <c r="AR1353" s="29">
        <v>0</v>
      </c>
      <c r="AS1353" s="29">
        <v>0</v>
      </c>
      <c r="AT1353" s="29">
        <v>18</v>
      </c>
      <c r="AU1353" s="24" t="str">
        <f t="shared" si="22"/>
        <v>库存为18</v>
      </c>
      <c r="AV1353" s="31" t="str">
        <f>IFERROR(时间!$B$4+AU1353,"上周无销量")</f>
        <v>上周无销量</v>
      </c>
    </row>
    <row r="1354" spans="1:48">
      <c r="A1354" s="16" t="s">
        <v>2347</v>
      </c>
      <c r="B1354" t="s">
        <v>1112</v>
      </c>
      <c r="C1354" t="s">
        <v>2337</v>
      </c>
      <c r="D1354" s="24">
        <v>0</v>
      </c>
      <c r="E1354" s="24">
        <v>0</v>
      </c>
      <c r="F1354" s="24">
        <v>0</v>
      </c>
      <c r="G1354" s="24">
        <v>0</v>
      </c>
      <c r="H1354" s="25">
        <v>0</v>
      </c>
      <c r="I1354">
        <v>16</v>
      </c>
      <c r="J1354" s="26">
        <v>0</v>
      </c>
      <c r="K1354" s="26">
        <v>0</v>
      </c>
      <c r="L1354" s="26">
        <v>0</v>
      </c>
      <c r="M1354">
        <v>16</v>
      </c>
      <c r="N1354">
        <v>0</v>
      </c>
      <c r="O1354">
        <v>17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1</v>
      </c>
      <c r="AK1354">
        <v>3</v>
      </c>
      <c r="AL1354">
        <v>5</v>
      </c>
      <c r="AM1354">
        <v>5</v>
      </c>
      <c r="AN1354" s="18">
        <v>0</v>
      </c>
      <c r="AO1354" s="18">
        <v>0</v>
      </c>
      <c r="AP1354" s="18">
        <v>0</v>
      </c>
      <c r="AQ1354" s="18">
        <v>0</v>
      </c>
      <c r="AR1354" s="29">
        <v>0</v>
      </c>
      <c r="AS1354" s="29">
        <v>0</v>
      </c>
      <c r="AT1354" s="29">
        <v>16</v>
      </c>
      <c r="AU1354" s="24" t="str">
        <f t="shared" si="22"/>
        <v>库存为16</v>
      </c>
      <c r="AV1354" s="31" t="str">
        <f>IFERROR(时间!$B$4+AU1354,"上周无销量")</f>
        <v>上周无销量</v>
      </c>
    </row>
    <row r="1355" spans="1:48">
      <c r="A1355" s="16" t="s">
        <v>2348</v>
      </c>
      <c r="B1355" t="s">
        <v>1114</v>
      </c>
      <c r="C1355" t="s">
        <v>2337</v>
      </c>
      <c r="D1355" s="24">
        <v>2</v>
      </c>
      <c r="E1355" s="24">
        <v>0</v>
      </c>
      <c r="F1355" s="24">
        <v>1</v>
      </c>
      <c r="G1355" s="24">
        <v>3</v>
      </c>
      <c r="H1355" s="25">
        <v>20.98</v>
      </c>
      <c r="I1355">
        <v>22</v>
      </c>
      <c r="J1355" s="26">
        <v>0</v>
      </c>
      <c r="K1355" s="26">
        <v>0</v>
      </c>
      <c r="L1355" s="26">
        <v>0</v>
      </c>
      <c r="M1355">
        <v>22</v>
      </c>
      <c r="N1355">
        <v>0</v>
      </c>
      <c r="O1355">
        <v>20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3</v>
      </c>
      <c r="AK1355">
        <v>4</v>
      </c>
      <c r="AL1355">
        <v>4</v>
      </c>
      <c r="AM1355">
        <v>4</v>
      </c>
      <c r="AN1355" s="18">
        <v>0.666666666666667</v>
      </c>
      <c r="AO1355" s="18">
        <v>0</v>
      </c>
      <c r="AP1355" s="18">
        <v>0.25</v>
      </c>
      <c r="AQ1355" s="18">
        <v>0.75</v>
      </c>
      <c r="AR1355" s="29">
        <v>0.285714285714286</v>
      </c>
      <c r="AS1355" s="29">
        <v>17.1428571428571</v>
      </c>
      <c r="AT1355" s="29">
        <v>4.85714285714286</v>
      </c>
      <c r="AU1355" s="24">
        <f t="shared" si="22"/>
        <v>77</v>
      </c>
      <c r="AV1355" s="31">
        <f>IFERROR(时间!$B$4+AU1355,"上周无销量")</f>
        <v>43395</v>
      </c>
    </row>
    <row r="1356" spans="1:48">
      <c r="A1356" s="16" t="s">
        <v>2349</v>
      </c>
      <c r="B1356" t="s">
        <v>1116</v>
      </c>
      <c r="C1356" t="s">
        <v>2337</v>
      </c>
      <c r="D1356" s="24">
        <v>0</v>
      </c>
      <c r="E1356" s="24">
        <v>1</v>
      </c>
      <c r="F1356" s="24">
        <v>0</v>
      </c>
      <c r="G1356" s="24">
        <v>1</v>
      </c>
      <c r="H1356" s="25">
        <v>20.98</v>
      </c>
      <c r="I1356">
        <v>15</v>
      </c>
      <c r="J1356" s="26">
        <v>0</v>
      </c>
      <c r="K1356" s="26">
        <v>0</v>
      </c>
      <c r="L1356" s="26">
        <v>0</v>
      </c>
      <c r="M1356">
        <v>15</v>
      </c>
      <c r="N1356">
        <v>0</v>
      </c>
      <c r="O1356">
        <v>12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4</v>
      </c>
      <c r="AK1356">
        <v>5</v>
      </c>
      <c r="AL1356">
        <v>8</v>
      </c>
      <c r="AM1356">
        <v>5</v>
      </c>
      <c r="AN1356" s="18">
        <v>0</v>
      </c>
      <c r="AO1356" s="18">
        <v>0.2</v>
      </c>
      <c r="AP1356" s="18">
        <v>0</v>
      </c>
      <c r="AQ1356" s="18">
        <v>0.2</v>
      </c>
      <c r="AR1356" s="29">
        <v>0</v>
      </c>
      <c r="AS1356" s="29">
        <v>0</v>
      </c>
      <c r="AT1356" s="29">
        <v>15</v>
      </c>
      <c r="AU1356" s="24" t="str">
        <f t="shared" si="22"/>
        <v>库存为15</v>
      </c>
      <c r="AV1356" s="31" t="str">
        <f>IFERROR(时间!$B$4+AU1356,"上周无销量")</f>
        <v>上周无销量</v>
      </c>
    </row>
    <row r="1357" spans="1:48">
      <c r="A1357" s="16" t="s">
        <v>2350</v>
      </c>
      <c r="B1357" t="s">
        <v>1118</v>
      </c>
      <c r="C1357" t="s">
        <v>2337</v>
      </c>
      <c r="D1357" s="24">
        <v>0</v>
      </c>
      <c r="E1357" s="24">
        <v>0</v>
      </c>
      <c r="F1357" s="24">
        <v>0</v>
      </c>
      <c r="G1357" s="24">
        <v>0</v>
      </c>
      <c r="H1357" s="25">
        <v>0</v>
      </c>
      <c r="I1357">
        <v>6</v>
      </c>
      <c r="J1357" s="26">
        <v>0</v>
      </c>
      <c r="K1357" s="26">
        <v>0</v>
      </c>
      <c r="L1357" s="26">
        <v>0</v>
      </c>
      <c r="M1357">
        <v>6</v>
      </c>
      <c r="N1357">
        <v>0</v>
      </c>
      <c r="O1357">
        <v>6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2</v>
      </c>
      <c r="AK1357">
        <v>3</v>
      </c>
      <c r="AL1357">
        <v>4</v>
      </c>
      <c r="AM1357">
        <v>3</v>
      </c>
      <c r="AN1357" s="18">
        <v>0</v>
      </c>
      <c r="AO1357" s="18">
        <v>0</v>
      </c>
      <c r="AP1357" s="18">
        <v>0</v>
      </c>
      <c r="AQ1357" s="18">
        <v>0</v>
      </c>
      <c r="AR1357" s="29">
        <v>0</v>
      </c>
      <c r="AS1357" s="29">
        <v>0</v>
      </c>
      <c r="AT1357" s="29">
        <v>6</v>
      </c>
      <c r="AU1357" s="24" t="str">
        <f t="shared" si="22"/>
        <v>库存为6</v>
      </c>
      <c r="AV1357" s="31" t="str">
        <f>IFERROR(时间!$B$4+AU1357,"上周无销量")</f>
        <v>上周无销量</v>
      </c>
    </row>
    <row r="1358" spans="1:48">
      <c r="A1358" s="16" t="s">
        <v>2351</v>
      </c>
      <c r="B1358" t="s">
        <v>1120</v>
      </c>
      <c r="C1358" t="s">
        <v>2337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13</v>
      </c>
      <c r="J1358" s="26">
        <v>0</v>
      </c>
      <c r="K1358" s="26">
        <v>0</v>
      </c>
      <c r="L1358" s="26">
        <v>0</v>
      </c>
      <c r="M1358">
        <v>13</v>
      </c>
      <c r="N1358">
        <v>0</v>
      </c>
      <c r="O1358">
        <v>10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2</v>
      </c>
      <c r="AK1358">
        <v>4</v>
      </c>
      <c r="AL1358">
        <v>4</v>
      </c>
      <c r="AM1358">
        <v>1</v>
      </c>
      <c r="AN1358" s="18">
        <v>0</v>
      </c>
      <c r="AO1358" s="18">
        <v>0</v>
      </c>
      <c r="AP1358" s="18">
        <v>0</v>
      </c>
      <c r="AQ1358" s="18">
        <v>0</v>
      </c>
      <c r="AR1358" s="29">
        <v>0</v>
      </c>
      <c r="AS1358" s="29">
        <v>0</v>
      </c>
      <c r="AT1358" s="29">
        <v>13</v>
      </c>
      <c r="AU1358" s="24" t="str">
        <f t="shared" si="22"/>
        <v>库存为13</v>
      </c>
      <c r="AV1358" s="31" t="str">
        <f>IFERROR(时间!$B$4+AU1358,"上周无销量")</f>
        <v>上周无销量</v>
      </c>
    </row>
    <row r="1359" spans="1:49">
      <c r="A1359" s="16" t="s">
        <v>2352</v>
      </c>
      <c r="B1359" t="s">
        <v>1122</v>
      </c>
      <c r="C1359" t="s">
        <v>2337</v>
      </c>
      <c r="D1359" s="24">
        <v>0</v>
      </c>
      <c r="E1359" s="24">
        <v>0</v>
      </c>
      <c r="F1359" s="24">
        <v>0</v>
      </c>
      <c r="G1359" s="24">
        <v>0</v>
      </c>
      <c r="H1359" s="25">
        <v>0</v>
      </c>
      <c r="I1359">
        <v>21</v>
      </c>
      <c r="J1359" s="26">
        <v>0</v>
      </c>
      <c r="K1359" s="26">
        <v>0</v>
      </c>
      <c r="L1359" s="26">
        <v>0</v>
      </c>
      <c r="M1359">
        <v>21</v>
      </c>
      <c r="N1359">
        <v>0</v>
      </c>
      <c r="O1359">
        <v>20</v>
      </c>
      <c r="P1359">
        <v>365</v>
      </c>
      <c r="Q1359">
        <v>211</v>
      </c>
      <c r="R1359">
        <v>270</v>
      </c>
      <c r="S1359">
        <v>66</v>
      </c>
      <c r="T1359">
        <v>1</v>
      </c>
      <c r="U1359">
        <v>1</v>
      </c>
      <c r="V1359">
        <v>0</v>
      </c>
      <c r="W1359">
        <v>0</v>
      </c>
      <c r="X1359" s="18">
        <v>0.00273972602739726</v>
      </c>
      <c r="Y1359" s="18">
        <v>0.004739336492891</v>
      </c>
      <c r="Z1359" s="18">
        <v>0</v>
      </c>
      <c r="AA1359" s="18">
        <v>0</v>
      </c>
      <c r="AB1359">
        <v>0.24</v>
      </c>
      <c r="AC1359">
        <v>0.38</v>
      </c>
      <c r="AD1359">
        <v>0</v>
      </c>
      <c r="AE1359">
        <v>0</v>
      </c>
      <c r="AF1359" s="18" t="s">
        <v>2353</v>
      </c>
      <c r="AG1359" s="18" t="s">
        <v>2354</v>
      </c>
      <c r="AH1359" s="18" t="s">
        <v>52</v>
      </c>
      <c r="AI1359" s="18" t="s">
        <v>52</v>
      </c>
      <c r="AJ1359">
        <v>4</v>
      </c>
      <c r="AK1359">
        <v>6</v>
      </c>
      <c r="AL1359">
        <v>4</v>
      </c>
      <c r="AM1359">
        <v>5</v>
      </c>
      <c r="AN1359" s="18">
        <v>0</v>
      </c>
      <c r="AO1359" s="18">
        <v>0</v>
      </c>
      <c r="AP1359" s="18">
        <v>0</v>
      </c>
      <c r="AQ1359" s="18">
        <v>0</v>
      </c>
      <c r="AR1359" s="29">
        <v>0</v>
      </c>
      <c r="AS1359" s="29">
        <v>0</v>
      </c>
      <c r="AT1359" s="29">
        <v>21</v>
      </c>
      <c r="AU1359" s="24" t="str">
        <f t="shared" si="22"/>
        <v>库存为21</v>
      </c>
      <c r="AV1359" s="31" t="str">
        <f>IFERROR(时间!$B$4+AU1359,"上周无销量")</f>
        <v>上周无销量</v>
      </c>
      <c r="AW1359" s="31"/>
    </row>
    <row r="1360" spans="1:48">
      <c r="A1360" s="16" t="s">
        <v>2355</v>
      </c>
      <c r="B1360" t="s">
        <v>1124</v>
      </c>
      <c r="C1360" t="s">
        <v>2337</v>
      </c>
      <c r="D1360" s="24">
        <v>0</v>
      </c>
      <c r="E1360" s="24">
        <v>0</v>
      </c>
      <c r="F1360" s="24">
        <v>1</v>
      </c>
      <c r="G1360" s="24">
        <v>0</v>
      </c>
      <c r="H1360" s="25">
        <v>16.98</v>
      </c>
      <c r="I1360">
        <v>6</v>
      </c>
      <c r="J1360" s="26">
        <v>0</v>
      </c>
      <c r="K1360" s="26">
        <v>0</v>
      </c>
      <c r="L1360" s="26">
        <v>0</v>
      </c>
      <c r="M1360">
        <v>6</v>
      </c>
      <c r="N1360">
        <v>0</v>
      </c>
      <c r="O1360">
        <v>4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3</v>
      </c>
      <c r="AK1360">
        <v>6</v>
      </c>
      <c r="AL1360">
        <v>9</v>
      </c>
      <c r="AM1360">
        <v>2</v>
      </c>
      <c r="AN1360" s="18">
        <v>0</v>
      </c>
      <c r="AO1360" s="18">
        <v>0</v>
      </c>
      <c r="AP1360" s="18">
        <v>0.111111111111111</v>
      </c>
      <c r="AQ1360" s="18">
        <v>0</v>
      </c>
      <c r="AR1360" s="29">
        <v>0</v>
      </c>
      <c r="AS1360" s="29">
        <v>0</v>
      </c>
      <c r="AT1360" s="29">
        <v>6</v>
      </c>
      <c r="AU1360" s="24" t="str">
        <f t="shared" si="22"/>
        <v>库存为6</v>
      </c>
      <c r="AV1360" s="31" t="str">
        <f>IFERROR(时间!$B$4+AU1360,"上周无销量")</f>
        <v>上周无销量</v>
      </c>
    </row>
    <row r="1361" spans="1:48">
      <c r="A1361" s="16" t="s">
        <v>2356</v>
      </c>
      <c r="B1361" t="s">
        <v>1126</v>
      </c>
      <c r="C1361" t="s">
        <v>2337</v>
      </c>
      <c r="D1361" s="24">
        <v>1</v>
      </c>
      <c r="E1361" s="24">
        <v>0</v>
      </c>
      <c r="F1361" s="24">
        <v>0</v>
      </c>
      <c r="G1361" s="24">
        <v>1</v>
      </c>
      <c r="H1361" s="25">
        <v>18.48</v>
      </c>
      <c r="I1361">
        <v>14</v>
      </c>
      <c r="J1361" s="26">
        <v>0</v>
      </c>
      <c r="K1361" s="26">
        <v>0</v>
      </c>
      <c r="L1361" s="26">
        <v>0</v>
      </c>
      <c r="M1361">
        <v>14</v>
      </c>
      <c r="N1361">
        <v>0</v>
      </c>
      <c r="O1361">
        <v>14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4</v>
      </c>
      <c r="AK1361">
        <v>1</v>
      </c>
      <c r="AL1361">
        <v>10</v>
      </c>
      <c r="AM1361">
        <v>5</v>
      </c>
      <c r="AN1361" s="18">
        <v>0.25</v>
      </c>
      <c r="AO1361" s="18">
        <v>0</v>
      </c>
      <c r="AP1361" s="18">
        <v>0</v>
      </c>
      <c r="AQ1361" s="18">
        <v>0.2</v>
      </c>
      <c r="AR1361" s="29">
        <v>0.142857142857143</v>
      </c>
      <c r="AS1361" s="29">
        <v>8.57142857142857</v>
      </c>
      <c r="AT1361" s="29">
        <v>5.42857142857143</v>
      </c>
      <c r="AU1361" s="24">
        <f t="shared" si="22"/>
        <v>98</v>
      </c>
      <c r="AV1361" s="31">
        <f>IFERROR(时间!$B$4+AU1361,"上周无销量")</f>
        <v>43416</v>
      </c>
    </row>
    <row r="1362" spans="1:48">
      <c r="A1362" s="16" t="s">
        <v>2357</v>
      </c>
      <c r="B1362" t="s">
        <v>1130</v>
      </c>
      <c r="C1362" t="s">
        <v>2337</v>
      </c>
      <c r="D1362" s="24">
        <v>0</v>
      </c>
      <c r="E1362" s="24">
        <v>1</v>
      </c>
      <c r="F1362" s="24">
        <v>0</v>
      </c>
      <c r="G1362" s="24">
        <v>0</v>
      </c>
      <c r="H1362" s="25">
        <v>16.98</v>
      </c>
      <c r="I1362">
        <v>2</v>
      </c>
      <c r="J1362" s="26">
        <v>0</v>
      </c>
      <c r="K1362" s="26">
        <v>0</v>
      </c>
      <c r="L1362" s="26">
        <v>0</v>
      </c>
      <c r="M1362">
        <v>2</v>
      </c>
      <c r="N1362">
        <v>0</v>
      </c>
      <c r="O1362">
        <v>1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0</v>
      </c>
      <c r="AK1362">
        <v>0</v>
      </c>
      <c r="AL1362">
        <v>7</v>
      </c>
      <c r="AM1362">
        <v>2</v>
      </c>
      <c r="AN1362" s="18" t="s">
        <v>52</v>
      </c>
      <c r="AO1362" s="18" t="s">
        <v>52</v>
      </c>
      <c r="AP1362" s="18">
        <v>0</v>
      </c>
      <c r="AQ1362" s="18">
        <v>0</v>
      </c>
      <c r="AR1362" s="29">
        <v>0</v>
      </c>
      <c r="AS1362" s="29">
        <v>0</v>
      </c>
      <c r="AT1362" s="29">
        <v>2</v>
      </c>
      <c r="AU1362" s="24" t="str">
        <f t="shared" si="22"/>
        <v>库存为2</v>
      </c>
      <c r="AV1362" s="31" t="str">
        <f>IFERROR(时间!$B$4+AU1362,"上周无销量")</f>
        <v>上周无销量</v>
      </c>
    </row>
    <row r="1363" spans="1:48">
      <c r="A1363" s="16" t="s">
        <v>2358</v>
      </c>
      <c r="B1363" t="s">
        <v>1132</v>
      </c>
      <c r="C1363" t="s">
        <v>2337</v>
      </c>
      <c r="D1363" s="24">
        <v>0</v>
      </c>
      <c r="E1363" s="24">
        <v>0</v>
      </c>
      <c r="F1363" s="24">
        <v>0</v>
      </c>
      <c r="G1363" s="24">
        <v>1</v>
      </c>
      <c r="H1363" s="25">
        <v>18.88</v>
      </c>
      <c r="I1363">
        <v>20</v>
      </c>
      <c r="J1363" s="26">
        <v>0</v>
      </c>
      <c r="K1363" s="26">
        <v>0</v>
      </c>
      <c r="L1363" s="26">
        <v>0</v>
      </c>
      <c r="M1363">
        <v>20</v>
      </c>
      <c r="N1363">
        <v>0</v>
      </c>
      <c r="O1363">
        <v>19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7</v>
      </c>
      <c r="AK1363">
        <v>8</v>
      </c>
      <c r="AL1363">
        <v>6</v>
      </c>
      <c r="AM1363">
        <v>4</v>
      </c>
      <c r="AN1363" s="18">
        <v>0</v>
      </c>
      <c r="AO1363" s="18">
        <v>0</v>
      </c>
      <c r="AP1363" s="18">
        <v>0</v>
      </c>
      <c r="AQ1363" s="18">
        <v>0.25</v>
      </c>
      <c r="AR1363" s="29">
        <v>0</v>
      </c>
      <c r="AS1363" s="29">
        <v>0</v>
      </c>
      <c r="AT1363" s="29">
        <v>20</v>
      </c>
      <c r="AU1363" s="24" t="str">
        <f t="shared" si="22"/>
        <v>库存为20</v>
      </c>
      <c r="AV1363" s="31" t="str">
        <f>IFERROR(时间!$B$4+AU1363,"上周无销量")</f>
        <v>上周无销量</v>
      </c>
    </row>
    <row r="1364" spans="1:48">
      <c r="A1364" s="16" t="s">
        <v>2359</v>
      </c>
      <c r="B1364" t="s">
        <v>1136</v>
      </c>
      <c r="C1364" t="s">
        <v>2337</v>
      </c>
      <c r="D1364" s="24">
        <v>0</v>
      </c>
      <c r="E1364" s="24">
        <v>1</v>
      </c>
      <c r="F1364" s="24">
        <v>1</v>
      </c>
      <c r="G1364" s="24">
        <v>0</v>
      </c>
      <c r="H1364" s="25">
        <v>23.48</v>
      </c>
      <c r="I1364">
        <v>1</v>
      </c>
      <c r="J1364" s="26">
        <v>0</v>
      </c>
      <c r="K1364" s="26">
        <v>0</v>
      </c>
      <c r="L1364" s="26">
        <v>0</v>
      </c>
      <c r="M1364">
        <v>1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2</v>
      </c>
      <c r="AK1364">
        <v>3</v>
      </c>
      <c r="AL1364">
        <v>4</v>
      </c>
      <c r="AM1364">
        <v>7</v>
      </c>
      <c r="AN1364" s="18">
        <v>0</v>
      </c>
      <c r="AO1364" s="18">
        <v>0.333333333333333</v>
      </c>
      <c r="AP1364" s="18">
        <v>0.25</v>
      </c>
      <c r="AQ1364" s="18">
        <v>0</v>
      </c>
      <c r="AR1364" s="29">
        <v>0</v>
      </c>
      <c r="AS1364" s="29">
        <v>0</v>
      </c>
      <c r="AT1364" s="29">
        <v>1</v>
      </c>
      <c r="AU1364" s="24" t="str">
        <f t="shared" si="22"/>
        <v>库存为1</v>
      </c>
      <c r="AV1364" s="31" t="str">
        <f>IFERROR(时间!$B$4+AU1364,"上周无销量")</f>
        <v>上周无销量</v>
      </c>
    </row>
    <row r="1365" spans="1:48">
      <c r="A1365" s="16" t="s">
        <v>2360</v>
      </c>
      <c r="B1365" t="s">
        <v>1138</v>
      </c>
      <c r="C1365" t="s">
        <v>2337</v>
      </c>
      <c r="D1365" s="24">
        <v>1</v>
      </c>
      <c r="E1365" s="24">
        <v>2</v>
      </c>
      <c r="F1365" s="24">
        <v>1</v>
      </c>
      <c r="G1365" s="24">
        <v>0</v>
      </c>
      <c r="H1365" s="25">
        <v>18.98</v>
      </c>
      <c r="I1365">
        <v>19</v>
      </c>
      <c r="J1365" s="26">
        <v>0</v>
      </c>
      <c r="K1365" s="26">
        <v>0</v>
      </c>
      <c r="L1365" s="26">
        <v>0</v>
      </c>
      <c r="M1365">
        <v>19</v>
      </c>
      <c r="N1365">
        <v>0</v>
      </c>
      <c r="O1365">
        <v>3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9</v>
      </c>
      <c r="AK1365">
        <v>4</v>
      </c>
      <c r="AL1365">
        <v>6</v>
      </c>
      <c r="AM1365">
        <v>1</v>
      </c>
      <c r="AN1365" s="18">
        <v>0.111111111111111</v>
      </c>
      <c r="AO1365" s="18">
        <v>0.5</v>
      </c>
      <c r="AP1365" s="18">
        <v>0.166666666666667</v>
      </c>
      <c r="AQ1365" s="18">
        <v>0</v>
      </c>
      <c r="AR1365" s="29">
        <v>0.142857142857143</v>
      </c>
      <c r="AS1365" s="29">
        <v>8.57142857142857</v>
      </c>
      <c r="AT1365" s="29">
        <v>10.4285714285714</v>
      </c>
      <c r="AU1365" s="24">
        <f t="shared" si="22"/>
        <v>133</v>
      </c>
      <c r="AV1365" s="31">
        <f>IFERROR(时间!$B$4+AU1365,"上周无销量")</f>
        <v>43451</v>
      </c>
    </row>
    <row r="1366" spans="1:48">
      <c r="A1366" s="16" t="s">
        <v>2361</v>
      </c>
      <c r="B1366" t="s">
        <v>1140</v>
      </c>
      <c r="C1366" t="s">
        <v>2337</v>
      </c>
      <c r="D1366" s="24">
        <v>0</v>
      </c>
      <c r="E1366" s="24">
        <v>0</v>
      </c>
      <c r="F1366" s="24">
        <v>4</v>
      </c>
      <c r="G1366" s="24">
        <v>0</v>
      </c>
      <c r="H1366" s="25">
        <v>16.98</v>
      </c>
      <c r="I1366">
        <v>3</v>
      </c>
      <c r="J1366" s="26">
        <v>0</v>
      </c>
      <c r="K1366" s="26">
        <v>0</v>
      </c>
      <c r="L1366" s="26">
        <v>0</v>
      </c>
      <c r="M1366">
        <v>3</v>
      </c>
      <c r="N1366">
        <v>0</v>
      </c>
      <c r="O1366">
        <v>3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8</v>
      </c>
      <c r="AK1366">
        <v>6</v>
      </c>
      <c r="AL1366">
        <v>6</v>
      </c>
      <c r="AM1366">
        <v>3</v>
      </c>
      <c r="AN1366" s="18">
        <v>0</v>
      </c>
      <c r="AO1366" s="18">
        <v>0</v>
      </c>
      <c r="AP1366" s="18">
        <v>0.666666666666667</v>
      </c>
      <c r="AQ1366" s="18">
        <v>0</v>
      </c>
      <c r="AR1366" s="29">
        <v>0</v>
      </c>
      <c r="AS1366" s="29">
        <v>0</v>
      </c>
      <c r="AT1366" s="29">
        <v>3</v>
      </c>
      <c r="AU1366" s="24" t="str">
        <f t="shared" si="22"/>
        <v>库存为3</v>
      </c>
      <c r="AV1366" s="31" t="str">
        <f>IFERROR(时间!$B$4+AU1366,"上周无销量")</f>
        <v>上周无销量</v>
      </c>
    </row>
    <row r="1367" spans="1:48">
      <c r="A1367" s="16" t="s">
        <v>2362</v>
      </c>
      <c r="B1367" t="s">
        <v>1142</v>
      </c>
      <c r="C1367" t="s">
        <v>2337</v>
      </c>
      <c r="D1367" s="24">
        <v>0</v>
      </c>
      <c r="E1367" s="24">
        <v>1</v>
      </c>
      <c r="F1367" s="24">
        <v>6</v>
      </c>
      <c r="G1367" s="24">
        <v>0</v>
      </c>
      <c r="H1367" s="25">
        <v>16.98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4</v>
      </c>
      <c r="AK1367">
        <v>7</v>
      </c>
      <c r="AL1367">
        <v>5</v>
      </c>
      <c r="AM1367">
        <v>5</v>
      </c>
      <c r="AN1367" s="18">
        <v>0</v>
      </c>
      <c r="AO1367" s="18">
        <v>0.142857142857143</v>
      </c>
      <c r="AP1367" s="18">
        <v>1.2</v>
      </c>
      <c r="AQ1367" s="18">
        <v>0</v>
      </c>
      <c r="AR1367" s="29">
        <v>0</v>
      </c>
      <c r="AS1367" s="29">
        <v>0</v>
      </c>
      <c r="AT1367" s="29">
        <v>0</v>
      </c>
      <c r="AU1367" s="24" t="str">
        <f t="shared" si="22"/>
        <v>库存为0</v>
      </c>
      <c r="AV1367" s="31" t="str">
        <f>IFERROR(时间!$B$4+AU1367,"上周无销量")</f>
        <v>上周无销量</v>
      </c>
    </row>
    <row r="1368" spans="1:48">
      <c r="A1368" s="16" t="s">
        <v>2363</v>
      </c>
      <c r="B1368" t="s">
        <v>1144</v>
      </c>
      <c r="C1368" t="s">
        <v>2337</v>
      </c>
      <c r="D1368" s="24">
        <v>0</v>
      </c>
      <c r="E1368" s="24">
        <v>0</v>
      </c>
      <c r="F1368" s="24">
        <v>0</v>
      </c>
      <c r="G1368" s="24">
        <v>0</v>
      </c>
      <c r="H1368" s="25">
        <v>0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1</v>
      </c>
      <c r="AK1368">
        <v>0</v>
      </c>
      <c r="AL1368">
        <v>0</v>
      </c>
      <c r="AM1368">
        <v>0</v>
      </c>
      <c r="AN1368" s="18">
        <v>0</v>
      </c>
      <c r="AO1368" s="18" t="s">
        <v>52</v>
      </c>
      <c r="AP1368" s="18" t="s">
        <v>52</v>
      </c>
      <c r="AQ1368" s="18" t="s">
        <v>52</v>
      </c>
      <c r="AR1368" s="29">
        <v>0</v>
      </c>
      <c r="AS1368" s="29">
        <v>0</v>
      </c>
      <c r="AT1368" s="29">
        <v>0</v>
      </c>
      <c r="AU1368" s="24" t="str">
        <f t="shared" si="22"/>
        <v>库存为0</v>
      </c>
      <c r="AV1368" s="31" t="str">
        <f>IFERROR(时间!$B$4+AU1368,"上周无销量")</f>
        <v>上周无销量</v>
      </c>
    </row>
    <row r="1369" spans="1:48">
      <c r="A1369" s="16" t="s">
        <v>2364</v>
      </c>
      <c r="B1369" t="s">
        <v>1146</v>
      </c>
      <c r="C1369" t="s">
        <v>2337</v>
      </c>
      <c r="D1369" s="24">
        <v>0</v>
      </c>
      <c r="E1369" s="24">
        <v>1</v>
      </c>
      <c r="F1369" s="24">
        <v>0</v>
      </c>
      <c r="G1369" s="24">
        <v>2</v>
      </c>
      <c r="H1369" s="25">
        <v>22.3133333333333</v>
      </c>
      <c r="I1369">
        <v>20</v>
      </c>
      <c r="J1369" s="26">
        <v>0</v>
      </c>
      <c r="K1369" s="26">
        <v>0</v>
      </c>
      <c r="L1369" s="26">
        <v>0</v>
      </c>
      <c r="M1369">
        <v>20</v>
      </c>
      <c r="N1369">
        <v>0</v>
      </c>
      <c r="O1369">
        <v>0</v>
      </c>
      <c r="P1369">
        <v>308</v>
      </c>
      <c r="Q1369">
        <v>204</v>
      </c>
      <c r="R1369">
        <v>333</v>
      </c>
      <c r="S1369">
        <v>255</v>
      </c>
      <c r="T1369">
        <v>1</v>
      </c>
      <c r="U1369">
        <v>0</v>
      </c>
      <c r="V1369">
        <v>1</v>
      </c>
      <c r="W1369">
        <v>1</v>
      </c>
      <c r="X1369" s="18">
        <v>0.00324675324675325</v>
      </c>
      <c r="Y1369" s="18">
        <v>0</v>
      </c>
      <c r="Z1369" s="18">
        <v>0.003003003003003</v>
      </c>
      <c r="AA1369" s="18">
        <v>0.00392156862745098</v>
      </c>
      <c r="AB1369">
        <v>0.15</v>
      </c>
      <c r="AC1369">
        <v>0</v>
      </c>
      <c r="AD1369">
        <v>0.58</v>
      </c>
      <c r="AE1369">
        <v>0.24</v>
      </c>
      <c r="AF1369" s="18" t="s">
        <v>2365</v>
      </c>
      <c r="AG1369" s="18" t="s">
        <v>52</v>
      </c>
      <c r="AH1369" s="18" t="s">
        <v>2366</v>
      </c>
      <c r="AI1369" s="18">
        <v>0.00537795040334629</v>
      </c>
      <c r="AJ1369">
        <v>5</v>
      </c>
      <c r="AK1369">
        <v>8</v>
      </c>
      <c r="AL1369">
        <v>8</v>
      </c>
      <c r="AM1369">
        <v>5</v>
      </c>
      <c r="AN1369" s="18">
        <v>0</v>
      </c>
      <c r="AO1369" s="18">
        <v>0.125</v>
      </c>
      <c r="AP1369" s="18">
        <v>0</v>
      </c>
      <c r="AQ1369" s="18">
        <v>0.4</v>
      </c>
      <c r="AR1369" s="29">
        <v>0</v>
      </c>
      <c r="AS1369" s="29">
        <v>0</v>
      </c>
      <c r="AT1369" s="29">
        <v>20</v>
      </c>
      <c r="AU1369" s="24" t="str">
        <f t="shared" si="22"/>
        <v>库存为20</v>
      </c>
      <c r="AV1369" s="31" t="str">
        <f>IFERROR(时间!$B$4+AU1369,"上周无销量")</f>
        <v>上周无销量</v>
      </c>
    </row>
    <row r="1370" spans="1:48">
      <c r="A1370" s="16" t="s">
        <v>2367</v>
      </c>
      <c r="B1370" t="s">
        <v>1148</v>
      </c>
      <c r="C1370" t="s">
        <v>2337</v>
      </c>
      <c r="D1370" s="24">
        <v>2</v>
      </c>
      <c r="E1370" s="24">
        <v>0</v>
      </c>
      <c r="F1370" s="24">
        <v>0</v>
      </c>
      <c r="G1370" s="24">
        <v>2</v>
      </c>
      <c r="H1370" s="25">
        <v>20.98</v>
      </c>
      <c r="I1370">
        <v>17</v>
      </c>
      <c r="J1370" s="26">
        <v>0</v>
      </c>
      <c r="K1370" s="26">
        <v>0</v>
      </c>
      <c r="L1370" s="26">
        <v>0</v>
      </c>
      <c r="M1370">
        <v>17</v>
      </c>
      <c r="N1370">
        <v>0</v>
      </c>
      <c r="O1370">
        <v>18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4</v>
      </c>
      <c r="AK1370">
        <v>4</v>
      </c>
      <c r="AL1370">
        <v>4</v>
      </c>
      <c r="AM1370">
        <v>6</v>
      </c>
      <c r="AN1370" s="18">
        <v>0.5</v>
      </c>
      <c r="AO1370" s="18">
        <v>0</v>
      </c>
      <c r="AP1370" s="18">
        <v>0</v>
      </c>
      <c r="AQ1370" s="18">
        <v>0.333333333333333</v>
      </c>
      <c r="AR1370" s="29">
        <v>0.285714285714286</v>
      </c>
      <c r="AS1370" s="29">
        <v>17.1428571428571</v>
      </c>
      <c r="AT1370" s="29">
        <v>-0.142857142857142</v>
      </c>
      <c r="AU1370" s="24">
        <f t="shared" si="22"/>
        <v>59</v>
      </c>
      <c r="AV1370" s="31">
        <f>IFERROR(时间!$B$4+AU1370,"上周无销量")</f>
        <v>43377</v>
      </c>
    </row>
    <row r="1371" spans="1:48">
      <c r="A1371" s="16" t="s">
        <v>2368</v>
      </c>
      <c r="B1371" t="s">
        <v>1150</v>
      </c>
      <c r="C1371" t="s">
        <v>2337</v>
      </c>
      <c r="D1371" s="24">
        <v>0</v>
      </c>
      <c r="E1371" s="24">
        <v>0</v>
      </c>
      <c r="F1371" s="24">
        <v>0</v>
      </c>
      <c r="G1371" s="24">
        <v>1</v>
      </c>
      <c r="H1371" s="25">
        <v>24.98</v>
      </c>
      <c r="I1371">
        <v>27</v>
      </c>
      <c r="J1371" s="26">
        <v>0</v>
      </c>
      <c r="K1371" s="26">
        <v>0</v>
      </c>
      <c r="L1371" s="26">
        <v>0</v>
      </c>
      <c r="M1371">
        <v>27</v>
      </c>
      <c r="N1371">
        <v>0</v>
      </c>
      <c r="O1371">
        <v>25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0</v>
      </c>
      <c r="AK1371">
        <v>2</v>
      </c>
      <c r="AL1371">
        <v>8</v>
      </c>
      <c r="AM1371">
        <v>2</v>
      </c>
      <c r="AN1371" s="18" t="s">
        <v>52</v>
      </c>
      <c r="AO1371" s="18">
        <v>0</v>
      </c>
      <c r="AP1371" s="18">
        <v>0</v>
      </c>
      <c r="AQ1371" s="18">
        <v>0.5</v>
      </c>
      <c r="AR1371" s="29">
        <v>0</v>
      </c>
      <c r="AS1371" s="29">
        <v>0</v>
      </c>
      <c r="AT1371" s="29">
        <v>27</v>
      </c>
      <c r="AU1371" s="24" t="str">
        <f t="shared" si="22"/>
        <v>库存为27</v>
      </c>
      <c r="AV1371" s="31" t="str">
        <f>IFERROR(时间!$B$4+AU1371,"上周无销量")</f>
        <v>上周无销量</v>
      </c>
    </row>
    <row r="1372" spans="1:48">
      <c r="A1372" s="16" t="s">
        <v>2369</v>
      </c>
      <c r="B1372" t="s">
        <v>1152</v>
      </c>
      <c r="C1372" t="s">
        <v>2337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17</v>
      </c>
      <c r="J1372" s="26">
        <v>0</v>
      </c>
      <c r="K1372" s="26">
        <v>0</v>
      </c>
      <c r="L1372" s="26">
        <v>0</v>
      </c>
      <c r="M1372">
        <v>17</v>
      </c>
      <c r="N1372">
        <v>0</v>
      </c>
      <c r="O1372">
        <v>16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2</v>
      </c>
      <c r="AK1372">
        <v>2</v>
      </c>
      <c r="AL1372">
        <v>2</v>
      </c>
      <c r="AM1372">
        <v>1</v>
      </c>
      <c r="AN1372" s="18">
        <v>0</v>
      </c>
      <c r="AO1372" s="18">
        <v>0</v>
      </c>
      <c r="AP1372" s="18">
        <v>0</v>
      </c>
      <c r="AQ1372" s="18">
        <v>0</v>
      </c>
      <c r="AR1372" s="29">
        <v>0</v>
      </c>
      <c r="AS1372" s="29">
        <v>0</v>
      </c>
      <c r="AT1372" s="29">
        <v>17</v>
      </c>
      <c r="AU1372" s="24" t="str">
        <f t="shared" si="22"/>
        <v>库存为17</v>
      </c>
      <c r="AV1372" s="31" t="str">
        <f>IFERROR(时间!$B$4+AU1372,"上周无销量")</f>
        <v>上周无销量</v>
      </c>
    </row>
    <row r="1373" spans="1:48">
      <c r="A1373" s="16" t="s">
        <v>2370</v>
      </c>
      <c r="B1373" t="s">
        <v>1154</v>
      </c>
      <c r="C1373" t="s">
        <v>2337</v>
      </c>
      <c r="D1373" s="24">
        <v>1</v>
      </c>
      <c r="E1373" s="24">
        <v>0</v>
      </c>
      <c r="F1373" s="24">
        <v>1</v>
      </c>
      <c r="G1373" s="24">
        <v>1</v>
      </c>
      <c r="H1373" s="25">
        <v>19.6466666666667</v>
      </c>
      <c r="I1373">
        <v>7</v>
      </c>
      <c r="J1373" s="26">
        <v>0</v>
      </c>
      <c r="K1373" s="26">
        <v>0</v>
      </c>
      <c r="L1373" s="26">
        <v>0</v>
      </c>
      <c r="M1373">
        <v>7</v>
      </c>
      <c r="N1373">
        <v>0</v>
      </c>
      <c r="O1373">
        <v>7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5</v>
      </c>
      <c r="AK1373">
        <v>1</v>
      </c>
      <c r="AL1373">
        <v>5</v>
      </c>
      <c r="AM1373">
        <v>2</v>
      </c>
      <c r="AN1373" s="18">
        <v>0.2</v>
      </c>
      <c r="AO1373" s="18">
        <v>0</v>
      </c>
      <c r="AP1373" s="18">
        <v>0.2</v>
      </c>
      <c r="AQ1373" s="18">
        <v>0.5</v>
      </c>
      <c r="AR1373" s="29">
        <v>0.142857142857143</v>
      </c>
      <c r="AS1373" s="29">
        <v>8.57142857142857</v>
      </c>
      <c r="AT1373" s="29">
        <v>-1.57142857142857</v>
      </c>
      <c r="AU1373" s="24">
        <f t="shared" si="22"/>
        <v>49</v>
      </c>
      <c r="AV1373" s="31">
        <f>IFERROR(时间!$B$4+AU1373,"上周无销量")</f>
        <v>43367</v>
      </c>
    </row>
    <row r="1374" spans="1:48">
      <c r="A1374" s="16" t="s">
        <v>2371</v>
      </c>
      <c r="B1374" t="s">
        <v>1156</v>
      </c>
      <c r="C1374" t="s">
        <v>2337</v>
      </c>
      <c r="D1374" s="24">
        <v>1</v>
      </c>
      <c r="E1374" s="24">
        <v>0</v>
      </c>
      <c r="F1374" s="24">
        <v>0</v>
      </c>
      <c r="G1374" s="24">
        <v>1</v>
      </c>
      <c r="H1374" s="25">
        <v>20.98</v>
      </c>
      <c r="I1374">
        <v>7</v>
      </c>
      <c r="J1374" s="26">
        <v>0</v>
      </c>
      <c r="K1374" s="26">
        <v>0</v>
      </c>
      <c r="L1374" s="26">
        <v>1</v>
      </c>
      <c r="M1374">
        <v>8</v>
      </c>
      <c r="N1374">
        <v>0</v>
      </c>
      <c r="O1374">
        <v>10</v>
      </c>
      <c r="P1374">
        <v>58</v>
      </c>
      <c r="Q1374">
        <v>6098</v>
      </c>
      <c r="R1374">
        <v>9050</v>
      </c>
      <c r="S1374">
        <v>16965</v>
      </c>
      <c r="T1374">
        <v>1</v>
      </c>
      <c r="U1374">
        <v>3</v>
      </c>
      <c r="V1374">
        <v>4</v>
      </c>
      <c r="W1374">
        <v>8</v>
      </c>
      <c r="X1374" s="18">
        <v>0.0172413793103448</v>
      </c>
      <c r="Y1374" s="18">
        <v>0.000491964578550344</v>
      </c>
      <c r="Z1374" s="18">
        <v>0.000441988950276243</v>
      </c>
      <c r="AA1374" s="18">
        <v>0.000471559092248747</v>
      </c>
      <c r="AB1374">
        <v>0.31</v>
      </c>
      <c r="AC1374">
        <v>1.41</v>
      </c>
      <c r="AD1374">
        <v>1.41</v>
      </c>
      <c r="AE1374">
        <v>4.15</v>
      </c>
      <c r="AF1374" s="18">
        <v>0.0147759771210677</v>
      </c>
      <c r="AG1374" s="18" t="s">
        <v>2372</v>
      </c>
      <c r="AH1374" s="18" t="s">
        <v>2372</v>
      </c>
      <c r="AI1374" s="18">
        <v>0.197807435653003</v>
      </c>
      <c r="AJ1374">
        <v>8</v>
      </c>
      <c r="AK1374">
        <v>4</v>
      </c>
      <c r="AL1374">
        <v>9</v>
      </c>
      <c r="AM1374">
        <v>7</v>
      </c>
      <c r="AN1374" s="18">
        <v>0.125</v>
      </c>
      <c r="AO1374" s="18">
        <v>0</v>
      </c>
      <c r="AP1374" s="18">
        <v>0</v>
      </c>
      <c r="AQ1374" s="18">
        <v>0.142857142857143</v>
      </c>
      <c r="AR1374" s="29">
        <v>0.142857142857143</v>
      </c>
      <c r="AS1374" s="29">
        <v>8.57142857142857</v>
      </c>
      <c r="AT1374" s="29">
        <v>-0.571428571428571</v>
      </c>
      <c r="AU1374" s="24">
        <f t="shared" si="22"/>
        <v>56</v>
      </c>
      <c r="AV1374" s="31">
        <f>IFERROR(时间!$B$4+AU1374,"上周无销量")</f>
        <v>43374</v>
      </c>
    </row>
    <row r="1375" spans="1:48">
      <c r="A1375" s="16" t="s">
        <v>2373</v>
      </c>
      <c r="B1375" t="s">
        <v>2374</v>
      </c>
      <c r="C1375" t="s">
        <v>2375</v>
      </c>
      <c r="D1375" s="24">
        <v>0</v>
      </c>
      <c r="E1375" s="24">
        <v>0</v>
      </c>
      <c r="F1375" s="24">
        <v>0</v>
      </c>
      <c r="G1375" s="24">
        <v>0</v>
      </c>
      <c r="H1375" s="25">
        <v>0</v>
      </c>
      <c r="I1375">
        <v>0</v>
      </c>
      <c r="J1375" s="26">
        <v>0</v>
      </c>
      <c r="K1375" s="26">
        <v>0</v>
      </c>
      <c r="L1375" s="26">
        <v>0</v>
      </c>
      <c r="M1375">
        <v>0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0</v>
      </c>
      <c r="AK1375">
        <v>0</v>
      </c>
      <c r="AL1375">
        <v>0</v>
      </c>
      <c r="AM1375">
        <v>0</v>
      </c>
      <c r="AN1375" s="18" t="s">
        <v>52</v>
      </c>
      <c r="AO1375" s="18" t="s">
        <v>52</v>
      </c>
      <c r="AP1375" s="18" t="s">
        <v>52</v>
      </c>
      <c r="AQ1375" s="18" t="s">
        <v>52</v>
      </c>
      <c r="AR1375" s="29">
        <v>0</v>
      </c>
      <c r="AS1375" s="29">
        <v>0</v>
      </c>
      <c r="AT1375" s="29">
        <v>0</v>
      </c>
      <c r="AU1375" s="24" t="str">
        <f t="shared" si="22"/>
        <v>库存为0</v>
      </c>
      <c r="AV1375" s="31" t="str">
        <f>IFERROR(时间!$B$4+AU1375,"上周无销量")</f>
        <v>上周无销量</v>
      </c>
    </row>
    <row r="1376" spans="1:48">
      <c r="A1376" s="16" t="s">
        <v>2376</v>
      </c>
      <c r="B1376" t="s">
        <v>2377</v>
      </c>
      <c r="C1376" t="s">
        <v>2375</v>
      </c>
      <c r="D1376" s="24">
        <v>0</v>
      </c>
      <c r="E1376" s="24">
        <v>0</v>
      </c>
      <c r="F1376" s="24">
        <v>0</v>
      </c>
      <c r="G1376" s="24">
        <v>0</v>
      </c>
      <c r="H1376" s="25">
        <v>0</v>
      </c>
      <c r="I1376">
        <v>0</v>
      </c>
      <c r="J1376" s="26">
        <v>0</v>
      </c>
      <c r="K1376" s="26">
        <v>0</v>
      </c>
      <c r="L1376" s="26">
        <v>0</v>
      </c>
      <c r="M1376">
        <v>0</v>
      </c>
      <c r="N1376">
        <v>0</v>
      </c>
      <c r="O1376">
        <v>0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0</v>
      </c>
      <c r="AK1376">
        <v>0</v>
      </c>
      <c r="AL1376">
        <v>0</v>
      </c>
      <c r="AM1376">
        <v>0</v>
      </c>
      <c r="AN1376" s="18" t="s">
        <v>52</v>
      </c>
      <c r="AO1376" s="18" t="s">
        <v>52</v>
      </c>
      <c r="AP1376" s="18" t="s">
        <v>52</v>
      </c>
      <c r="AQ1376" s="18" t="s">
        <v>52</v>
      </c>
      <c r="AR1376" s="29">
        <v>0</v>
      </c>
      <c r="AS1376" s="29">
        <v>0</v>
      </c>
      <c r="AT1376" s="29">
        <v>0</v>
      </c>
      <c r="AU1376" s="24" t="str">
        <f t="shared" si="22"/>
        <v>库存为0</v>
      </c>
      <c r="AV1376" s="31" t="str">
        <f>IFERROR(时间!$B$4+AU1376,"上周无销量")</f>
        <v>上周无销量</v>
      </c>
    </row>
    <row r="1377" spans="1:48">
      <c r="A1377" s="16" t="s">
        <v>2378</v>
      </c>
      <c r="B1377" t="s">
        <v>2379</v>
      </c>
      <c r="C1377" t="s">
        <v>2375</v>
      </c>
      <c r="D1377" s="24">
        <v>0</v>
      </c>
      <c r="E1377" s="24">
        <v>0</v>
      </c>
      <c r="F1377" s="24">
        <v>0</v>
      </c>
      <c r="G1377" s="24">
        <v>0</v>
      </c>
      <c r="H1377" s="25">
        <v>0</v>
      </c>
      <c r="I1377">
        <v>0</v>
      </c>
      <c r="J1377" s="26">
        <v>0</v>
      </c>
      <c r="K1377" s="26">
        <v>0</v>
      </c>
      <c r="L1377" s="26">
        <v>0</v>
      </c>
      <c r="M1377">
        <v>0</v>
      </c>
      <c r="N1377">
        <v>0</v>
      </c>
      <c r="O1377">
        <v>0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0</v>
      </c>
      <c r="AK1377">
        <v>0</v>
      </c>
      <c r="AL1377">
        <v>0</v>
      </c>
      <c r="AM1377">
        <v>0</v>
      </c>
      <c r="AN1377" s="18" t="s">
        <v>52</v>
      </c>
      <c r="AO1377" s="18" t="s">
        <v>52</v>
      </c>
      <c r="AP1377" s="18" t="s">
        <v>52</v>
      </c>
      <c r="AQ1377" s="18" t="s">
        <v>52</v>
      </c>
      <c r="AR1377" s="29">
        <v>0</v>
      </c>
      <c r="AS1377" s="29">
        <v>0</v>
      </c>
      <c r="AT1377" s="29">
        <v>0</v>
      </c>
      <c r="AU1377" s="24" t="str">
        <f t="shared" si="22"/>
        <v>库存为0</v>
      </c>
      <c r="AV1377" s="31" t="str">
        <f>IFERROR(时间!$B$4+AU1377,"上周无销量")</f>
        <v>上周无销量</v>
      </c>
    </row>
    <row r="1378" spans="1:48">
      <c r="A1378" s="16" t="s">
        <v>2380</v>
      </c>
      <c r="B1378" t="s">
        <v>2381</v>
      </c>
      <c r="C1378" t="s">
        <v>2382</v>
      </c>
      <c r="D1378" s="24">
        <v>5</v>
      </c>
      <c r="E1378" s="24">
        <v>5</v>
      </c>
      <c r="F1378" s="24">
        <v>2</v>
      </c>
      <c r="G1378" s="24">
        <v>3</v>
      </c>
      <c r="H1378" s="25">
        <v>21.98</v>
      </c>
      <c r="I1378">
        <v>1</v>
      </c>
      <c r="J1378" s="26">
        <v>0</v>
      </c>
      <c r="K1378" s="26">
        <v>0</v>
      </c>
      <c r="L1378" s="26">
        <v>0</v>
      </c>
      <c r="M1378">
        <v>1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16</v>
      </c>
      <c r="AK1378">
        <v>19</v>
      </c>
      <c r="AL1378">
        <v>30</v>
      </c>
      <c r="AM1378">
        <v>25</v>
      </c>
      <c r="AN1378" s="18">
        <v>0.3125</v>
      </c>
      <c r="AO1378" s="18">
        <v>0.263157894736842</v>
      </c>
      <c r="AP1378" s="18">
        <v>0.0666666666666667</v>
      </c>
      <c r="AQ1378" s="18">
        <v>0.12</v>
      </c>
      <c r="AR1378" s="29">
        <v>0.714285714285714</v>
      </c>
      <c r="AS1378" s="29">
        <v>42.8571428571429</v>
      </c>
      <c r="AT1378" s="29">
        <v>-41.8571428571429</v>
      </c>
      <c r="AU1378" s="24">
        <f t="shared" si="22"/>
        <v>1</v>
      </c>
      <c r="AV1378" s="31">
        <f>IFERROR(时间!$B$4+AU1378,"上周无销量")</f>
        <v>43319</v>
      </c>
    </row>
    <row r="1379" spans="1:48">
      <c r="A1379" s="16" t="s">
        <v>2383</v>
      </c>
      <c r="B1379" t="s">
        <v>1161</v>
      </c>
      <c r="C1379" t="s">
        <v>2382</v>
      </c>
      <c r="D1379" s="24">
        <v>0</v>
      </c>
      <c r="E1379" s="24">
        <v>0</v>
      </c>
      <c r="F1379" s="24">
        <v>0</v>
      </c>
      <c r="G1379" s="24">
        <v>1</v>
      </c>
      <c r="H1379" s="25">
        <v>21.98</v>
      </c>
      <c r="I1379">
        <v>31</v>
      </c>
      <c r="J1379" s="26">
        <v>0</v>
      </c>
      <c r="K1379" s="26">
        <v>0</v>
      </c>
      <c r="L1379" s="26">
        <v>0</v>
      </c>
      <c r="M1379">
        <v>31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8</v>
      </c>
      <c r="AK1379">
        <v>14</v>
      </c>
      <c r="AL1379">
        <v>21</v>
      </c>
      <c r="AM1379">
        <v>7</v>
      </c>
      <c r="AN1379" s="18">
        <v>0</v>
      </c>
      <c r="AO1379" s="18">
        <v>0</v>
      </c>
      <c r="AP1379" s="18">
        <v>0</v>
      </c>
      <c r="AQ1379" s="18">
        <v>0.142857142857143</v>
      </c>
      <c r="AR1379" s="29">
        <v>0</v>
      </c>
      <c r="AS1379" s="29">
        <v>0</v>
      </c>
      <c r="AT1379" s="29">
        <v>31</v>
      </c>
      <c r="AU1379" s="24" t="str">
        <f t="shared" si="22"/>
        <v>库存为31</v>
      </c>
      <c r="AV1379" s="31" t="str">
        <f>IFERROR(时间!$B$4+AU1379,"上周无销量")</f>
        <v>上周无销量</v>
      </c>
    </row>
    <row r="1380" spans="1:48">
      <c r="A1380" s="16" t="s">
        <v>2384</v>
      </c>
      <c r="B1380" t="s">
        <v>1163</v>
      </c>
      <c r="C1380" t="s">
        <v>2382</v>
      </c>
      <c r="D1380" s="24">
        <v>1</v>
      </c>
      <c r="E1380" s="24">
        <v>0</v>
      </c>
      <c r="F1380" s="24">
        <v>0</v>
      </c>
      <c r="G1380" s="24">
        <v>1</v>
      </c>
      <c r="H1380" s="25">
        <v>19.98</v>
      </c>
      <c r="I1380">
        <v>23</v>
      </c>
      <c r="J1380" s="26">
        <v>0</v>
      </c>
      <c r="K1380" s="26">
        <v>0</v>
      </c>
      <c r="L1380" s="26">
        <v>0</v>
      </c>
      <c r="M1380">
        <v>23</v>
      </c>
      <c r="N1380">
        <v>0</v>
      </c>
      <c r="O1380">
        <v>10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28</v>
      </c>
      <c r="AK1380">
        <v>24</v>
      </c>
      <c r="AL1380">
        <v>38</v>
      </c>
      <c r="AM1380">
        <v>33</v>
      </c>
      <c r="AN1380" s="18">
        <v>0.0357142857142857</v>
      </c>
      <c r="AO1380" s="18">
        <v>0</v>
      </c>
      <c r="AP1380" s="18">
        <v>0</v>
      </c>
      <c r="AQ1380" s="18">
        <v>0.0303030303030303</v>
      </c>
      <c r="AR1380" s="29">
        <v>0.142857142857143</v>
      </c>
      <c r="AS1380" s="29">
        <v>8.57142857142857</v>
      </c>
      <c r="AT1380" s="29">
        <v>14.4285714285714</v>
      </c>
      <c r="AU1380" s="24">
        <f t="shared" si="22"/>
        <v>161</v>
      </c>
      <c r="AV1380" s="31">
        <f>IFERROR(时间!$B$4+AU1380,"上周无销量")</f>
        <v>43479</v>
      </c>
    </row>
    <row r="1381" spans="1:48">
      <c r="A1381" s="16" t="s">
        <v>2385</v>
      </c>
      <c r="B1381" t="s">
        <v>1165</v>
      </c>
      <c r="C1381" t="s">
        <v>2382</v>
      </c>
      <c r="D1381" s="24">
        <v>4</v>
      </c>
      <c r="E1381" s="24">
        <v>4</v>
      </c>
      <c r="F1381" s="24">
        <v>4</v>
      </c>
      <c r="G1381" s="24">
        <v>3</v>
      </c>
      <c r="H1381" s="25">
        <v>22.98</v>
      </c>
      <c r="I1381">
        <v>6</v>
      </c>
      <c r="J1381" s="26">
        <v>0</v>
      </c>
      <c r="K1381" s="26">
        <v>0</v>
      </c>
      <c r="L1381" s="26">
        <v>0</v>
      </c>
      <c r="M1381">
        <v>6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33</v>
      </c>
      <c r="AK1381">
        <v>34</v>
      </c>
      <c r="AL1381">
        <v>43</v>
      </c>
      <c r="AM1381">
        <v>39</v>
      </c>
      <c r="AN1381" s="18">
        <v>0.121212121212121</v>
      </c>
      <c r="AO1381" s="18">
        <v>0.117647058823529</v>
      </c>
      <c r="AP1381" s="18">
        <v>0.0930232558139535</v>
      </c>
      <c r="AQ1381" s="18">
        <v>0.0769230769230769</v>
      </c>
      <c r="AR1381" s="29">
        <v>0.571428571428571</v>
      </c>
      <c r="AS1381" s="29">
        <v>34.2857142857143</v>
      </c>
      <c r="AT1381" s="29">
        <v>-28.2857142857143</v>
      </c>
      <c r="AU1381" s="24">
        <f t="shared" si="22"/>
        <v>10</v>
      </c>
      <c r="AV1381" s="31">
        <f>IFERROR(时间!$B$4+AU1381,"上周无销量")</f>
        <v>43328</v>
      </c>
    </row>
    <row r="1382" spans="1:48">
      <c r="A1382" s="16" t="s">
        <v>2386</v>
      </c>
      <c r="B1382" t="s">
        <v>1167</v>
      </c>
      <c r="C1382" t="s">
        <v>2382</v>
      </c>
      <c r="D1382" s="24">
        <v>0</v>
      </c>
      <c r="E1382" s="24">
        <v>0</v>
      </c>
      <c r="F1382" s="24">
        <v>0</v>
      </c>
      <c r="G1382" s="24">
        <v>1</v>
      </c>
      <c r="H1382" s="25">
        <v>22.98</v>
      </c>
      <c r="I1382">
        <v>0</v>
      </c>
      <c r="J1382" s="26">
        <v>0</v>
      </c>
      <c r="K1382" s="26">
        <v>0</v>
      </c>
      <c r="L1382" s="26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364</v>
      </c>
      <c r="S1382">
        <v>10809</v>
      </c>
      <c r="T1382">
        <v>0</v>
      </c>
      <c r="U1382">
        <v>0</v>
      </c>
      <c r="V1382">
        <v>0</v>
      </c>
      <c r="W1382">
        <v>38</v>
      </c>
      <c r="X1382" s="18" t="s">
        <v>52</v>
      </c>
      <c r="Y1382" s="18" t="s">
        <v>52</v>
      </c>
      <c r="Z1382" s="18">
        <v>0</v>
      </c>
      <c r="AA1382" s="18">
        <v>0.00351558886113424</v>
      </c>
      <c r="AB1382">
        <v>0</v>
      </c>
      <c r="AC1382">
        <v>0</v>
      </c>
      <c r="AD1382">
        <v>0</v>
      </c>
      <c r="AE1382">
        <v>22.26</v>
      </c>
      <c r="AF1382" s="18" t="s">
        <v>52</v>
      </c>
      <c r="AG1382" s="18" t="s">
        <v>52</v>
      </c>
      <c r="AH1382" s="18" t="s">
        <v>52</v>
      </c>
      <c r="AI1382" s="18">
        <v>0.968668407310705</v>
      </c>
      <c r="AJ1382">
        <v>14</v>
      </c>
      <c r="AK1382">
        <v>22</v>
      </c>
      <c r="AL1382">
        <v>32</v>
      </c>
      <c r="AM1382">
        <v>33</v>
      </c>
      <c r="AN1382" s="18">
        <v>0</v>
      </c>
      <c r="AO1382" s="18">
        <v>0</v>
      </c>
      <c r="AP1382" s="18">
        <v>0</v>
      </c>
      <c r="AQ1382" s="18">
        <v>0.0303030303030303</v>
      </c>
      <c r="AR1382" s="29">
        <v>0</v>
      </c>
      <c r="AS1382" s="29">
        <v>0</v>
      </c>
      <c r="AT1382" s="29">
        <v>0</v>
      </c>
      <c r="AU1382" s="24" t="str">
        <f t="shared" si="22"/>
        <v>库存为0</v>
      </c>
      <c r="AV1382" s="31" t="str">
        <f>IFERROR(时间!$B$4+AU1382,"上周无销量")</f>
        <v>上周无销量</v>
      </c>
    </row>
    <row r="1383" spans="1:48">
      <c r="A1383" s="16" t="s">
        <v>2387</v>
      </c>
      <c r="B1383" t="s">
        <v>1169</v>
      </c>
      <c r="C1383" t="s">
        <v>2382</v>
      </c>
      <c r="D1383" s="24">
        <v>1</v>
      </c>
      <c r="E1383" s="24">
        <v>9</v>
      </c>
      <c r="F1383" s="24">
        <v>1</v>
      </c>
      <c r="G1383" s="24">
        <v>3</v>
      </c>
      <c r="H1383" s="25">
        <v>21.98</v>
      </c>
      <c r="I1383">
        <v>2</v>
      </c>
      <c r="J1383" s="26">
        <v>0</v>
      </c>
      <c r="K1383" s="26">
        <v>0</v>
      </c>
      <c r="L1383" s="26">
        <v>0</v>
      </c>
      <c r="M1383">
        <v>2</v>
      </c>
      <c r="N1383">
        <v>0</v>
      </c>
      <c r="O1383">
        <v>0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27</v>
      </c>
      <c r="AK1383">
        <v>19</v>
      </c>
      <c r="AL1383">
        <v>47</v>
      </c>
      <c r="AM1383">
        <v>42</v>
      </c>
      <c r="AN1383" s="18">
        <v>0.037037037037037</v>
      </c>
      <c r="AO1383" s="18">
        <v>0.473684210526316</v>
      </c>
      <c r="AP1383" s="18">
        <v>0.0212765957446809</v>
      </c>
      <c r="AQ1383" s="18">
        <v>0.0714285714285714</v>
      </c>
      <c r="AR1383" s="29">
        <v>0.142857142857143</v>
      </c>
      <c r="AS1383" s="29">
        <v>8.57142857142857</v>
      </c>
      <c r="AT1383" s="29">
        <v>-6.57142857142857</v>
      </c>
      <c r="AU1383" s="24">
        <f t="shared" si="22"/>
        <v>14</v>
      </c>
      <c r="AV1383" s="31">
        <f>IFERROR(时间!$B$4+AU1383,"上周无销量")</f>
        <v>43332</v>
      </c>
    </row>
    <row r="1384" spans="1:48">
      <c r="A1384" s="16" t="s">
        <v>2388</v>
      </c>
      <c r="B1384" t="s">
        <v>1171</v>
      </c>
      <c r="C1384" t="s">
        <v>2382</v>
      </c>
      <c r="D1384" s="24">
        <v>2</v>
      </c>
      <c r="E1384" s="24">
        <v>1</v>
      </c>
      <c r="F1384" s="24">
        <v>6</v>
      </c>
      <c r="G1384" s="24">
        <v>8</v>
      </c>
      <c r="H1384" s="25">
        <v>21.98</v>
      </c>
      <c r="I1384">
        <v>6</v>
      </c>
      <c r="J1384" s="26">
        <v>0</v>
      </c>
      <c r="K1384" s="26">
        <v>0</v>
      </c>
      <c r="L1384" s="26">
        <v>0</v>
      </c>
      <c r="M1384">
        <v>6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18</v>
      </c>
      <c r="AK1384">
        <v>28</v>
      </c>
      <c r="AL1384">
        <v>39</v>
      </c>
      <c r="AM1384">
        <v>33</v>
      </c>
      <c r="AN1384" s="18">
        <v>0.111111111111111</v>
      </c>
      <c r="AO1384" s="18">
        <v>0.0357142857142857</v>
      </c>
      <c r="AP1384" s="18">
        <v>0.153846153846154</v>
      </c>
      <c r="AQ1384" s="18">
        <v>0.242424242424242</v>
      </c>
      <c r="AR1384" s="29">
        <v>0.285714285714286</v>
      </c>
      <c r="AS1384" s="29">
        <v>17.1428571428571</v>
      </c>
      <c r="AT1384" s="29">
        <v>-11.1428571428571</v>
      </c>
      <c r="AU1384" s="24">
        <f t="shared" si="22"/>
        <v>21</v>
      </c>
      <c r="AV1384" s="31">
        <f>IFERROR(时间!$B$4+AU1384,"上周无销量")</f>
        <v>43339</v>
      </c>
    </row>
    <row r="1385" spans="1:48">
      <c r="A1385" s="16" t="s">
        <v>2389</v>
      </c>
      <c r="B1385" t="s">
        <v>1173</v>
      </c>
      <c r="C1385" t="s">
        <v>2382</v>
      </c>
      <c r="D1385" s="24">
        <v>1</v>
      </c>
      <c r="E1385" s="24">
        <v>0</v>
      </c>
      <c r="F1385" s="24">
        <v>0</v>
      </c>
      <c r="G1385" s="24">
        <v>4</v>
      </c>
      <c r="H1385" s="25">
        <v>19.98</v>
      </c>
      <c r="I1385">
        <v>0</v>
      </c>
      <c r="J1385" s="26">
        <v>0</v>
      </c>
      <c r="K1385" s="26">
        <v>0</v>
      </c>
      <c r="L1385" s="26">
        <v>0</v>
      </c>
      <c r="M1385">
        <v>0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13</v>
      </c>
      <c r="AK1385">
        <v>0</v>
      </c>
      <c r="AL1385">
        <v>0</v>
      </c>
      <c r="AM1385">
        <v>5</v>
      </c>
      <c r="AN1385" s="18">
        <v>0.0769230769230769</v>
      </c>
      <c r="AO1385" s="18" t="s">
        <v>52</v>
      </c>
      <c r="AP1385" s="18" t="s">
        <v>52</v>
      </c>
      <c r="AQ1385" s="18">
        <v>0.8</v>
      </c>
      <c r="AR1385" s="29">
        <v>0.142857142857143</v>
      </c>
      <c r="AS1385" s="29">
        <v>8.57142857142857</v>
      </c>
      <c r="AT1385" s="29">
        <v>-8.57142857142857</v>
      </c>
      <c r="AU1385" s="24">
        <f t="shared" si="22"/>
        <v>0</v>
      </c>
      <c r="AV1385" s="31">
        <f>IFERROR(时间!$B$4+AU1385,"上周无销量")</f>
        <v>43318</v>
      </c>
    </row>
    <row r="1386" spans="1:48">
      <c r="A1386" s="16" t="s">
        <v>2390</v>
      </c>
      <c r="B1386" t="s">
        <v>1175</v>
      </c>
      <c r="C1386" t="s">
        <v>2382</v>
      </c>
      <c r="D1386" s="24">
        <v>7</v>
      </c>
      <c r="E1386" s="24">
        <v>4</v>
      </c>
      <c r="F1386" s="24">
        <v>1</v>
      </c>
      <c r="G1386" s="24">
        <v>8</v>
      </c>
      <c r="H1386" s="25">
        <v>22.98</v>
      </c>
      <c r="I1386">
        <v>0</v>
      </c>
      <c r="J1386" s="26">
        <v>0</v>
      </c>
      <c r="K1386" s="26">
        <v>0</v>
      </c>
      <c r="L1386" s="26">
        <v>0</v>
      </c>
      <c r="M1386">
        <v>0</v>
      </c>
      <c r="N1386">
        <v>0</v>
      </c>
      <c r="O1386">
        <v>0</v>
      </c>
      <c r="P1386">
        <v>46746</v>
      </c>
      <c r="Q1386">
        <v>70017</v>
      </c>
      <c r="R1386">
        <v>76707</v>
      </c>
      <c r="S1386">
        <v>37726</v>
      </c>
      <c r="T1386">
        <v>111</v>
      </c>
      <c r="U1386">
        <v>124</v>
      </c>
      <c r="V1386">
        <v>165</v>
      </c>
      <c r="W1386">
        <v>58</v>
      </c>
      <c r="X1386" s="18">
        <v>0.0023745347195482</v>
      </c>
      <c r="Y1386" s="18">
        <v>0.00177099847179971</v>
      </c>
      <c r="Z1386" s="18">
        <v>0.00215104227775822</v>
      </c>
      <c r="AA1386" s="18">
        <v>0.00153740126172931</v>
      </c>
      <c r="AB1386">
        <v>82.72</v>
      </c>
      <c r="AC1386">
        <v>78.18</v>
      </c>
      <c r="AD1386">
        <v>103.54</v>
      </c>
      <c r="AE1386">
        <v>35.41</v>
      </c>
      <c r="AF1386" s="18">
        <v>0.514235981598906</v>
      </c>
      <c r="AG1386" s="18">
        <v>0.850522193211488</v>
      </c>
      <c r="AH1386" s="18">
        <v>4.50565709312446</v>
      </c>
      <c r="AI1386" s="18">
        <v>0.192613141862489</v>
      </c>
      <c r="AJ1386">
        <v>55</v>
      </c>
      <c r="AK1386">
        <v>61</v>
      </c>
      <c r="AL1386">
        <v>84</v>
      </c>
      <c r="AM1386">
        <v>113</v>
      </c>
      <c r="AN1386" s="18">
        <v>0.127272727272727</v>
      </c>
      <c r="AO1386" s="18">
        <v>0.0655737704918033</v>
      </c>
      <c r="AP1386" s="18">
        <v>0.0119047619047619</v>
      </c>
      <c r="AQ1386" s="18">
        <v>0.0707964601769911</v>
      </c>
      <c r="AR1386" s="29">
        <v>1</v>
      </c>
      <c r="AS1386" s="29">
        <v>60</v>
      </c>
      <c r="AT1386" s="29">
        <v>-60</v>
      </c>
      <c r="AU1386" s="24">
        <f t="shared" si="22"/>
        <v>0</v>
      </c>
      <c r="AV1386" s="31">
        <f>IFERROR(时间!$B$4+AU1386,"上周无销量")</f>
        <v>43318</v>
      </c>
    </row>
    <row r="1387" spans="1:48">
      <c r="A1387" s="16" t="s">
        <v>2391</v>
      </c>
      <c r="B1387" t="s">
        <v>1177</v>
      </c>
      <c r="C1387" t="s">
        <v>2382</v>
      </c>
      <c r="D1387" s="24">
        <v>0</v>
      </c>
      <c r="E1387" s="24">
        <v>0</v>
      </c>
      <c r="F1387" s="24">
        <v>9</v>
      </c>
      <c r="G1387" s="24">
        <v>8</v>
      </c>
      <c r="H1387" s="25">
        <v>22.5905882352941</v>
      </c>
      <c r="I1387">
        <v>0</v>
      </c>
      <c r="J1387" s="26">
        <v>0</v>
      </c>
      <c r="K1387" s="26">
        <v>0</v>
      </c>
      <c r="L1387" s="26">
        <v>0</v>
      </c>
      <c r="M1387">
        <v>0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0</v>
      </c>
      <c r="AK1387">
        <v>0</v>
      </c>
      <c r="AL1387">
        <v>26</v>
      </c>
      <c r="AM1387">
        <v>44</v>
      </c>
      <c r="AN1387" s="18" t="s">
        <v>52</v>
      </c>
      <c r="AO1387" s="18" t="s">
        <v>52</v>
      </c>
      <c r="AP1387" s="18">
        <v>0.346153846153846</v>
      </c>
      <c r="AQ1387" s="18">
        <v>0.181818181818182</v>
      </c>
      <c r="AR1387" s="29">
        <v>0</v>
      </c>
      <c r="AS1387" s="29">
        <v>0</v>
      </c>
      <c r="AT1387" s="29">
        <v>0</v>
      </c>
      <c r="AU1387" s="24" t="str">
        <f t="shared" si="22"/>
        <v>库存为0</v>
      </c>
      <c r="AV1387" s="31" t="str">
        <f>IFERROR(时间!$B$4+AU1387,"上周无销量")</f>
        <v>上周无销量</v>
      </c>
    </row>
    <row r="1388" spans="1:48">
      <c r="A1388" s="16" t="s">
        <v>2392</v>
      </c>
      <c r="B1388" t="s">
        <v>2393</v>
      </c>
      <c r="C1388" t="s">
        <v>2382</v>
      </c>
      <c r="D1388" s="24">
        <v>0</v>
      </c>
      <c r="E1388" s="24">
        <v>0</v>
      </c>
      <c r="F1388" s="24">
        <v>0</v>
      </c>
      <c r="G1388" s="24">
        <v>0</v>
      </c>
      <c r="H1388" s="25">
        <v>0</v>
      </c>
      <c r="I1388">
        <v>19</v>
      </c>
      <c r="J1388" s="26">
        <v>0</v>
      </c>
      <c r="K1388" s="26">
        <v>0</v>
      </c>
      <c r="L1388" s="26">
        <v>0</v>
      </c>
      <c r="M1388">
        <v>19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10</v>
      </c>
      <c r="AK1388">
        <v>15</v>
      </c>
      <c r="AL1388">
        <v>14</v>
      </c>
      <c r="AM1388">
        <v>12</v>
      </c>
      <c r="AN1388" s="18">
        <v>0</v>
      </c>
      <c r="AO1388" s="18">
        <v>0</v>
      </c>
      <c r="AP1388" s="18">
        <v>0</v>
      </c>
      <c r="AQ1388" s="18">
        <v>0</v>
      </c>
      <c r="AR1388" s="29">
        <v>0</v>
      </c>
      <c r="AS1388" s="29">
        <v>0</v>
      </c>
      <c r="AT1388" s="29">
        <v>19</v>
      </c>
      <c r="AU1388" s="24" t="str">
        <f t="shared" si="22"/>
        <v>库存为19</v>
      </c>
      <c r="AV1388" s="31" t="str">
        <f>IFERROR(时间!$B$4+AU1388,"上周无销量")</f>
        <v>上周无销量</v>
      </c>
    </row>
    <row r="1389" spans="1:48">
      <c r="A1389" s="16" t="s">
        <v>2394</v>
      </c>
      <c r="B1389" t="s">
        <v>1212</v>
      </c>
      <c r="C1389" t="s">
        <v>2382</v>
      </c>
      <c r="D1389" s="24">
        <v>0</v>
      </c>
      <c r="E1389" s="24">
        <v>0</v>
      </c>
      <c r="F1389" s="24">
        <v>0</v>
      </c>
      <c r="G1389" s="24">
        <v>0</v>
      </c>
      <c r="H1389" s="25">
        <v>0</v>
      </c>
      <c r="I1389">
        <v>31</v>
      </c>
      <c r="J1389" s="26">
        <v>0</v>
      </c>
      <c r="K1389" s="26">
        <v>0</v>
      </c>
      <c r="L1389" s="26">
        <v>0</v>
      </c>
      <c r="M1389">
        <v>31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13</v>
      </c>
      <c r="AK1389">
        <v>12</v>
      </c>
      <c r="AL1389">
        <v>20</v>
      </c>
      <c r="AM1389">
        <v>16</v>
      </c>
      <c r="AN1389" s="18">
        <v>0</v>
      </c>
      <c r="AO1389" s="18">
        <v>0</v>
      </c>
      <c r="AP1389" s="18">
        <v>0</v>
      </c>
      <c r="AQ1389" s="18">
        <v>0</v>
      </c>
      <c r="AR1389" s="29">
        <v>0</v>
      </c>
      <c r="AS1389" s="29">
        <v>0</v>
      </c>
      <c r="AT1389" s="29">
        <v>31</v>
      </c>
      <c r="AU1389" s="24" t="str">
        <f t="shared" si="22"/>
        <v>库存为31</v>
      </c>
      <c r="AV1389" s="31" t="str">
        <f>IFERROR(时间!$B$4+AU1389,"上周无销量")</f>
        <v>上周无销量</v>
      </c>
    </row>
    <row r="1390" spans="1:48">
      <c r="A1390" s="16" t="s">
        <v>2395</v>
      </c>
      <c r="B1390" t="s">
        <v>1210</v>
      </c>
      <c r="C1390" t="s">
        <v>2382</v>
      </c>
      <c r="D1390" s="24">
        <v>0</v>
      </c>
      <c r="E1390" s="24">
        <v>0</v>
      </c>
      <c r="F1390" s="24">
        <v>0</v>
      </c>
      <c r="G1390" s="24">
        <v>0</v>
      </c>
      <c r="H1390" s="25">
        <v>0</v>
      </c>
      <c r="I1390">
        <v>16</v>
      </c>
      <c r="J1390" s="26">
        <v>0</v>
      </c>
      <c r="K1390" s="26">
        <v>1</v>
      </c>
      <c r="L1390" s="26">
        <v>0</v>
      </c>
      <c r="M1390">
        <v>17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25</v>
      </c>
      <c r="AK1390">
        <v>28</v>
      </c>
      <c r="AL1390">
        <v>42</v>
      </c>
      <c r="AM1390">
        <v>40</v>
      </c>
      <c r="AN1390" s="18">
        <v>0</v>
      </c>
      <c r="AO1390" s="18">
        <v>0</v>
      </c>
      <c r="AP1390" s="18">
        <v>0</v>
      </c>
      <c r="AQ1390" s="18">
        <v>0</v>
      </c>
      <c r="AR1390" s="29">
        <v>0</v>
      </c>
      <c r="AS1390" s="29">
        <v>0</v>
      </c>
      <c r="AT1390" s="29">
        <v>17</v>
      </c>
      <c r="AU1390" s="24" t="str">
        <f t="shared" si="22"/>
        <v>库存为17</v>
      </c>
      <c r="AV1390" s="31" t="str">
        <f>IFERROR(时间!$B$4+AU1390,"上周无销量")</f>
        <v>上周无销量</v>
      </c>
    </row>
    <row r="1391" spans="1:48">
      <c r="A1391" s="16" t="s">
        <v>2396</v>
      </c>
      <c r="B1391" t="s">
        <v>1215</v>
      </c>
      <c r="C1391" t="s">
        <v>2382</v>
      </c>
      <c r="D1391" s="24">
        <v>0</v>
      </c>
      <c r="E1391" s="24">
        <v>0</v>
      </c>
      <c r="F1391" s="24">
        <v>0</v>
      </c>
      <c r="G1391" s="24">
        <v>0</v>
      </c>
      <c r="H1391" s="25">
        <v>0</v>
      </c>
      <c r="I1391">
        <v>5</v>
      </c>
      <c r="J1391" s="26">
        <v>0</v>
      </c>
      <c r="K1391" s="26">
        <v>0</v>
      </c>
      <c r="L1391" s="26">
        <v>0</v>
      </c>
      <c r="M1391">
        <v>5</v>
      </c>
      <c r="N1391">
        <v>0</v>
      </c>
      <c r="O1391">
        <v>0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56</v>
      </c>
      <c r="AK1391">
        <v>42</v>
      </c>
      <c r="AL1391">
        <v>62</v>
      </c>
      <c r="AM1391">
        <v>49</v>
      </c>
      <c r="AN1391" s="18">
        <v>0</v>
      </c>
      <c r="AO1391" s="18">
        <v>0</v>
      </c>
      <c r="AP1391" s="18">
        <v>0</v>
      </c>
      <c r="AQ1391" s="18">
        <v>0</v>
      </c>
      <c r="AR1391" s="29">
        <v>0</v>
      </c>
      <c r="AS1391" s="29">
        <v>0</v>
      </c>
      <c r="AT1391" s="29">
        <v>5</v>
      </c>
      <c r="AU1391" s="24" t="str">
        <f t="shared" si="22"/>
        <v>库存为5</v>
      </c>
      <c r="AV1391" s="31" t="str">
        <f>IFERROR(时间!$B$4+AU1391,"上周无销量")</f>
        <v>上周无销量</v>
      </c>
    </row>
    <row r="1392" spans="1:48">
      <c r="A1392" s="16" t="s">
        <v>2397</v>
      </c>
      <c r="B1392" t="s">
        <v>1217</v>
      </c>
      <c r="C1392" t="s">
        <v>2382</v>
      </c>
      <c r="D1392" s="24">
        <v>0</v>
      </c>
      <c r="E1392" s="24">
        <v>0</v>
      </c>
      <c r="F1392" s="24">
        <v>0</v>
      </c>
      <c r="G1392" s="24">
        <v>0</v>
      </c>
      <c r="H1392" s="25">
        <v>0</v>
      </c>
      <c r="I1392">
        <v>10</v>
      </c>
      <c r="J1392" s="26">
        <v>0</v>
      </c>
      <c r="K1392" s="26">
        <v>0</v>
      </c>
      <c r="L1392" s="26">
        <v>0</v>
      </c>
      <c r="M1392">
        <v>10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22</v>
      </c>
      <c r="AK1392">
        <v>22</v>
      </c>
      <c r="AL1392">
        <v>27</v>
      </c>
      <c r="AM1392">
        <v>27</v>
      </c>
      <c r="AN1392" s="18">
        <v>0</v>
      </c>
      <c r="AO1392" s="18">
        <v>0</v>
      </c>
      <c r="AP1392" s="18">
        <v>0</v>
      </c>
      <c r="AQ1392" s="18">
        <v>0</v>
      </c>
      <c r="AR1392" s="29">
        <v>0</v>
      </c>
      <c r="AS1392" s="29">
        <v>0</v>
      </c>
      <c r="AT1392" s="29">
        <v>10</v>
      </c>
      <c r="AU1392" s="24" t="str">
        <f t="shared" si="22"/>
        <v>库存为10</v>
      </c>
      <c r="AV1392" s="31" t="str">
        <f>IFERROR(时间!$B$4+AU1392,"上周无销量")</f>
        <v>上周无销量</v>
      </c>
    </row>
    <row r="1393" spans="1:48">
      <c r="A1393" s="16" t="s">
        <v>2398</v>
      </c>
      <c r="B1393" t="s">
        <v>1179</v>
      </c>
      <c r="C1393" t="s">
        <v>2382</v>
      </c>
      <c r="D1393" s="24">
        <v>0</v>
      </c>
      <c r="E1393" s="24">
        <v>0</v>
      </c>
      <c r="F1393" s="24">
        <v>0</v>
      </c>
      <c r="G1393" s="24">
        <v>2</v>
      </c>
      <c r="H1393" s="25">
        <v>21.98</v>
      </c>
      <c r="I1393">
        <v>36</v>
      </c>
      <c r="J1393" s="26">
        <v>0</v>
      </c>
      <c r="K1393" s="26">
        <v>0</v>
      </c>
      <c r="L1393" s="26">
        <v>0</v>
      </c>
      <c r="M1393">
        <v>36</v>
      </c>
      <c r="N1393">
        <v>0</v>
      </c>
      <c r="O1393">
        <v>4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10</v>
      </c>
      <c r="AK1393">
        <v>14</v>
      </c>
      <c r="AL1393">
        <v>17</v>
      </c>
      <c r="AM1393">
        <v>19</v>
      </c>
      <c r="AN1393" s="18">
        <v>0</v>
      </c>
      <c r="AO1393" s="18">
        <v>0</v>
      </c>
      <c r="AP1393" s="18">
        <v>0</v>
      </c>
      <c r="AQ1393" s="18">
        <v>0.105263157894737</v>
      </c>
      <c r="AR1393" s="29">
        <v>0</v>
      </c>
      <c r="AS1393" s="29">
        <v>0</v>
      </c>
      <c r="AT1393" s="29">
        <v>36</v>
      </c>
      <c r="AU1393" s="24" t="str">
        <f t="shared" si="22"/>
        <v>库存为36</v>
      </c>
      <c r="AV1393" s="31" t="str">
        <f>IFERROR(时间!$B$4+AU1393,"上周无销量")</f>
        <v>上周无销量</v>
      </c>
    </row>
    <row r="1394" spans="1:48">
      <c r="A1394" s="16" t="s">
        <v>2399</v>
      </c>
      <c r="B1394" t="s">
        <v>1181</v>
      </c>
      <c r="C1394" t="s">
        <v>2382</v>
      </c>
      <c r="D1394" s="24">
        <v>3</v>
      </c>
      <c r="E1394" s="24">
        <v>0</v>
      </c>
      <c r="F1394" s="24">
        <v>1</v>
      </c>
      <c r="G1394" s="24">
        <v>2</v>
      </c>
      <c r="H1394" s="25">
        <v>21.98</v>
      </c>
      <c r="I1394">
        <v>41</v>
      </c>
      <c r="J1394" s="26">
        <v>0</v>
      </c>
      <c r="K1394" s="26">
        <v>0</v>
      </c>
      <c r="L1394" s="26">
        <v>0</v>
      </c>
      <c r="M1394">
        <v>41</v>
      </c>
      <c r="N1394">
        <v>0</v>
      </c>
      <c r="O1394">
        <v>0</v>
      </c>
      <c r="P1394">
        <v>2</v>
      </c>
      <c r="Q1394">
        <v>5</v>
      </c>
      <c r="R1394">
        <v>1</v>
      </c>
      <c r="S1394">
        <v>9</v>
      </c>
      <c r="T1394">
        <v>0</v>
      </c>
      <c r="U1394">
        <v>0</v>
      </c>
      <c r="V1394">
        <v>0</v>
      </c>
      <c r="W1394">
        <v>0</v>
      </c>
      <c r="X1394" s="18">
        <v>0</v>
      </c>
      <c r="Y1394" s="18">
        <v>0</v>
      </c>
      <c r="Z1394" s="18">
        <v>0</v>
      </c>
      <c r="AA1394" s="18">
        <v>0</v>
      </c>
      <c r="AB1394">
        <v>0</v>
      </c>
      <c r="AC1394">
        <v>0</v>
      </c>
      <c r="AD1394">
        <v>0</v>
      </c>
      <c r="AE1394">
        <v>0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6</v>
      </c>
      <c r="AK1394">
        <v>6</v>
      </c>
      <c r="AL1394">
        <v>20</v>
      </c>
      <c r="AM1394">
        <v>9</v>
      </c>
      <c r="AN1394" s="18">
        <v>0.5</v>
      </c>
      <c r="AO1394" s="18">
        <v>0</v>
      </c>
      <c r="AP1394" s="18">
        <v>0.05</v>
      </c>
      <c r="AQ1394" s="18">
        <v>0.222222222222222</v>
      </c>
      <c r="AR1394" s="29">
        <v>0.428571428571429</v>
      </c>
      <c r="AS1394" s="29">
        <v>25.7142857142857</v>
      </c>
      <c r="AT1394" s="29">
        <v>15.2857142857143</v>
      </c>
      <c r="AU1394" s="24">
        <f t="shared" si="22"/>
        <v>95</v>
      </c>
      <c r="AV1394" s="31">
        <f>IFERROR(时间!$B$4+AU1394,"上周无销量")</f>
        <v>43413</v>
      </c>
    </row>
    <row r="1395" spans="1:48">
      <c r="A1395" s="16" t="s">
        <v>2400</v>
      </c>
      <c r="B1395" t="s">
        <v>1183</v>
      </c>
      <c r="C1395" t="s">
        <v>2382</v>
      </c>
      <c r="D1395" s="24">
        <v>0</v>
      </c>
      <c r="E1395" s="24">
        <v>0</v>
      </c>
      <c r="F1395" s="24">
        <v>0</v>
      </c>
      <c r="G1395" s="24">
        <v>3</v>
      </c>
      <c r="H1395" s="25">
        <v>19.98</v>
      </c>
      <c r="I1395">
        <v>28</v>
      </c>
      <c r="J1395" s="26">
        <v>0</v>
      </c>
      <c r="K1395" s="26">
        <v>0</v>
      </c>
      <c r="L1395" s="26">
        <v>1</v>
      </c>
      <c r="M1395">
        <v>29</v>
      </c>
      <c r="N1395">
        <v>0</v>
      </c>
      <c r="O1395">
        <v>15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7</v>
      </c>
      <c r="AK1395">
        <v>14</v>
      </c>
      <c r="AL1395">
        <v>12</v>
      </c>
      <c r="AM1395">
        <v>12</v>
      </c>
      <c r="AN1395" s="18">
        <v>0</v>
      </c>
      <c r="AO1395" s="18">
        <v>0</v>
      </c>
      <c r="AP1395" s="18">
        <v>0</v>
      </c>
      <c r="AQ1395" s="18">
        <v>0.25</v>
      </c>
      <c r="AR1395" s="29">
        <v>0</v>
      </c>
      <c r="AS1395" s="29">
        <v>0</v>
      </c>
      <c r="AT1395" s="29">
        <v>29</v>
      </c>
      <c r="AU1395" s="24" t="str">
        <f t="shared" si="22"/>
        <v>库存为29</v>
      </c>
      <c r="AV1395" s="31" t="str">
        <f>IFERROR(时间!$B$4+AU1395,"上周无销量")</f>
        <v>上周无销量</v>
      </c>
    </row>
    <row r="1396" spans="1:48">
      <c r="A1396" s="16" t="s">
        <v>2401</v>
      </c>
      <c r="B1396" t="s">
        <v>1185</v>
      </c>
      <c r="C1396" t="s">
        <v>2382</v>
      </c>
      <c r="D1396" s="24">
        <v>3</v>
      </c>
      <c r="E1396" s="24">
        <v>2</v>
      </c>
      <c r="F1396" s="24">
        <v>1</v>
      </c>
      <c r="G1396" s="24">
        <v>0</v>
      </c>
      <c r="H1396" s="25">
        <v>22.98</v>
      </c>
      <c r="I1396">
        <v>31</v>
      </c>
      <c r="J1396" s="26">
        <v>0</v>
      </c>
      <c r="K1396" s="26">
        <v>0</v>
      </c>
      <c r="L1396" s="26">
        <v>0</v>
      </c>
      <c r="M1396">
        <v>31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23</v>
      </c>
      <c r="AK1396">
        <v>18</v>
      </c>
      <c r="AL1396">
        <v>21</v>
      </c>
      <c r="AM1396">
        <v>30</v>
      </c>
      <c r="AN1396" s="18">
        <v>0.130434782608696</v>
      </c>
      <c r="AO1396" s="18">
        <v>0.111111111111111</v>
      </c>
      <c r="AP1396" s="18">
        <v>0.0476190476190476</v>
      </c>
      <c r="AQ1396" s="18">
        <v>0</v>
      </c>
      <c r="AR1396" s="29">
        <v>0.428571428571429</v>
      </c>
      <c r="AS1396" s="29">
        <v>25.7142857142857</v>
      </c>
      <c r="AT1396" s="29">
        <v>5.28571428571429</v>
      </c>
      <c r="AU1396" s="24">
        <f t="shared" si="22"/>
        <v>72</v>
      </c>
      <c r="AV1396" s="31">
        <f>IFERROR(时间!$B$4+AU1396,"上周无销量")</f>
        <v>43390</v>
      </c>
    </row>
    <row r="1397" spans="1:48">
      <c r="A1397" s="16" t="s">
        <v>2402</v>
      </c>
      <c r="B1397" t="s">
        <v>2403</v>
      </c>
      <c r="C1397" t="s">
        <v>2382</v>
      </c>
      <c r="D1397" s="24">
        <v>1</v>
      </c>
      <c r="E1397" s="24">
        <v>0</v>
      </c>
      <c r="F1397" s="24">
        <v>1</v>
      </c>
      <c r="G1397" s="24">
        <v>4</v>
      </c>
      <c r="H1397" s="25">
        <v>22.98</v>
      </c>
      <c r="I1397">
        <v>21</v>
      </c>
      <c r="J1397" s="26">
        <v>0</v>
      </c>
      <c r="K1397" s="26">
        <v>0</v>
      </c>
      <c r="L1397" s="26">
        <v>0</v>
      </c>
      <c r="M1397">
        <v>21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12</v>
      </c>
      <c r="AK1397">
        <v>16</v>
      </c>
      <c r="AL1397">
        <v>16</v>
      </c>
      <c r="AM1397">
        <v>17</v>
      </c>
      <c r="AN1397" s="18">
        <v>0.0833333333333333</v>
      </c>
      <c r="AO1397" s="18">
        <v>0</v>
      </c>
      <c r="AP1397" s="18">
        <v>0.0625</v>
      </c>
      <c r="AQ1397" s="18">
        <v>0.235294117647059</v>
      </c>
      <c r="AR1397" s="29">
        <v>0.142857142857143</v>
      </c>
      <c r="AS1397" s="29">
        <v>8.57142857142857</v>
      </c>
      <c r="AT1397" s="29">
        <v>12.4285714285714</v>
      </c>
      <c r="AU1397" s="24">
        <f t="shared" si="22"/>
        <v>147</v>
      </c>
      <c r="AV1397" s="31">
        <f>IFERROR(时间!$B$4+AU1397,"上周无销量")</f>
        <v>43465</v>
      </c>
    </row>
    <row r="1398" spans="1:48">
      <c r="A1398" s="16" t="s">
        <v>2404</v>
      </c>
      <c r="B1398" t="s">
        <v>1189</v>
      </c>
      <c r="C1398" t="s">
        <v>2382</v>
      </c>
      <c r="D1398" s="24">
        <v>1</v>
      </c>
      <c r="E1398" s="24">
        <v>2</v>
      </c>
      <c r="F1398" s="24">
        <v>2</v>
      </c>
      <c r="G1398" s="24">
        <v>4</v>
      </c>
      <c r="H1398" s="25">
        <v>21.98</v>
      </c>
      <c r="I1398">
        <v>9</v>
      </c>
      <c r="J1398" s="26">
        <v>0</v>
      </c>
      <c r="K1398" s="26">
        <v>0</v>
      </c>
      <c r="L1398" s="26">
        <v>0</v>
      </c>
      <c r="M1398">
        <v>9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24</v>
      </c>
      <c r="AK1398">
        <v>24</v>
      </c>
      <c r="AL1398">
        <v>38</v>
      </c>
      <c r="AM1398">
        <v>25</v>
      </c>
      <c r="AN1398" s="18">
        <v>0.0416666666666667</v>
      </c>
      <c r="AO1398" s="18">
        <v>0.0833333333333333</v>
      </c>
      <c r="AP1398" s="18">
        <v>0.0526315789473684</v>
      </c>
      <c r="AQ1398" s="18">
        <v>0.16</v>
      </c>
      <c r="AR1398" s="29">
        <v>0.142857142857143</v>
      </c>
      <c r="AS1398" s="29">
        <v>8.57142857142857</v>
      </c>
      <c r="AT1398" s="29">
        <v>0.428571428571429</v>
      </c>
      <c r="AU1398" s="24">
        <f t="shared" si="22"/>
        <v>63</v>
      </c>
      <c r="AV1398" s="31">
        <f>IFERROR(时间!$B$4+AU1398,"上周无销量")</f>
        <v>43381</v>
      </c>
    </row>
    <row r="1399" spans="1:48">
      <c r="A1399" s="16" t="s">
        <v>2405</v>
      </c>
      <c r="B1399" t="s">
        <v>1192</v>
      </c>
      <c r="C1399" t="s">
        <v>2382</v>
      </c>
      <c r="D1399" s="24">
        <v>0</v>
      </c>
      <c r="E1399" s="24">
        <v>1</v>
      </c>
      <c r="F1399" s="24">
        <v>0</v>
      </c>
      <c r="G1399" s="24">
        <v>4</v>
      </c>
      <c r="H1399" s="25">
        <v>21.98</v>
      </c>
      <c r="I1399">
        <v>26</v>
      </c>
      <c r="J1399" s="26">
        <v>0</v>
      </c>
      <c r="K1399" s="26">
        <v>0</v>
      </c>
      <c r="L1399" s="26">
        <v>0</v>
      </c>
      <c r="M1399">
        <v>26</v>
      </c>
      <c r="N1399">
        <v>0</v>
      </c>
      <c r="O1399">
        <v>4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22</v>
      </c>
      <c r="AK1399">
        <v>25</v>
      </c>
      <c r="AL1399">
        <v>41</v>
      </c>
      <c r="AM1399">
        <v>35</v>
      </c>
      <c r="AN1399" s="18">
        <v>0</v>
      </c>
      <c r="AO1399" s="18">
        <v>0.04</v>
      </c>
      <c r="AP1399" s="18">
        <v>0</v>
      </c>
      <c r="AQ1399" s="18">
        <v>0.114285714285714</v>
      </c>
      <c r="AR1399" s="29">
        <v>0</v>
      </c>
      <c r="AS1399" s="29">
        <v>0</v>
      </c>
      <c r="AT1399" s="29">
        <v>26</v>
      </c>
      <c r="AU1399" s="24" t="str">
        <f t="shared" si="22"/>
        <v>库存为26</v>
      </c>
      <c r="AV1399" s="31" t="str">
        <f>IFERROR(时间!$B$4+AU1399,"上周无销量")</f>
        <v>上周无销量</v>
      </c>
    </row>
    <row r="1400" spans="1:48">
      <c r="A1400" s="16" t="s">
        <v>2406</v>
      </c>
      <c r="B1400" t="s">
        <v>1194</v>
      </c>
      <c r="C1400" t="s">
        <v>2382</v>
      </c>
      <c r="D1400" s="24">
        <v>2</v>
      </c>
      <c r="E1400" s="24">
        <v>1</v>
      </c>
      <c r="F1400" s="24">
        <v>4</v>
      </c>
      <c r="G1400" s="24">
        <v>0</v>
      </c>
      <c r="H1400" s="25">
        <v>19.98</v>
      </c>
      <c r="I1400">
        <v>17</v>
      </c>
      <c r="J1400" s="26">
        <v>0</v>
      </c>
      <c r="K1400" s="26">
        <v>0</v>
      </c>
      <c r="L1400" s="26">
        <v>1</v>
      </c>
      <c r="M1400">
        <v>18</v>
      </c>
      <c r="N1400">
        <v>0</v>
      </c>
      <c r="O1400">
        <v>8</v>
      </c>
      <c r="P1400">
        <v>1</v>
      </c>
      <c r="Q1400">
        <v>2</v>
      </c>
      <c r="R1400">
        <v>9</v>
      </c>
      <c r="S1400">
        <v>2</v>
      </c>
      <c r="T1400">
        <v>0</v>
      </c>
      <c r="U1400">
        <v>0</v>
      </c>
      <c r="V1400">
        <v>0</v>
      </c>
      <c r="W1400">
        <v>0</v>
      </c>
      <c r="X1400" s="18">
        <v>0</v>
      </c>
      <c r="Y1400" s="18">
        <v>0</v>
      </c>
      <c r="Z1400" s="18">
        <v>0</v>
      </c>
      <c r="AA1400" s="18">
        <v>0</v>
      </c>
      <c r="AB1400">
        <v>0</v>
      </c>
      <c r="AC1400">
        <v>0</v>
      </c>
      <c r="AD1400">
        <v>0</v>
      </c>
      <c r="AE1400">
        <v>0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13</v>
      </c>
      <c r="AK1400">
        <v>19</v>
      </c>
      <c r="AL1400">
        <v>11</v>
      </c>
      <c r="AM1400">
        <v>15</v>
      </c>
      <c r="AN1400" s="18">
        <v>0.153846153846154</v>
      </c>
      <c r="AO1400" s="18">
        <v>0.0526315789473684</v>
      </c>
      <c r="AP1400" s="18">
        <v>0.363636363636364</v>
      </c>
      <c r="AQ1400" s="18">
        <v>0</v>
      </c>
      <c r="AR1400" s="29">
        <v>0.285714285714286</v>
      </c>
      <c r="AS1400" s="29">
        <v>17.1428571428571</v>
      </c>
      <c r="AT1400" s="29">
        <v>0.857142857142858</v>
      </c>
      <c r="AU1400" s="24">
        <f t="shared" si="22"/>
        <v>63</v>
      </c>
      <c r="AV1400" s="31">
        <f>IFERROR(时间!$B$4+AU1400,"上周无销量")</f>
        <v>43381</v>
      </c>
    </row>
    <row r="1401" spans="1:48">
      <c r="A1401" s="16" t="s">
        <v>2407</v>
      </c>
      <c r="B1401" t="s">
        <v>1196</v>
      </c>
      <c r="C1401" t="s">
        <v>2382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22</v>
      </c>
      <c r="J1401" s="26">
        <v>0</v>
      </c>
      <c r="K1401" s="26">
        <v>0</v>
      </c>
      <c r="L1401" s="26">
        <v>0</v>
      </c>
      <c r="M1401">
        <v>22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2</v>
      </c>
      <c r="T1401">
        <v>0</v>
      </c>
      <c r="U1401">
        <v>0</v>
      </c>
      <c r="V1401">
        <v>0</v>
      </c>
      <c r="W1401">
        <v>0</v>
      </c>
      <c r="X1401" s="18" t="s">
        <v>52</v>
      </c>
      <c r="Y1401" s="18" t="s">
        <v>52</v>
      </c>
      <c r="Z1401" s="18" t="s">
        <v>52</v>
      </c>
      <c r="AA1401" s="18">
        <v>0</v>
      </c>
      <c r="AB1401">
        <v>0</v>
      </c>
      <c r="AC1401">
        <v>0</v>
      </c>
      <c r="AD1401">
        <v>0</v>
      </c>
      <c r="AE1401">
        <v>0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27</v>
      </c>
      <c r="AK1401">
        <v>28</v>
      </c>
      <c r="AL1401">
        <v>32</v>
      </c>
      <c r="AM1401">
        <v>31</v>
      </c>
      <c r="AN1401" s="18">
        <v>0</v>
      </c>
      <c r="AO1401" s="18">
        <v>0</v>
      </c>
      <c r="AP1401" s="18">
        <v>0</v>
      </c>
      <c r="AQ1401" s="18">
        <v>0</v>
      </c>
      <c r="AR1401" s="29">
        <v>0</v>
      </c>
      <c r="AS1401" s="29">
        <v>0</v>
      </c>
      <c r="AT1401" s="29">
        <v>22</v>
      </c>
      <c r="AU1401" s="24" t="str">
        <f t="shared" si="22"/>
        <v>库存为22</v>
      </c>
      <c r="AV1401" s="31" t="str">
        <f>IFERROR(时间!$B$4+AU1401,"上周无销量")</f>
        <v>上周无销量</v>
      </c>
    </row>
    <row r="1402" spans="1:48">
      <c r="A1402" s="16" t="s">
        <v>2408</v>
      </c>
      <c r="B1402" t="s">
        <v>1198</v>
      </c>
      <c r="C1402" t="s">
        <v>2382</v>
      </c>
      <c r="D1402" s="24">
        <v>5</v>
      </c>
      <c r="E1402" s="24">
        <v>1</v>
      </c>
      <c r="F1402" s="24">
        <v>4</v>
      </c>
      <c r="G1402" s="24">
        <v>2</v>
      </c>
      <c r="H1402" s="25">
        <v>22.98</v>
      </c>
      <c r="I1402">
        <v>2</v>
      </c>
      <c r="J1402" s="26">
        <v>0</v>
      </c>
      <c r="K1402" s="26">
        <v>0</v>
      </c>
      <c r="L1402" s="26">
        <v>1</v>
      </c>
      <c r="M1402">
        <v>3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18</v>
      </c>
      <c r="AK1402">
        <v>15</v>
      </c>
      <c r="AL1402">
        <v>38</v>
      </c>
      <c r="AM1402">
        <v>29</v>
      </c>
      <c r="AN1402" s="18">
        <v>0.277777777777778</v>
      </c>
      <c r="AO1402" s="18">
        <v>0.0666666666666667</v>
      </c>
      <c r="AP1402" s="18">
        <v>0.105263157894737</v>
      </c>
      <c r="AQ1402" s="18">
        <v>0.0689655172413793</v>
      </c>
      <c r="AR1402" s="29">
        <v>0.714285714285714</v>
      </c>
      <c r="AS1402" s="29">
        <v>42.8571428571429</v>
      </c>
      <c r="AT1402" s="29">
        <v>-39.8571428571429</v>
      </c>
      <c r="AU1402" s="24">
        <f t="shared" si="22"/>
        <v>4</v>
      </c>
      <c r="AV1402" s="31">
        <f>IFERROR(时间!$B$4+AU1402,"上周无销量")</f>
        <v>43322</v>
      </c>
    </row>
    <row r="1403" spans="1:48">
      <c r="A1403" s="16" t="s">
        <v>2409</v>
      </c>
      <c r="B1403" t="s">
        <v>1200</v>
      </c>
      <c r="C1403" t="s">
        <v>2382</v>
      </c>
      <c r="D1403" s="24">
        <v>4</v>
      </c>
      <c r="E1403" s="24">
        <v>2</v>
      </c>
      <c r="F1403" s="24">
        <v>3</v>
      </c>
      <c r="G1403" s="24">
        <v>3</v>
      </c>
      <c r="H1403" s="25">
        <v>21.98</v>
      </c>
      <c r="I1403">
        <v>12</v>
      </c>
      <c r="J1403" s="26">
        <v>0</v>
      </c>
      <c r="K1403" s="26">
        <v>0</v>
      </c>
      <c r="L1403" s="26">
        <v>0</v>
      </c>
      <c r="M1403">
        <v>12</v>
      </c>
      <c r="N1403">
        <v>1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15</v>
      </c>
      <c r="AK1403">
        <v>16</v>
      </c>
      <c r="AL1403">
        <v>28</v>
      </c>
      <c r="AM1403">
        <v>28</v>
      </c>
      <c r="AN1403" s="18">
        <v>0.266666666666667</v>
      </c>
      <c r="AO1403" s="18">
        <v>0.125</v>
      </c>
      <c r="AP1403" s="18">
        <v>0.107142857142857</v>
      </c>
      <c r="AQ1403" s="18">
        <v>0.107142857142857</v>
      </c>
      <c r="AR1403" s="29">
        <v>0.571428571428571</v>
      </c>
      <c r="AS1403" s="29">
        <v>34.2857142857143</v>
      </c>
      <c r="AT1403" s="29">
        <v>-22.2857142857143</v>
      </c>
      <c r="AU1403" s="24">
        <f t="shared" si="22"/>
        <v>21</v>
      </c>
      <c r="AV1403" s="31">
        <f>IFERROR(时间!$B$4+AU1403,"上周无销量")</f>
        <v>43339</v>
      </c>
    </row>
    <row r="1404" spans="1:48">
      <c r="A1404" s="16" t="s">
        <v>2410</v>
      </c>
      <c r="B1404" t="s">
        <v>1202</v>
      </c>
      <c r="C1404" t="s">
        <v>2382</v>
      </c>
      <c r="D1404" s="24">
        <v>0</v>
      </c>
      <c r="E1404" s="24">
        <v>1</v>
      </c>
      <c r="F1404" s="24">
        <v>4</v>
      </c>
      <c r="G1404" s="24">
        <v>1</v>
      </c>
      <c r="H1404" s="25">
        <v>21.98</v>
      </c>
      <c r="I1404">
        <v>16</v>
      </c>
      <c r="J1404" s="26">
        <v>0</v>
      </c>
      <c r="K1404" s="26">
        <v>0</v>
      </c>
      <c r="L1404" s="26">
        <v>0</v>
      </c>
      <c r="M1404">
        <v>16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12</v>
      </c>
      <c r="AK1404">
        <v>13</v>
      </c>
      <c r="AL1404">
        <v>23</v>
      </c>
      <c r="AM1404">
        <v>13</v>
      </c>
      <c r="AN1404" s="18">
        <v>0</v>
      </c>
      <c r="AO1404" s="18">
        <v>0.0769230769230769</v>
      </c>
      <c r="AP1404" s="18">
        <v>0.173913043478261</v>
      </c>
      <c r="AQ1404" s="18">
        <v>0.0769230769230769</v>
      </c>
      <c r="AR1404" s="29">
        <v>0</v>
      </c>
      <c r="AS1404" s="29">
        <v>0</v>
      </c>
      <c r="AT1404" s="29">
        <v>16</v>
      </c>
      <c r="AU1404" s="24" t="str">
        <f t="shared" si="22"/>
        <v>库存为16</v>
      </c>
      <c r="AV1404" s="31" t="str">
        <f>IFERROR(时间!$B$4+AU1404,"上周无销量")</f>
        <v>上周无销量</v>
      </c>
    </row>
    <row r="1405" spans="1:48">
      <c r="A1405" s="16" t="s">
        <v>2411</v>
      </c>
      <c r="B1405" t="s">
        <v>1204</v>
      </c>
      <c r="C1405" t="s">
        <v>2382</v>
      </c>
      <c r="D1405" s="24">
        <v>1</v>
      </c>
      <c r="E1405" s="24">
        <v>2</v>
      </c>
      <c r="F1405" s="24">
        <v>2</v>
      </c>
      <c r="G1405" s="24">
        <v>0</v>
      </c>
      <c r="H1405" s="25">
        <v>19.98</v>
      </c>
      <c r="I1405">
        <v>17</v>
      </c>
      <c r="J1405" s="26">
        <v>0</v>
      </c>
      <c r="K1405" s="26">
        <v>0</v>
      </c>
      <c r="L1405" s="26">
        <v>0</v>
      </c>
      <c r="M1405">
        <v>17</v>
      </c>
      <c r="N1405">
        <v>0</v>
      </c>
      <c r="O1405">
        <v>5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18</v>
      </c>
      <c r="AK1405">
        <v>14</v>
      </c>
      <c r="AL1405">
        <v>11</v>
      </c>
      <c r="AM1405">
        <v>9</v>
      </c>
      <c r="AN1405" s="18">
        <v>0.0555555555555556</v>
      </c>
      <c r="AO1405" s="18">
        <v>0.142857142857143</v>
      </c>
      <c r="AP1405" s="18">
        <v>0.181818181818182</v>
      </c>
      <c r="AQ1405" s="18">
        <v>0</v>
      </c>
      <c r="AR1405" s="29">
        <v>0.142857142857143</v>
      </c>
      <c r="AS1405" s="29">
        <v>8.57142857142857</v>
      </c>
      <c r="AT1405" s="29">
        <v>8.42857142857143</v>
      </c>
      <c r="AU1405" s="24">
        <f t="shared" si="22"/>
        <v>119</v>
      </c>
      <c r="AV1405" s="31">
        <f>IFERROR(时间!$B$4+AU1405,"上周无销量")</f>
        <v>43437</v>
      </c>
    </row>
    <row r="1406" spans="1:48">
      <c r="A1406" s="16" t="s">
        <v>2412</v>
      </c>
      <c r="B1406" t="s">
        <v>1206</v>
      </c>
      <c r="C1406" t="s">
        <v>2382</v>
      </c>
      <c r="D1406" s="24">
        <v>6</v>
      </c>
      <c r="E1406" s="24">
        <v>4</v>
      </c>
      <c r="F1406" s="24">
        <v>3</v>
      </c>
      <c r="G1406" s="24">
        <v>4</v>
      </c>
      <c r="H1406" s="25">
        <v>17.5282352941177</v>
      </c>
      <c r="I1406">
        <v>0</v>
      </c>
      <c r="J1406" s="26">
        <v>0</v>
      </c>
      <c r="K1406" s="26">
        <v>2</v>
      </c>
      <c r="L1406" s="26">
        <v>0</v>
      </c>
      <c r="M1406">
        <v>2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11</v>
      </c>
      <c r="AK1406">
        <v>27</v>
      </c>
      <c r="AL1406">
        <v>25</v>
      </c>
      <c r="AM1406">
        <v>30</v>
      </c>
      <c r="AN1406" s="18">
        <v>0.545454545454545</v>
      </c>
      <c r="AO1406" s="18">
        <v>0.148148148148148</v>
      </c>
      <c r="AP1406" s="18">
        <v>0.12</v>
      </c>
      <c r="AQ1406" s="18">
        <v>0.133333333333333</v>
      </c>
      <c r="AR1406" s="29">
        <v>0.857142857142857</v>
      </c>
      <c r="AS1406" s="29">
        <v>51.4285714285714</v>
      </c>
      <c r="AT1406" s="29">
        <v>-49.4285714285714</v>
      </c>
      <c r="AU1406" s="24">
        <f t="shared" si="22"/>
        <v>2</v>
      </c>
      <c r="AV1406" s="31">
        <f>IFERROR(时间!$B$4+AU1406,"上周无销量")</f>
        <v>43320</v>
      </c>
    </row>
    <row r="1407" spans="1:48">
      <c r="A1407" s="16" t="s">
        <v>2413</v>
      </c>
      <c r="B1407" t="s">
        <v>1208</v>
      </c>
      <c r="C1407" t="s">
        <v>2382</v>
      </c>
      <c r="D1407" s="24">
        <v>3</v>
      </c>
      <c r="E1407" s="24">
        <v>2</v>
      </c>
      <c r="F1407" s="24">
        <v>3</v>
      </c>
      <c r="G1407" s="24">
        <v>2</v>
      </c>
      <c r="H1407" s="25">
        <v>22.98</v>
      </c>
      <c r="I1407">
        <v>13</v>
      </c>
      <c r="J1407" s="26">
        <v>0</v>
      </c>
      <c r="K1407" s="26">
        <v>0</v>
      </c>
      <c r="L1407" s="26">
        <v>0</v>
      </c>
      <c r="M1407">
        <v>13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20</v>
      </c>
      <c r="AK1407">
        <v>31</v>
      </c>
      <c r="AL1407">
        <v>36</v>
      </c>
      <c r="AM1407">
        <v>38</v>
      </c>
      <c r="AN1407" s="18">
        <v>0.15</v>
      </c>
      <c r="AO1407" s="18">
        <v>0.0645161290322581</v>
      </c>
      <c r="AP1407" s="18">
        <v>0.0833333333333333</v>
      </c>
      <c r="AQ1407" s="18">
        <v>0.0526315789473684</v>
      </c>
      <c r="AR1407" s="29">
        <v>0.428571428571429</v>
      </c>
      <c r="AS1407" s="29">
        <v>25.7142857142857</v>
      </c>
      <c r="AT1407" s="29">
        <v>-12.7142857142857</v>
      </c>
      <c r="AU1407" s="24">
        <f t="shared" si="22"/>
        <v>30</v>
      </c>
      <c r="AV1407" s="31">
        <f>IFERROR(时间!$B$4+AU1407,"上周无销量")</f>
        <v>43348</v>
      </c>
    </row>
    <row r="1408" spans="1:48">
      <c r="A1408" s="16" t="s">
        <v>2414</v>
      </c>
      <c r="B1408" t="s">
        <v>1210</v>
      </c>
      <c r="C1408" t="s">
        <v>2382</v>
      </c>
      <c r="D1408" s="24">
        <v>4</v>
      </c>
      <c r="E1408" s="24">
        <v>2</v>
      </c>
      <c r="F1408" s="24">
        <v>0</v>
      </c>
      <c r="G1408" s="24">
        <v>3</v>
      </c>
      <c r="H1408" s="25">
        <v>21.98</v>
      </c>
      <c r="I1408">
        <v>16</v>
      </c>
      <c r="J1408" s="26">
        <v>0</v>
      </c>
      <c r="K1408" s="26">
        <v>1</v>
      </c>
      <c r="L1408" s="26">
        <v>0</v>
      </c>
      <c r="M1408">
        <v>17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25</v>
      </c>
      <c r="AK1408">
        <v>28</v>
      </c>
      <c r="AL1408">
        <v>42</v>
      </c>
      <c r="AM1408">
        <v>40</v>
      </c>
      <c r="AN1408" s="18">
        <v>0.16</v>
      </c>
      <c r="AO1408" s="18">
        <v>0.0714285714285714</v>
      </c>
      <c r="AP1408" s="18">
        <v>0</v>
      </c>
      <c r="AQ1408" s="18">
        <v>0.075</v>
      </c>
      <c r="AR1408" s="29">
        <v>0.571428571428571</v>
      </c>
      <c r="AS1408" s="29">
        <v>34.2857142857143</v>
      </c>
      <c r="AT1408" s="29">
        <v>-17.2857142857143</v>
      </c>
      <c r="AU1408" s="24">
        <f t="shared" si="22"/>
        <v>29</v>
      </c>
      <c r="AV1408" s="31">
        <f>IFERROR(时间!$B$4+AU1408,"上周无销量")</f>
        <v>43347</v>
      </c>
    </row>
    <row r="1409" spans="1:48">
      <c r="A1409" s="16" t="s">
        <v>2415</v>
      </c>
      <c r="B1409" t="s">
        <v>1212</v>
      </c>
      <c r="C1409" t="s">
        <v>2382</v>
      </c>
      <c r="D1409" s="24">
        <v>0</v>
      </c>
      <c r="E1409" s="24">
        <v>1</v>
      </c>
      <c r="F1409" s="24">
        <v>0</v>
      </c>
      <c r="G1409" s="24">
        <v>0</v>
      </c>
      <c r="H1409" s="25">
        <v>21.98</v>
      </c>
      <c r="I1409">
        <v>31</v>
      </c>
      <c r="J1409" s="26">
        <v>0</v>
      </c>
      <c r="K1409" s="26">
        <v>0</v>
      </c>
      <c r="L1409" s="26">
        <v>0</v>
      </c>
      <c r="M1409">
        <v>31</v>
      </c>
      <c r="N1409">
        <v>0</v>
      </c>
      <c r="O1409">
        <v>0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13</v>
      </c>
      <c r="AK1409">
        <v>12</v>
      </c>
      <c r="AL1409">
        <v>20</v>
      </c>
      <c r="AM1409">
        <v>16</v>
      </c>
      <c r="AN1409" s="18">
        <v>0</v>
      </c>
      <c r="AO1409" s="18">
        <v>0.0833333333333333</v>
      </c>
      <c r="AP1409" s="18">
        <v>0</v>
      </c>
      <c r="AQ1409" s="18">
        <v>0</v>
      </c>
      <c r="AR1409" s="29">
        <v>0</v>
      </c>
      <c r="AS1409" s="29">
        <v>0</v>
      </c>
      <c r="AT1409" s="29">
        <v>31</v>
      </c>
      <c r="AU1409" s="24" t="str">
        <f t="shared" si="22"/>
        <v>库存为31</v>
      </c>
      <c r="AV1409" s="31" t="str">
        <f>IFERROR(时间!$B$4+AU1409,"上周无销量")</f>
        <v>上周无销量</v>
      </c>
    </row>
    <row r="1410" spans="1:48">
      <c r="A1410" s="16" t="s">
        <v>2416</v>
      </c>
      <c r="B1410" t="s">
        <v>2393</v>
      </c>
      <c r="C1410" t="s">
        <v>2382</v>
      </c>
      <c r="D1410" s="24">
        <v>1</v>
      </c>
      <c r="E1410" s="24">
        <v>0</v>
      </c>
      <c r="F1410" s="24">
        <v>1</v>
      </c>
      <c r="G1410" s="24">
        <v>0</v>
      </c>
      <c r="H1410" s="25">
        <v>19.98</v>
      </c>
      <c r="I1410">
        <v>19</v>
      </c>
      <c r="J1410" s="26">
        <v>0</v>
      </c>
      <c r="K1410" s="26">
        <v>0</v>
      </c>
      <c r="L1410" s="26">
        <v>0</v>
      </c>
      <c r="M1410">
        <v>19</v>
      </c>
      <c r="N1410">
        <v>0</v>
      </c>
      <c r="O1410">
        <v>8</v>
      </c>
      <c r="P1410">
        <v>32</v>
      </c>
      <c r="Q1410">
        <v>24</v>
      </c>
      <c r="R1410">
        <v>4</v>
      </c>
      <c r="S1410">
        <v>12</v>
      </c>
      <c r="T1410">
        <v>0</v>
      </c>
      <c r="U1410">
        <v>0</v>
      </c>
      <c r="V1410">
        <v>0</v>
      </c>
      <c r="W1410">
        <v>1</v>
      </c>
      <c r="X1410" s="18">
        <v>0</v>
      </c>
      <c r="Y1410" s="18">
        <v>0</v>
      </c>
      <c r="Z1410" s="18">
        <v>0</v>
      </c>
      <c r="AA1410" s="18">
        <v>0.0833333333333333</v>
      </c>
      <c r="AB1410">
        <v>0</v>
      </c>
      <c r="AC1410">
        <v>0</v>
      </c>
      <c r="AD1410">
        <v>0</v>
      </c>
      <c r="AE1410">
        <v>0.44</v>
      </c>
      <c r="AF1410" s="18" t="s">
        <v>52</v>
      </c>
      <c r="AG1410" s="18" t="s">
        <v>52</v>
      </c>
      <c r="AH1410" s="18" t="s">
        <v>52</v>
      </c>
      <c r="AI1410" s="18" t="s">
        <v>1744</v>
      </c>
      <c r="AJ1410">
        <v>10</v>
      </c>
      <c r="AK1410">
        <v>15</v>
      </c>
      <c r="AL1410">
        <v>14</v>
      </c>
      <c r="AM1410">
        <v>12</v>
      </c>
      <c r="AN1410" s="18">
        <v>0.1</v>
      </c>
      <c r="AO1410" s="18">
        <v>0</v>
      </c>
      <c r="AP1410" s="18">
        <v>0.0714285714285714</v>
      </c>
      <c r="AQ1410" s="18">
        <v>0</v>
      </c>
      <c r="AR1410" s="29">
        <v>0.142857142857143</v>
      </c>
      <c r="AS1410" s="29">
        <v>8.57142857142857</v>
      </c>
      <c r="AT1410" s="29">
        <v>10.4285714285714</v>
      </c>
      <c r="AU1410" s="24">
        <f t="shared" si="22"/>
        <v>133</v>
      </c>
      <c r="AV1410" s="31">
        <f>IFERROR(时间!$B$4+AU1410,"上周无销量")</f>
        <v>43451</v>
      </c>
    </row>
    <row r="1411" spans="1:48">
      <c r="A1411" s="16" t="s">
        <v>2417</v>
      </c>
      <c r="B1411" t="s">
        <v>1215</v>
      </c>
      <c r="C1411" t="s">
        <v>2382</v>
      </c>
      <c r="D1411" s="24">
        <v>5</v>
      </c>
      <c r="E1411" s="24">
        <v>5</v>
      </c>
      <c r="F1411" s="24">
        <v>6</v>
      </c>
      <c r="G1411" s="24">
        <v>3</v>
      </c>
      <c r="H1411" s="25">
        <v>22.98</v>
      </c>
      <c r="I1411">
        <v>5</v>
      </c>
      <c r="J1411" s="26">
        <v>0</v>
      </c>
      <c r="K1411" s="26">
        <v>0</v>
      </c>
      <c r="L1411" s="26">
        <v>0</v>
      </c>
      <c r="M1411">
        <v>5</v>
      </c>
      <c r="N1411">
        <v>0</v>
      </c>
      <c r="O1411">
        <v>0</v>
      </c>
      <c r="P1411">
        <v>26983</v>
      </c>
      <c r="Q1411">
        <v>18871</v>
      </c>
      <c r="R1411">
        <v>19476</v>
      </c>
      <c r="S1411">
        <v>17372</v>
      </c>
      <c r="T1411">
        <v>57</v>
      </c>
      <c r="U1411">
        <v>40</v>
      </c>
      <c r="V1411">
        <v>36</v>
      </c>
      <c r="W1411">
        <v>45</v>
      </c>
      <c r="X1411" s="18">
        <v>0.00211244116666049</v>
      </c>
      <c r="Y1411" s="18">
        <v>0.0021196544963171</v>
      </c>
      <c r="Z1411" s="18">
        <v>0.00184842883548983</v>
      </c>
      <c r="AA1411" s="18">
        <v>0.00259037531660143</v>
      </c>
      <c r="AB1411">
        <v>46.92</v>
      </c>
      <c r="AC1411">
        <v>23.61</v>
      </c>
      <c r="AD1411">
        <v>21.85</v>
      </c>
      <c r="AE1411">
        <v>27.16</v>
      </c>
      <c r="AF1411" s="18">
        <v>0.408355091383812</v>
      </c>
      <c r="AG1411" s="18">
        <v>0.205483028720627</v>
      </c>
      <c r="AH1411" s="18">
        <v>0.158471134319698</v>
      </c>
      <c r="AI1411" s="18">
        <v>0.393965767333914</v>
      </c>
      <c r="AJ1411">
        <v>56</v>
      </c>
      <c r="AK1411">
        <v>42</v>
      </c>
      <c r="AL1411">
        <v>62</v>
      </c>
      <c r="AM1411">
        <v>49</v>
      </c>
      <c r="AN1411" s="18">
        <v>0.0892857142857143</v>
      </c>
      <c r="AO1411" s="18">
        <v>0.119047619047619</v>
      </c>
      <c r="AP1411" s="18">
        <v>0.0967741935483871</v>
      </c>
      <c r="AQ1411" s="18">
        <v>0.0612244897959184</v>
      </c>
      <c r="AR1411" s="29">
        <v>0.714285714285714</v>
      </c>
      <c r="AS1411" s="29">
        <v>42.8571428571429</v>
      </c>
      <c r="AT1411" s="29">
        <v>-37.8571428571429</v>
      </c>
      <c r="AU1411" s="24">
        <f t="shared" si="22"/>
        <v>7</v>
      </c>
      <c r="AV1411" s="31">
        <f>IFERROR(时间!$B$4+AU1411,"上周无销量")</f>
        <v>43325</v>
      </c>
    </row>
    <row r="1412" spans="1:48">
      <c r="A1412" s="16" t="s">
        <v>2418</v>
      </c>
      <c r="B1412" t="s">
        <v>1217</v>
      </c>
      <c r="C1412" t="s">
        <v>2382</v>
      </c>
      <c r="D1412" s="24">
        <v>3</v>
      </c>
      <c r="E1412" s="24">
        <v>4</v>
      </c>
      <c r="F1412" s="24">
        <v>2</v>
      </c>
      <c r="G1412" s="24">
        <v>2</v>
      </c>
      <c r="H1412" s="25">
        <v>22.98</v>
      </c>
      <c r="I1412">
        <v>10</v>
      </c>
      <c r="J1412" s="26">
        <v>0</v>
      </c>
      <c r="K1412" s="26">
        <v>0</v>
      </c>
      <c r="L1412" s="26">
        <v>0</v>
      </c>
      <c r="M1412">
        <v>10</v>
      </c>
      <c r="N1412">
        <v>0</v>
      </c>
      <c r="O1412">
        <v>0</v>
      </c>
      <c r="P1412">
        <v>1805</v>
      </c>
      <c r="Q1412">
        <v>4086</v>
      </c>
      <c r="R1412">
        <v>6539</v>
      </c>
      <c r="S1412">
        <v>7224</v>
      </c>
      <c r="T1412">
        <v>14</v>
      </c>
      <c r="U1412">
        <v>12</v>
      </c>
      <c r="V1412">
        <v>19</v>
      </c>
      <c r="W1412">
        <v>35</v>
      </c>
      <c r="X1412" s="18">
        <v>0.00775623268698061</v>
      </c>
      <c r="Y1412" s="18">
        <v>0.00293685756240822</v>
      </c>
      <c r="Z1412" s="18">
        <v>0.00290564306468879</v>
      </c>
      <c r="AA1412" s="18">
        <v>0.00484496124031008</v>
      </c>
      <c r="AB1412">
        <v>13.66</v>
      </c>
      <c r="AC1412">
        <v>6.69</v>
      </c>
      <c r="AD1412">
        <v>12.78</v>
      </c>
      <c r="AE1412">
        <v>25.58</v>
      </c>
      <c r="AF1412" s="18">
        <v>0.19814331302582</v>
      </c>
      <c r="AG1412" s="18">
        <v>0.0727806788511749</v>
      </c>
      <c r="AH1412" s="18">
        <v>0.278067885117493</v>
      </c>
      <c r="AI1412" s="18">
        <v>0.55657093124456</v>
      </c>
      <c r="AJ1412">
        <v>22</v>
      </c>
      <c r="AK1412">
        <v>22</v>
      </c>
      <c r="AL1412">
        <v>27</v>
      </c>
      <c r="AM1412">
        <v>27</v>
      </c>
      <c r="AN1412" s="18">
        <v>0.136363636363636</v>
      </c>
      <c r="AO1412" s="18">
        <v>0.181818181818182</v>
      </c>
      <c r="AP1412" s="18">
        <v>0.0740740740740741</v>
      </c>
      <c r="AQ1412" s="18">
        <v>0.0740740740740741</v>
      </c>
      <c r="AR1412" s="29">
        <v>0.428571428571429</v>
      </c>
      <c r="AS1412" s="29">
        <v>25.7142857142857</v>
      </c>
      <c r="AT1412" s="29">
        <v>-15.7142857142857</v>
      </c>
      <c r="AU1412" s="24">
        <f t="shared" si="22"/>
        <v>23</v>
      </c>
      <c r="AV1412" s="31">
        <f>IFERROR(时间!$B$4+AU1412,"上周无销量")</f>
        <v>43341</v>
      </c>
    </row>
    <row r="1413" spans="1:48">
      <c r="A1413" s="16" t="s">
        <v>2419</v>
      </c>
      <c r="B1413" t="s">
        <v>1219</v>
      </c>
      <c r="C1413" t="s">
        <v>2382</v>
      </c>
      <c r="D1413" s="24">
        <v>2</v>
      </c>
      <c r="E1413" s="24">
        <v>0</v>
      </c>
      <c r="F1413" s="24">
        <v>0</v>
      </c>
      <c r="G1413" s="24">
        <v>2</v>
      </c>
      <c r="H1413" s="25">
        <v>21.98</v>
      </c>
      <c r="I1413">
        <v>13</v>
      </c>
      <c r="J1413" s="26">
        <v>0</v>
      </c>
      <c r="K1413" s="26">
        <v>0</v>
      </c>
      <c r="L1413" s="26">
        <v>0</v>
      </c>
      <c r="M1413">
        <v>13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14</v>
      </c>
      <c r="AK1413">
        <v>21</v>
      </c>
      <c r="AL1413">
        <v>37</v>
      </c>
      <c r="AM1413">
        <v>33</v>
      </c>
      <c r="AN1413" s="18">
        <v>0.142857142857143</v>
      </c>
      <c r="AO1413" s="18">
        <v>0</v>
      </c>
      <c r="AP1413" s="18">
        <v>0</v>
      </c>
      <c r="AQ1413" s="18">
        <v>0.0606060606060606</v>
      </c>
      <c r="AR1413" s="29">
        <v>0.285714285714286</v>
      </c>
      <c r="AS1413" s="29">
        <v>17.1428571428571</v>
      </c>
      <c r="AT1413" s="29">
        <v>-4.14285714285714</v>
      </c>
      <c r="AU1413" s="24">
        <f t="shared" si="22"/>
        <v>45</v>
      </c>
      <c r="AV1413" s="31">
        <f>IFERROR(时间!$B$4+AU1413,"上周无销量")</f>
        <v>43363</v>
      </c>
    </row>
    <row r="1414" spans="1:48">
      <c r="A1414" s="16" t="s">
        <v>2420</v>
      </c>
      <c r="B1414" t="s">
        <v>1221</v>
      </c>
      <c r="C1414" t="s">
        <v>2382</v>
      </c>
      <c r="D1414" s="24">
        <v>2</v>
      </c>
      <c r="E1414" s="24">
        <v>0</v>
      </c>
      <c r="F1414" s="24">
        <v>2</v>
      </c>
      <c r="G1414" s="24">
        <v>1</v>
      </c>
      <c r="H1414" s="25">
        <v>21.98</v>
      </c>
      <c r="I1414">
        <v>0</v>
      </c>
      <c r="J1414" s="26">
        <v>0</v>
      </c>
      <c r="K1414" s="26">
        <v>0</v>
      </c>
      <c r="L1414" s="26">
        <v>0</v>
      </c>
      <c r="M1414">
        <v>0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20</v>
      </c>
      <c r="AK1414">
        <v>15</v>
      </c>
      <c r="AL1414">
        <v>15</v>
      </c>
      <c r="AM1414">
        <v>18</v>
      </c>
      <c r="AN1414" s="18">
        <v>0.1</v>
      </c>
      <c r="AO1414" s="18">
        <v>0</v>
      </c>
      <c r="AP1414" s="18">
        <v>0.133333333333333</v>
      </c>
      <c r="AQ1414" s="18">
        <v>0.0555555555555556</v>
      </c>
      <c r="AR1414" s="29">
        <v>0.285714285714286</v>
      </c>
      <c r="AS1414" s="29">
        <v>17.1428571428571</v>
      </c>
      <c r="AT1414" s="29">
        <v>-17.1428571428571</v>
      </c>
      <c r="AU1414" s="24">
        <f t="shared" ref="AU1414:AU1477" si="23">IF(AR1414="","库存为"&amp;M1414,IF(AS1414=0,"库存为"&amp;M1414,INT(M1414/AR1414)))</f>
        <v>0</v>
      </c>
      <c r="AV1414" s="31">
        <f>IFERROR(时间!$B$4+AU1414,"上周无销量")</f>
        <v>43318</v>
      </c>
    </row>
    <row r="1415" spans="1:48">
      <c r="A1415" s="16" t="s">
        <v>2421</v>
      </c>
      <c r="B1415" t="s">
        <v>1223</v>
      </c>
      <c r="C1415" t="s">
        <v>2382</v>
      </c>
      <c r="D1415" s="24">
        <v>1</v>
      </c>
      <c r="E1415" s="24">
        <v>3</v>
      </c>
      <c r="F1415" s="24">
        <v>2</v>
      </c>
      <c r="G1415" s="24">
        <v>0</v>
      </c>
      <c r="H1415" s="25">
        <v>19.98</v>
      </c>
      <c r="I1415">
        <v>1</v>
      </c>
      <c r="J1415" s="26">
        <v>0</v>
      </c>
      <c r="K1415" s="26">
        <v>0</v>
      </c>
      <c r="L1415" s="26">
        <v>0</v>
      </c>
      <c r="M1415">
        <v>1</v>
      </c>
      <c r="N1415">
        <v>0</v>
      </c>
      <c r="O1415">
        <v>0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13</v>
      </c>
      <c r="AK1415">
        <v>12</v>
      </c>
      <c r="AL1415">
        <v>5</v>
      </c>
      <c r="AM1415">
        <v>11</v>
      </c>
      <c r="AN1415" s="18">
        <v>0.0769230769230769</v>
      </c>
      <c r="AO1415" s="18">
        <v>0.25</v>
      </c>
      <c r="AP1415" s="18">
        <v>0.4</v>
      </c>
      <c r="AQ1415" s="18">
        <v>0</v>
      </c>
      <c r="AR1415" s="29">
        <v>0.142857142857143</v>
      </c>
      <c r="AS1415" s="29">
        <v>8.57142857142857</v>
      </c>
      <c r="AT1415" s="29">
        <v>-7.57142857142857</v>
      </c>
      <c r="AU1415" s="24">
        <f t="shared" si="23"/>
        <v>7</v>
      </c>
      <c r="AV1415" s="31">
        <f>IFERROR(时间!$B$4+AU1415,"上周无销量")</f>
        <v>43325</v>
      </c>
    </row>
    <row r="1416" spans="1:48">
      <c r="A1416" s="16" t="s">
        <v>2422</v>
      </c>
      <c r="B1416" t="s">
        <v>1225</v>
      </c>
      <c r="C1416" t="s">
        <v>2382</v>
      </c>
      <c r="D1416" s="24">
        <v>1</v>
      </c>
      <c r="E1416" s="24">
        <v>2</v>
      </c>
      <c r="F1416" s="24">
        <v>3</v>
      </c>
      <c r="G1416" s="24">
        <v>4</v>
      </c>
      <c r="H1416" s="25">
        <v>22.98</v>
      </c>
      <c r="I1416">
        <v>25</v>
      </c>
      <c r="J1416" s="26">
        <v>0</v>
      </c>
      <c r="K1416" s="26">
        <v>0</v>
      </c>
      <c r="L1416" s="26">
        <v>0</v>
      </c>
      <c r="M1416">
        <v>25</v>
      </c>
      <c r="N1416">
        <v>0</v>
      </c>
      <c r="O1416">
        <v>0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27</v>
      </c>
      <c r="AK1416">
        <v>19</v>
      </c>
      <c r="AL1416">
        <v>26</v>
      </c>
      <c r="AM1416">
        <v>33</v>
      </c>
      <c r="AN1416" s="18">
        <v>0.037037037037037</v>
      </c>
      <c r="AO1416" s="18">
        <v>0.105263157894737</v>
      </c>
      <c r="AP1416" s="18">
        <v>0.115384615384615</v>
      </c>
      <c r="AQ1416" s="18">
        <v>0.121212121212121</v>
      </c>
      <c r="AR1416" s="29">
        <v>0.142857142857143</v>
      </c>
      <c r="AS1416" s="29">
        <v>8.57142857142857</v>
      </c>
      <c r="AT1416" s="29">
        <v>16.4285714285714</v>
      </c>
      <c r="AU1416" s="24">
        <f t="shared" si="23"/>
        <v>175</v>
      </c>
      <c r="AV1416" s="31">
        <f>IFERROR(时间!$B$4+AU1416,"上周无销量")</f>
        <v>43493</v>
      </c>
    </row>
    <row r="1417" spans="1:48">
      <c r="A1417" s="16" t="s">
        <v>2423</v>
      </c>
      <c r="B1417" t="s">
        <v>1227</v>
      </c>
      <c r="C1417" t="s">
        <v>2382</v>
      </c>
      <c r="D1417" s="24">
        <v>1</v>
      </c>
      <c r="E1417" s="24">
        <v>8</v>
      </c>
      <c r="F1417" s="24">
        <v>3</v>
      </c>
      <c r="G1417" s="24">
        <v>8</v>
      </c>
      <c r="H1417" s="25">
        <v>17.353</v>
      </c>
      <c r="I1417">
        <v>0</v>
      </c>
      <c r="J1417" s="26">
        <v>0</v>
      </c>
      <c r="K1417" s="26">
        <v>0</v>
      </c>
      <c r="L1417" s="26">
        <v>3</v>
      </c>
      <c r="M1417">
        <v>3</v>
      </c>
      <c r="N1417">
        <v>0</v>
      </c>
      <c r="O1417">
        <v>0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15</v>
      </c>
      <c r="AK1417">
        <v>24</v>
      </c>
      <c r="AL1417">
        <v>17</v>
      </c>
      <c r="AM1417">
        <v>27</v>
      </c>
      <c r="AN1417" s="18">
        <v>0.0666666666666667</v>
      </c>
      <c r="AO1417" s="18">
        <v>0.333333333333333</v>
      </c>
      <c r="AP1417" s="18">
        <v>0.176470588235294</v>
      </c>
      <c r="AQ1417" s="18">
        <v>0.296296296296296</v>
      </c>
      <c r="AR1417" s="29">
        <v>0.142857142857143</v>
      </c>
      <c r="AS1417" s="29">
        <v>8.57142857142857</v>
      </c>
      <c r="AT1417" s="29">
        <v>-5.57142857142857</v>
      </c>
      <c r="AU1417" s="24">
        <f t="shared" si="23"/>
        <v>21</v>
      </c>
      <c r="AV1417" s="31">
        <f>IFERROR(时间!$B$4+AU1417,"上周无销量")</f>
        <v>43339</v>
      </c>
    </row>
    <row r="1418" spans="1:48">
      <c r="A1418" s="16" t="s">
        <v>2424</v>
      </c>
      <c r="B1418" t="s">
        <v>1229</v>
      </c>
      <c r="C1418" t="s">
        <v>2382</v>
      </c>
      <c r="D1418" s="24">
        <v>4</v>
      </c>
      <c r="E1418" s="24">
        <v>3</v>
      </c>
      <c r="F1418" s="24">
        <v>2</v>
      </c>
      <c r="G1418" s="24">
        <v>4</v>
      </c>
      <c r="H1418" s="25">
        <v>21.98</v>
      </c>
      <c r="I1418">
        <v>16</v>
      </c>
      <c r="J1418" s="26">
        <v>0</v>
      </c>
      <c r="K1418" s="26">
        <v>0</v>
      </c>
      <c r="L1418" s="26">
        <v>0</v>
      </c>
      <c r="M1418">
        <v>16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9</v>
      </c>
      <c r="AK1418">
        <v>12</v>
      </c>
      <c r="AL1418">
        <v>16</v>
      </c>
      <c r="AM1418">
        <v>23</v>
      </c>
      <c r="AN1418" s="18">
        <v>0.444444444444444</v>
      </c>
      <c r="AO1418" s="18">
        <v>0.25</v>
      </c>
      <c r="AP1418" s="18">
        <v>0.125</v>
      </c>
      <c r="AQ1418" s="18">
        <v>0.173913043478261</v>
      </c>
      <c r="AR1418" s="29">
        <v>0.571428571428571</v>
      </c>
      <c r="AS1418" s="29">
        <v>34.2857142857143</v>
      </c>
      <c r="AT1418" s="29">
        <v>-18.2857142857143</v>
      </c>
      <c r="AU1418" s="24">
        <f t="shared" si="23"/>
        <v>28</v>
      </c>
      <c r="AV1418" s="31">
        <f>IFERROR(时间!$B$4+AU1418,"上周无销量")</f>
        <v>43346</v>
      </c>
    </row>
    <row r="1419" spans="1:48">
      <c r="A1419" s="16" t="s">
        <v>2425</v>
      </c>
      <c r="B1419" t="s">
        <v>51</v>
      </c>
      <c r="C1419" t="s">
        <v>2382</v>
      </c>
      <c r="D1419" s="24">
        <v>2</v>
      </c>
      <c r="E1419" s="24">
        <v>3</v>
      </c>
      <c r="F1419" s="24">
        <v>2</v>
      </c>
      <c r="G1419" s="24">
        <v>2</v>
      </c>
      <c r="H1419" s="25">
        <v>21.98</v>
      </c>
      <c r="I1419">
        <v>17</v>
      </c>
      <c r="J1419" s="26">
        <v>0</v>
      </c>
      <c r="K1419" s="26">
        <v>0</v>
      </c>
      <c r="L1419" s="26">
        <v>0</v>
      </c>
      <c r="M1419">
        <v>17</v>
      </c>
      <c r="N1419">
        <v>0</v>
      </c>
      <c r="O1419">
        <v>0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14</v>
      </c>
      <c r="AK1419">
        <v>14</v>
      </c>
      <c r="AL1419">
        <v>14</v>
      </c>
      <c r="AM1419">
        <v>12</v>
      </c>
      <c r="AN1419" s="18">
        <v>0.142857142857143</v>
      </c>
      <c r="AO1419" s="18">
        <v>0.214285714285714</v>
      </c>
      <c r="AP1419" s="18">
        <v>0.142857142857143</v>
      </c>
      <c r="AQ1419" s="18">
        <v>0.166666666666667</v>
      </c>
      <c r="AR1419" s="29">
        <v>0.285714285714286</v>
      </c>
      <c r="AS1419" s="29">
        <v>17.1428571428571</v>
      </c>
      <c r="AT1419" s="29">
        <v>-0.142857142857142</v>
      </c>
      <c r="AU1419" s="24">
        <f t="shared" si="23"/>
        <v>59</v>
      </c>
      <c r="AV1419" s="31">
        <f>IFERROR(时间!$B$4+AU1419,"上周无销量")</f>
        <v>43377</v>
      </c>
    </row>
    <row r="1420" spans="1:48">
      <c r="A1420" s="16" t="s">
        <v>2426</v>
      </c>
      <c r="B1420" t="s">
        <v>1232</v>
      </c>
      <c r="C1420" t="s">
        <v>2382</v>
      </c>
      <c r="D1420" s="24">
        <v>0</v>
      </c>
      <c r="E1420" s="24">
        <v>0</v>
      </c>
      <c r="F1420" s="24">
        <v>1</v>
      </c>
      <c r="G1420" s="24">
        <v>0</v>
      </c>
      <c r="H1420" s="25">
        <v>19.98</v>
      </c>
      <c r="I1420">
        <v>20</v>
      </c>
      <c r="J1420" s="26">
        <v>0</v>
      </c>
      <c r="K1420" s="26">
        <v>0</v>
      </c>
      <c r="L1420" s="26">
        <v>0</v>
      </c>
      <c r="M1420">
        <v>20</v>
      </c>
      <c r="N1420">
        <v>0</v>
      </c>
      <c r="O1420">
        <v>8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6</v>
      </c>
      <c r="AK1420">
        <v>12</v>
      </c>
      <c r="AL1420">
        <v>17</v>
      </c>
      <c r="AM1420">
        <v>11</v>
      </c>
      <c r="AN1420" s="18">
        <v>0</v>
      </c>
      <c r="AO1420" s="18">
        <v>0</v>
      </c>
      <c r="AP1420" s="18">
        <v>0.0588235294117647</v>
      </c>
      <c r="AQ1420" s="18">
        <v>0</v>
      </c>
      <c r="AR1420" s="29">
        <v>0</v>
      </c>
      <c r="AS1420" s="29">
        <v>0</v>
      </c>
      <c r="AT1420" s="29">
        <v>20</v>
      </c>
      <c r="AU1420" s="24" t="str">
        <f t="shared" si="23"/>
        <v>库存为20</v>
      </c>
      <c r="AV1420" s="31" t="str">
        <f>IFERROR(时间!$B$4+AU1420,"上周无销量")</f>
        <v>上周无销量</v>
      </c>
    </row>
    <row r="1421" spans="1:48">
      <c r="A1421" s="16" t="s">
        <v>2427</v>
      </c>
      <c r="B1421" t="s">
        <v>2428</v>
      </c>
      <c r="C1421" t="s">
        <v>2382</v>
      </c>
      <c r="D1421" s="24">
        <v>3</v>
      </c>
      <c r="E1421" s="24">
        <v>6</v>
      </c>
      <c r="F1421" s="24">
        <v>2</v>
      </c>
      <c r="G1421" s="24">
        <v>2</v>
      </c>
      <c r="H1421" s="25">
        <v>22.98</v>
      </c>
      <c r="I1421">
        <v>25</v>
      </c>
      <c r="J1421" s="26">
        <v>0</v>
      </c>
      <c r="K1421" s="26">
        <v>0</v>
      </c>
      <c r="L1421" s="26">
        <v>0</v>
      </c>
      <c r="M1421">
        <v>25</v>
      </c>
      <c r="N1421">
        <v>0</v>
      </c>
      <c r="O1421">
        <v>0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14</v>
      </c>
      <c r="AK1421">
        <v>11</v>
      </c>
      <c r="AL1421">
        <v>23</v>
      </c>
      <c r="AM1421">
        <v>19</v>
      </c>
      <c r="AN1421" s="18">
        <v>0.214285714285714</v>
      </c>
      <c r="AO1421" s="18">
        <v>0.545454545454545</v>
      </c>
      <c r="AP1421" s="18">
        <v>0.0869565217391304</v>
      </c>
      <c r="AQ1421" s="18">
        <v>0.105263157894737</v>
      </c>
      <c r="AR1421" s="29">
        <v>0.428571428571429</v>
      </c>
      <c r="AS1421" s="29">
        <v>25.7142857142857</v>
      </c>
      <c r="AT1421" s="29">
        <v>-0.714285714285712</v>
      </c>
      <c r="AU1421" s="24">
        <f t="shared" si="23"/>
        <v>58</v>
      </c>
      <c r="AV1421" s="31">
        <f>IFERROR(时间!$B$4+AU1421,"上周无销量")</f>
        <v>43376</v>
      </c>
    </row>
    <row r="1422" spans="1:48">
      <c r="A1422" s="16" t="s">
        <v>2429</v>
      </c>
      <c r="B1422" t="s">
        <v>1236</v>
      </c>
      <c r="C1422" t="s">
        <v>2382</v>
      </c>
      <c r="D1422" s="24">
        <v>3</v>
      </c>
      <c r="E1422" s="24">
        <v>1</v>
      </c>
      <c r="F1422" s="24">
        <v>4</v>
      </c>
      <c r="G1422" s="24">
        <v>1</v>
      </c>
      <c r="H1422" s="25">
        <v>22.98</v>
      </c>
      <c r="I1422">
        <v>23</v>
      </c>
      <c r="J1422" s="26">
        <v>0</v>
      </c>
      <c r="K1422" s="26">
        <v>0</v>
      </c>
      <c r="L1422" s="26">
        <v>0</v>
      </c>
      <c r="M1422">
        <v>23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10</v>
      </c>
      <c r="AK1422">
        <v>16</v>
      </c>
      <c r="AL1422">
        <v>18</v>
      </c>
      <c r="AM1422">
        <v>20</v>
      </c>
      <c r="AN1422" s="18">
        <v>0.3</v>
      </c>
      <c r="AO1422" s="18">
        <v>0.0625</v>
      </c>
      <c r="AP1422" s="18">
        <v>0.222222222222222</v>
      </c>
      <c r="AQ1422" s="18">
        <v>0.05</v>
      </c>
      <c r="AR1422" s="29">
        <v>0.428571428571429</v>
      </c>
      <c r="AS1422" s="29">
        <v>25.7142857142857</v>
      </c>
      <c r="AT1422" s="29">
        <v>-2.71428571428571</v>
      </c>
      <c r="AU1422" s="24">
        <f t="shared" si="23"/>
        <v>53</v>
      </c>
      <c r="AV1422" s="31">
        <f>IFERROR(时间!$B$4+AU1422,"上周无销量")</f>
        <v>43371</v>
      </c>
    </row>
    <row r="1423" spans="1:48">
      <c r="A1423" s="16" t="s">
        <v>2430</v>
      </c>
      <c r="B1423" t="s">
        <v>1238</v>
      </c>
      <c r="C1423" t="s">
        <v>2382</v>
      </c>
      <c r="D1423" s="24">
        <v>1</v>
      </c>
      <c r="E1423" s="24">
        <v>3</v>
      </c>
      <c r="F1423" s="24">
        <v>10</v>
      </c>
      <c r="G1423" s="24">
        <v>7</v>
      </c>
      <c r="H1423" s="25">
        <v>21.98</v>
      </c>
      <c r="I1423">
        <v>22</v>
      </c>
      <c r="J1423" s="26">
        <v>0</v>
      </c>
      <c r="K1423" s="26">
        <v>0</v>
      </c>
      <c r="L1423" s="26">
        <v>0</v>
      </c>
      <c r="M1423">
        <v>22</v>
      </c>
      <c r="N1423">
        <v>0</v>
      </c>
      <c r="O1423">
        <v>0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22</v>
      </c>
      <c r="AK1423">
        <v>14</v>
      </c>
      <c r="AL1423">
        <v>30</v>
      </c>
      <c r="AM1423">
        <v>47</v>
      </c>
      <c r="AN1423" s="18">
        <v>0.0454545454545455</v>
      </c>
      <c r="AO1423" s="18">
        <v>0.214285714285714</v>
      </c>
      <c r="AP1423" s="18">
        <v>0.333333333333333</v>
      </c>
      <c r="AQ1423" s="18">
        <v>0.148936170212766</v>
      </c>
      <c r="AR1423" s="29">
        <v>0.142857142857143</v>
      </c>
      <c r="AS1423" s="29">
        <v>8.57142857142857</v>
      </c>
      <c r="AT1423" s="29">
        <v>13.4285714285714</v>
      </c>
      <c r="AU1423" s="24">
        <f t="shared" si="23"/>
        <v>154</v>
      </c>
      <c r="AV1423" s="31">
        <f>IFERROR(时间!$B$4+AU1423,"上周无销量")</f>
        <v>43472</v>
      </c>
    </row>
    <row r="1424" spans="1:48">
      <c r="A1424" s="16" t="s">
        <v>2431</v>
      </c>
      <c r="B1424" t="s">
        <v>1240</v>
      </c>
      <c r="C1424" t="s">
        <v>2382</v>
      </c>
      <c r="D1424" s="24">
        <v>1</v>
      </c>
      <c r="E1424" s="24">
        <v>1</v>
      </c>
      <c r="F1424" s="24">
        <v>2</v>
      </c>
      <c r="G1424" s="24">
        <v>8</v>
      </c>
      <c r="H1424" s="25">
        <v>21.98</v>
      </c>
      <c r="I1424">
        <v>11</v>
      </c>
      <c r="J1424" s="26">
        <v>0</v>
      </c>
      <c r="K1424" s="26">
        <v>0</v>
      </c>
      <c r="L1424" s="26">
        <v>0</v>
      </c>
      <c r="M1424">
        <v>11</v>
      </c>
      <c r="N1424">
        <v>0</v>
      </c>
      <c r="O1424">
        <v>0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15</v>
      </c>
      <c r="AK1424">
        <v>11</v>
      </c>
      <c r="AL1424">
        <v>16</v>
      </c>
      <c r="AM1424">
        <v>26</v>
      </c>
      <c r="AN1424" s="18">
        <v>0.0666666666666667</v>
      </c>
      <c r="AO1424" s="18">
        <v>0.0909090909090909</v>
      </c>
      <c r="AP1424" s="18">
        <v>0.125</v>
      </c>
      <c r="AQ1424" s="18">
        <v>0.307692307692308</v>
      </c>
      <c r="AR1424" s="29">
        <v>0.142857142857143</v>
      </c>
      <c r="AS1424" s="29">
        <v>8.57142857142857</v>
      </c>
      <c r="AT1424" s="29">
        <v>2.42857142857143</v>
      </c>
      <c r="AU1424" s="24">
        <f t="shared" si="23"/>
        <v>77</v>
      </c>
      <c r="AV1424" s="31">
        <f>IFERROR(时间!$B$4+AU1424,"上周无销量")</f>
        <v>43395</v>
      </c>
    </row>
    <row r="1425" spans="1:48">
      <c r="A1425" s="16" t="s">
        <v>2432</v>
      </c>
      <c r="B1425" t="s">
        <v>1242</v>
      </c>
      <c r="C1425" t="s">
        <v>2382</v>
      </c>
      <c r="D1425" s="24">
        <v>0</v>
      </c>
      <c r="E1425" s="24">
        <v>1</v>
      </c>
      <c r="F1425" s="24">
        <v>3</v>
      </c>
      <c r="G1425" s="24">
        <v>1</v>
      </c>
      <c r="H1425" s="25">
        <v>17.98</v>
      </c>
      <c r="I1425">
        <v>19</v>
      </c>
      <c r="J1425" s="26">
        <v>0</v>
      </c>
      <c r="K1425" s="26">
        <v>0</v>
      </c>
      <c r="L1425" s="26">
        <v>0</v>
      </c>
      <c r="M1425">
        <v>19</v>
      </c>
      <c r="N1425">
        <v>0</v>
      </c>
      <c r="O1425">
        <v>6</v>
      </c>
      <c r="P1425">
        <v>6</v>
      </c>
      <c r="Q1425">
        <v>4</v>
      </c>
      <c r="R1425">
        <v>24</v>
      </c>
      <c r="S1425">
        <v>22</v>
      </c>
      <c r="T1425">
        <v>0</v>
      </c>
      <c r="U1425">
        <v>0</v>
      </c>
      <c r="V1425">
        <v>0</v>
      </c>
      <c r="W1425">
        <v>1</v>
      </c>
      <c r="X1425" s="18">
        <v>0</v>
      </c>
      <c r="Y1425" s="18">
        <v>0</v>
      </c>
      <c r="Z1425" s="18">
        <v>0</v>
      </c>
      <c r="AA1425" s="18">
        <v>0.0454545454545455</v>
      </c>
      <c r="AB1425">
        <v>0</v>
      </c>
      <c r="AC1425">
        <v>0</v>
      </c>
      <c r="AD1425">
        <v>0</v>
      </c>
      <c r="AE1425">
        <v>0.66</v>
      </c>
      <c r="AF1425" s="18" t="s">
        <v>52</v>
      </c>
      <c r="AG1425" s="18" t="s">
        <v>52</v>
      </c>
      <c r="AH1425" s="18" t="s">
        <v>52</v>
      </c>
      <c r="AI1425" s="18">
        <v>0.0367074527252503</v>
      </c>
      <c r="AJ1425">
        <v>12</v>
      </c>
      <c r="AK1425">
        <v>10</v>
      </c>
      <c r="AL1425">
        <v>18</v>
      </c>
      <c r="AM1425">
        <v>19</v>
      </c>
      <c r="AN1425" s="18">
        <v>0</v>
      </c>
      <c r="AO1425" s="18">
        <v>0.1</v>
      </c>
      <c r="AP1425" s="18">
        <v>0.166666666666667</v>
      </c>
      <c r="AQ1425" s="18">
        <v>0.0526315789473684</v>
      </c>
      <c r="AR1425" s="29">
        <v>0</v>
      </c>
      <c r="AS1425" s="29">
        <v>0</v>
      </c>
      <c r="AT1425" s="29">
        <v>19</v>
      </c>
      <c r="AU1425" s="24" t="str">
        <f t="shared" si="23"/>
        <v>库存为19</v>
      </c>
      <c r="AV1425" s="31" t="str">
        <f>IFERROR(时间!$B$4+AU1425,"上周无销量")</f>
        <v>上周无销量</v>
      </c>
    </row>
    <row r="1426" spans="1:48">
      <c r="A1426" s="16" t="s">
        <v>2433</v>
      </c>
      <c r="B1426" t="s">
        <v>1244</v>
      </c>
      <c r="C1426" t="s">
        <v>2382</v>
      </c>
      <c r="D1426" s="24">
        <v>5</v>
      </c>
      <c r="E1426" s="24">
        <v>4</v>
      </c>
      <c r="F1426" s="24">
        <v>9</v>
      </c>
      <c r="G1426" s="24">
        <v>11</v>
      </c>
      <c r="H1426" s="25">
        <v>22.98</v>
      </c>
      <c r="I1426">
        <v>11</v>
      </c>
      <c r="J1426" s="26">
        <v>0</v>
      </c>
      <c r="K1426" s="26">
        <v>0</v>
      </c>
      <c r="L1426" s="26">
        <v>0</v>
      </c>
      <c r="M1426">
        <v>11</v>
      </c>
      <c r="N1426">
        <v>0</v>
      </c>
      <c r="O1426">
        <v>0</v>
      </c>
      <c r="P1426">
        <v>0</v>
      </c>
      <c r="Q1426">
        <v>7</v>
      </c>
      <c r="R1426">
        <v>24</v>
      </c>
      <c r="S1426">
        <v>18</v>
      </c>
      <c r="T1426">
        <v>0</v>
      </c>
      <c r="U1426">
        <v>0</v>
      </c>
      <c r="V1426">
        <v>0</v>
      </c>
      <c r="W1426">
        <v>0</v>
      </c>
      <c r="X1426" s="18" t="s">
        <v>52</v>
      </c>
      <c r="Y1426" s="18">
        <v>0</v>
      </c>
      <c r="Z1426" s="18">
        <v>0</v>
      </c>
      <c r="AA1426" s="18">
        <v>0</v>
      </c>
      <c r="AB1426">
        <v>0</v>
      </c>
      <c r="AC1426">
        <v>0</v>
      </c>
      <c r="AD1426">
        <v>0</v>
      </c>
      <c r="AE1426">
        <v>0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26</v>
      </c>
      <c r="AK1426">
        <v>27</v>
      </c>
      <c r="AL1426">
        <v>28</v>
      </c>
      <c r="AM1426">
        <v>29</v>
      </c>
      <c r="AN1426" s="18">
        <v>0.192307692307692</v>
      </c>
      <c r="AO1426" s="18">
        <v>0.148148148148148</v>
      </c>
      <c r="AP1426" s="18">
        <v>0.321428571428571</v>
      </c>
      <c r="AQ1426" s="18">
        <v>0.379310344827586</v>
      </c>
      <c r="AR1426" s="29">
        <v>0.714285714285714</v>
      </c>
      <c r="AS1426" s="29">
        <v>42.8571428571429</v>
      </c>
      <c r="AT1426" s="29">
        <v>-31.8571428571429</v>
      </c>
      <c r="AU1426" s="24">
        <f t="shared" si="23"/>
        <v>15</v>
      </c>
      <c r="AV1426" s="31">
        <f>IFERROR(时间!$B$4+AU1426,"上周无销量")</f>
        <v>43333</v>
      </c>
    </row>
    <row r="1427" spans="1:48">
      <c r="A1427" s="16" t="s">
        <v>2434</v>
      </c>
      <c r="B1427" t="s">
        <v>1246</v>
      </c>
      <c r="C1427" t="s">
        <v>2382</v>
      </c>
      <c r="D1427" s="24">
        <v>4</v>
      </c>
      <c r="E1427" s="24">
        <v>3</v>
      </c>
      <c r="F1427" s="24">
        <v>8</v>
      </c>
      <c r="G1427" s="24">
        <v>4</v>
      </c>
      <c r="H1427" s="25">
        <v>22.98</v>
      </c>
      <c r="I1427">
        <v>26</v>
      </c>
      <c r="J1427" s="26">
        <v>0</v>
      </c>
      <c r="K1427" s="26">
        <v>0</v>
      </c>
      <c r="L1427" s="26">
        <v>0</v>
      </c>
      <c r="M1427">
        <v>26</v>
      </c>
      <c r="N1427">
        <v>0</v>
      </c>
      <c r="O1427">
        <v>0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15</v>
      </c>
      <c r="AK1427">
        <v>8</v>
      </c>
      <c r="AL1427">
        <v>22</v>
      </c>
      <c r="AM1427">
        <v>44</v>
      </c>
      <c r="AN1427" s="18">
        <v>0.266666666666667</v>
      </c>
      <c r="AO1427" s="18">
        <v>0.375</v>
      </c>
      <c r="AP1427" s="18">
        <v>0.363636363636364</v>
      </c>
      <c r="AQ1427" s="18">
        <v>0.0909090909090909</v>
      </c>
      <c r="AR1427" s="29">
        <v>0.571428571428571</v>
      </c>
      <c r="AS1427" s="29">
        <v>34.2857142857143</v>
      </c>
      <c r="AT1427" s="29">
        <v>-8.28571428571428</v>
      </c>
      <c r="AU1427" s="24">
        <f t="shared" si="23"/>
        <v>45</v>
      </c>
      <c r="AV1427" s="31">
        <f>IFERROR(时间!$B$4+AU1427,"上周无销量")</f>
        <v>43363</v>
      </c>
    </row>
    <row r="1428" spans="1:48">
      <c r="A1428" s="16" t="s">
        <v>2435</v>
      </c>
      <c r="B1428" t="s">
        <v>2436</v>
      </c>
      <c r="C1428" t="s">
        <v>2437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11</v>
      </c>
      <c r="J1428" s="26">
        <v>0</v>
      </c>
      <c r="K1428" s="26">
        <v>0</v>
      </c>
      <c r="L1428" s="26">
        <v>0</v>
      </c>
      <c r="M1428">
        <v>11</v>
      </c>
      <c r="N1428">
        <v>0</v>
      </c>
      <c r="O1428">
        <v>11</v>
      </c>
      <c r="P1428">
        <v>50</v>
      </c>
      <c r="Q1428">
        <v>40</v>
      </c>
      <c r="R1428">
        <v>14</v>
      </c>
      <c r="S1428">
        <v>55</v>
      </c>
      <c r="T1428">
        <v>0</v>
      </c>
      <c r="U1428">
        <v>0</v>
      </c>
      <c r="V1428">
        <v>0</v>
      </c>
      <c r="W1428">
        <v>0</v>
      </c>
      <c r="X1428" s="18">
        <v>0</v>
      </c>
      <c r="Y1428" s="18">
        <v>0</v>
      </c>
      <c r="Z1428" s="18">
        <v>0</v>
      </c>
      <c r="AA1428" s="18">
        <v>0</v>
      </c>
      <c r="AB1428">
        <v>0</v>
      </c>
      <c r="AC1428">
        <v>0</v>
      </c>
      <c r="AD1428">
        <v>0</v>
      </c>
      <c r="AE1428">
        <v>0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4</v>
      </c>
      <c r="AK1428">
        <v>5</v>
      </c>
      <c r="AL1428">
        <v>4</v>
      </c>
      <c r="AM1428">
        <v>2</v>
      </c>
      <c r="AN1428" s="18">
        <v>0</v>
      </c>
      <c r="AO1428" s="18">
        <v>0</v>
      </c>
      <c r="AP1428" s="18">
        <v>0</v>
      </c>
      <c r="AQ1428" s="18">
        <v>0</v>
      </c>
      <c r="AR1428" s="29">
        <v>0</v>
      </c>
      <c r="AS1428" s="29">
        <v>0</v>
      </c>
      <c r="AT1428" s="29">
        <v>11</v>
      </c>
      <c r="AU1428" s="24" t="str">
        <f t="shared" si="23"/>
        <v>库存为11</v>
      </c>
      <c r="AV1428" s="31" t="str">
        <f>IFERROR(时间!$B$4+AU1428,"上周无销量")</f>
        <v>上周无销量</v>
      </c>
    </row>
    <row r="1429" spans="1:48">
      <c r="A1429" s="16" t="s">
        <v>2438</v>
      </c>
      <c r="B1429" t="s">
        <v>2439</v>
      </c>
      <c r="C1429" t="s">
        <v>2437</v>
      </c>
      <c r="D1429" s="24">
        <v>0</v>
      </c>
      <c r="E1429" s="24">
        <v>0</v>
      </c>
      <c r="F1429" s="24">
        <v>0</v>
      </c>
      <c r="G1429" s="24">
        <v>0</v>
      </c>
      <c r="H1429" s="25">
        <v>0</v>
      </c>
      <c r="I1429">
        <v>7</v>
      </c>
      <c r="J1429" s="26">
        <v>0</v>
      </c>
      <c r="K1429" s="26">
        <v>0</v>
      </c>
      <c r="L1429" s="26">
        <v>0</v>
      </c>
      <c r="M1429">
        <v>7</v>
      </c>
      <c r="N1429">
        <v>0</v>
      </c>
      <c r="O1429">
        <v>7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0</v>
      </c>
      <c r="AK1429">
        <v>0</v>
      </c>
      <c r="AL1429">
        <v>0</v>
      </c>
      <c r="AM1429">
        <v>0</v>
      </c>
      <c r="AN1429" s="18" t="s">
        <v>52</v>
      </c>
      <c r="AO1429" s="18" t="s">
        <v>52</v>
      </c>
      <c r="AP1429" s="18" t="s">
        <v>52</v>
      </c>
      <c r="AQ1429" s="18" t="s">
        <v>52</v>
      </c>
      <c r="AR1429" s="29">
        <v>0</v>
      </c>
      <c r="AS1429" s="29">
        <v>0</v>
      </c>
      <c r="AT1429" s="29">
        <v>7</v>
      </c>
      <c r="AU1429" s="24" t="str">
        <f t="shared" si="23"/>
        <v>库存为7</v>
      </c>
      <c r="AV1429" s="31" t="str">
        <f>IFERROR(时间!$B$4+AU1429,"上周无销量")</f>
        <v>上周无销量</v>
      </c>
    </row>
    <row r="1430" spans="1:48">
      <c r="A1430" s="16" t="s">
        <v>2440</v>
      </c>
      <c r="B1430" t="s">
        <v>2441</v>
      </c>
      <c r="C1430" t="s">
        <v>2437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11</v>
      </c>
      <c r="J1430" s="26">
        <v>0</v>
      </c>
      <c r="K1430" s="26">
        <v>0</v>
      </c>
      <c r="L1430" s="26">
        <v>0</v>
      </c>
      <c r="M1430">
        <v>11</v>
      </c>
      <c r="N1430">
        <v>0</v>
      </c>
      <c r="O1430">
        <v>11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3</v>
      </c>
      <c r="AK1430">
        <v>3</v>
      </c>
      <c r="AL1430">
        <v>3</v>
      </c>
      <c r="AM1430">
        <v>2</v>
      </c>
      <c r="AN1430" s="18">
        <v>0</v>
      </c>
      <c r="AO1430" s="18">
        <v>0</v>
      </c>
      <c r="AP1430" s="18">
        <v>0</v>
      </c>
      <c r="AQ1430" s="18">
        <v>0</v>
      </c>
      <c r="AR1430" s="29">
        <v>0</v>
      </c>
      <c r="AS1430" s="29">
        <v>0</v>
      </c>
      <c r="AT1430" s="29">
        <v>11</v>
      </c>
      <c r="AU1430" s="24" t="str">
        <f t="shared" si="23"/>
        <v>库存为11</v>
      </c>
      <c r="AV1430" s="31" t="str">
        <f>IFERROR(时间!$B$4+AU1430,"上周无销量")</f>
        <v>上周无销量</v>
      </c>
    </row>
    <row r="1431" spans="1:48">
      <c r="A1431" s="16" t="s">
        <v>2442</v>
      </c>
      <c r="B1431" t="s">
        <v>2443</v>
      </c>
      <c r="C1431" t="s">
        <v>2437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18</v>
      </c>
      <c r="J1431" s="26">
        <v>0</v>
      </c>
      <c r="K1431" s="26">
        <v>0</v>
      </c>
      <c r="L1431" s="26">
        <v>0</v>
      </c>
      <c r="M1431">
        <v>18</v>
      </c>
      <c r="N1431">
        <v>0</v>
      </c>
      <c r="O1431">
        <v>18</v>
      </c>
      <c r="P1431">
        <v>103</v>
      </c>
      <c r="Q1431">
        <v>57</v>
      </c>
      <c r="R1431">
        <v>34</v>
      </c>
      <c r="S1431">
        <v>37</v>
      </c>
      <c r="T1431">
        <v>1</v>
      </c>
      <c r="U1431">
        <v>0</v>
      </c>
      <c r="V1431">
        <v>0</v>
      </c>
      <c r="W1431">
        <v>0</v>
      </c>
      <c r="X1431" s="18">
        <v>0.00970873786407767</v>
      </c>
      <c r="Y1431" s="18">
        <v>0</v>
      </c>
      <c r="Z1431" s="18">
        <v>0</v>
      </c>
      <c r="AA1431" s="18">
        <v>0</v>
      </c>
      <c r="AB1431">
        <v>0.3</v>
      </c>
      <c r="AC1431">
        <v>0</v>
      </c>
      <c r="AD1431">
        <v>0</v>
      </c>
      <c r="AE1431">
        <v>0</v>
      </c>
      <c r="AF1431" s="18" t="s">
        <v>427</v>
      </c>
      <c r="AG1431" s="18" t="s">
        <v>52</v>
      </c>
      <c r="AH1431" s="18" t="s">
        <v>52</v>
      </c>
      <c r="AI1431" s="18" t="s">
        <v>52</v>
      </c>
      <c r="AJ1431">
        <v>4</v>
      </c>
      <c r="AK1431">
        <v>4</v>
      </c>
      <c r="AL1431">
        <v>4</v>
      </c>
      <c r="AM1431">
        <v>4</v>
      </c>
      <c r="AN1431" s="18">
        <v>0</v>
      </c>
      <c r="AO1431" s="18">
        <v>0</v>
      </c>
      <c r="AP1431" s="18">
        <v>0</v>
      </c>
      <c r="AQ1431" s="18">
        <v>0</v>
      </c>
      <c r="AR1431" s="29">
        <v>0</v>
      </c>
      <c r="AS1431" s="29">
        <v>0</v>
      </c>
      <c r="AT1431" s="29">
        <v>18</v>
      </c>
      <c r="AU1431" s="24" t="str">
        <f t="shared" si="23"/>
        <v>库存为18</v>
      </c>
      <c r="AV1431" s="31" t="str">
        <f>IFERROR(时间!$B$4+AU1431,"上周无销量")</f>
        <v>上周无销量</v>
      </c>
    </row>
    <row r="1432" spans="1:48">
      <c r="A1432" s="16" t="s">
        <v>2444</v>
      </c>
      <c r="B1432" t="s">
        <v>2445</v>
      </c>
      <c r="C1432" t="s">
        <v>2437</v>
      </c>
      <c r="D1432" s="24">
        <v>0</v>
      </c>
      <c r="E1432" s="24">
        <v>2</v>
      </c>
      <c r="F1432" s="24">
        <v>0</v>
      </c>
      <c r="G1432" s="24">
        <v>0</v>
      </c>
      <c r="H1432" s="25">
        <v>18.98</v>
      </c>
      <c r="I1432">
        <v>7</v>
      </c>
      <c r="J1432" s="26">
        <v>0</v>
      </c>
      <c r="K1432" s="26">
        <v>0</v>
      </c>
      <c r="L1432" s="26">
        <v>0</v>
      </c>
      <c r="M1432">
        <v>7</v>
      </c>
      <c r="N1432">
        <v>0</v>
      </c>
      <c r="O1432">
        <v>7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3</v>
      </c>
      <c r="AK1432">
        <v>3</v>
      </c>
      <c r="AL1432">
        <v>2</v>
      </c>
      <c r="AM1432">
        <v>4</v>
      </c>
      <c r="AN1432" s="18">
        <v>0</v>
      </c>
      <c r="AO1432" s="18">
        <v>0.666666666666667</v>
      </c>
      <c r="AP1432" s="18">
        <v>0</v>
      </c>
      <c r="AQ1432" s="18">
        <v>0</v>
      </c>
      <c r="AR1432" s="29">
        <v>0</v>
      </c>
      <c r="AS1432" s="29">
        <v>0</v>
      </c>
      <c r="AT1432" s="29">
        <v>7</v>
      </c>
      <c r="AU1432" s="24" t="str">
        <f t="shared" si="23"/>
        <v>库存为7</v>
      </c>
      <c r="AV1432" s="31" t="str">
        <f>IFERROR(时间!$B$4+AU1432,"上周无销量")</f>
        <v>上周无销量</v>
      </c>
    </row>
    <row r="1433" spans="1:48">
      <c r="A1433" s="16" t="s">
        <v>2446</v>
      </c>
      <c r="B1433" t="s">
        <v>2447</v>
      </c>
      <c r="C1433" t="s">
        <v>2437</v>
      </c>
      <c r="D1433" s="24">
        <v>0</v>
      </c>
      <c r="E1433" s="24">
        <v>0</v>
      </c>
      <c r="F1433" s="24">
        <v>0</v>
      </c>
      <c r="G1433" s="24">
        <v>0</v>
      </c>
      <c r="H1433" s="25">
        <v>0</v>
      </c>
      <c r="I1433">
        <v>11</v>
      </c>
      <c r="J1433" s="26">
        <v>0</v>
      </c>
      <c r="K1433" s="26">
        <v>0</v>
      </c>
      <c r="L1433" s="26">
        <v>0</v>
      </c>
      <c r="M1433">
        <v>11</v>
      </c>
      <c r="N1433">
        <v>0</v>
      </c>
      <c r="O1433">
        <v>11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2</v>
      </c>
      <c r="AK1433">
        <v>1</v>
      </c>
      <c r="AL1433">
        <v>2</v>
      </c>
      <c r="AM1433">
        <v>0</v>
      </c>
      <c r="AN1433" s="18">
        <v>0</v>
      </c>
      <c r="AO1433" s="18">
        <v>0</v>
      </c>
      <c r="AP1433" s="18">
        <v>0</v>
      </c>
      <c r="AQ1433" s="18" t="s">
        <v>52</v>
      </c>
      <c r="AR1433" s="29">
        <v>0</v>
      </c>
      <c r="AS1433" s="29">
        <v>0</v>
      </c>
      <c r="AT1433" s="29">
        <v>11</v>
      </c>
      <c r="AU1433" s="24" t="str">
        <f t="shared" si="23"/>
        <v>库存为11</v>
      </c>
      <c r="AV1433" s="31" t="str">
        <f>IFERROR(时间!$B$4+AU1433,"上周无销量")</f>
        <v>上周无销量</v>
      </c>
    </row>
    <row r="1434" spans="1:48">
      <c r="A1434" s="16" t="s">
        <v>2448</v>
      </c>
      <c r="B1434" t="s">
        <v>2449</v>
      </c>
      <c r="C1434" t="s">
        <v>2437</v>
      </c>
      <c r="D1434" s="24">
        <v>0</v>
      </c>
      <c r="E1434" s="24">
        <v>0</v>
      </c>
      <c r="F1434" s="24">
        <v>1</v>
      </c>
      <c r="G1434" s="24">
        <v>0</v>
      </c>
      <c r="H1434" s="25">
        <v>18.98</v>
      </c>
      <c r="I1434">
        <v>4</v>
      </c>
      <c r="J1434" s="26">
        <v>0</v>
      </c>
      <c r="K1434" s="26">
        <v>0</v>
      </c>
      <c r="L1434" s="26">
        <v>0</v>
      </c>
      <c r="M1434">
        <v>4</v>
      </c>
      <c r="N1434">
        <v>0</v>
      </c>
      <c r="O1434">
        <v>3</v>
      </c>
      <c r="P1434">
        <v>93</v>
      </c>
      <c r="Q1434">
        <v>39</v>
      </c>
      <c r="R1434">
        <v>22</v>
      </c>
      <c r="S1434">
        <v>27</v>
      </c>
      <c r="T1434">
        <v>1</v>
      </c>
      <c r="U1434">
        <v>0</v>
      </c>
      <c r="V1434">
        <v>0</v>
      </c>
      <c r="W1434">
        <v>0</v>
      </c>
      <c r="X1434" s="18">
        <v>0.010752688172043</v>
      </c>
      <c r="Y1434" s="18">
        <v>0</v>
      </c>
      <c r="Z1434" s="18">
        <v>0</v>
      </c>
      <c r="AA1434" s="18">
        <v>0</v>
      </c>
      <c r="AB1434">
        <v>0.49</v>
      </c>
      <c r="AC1434">
        <v>0</v>
      </c>
      <c r="AD1434">
        <v>0</v>
      </c>
      <c r="AE1434">
        <v>0</v>
      </c>
      <c r="AF1434" s="18" t="s">
        <v>2450</v>
      </c>
      <c r="AG1434" s="18" t="s">
        <v>52</v>
      </c>
      <c r="AH1434" s="18" t="s">
        <v>52</v>
      </c>
      <c r="AI1434" s="18" t="s">
        <v>52</v>
      </c>
      <c r="AJ1434">
        <v>5</v>
      </c>
      <c r="AK1434">
        <v>2</v>
      </c>
      <c r="AL1434">
        <v>3</v>
      </c>
      <c r="AM1434">
        <v>3</v>
      </c>
      <c r="AN1434" s="18">
        <v>0</v>
      </c>
      <c r="AO1434" s="18">
        <v>0</v>
      </c>
      <c r="AP1434" s="18">
        <v>0.333333333333333</v>
      </c>
      <c r="AQ1434" s="18">
        <v>0</v>
      </c>
      <c r="AR1434" s="29">
        <v>0</v>
      </c>
      <c r="AS1434" s="29">
        <v>0</v>
      </c>
      <c r="AT1434" s="29">
        <v>4</v>
      </c>
      <c r="AU1434" s="24" t="str">
        <f t="shared" si="23"/>
        <v>库存为4</v>
      </c>
      <c r="AV1434" s="31" t="str">
        <f>IFERROR(时间!$B$4+AU1434,"上周无销量")</f>
        <v>上周无销量</v>
      </c>
    </row>
    <row r="1435" spans="1:48">
      <c r="A1435" s="16" t="s">
        <v>2451</v>
      </c>
      <c r="B1435" t="s">
        <v>2452</v>
      </c>
      <c r="C1435" t="s">
        <v>2437</v>
      </c>
      <c r="D1435" s="24">
        <v>1</v>
      </c>
      <c r="E1435" s="24">
        <v>0</v>
      </c>
      <c r="F1435" s="24">
        <v>0</v>
      </c>
      <c r="G1435" s="24">
        <v>0</v>
      </c>
      <c r="H1435" s="25">
        <v>18.98</v>
      </c>
      <c r="I1435">
        <v>0</v>
      </c>
      <c r="J1435" s="26">
        <v>0</v>
      </c>
      <c r="K1435" s="26">
        <v>0</v>
      </c>
      <c r="L1435" s="26">
        <v>1</v>
      </c>
      <c r="M1435">
        <v>1</v>
      </c>
      <c r="N1435">
        <v>0</v>
      </c>
      <c r="O1435">
        <v>4</v>
      </c>
      <c r="P1435">
        <v>40</v>
      </c>
      <c r="Q1435">
        <v>34</v>
      </c>
      <c r="R1435">
        <v>11</v>
      </c>
      <c r="S1435">
        <v>23</v>
      </c>
      <c r="T1435">
        <v>0</v>
      </c>
      <c r="U1435">
        <v>1</v>
      </c>
      <c r="V1435">
        <v>0</v>
      </c>
      <c r="W1435">
        <v>0</v>
      </c>
      <c r="X1435" s="18">
        <v>0</v>
      </c>
      <c r="Y1435" s="18">
        <v>0.0294117647058824</v>
      </c>
      <c r="Z1435" s="18">
        <v>0</v>
      </c>
      <c r="AA1435" s="18">
        <v>0</v>
      </c>
      <c r="AB1435">
        <v>0</v>
      </c>
      <c r="AC1435">
        <v>0.49</v>
      </c>
      <c r="AD1435">
        <v>0</v>
      </c>
      <c r="AE1435">
        <v>0</v>
      </c>
      <c r="AF1435" s="18" t="s">
        <v>52</v>
      </c>
      <c r="AG1435" s="18" t="s">
        <v>2450</v>
      </c>
      <c r="AH1435" s="18" t="s">
        <v>52</v>
      </c>
      <c r="AI1435" s="18" t="s">
        <v>52</v>
      </c>
      <c r="AJ1435">
        <v>6</v>
      </c>
      <c r="AK1435">
        <v>4</v>
      </c>
      <c r="AL1435">
        <v>2</v>
      </c>
      <c r="AM1435">
        <v>4</v>
      </c>
      <c r="AN1435" s="18">
        <v>0.166666666666667</v>
      </c>
      <c r="AO1435" s="18">
        <v>0</v>
      </c>
      <c r="AP1435" s="18">
        <v>0</v>
      </c>
      <c r="AQ1435" s="18">
        <v>0</v>
      </c>
      <c r="AR1435" s="29">
        <v>0.142857142857143</v>
      </c>
      <c r="AS1435" s="29">
        <v>8.57142857142857</v>
      </c>
      <c r="AT1435" s="29">
        <v>-7.57142857142857</v>
      </c>
      <c r="AU1435" s="24">
        <f t="shared" si="23"/>
        <v>7</v>
      </c>
      <c r="AV1435" s="31">
        <f>IFERROR(时间!$B$4+AU1435,"上周无销量")</f>
        <v>43325</v>
      </c>
    </row>
    <row r="1436" spans="1:48">
      <c r="A1436" s="16" t="s">
        <v>2453</v>
      </c>
      <c r="B1436" t="s">
        <v>2454</v>
      </c>
      <c r="C1436" t="s">
        <v>2437</v>
      </c>
      <c r="D1436" s="24">
        <v>0</v>
      </c>
      <c r="E1436" s="24">
        <v>0</v>
      </c>
      <c r="F1436" s="24">
        <v>0</v>
      </c>
      <c r="G1436" s="24">
        <v>0</v>
      </c>
      <c r="H1436" s="25">
        <v>0</v>
      </c>
      <c r="I1436">
        <v>8</v>
      </c>
      <c r="J1436" s="26">
        <v>0</v>
      </c>
      <c r="K1436" s="26">
        <v>0</v>
      </c>
      <c r="L1436" s="26">
        <v>0</v>
      </c>
      <c r="M1436">
        <v>8</v>
      </c>
      <c r="N1436">
        <v>0</v>
      </c>
      <c r="O1436">
        <v>7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6</v>
      </c>
      <c r="AK1436">
        <v>2</v>
      </c>
      <c r="AL1436">
        <v>3</v>
      </c>
      <c r="AM1436">
        <v>2</v>
      </c>
      <c r="AN1436" s="18">
        <v>0</v>
      </c>
      <c r="AO1436" s="18">
        <v>0</v>
      </c>
      <c r="AP1436" s="18">
        <v>0</v>
      </c>
      <c r="AQ1436" s="18">
        <v>0</v>
      </c>
      <c r="AR1436" s="29">
        <v>0</v>
      </c>
      <c r="AS1436" s="29">
        <v>0</v>
      </c>
      <c r="AT1436" s="29">
        <v>8</v>
      </c>
      <c r="AU1436" s="24" t="str">
        <f t="shared" si="23"/>
        <v>库存为8</v>
      </c>
      <c r="AV1436" s="31" t="str">
        <f>IFERROR(时间!$B$4+AU1436,"上周无销量")</f>
        <v>上周无销量</v>
      </c>
    </row>
    <row r="1437" spans="1:48">
      <c r="A1437" s="16" t="s">
        <v>2455</v>
      </c>
      <c r="B1437" t="s">
        <v>2456</v>
      </c>
      <c r="C1437" t="s">
        <v>2457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8</v>
      </c>
      <c r="J1437" s="26">
        <v>0</v>
      </c>
      <c r="K1437" s="26">
        <v>0</v>
      </c>
      <c r="L1437" s="26">
        <v>0</v>
      </c>
      <c r="M1437">
        <v>8</v>
      </c>
      <c r="N1437">
        <v>0</v>
      </c>
      <c r="O1437">
        <v>6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0</v>
      </c>
      <c r="AK1437">
        <v>0</v>
      </c>
      <c r="AL1437">
        <v>0</v>
      </c>
      <c r="AM1437">
        <v>0</v>
      </c>
      <c r="AN1437" s="18" t="s">
        <v>52</v>
      </c>
      <c r="AO1437" s="18" t="s">
        <v>52</v>
      </c>
      <c r="AP1437" s="18" t="s">
        <v>52</v>
      </c>
      <c r="AQ1437" s="18" t="s">
        <v>52</v>
      </c>
      <c r="AR1437" s="29">
        <v>0</v>
      </c>
      <c r="AS1437" s="29">
        <v>0</v>
      </c>
      <c r="AT1437" s="29">
        <v>8</v>
      </c>
      <c r="AU1437" s="24" t="str">
        <f t="shared" si="23"/>
        <v>库存为8</v>
      </c>
      <c r="AV1437" s="31" t="str">
        <f>IFERROR(时间!$B$4+AU1437,"上周无销量")</f>
        <v>上周无销量</v>
      </c>
    </row>
    <row r="1438" spans="1:48">
      <c r="A1438" s="16" t="s">
        <v>2458</v>
      </c>
      <c r="B1438" t="s">
        <v>2459</v>
      </c>
      <c r="C1438" t="s">
        <v>2457</v>
      </c>
      <c r="D1438" s="24">
        <v>0</v>
      </c>
      <c r="E1438" s="24">
        <v>0</v>
      </c>
      <c r="F1438" s="24">
        <v>1</v>
      </c>
      <c r="G1438" s="24">
        <v>0</v>
      </c>
      <c r="H1438" s="25">
        <v>26.98</v>
      </c>
      <c r="I1438">
        <v>8</v>
      </c>
      <c r="J1438" s="26">
        <v>0</v>
      </c>
      <c r="K1438" s="26">
        <v>0</v>
      </c>
      <c r="L1438" s="26">
        <v>0</v>
      </c>
      <c r="M1438">
        <v>8</v>
      </c>
      <c r="N1438">
        <v>0</v>
      </c>
      <c r="O1438">
        <v>6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16</v>
      </c>
      <c r="AK1438">
        <v>13</v>
      </c>
      <c r="AL1438">
        <v>10</v>
      </c>
      <c r="AM1438">
        <v>6</v>
      </c>
      <c r="AN1438" s="18">
        <v>0</v>
      </c>
      <c r="AO1438" s="18">
        <v>0</v>
      </c>
      <c r="AP1438" s="18">
        <v>0.1</v>
      </c>
      <c r="AQ1438" s="18">
        <v>0</v>
      </c>
      <c r="AR1438" s="29">
        <v>0</v>
      </c>
      <c r="AS1438" s="29">
        <v>0</v>
      </c>
      <c r="AT1438" s="29">
        <v>8</v>
      </c>
      <c r="AU1438" s="24" t="str">
        <f t="shared" si="23"/>
        <v>库存为8</v>
      </c>
      <c r="AV1438" s="31" t="str">
        <f>IFERROR(时间!$B$4+AU1438,"上周无销量")</f>
        <v>上周无销量</v>
      </c>
    </row>
    <row r="1439" spans="1:48">
      <c r="A1439" s="16" t="s">
        <v>2460</v>
      </c>
      <c r="B1439" t="s">
        <v>2461</v>
      </c>
      <c r="C1439" t="s">
        <v>2457</v>
      </c>
      <c r="D1439" s="24">
        <v>0</v>
      </c>
      <c r="E1439" s="24">
        <v>0</v>
      </c>
      <c r="F1439" s="24">
        <v>0</v>
      </c>
      <c r="G1439" s="24">
        <v>0</v>
      </c>
      <c r="H1439" s="25">
        <v>0</v>
      </c>
      <c r="I1439">
        <v>9</v>
      </c>
      <c r="J1439" s="26">
        <v>0</v>
      </c>
      <c r="K1439" s="26">
        <v>0</v>
      </c>
      <c r="L1439" s="26">
        <v>0</v>
      </c>
      <c r="M1439">
        <v>9</v>
      </c>
      <c r="N1439">
        <v>0</v>
      </c>
      <c r="O1439">
        <v>9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7</v>
      </c>
      <c r="AK1439">
        <v>5</v>
      </c>
      <c r="AL1439">
        <v>9</v>
      </c>
      <c r="AM1439">
        <v>4</v>
      </c>
      <c r="AN1439" s="18">
        <v>0</v>
      </c>
      <c r="AO1439" s="18">
        <v>0</v>
      </c>
      <c r="AP1439" s="18">
        <v>0</v>
      </c>
      <c r="AQ1439" s="18">
        <v>0</v>
      </c>
      <c r="AR1439" s="29">
        <v>0</v>
      </c>
      <c r="AS1439" s="29">
        <v>0</v>
      </c>
      <c r="AT1439" s="29">
        <v>9</v>
      </c>
      <c r="AU1439" s="24" t="str">
        <f t="shared" si="23"/>
        <v>库存为9</v>
      </c>
      <c r="AV1439" s="31" t="str">
        <f>IFERROR(时间!$B$4+AU1439,"上周无销量")</f>
        <v>上周无销量</v>
      </c>
    </row>
    <row r="1440" spans="1:48">
      <c r="A1440" s="16" t="s">
        <v>2462</v>
      </c>
      <c r="B1440" t="s">
        <v>2463</v>
      </c>
      <c r="C1440" t="s">
        <v>2457</v>
      </c>
      <c r="D1440" s="24">
        <v>0</v>
      </c>
      <c r="E1440" s="24">
        <v>1</v>
      </c>
      <c r="F1440" s="24">
        <v>0</v>
      </c>
      <c r="G1440" s="24">
        <v>0</v>
      </c>
      <c r="H1440" s="25">
        <v>26.98</v>
      </c>
      <c r="I1440">
        <v>11</v>
      </c>
      <c r="J1440" s="26">
        <v>0</v>
      </c>
      <c r="K1440" s="26">
        <v>0</v>
      </c>
      <c r="L1440" s="26">
        <v>0</v>
      </c>
      <c r="M1440">
        <v>11</v>
      </c>
      <c r="N1440">
        <v>0</v>
      </c>
      <c r="O1440">
        <v>9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7</v>
      </c>
      <c r="AK1440">
        <v>6</v>
      </c>
      <c r="AL1440">
        <v>9</v>
      </c>
      <c r="AM1440">
        <v>2</v>
      </c>
      <c r="AN1440" s="18">
        <v>0</v>
      </c>
      <c r="AO1440" s="18">
        <v>0.166666666666667</v>
      </c>
      <c r="AP1440" s="18">
        <v>0</v>
      </c>
      <c r="AQ1440" s="18">
        <v>0</v>
      </c>
      <c r="AR1440" s="29">
        <v>0</v>
      </c>
      <c r="AS1440" s="29">
        <v>0</v>
      </c>
      <c r="AT1440" s="29">
        <v>11</v>
      </c>
      <c r="AU1440" s="24" t="str">
        <f t="shared" si="23"/>
        <v>库存为11</v>
      </c>
      <c r="AV1440" s="31" t="str">
        <f>IFERROR(时间!$B$4+AU1440,"上周无销量")</f>
        <v>上周无销量</v>
      </c>
    </row>
    <row r="1441" spans="1:48">
      <c r="A1441" s="16" t="s">
        <v>2464</v>
      </c>
      <c r="B1441" t="s">
        <v>2465</v>
      </c>
      <c r="C1441" t="s">
        <v>2457</v>
      </c>
      <c r="D1441" s="24">
        <v>0</v>
      </c>
      <c r="E1441" s="24">
        <v>0</v>
      </c>
      <c r="F1441" s="24">
        <v>0</v>
      </c>
      <c r="G1441" s="24">
        <v>1</v>
      </c>
      <c r="H1441" s="25">
        <v>26.98</v>
      </c>
      <c r="I1441">
        <v>17</v>
      </c>
      <c r="J1441" s="26">
        <v>0</v>
      </c>
      <c r="K1441" s="26">
        <v>0</v>
      </c>
      <c r="L1441" s="26">
        <v>0</v>
      </c>
      <c r="M1441">
        <v>17</v>
      </c>
      <c r="N1441">
        <v>0</v>
      </c>
      <c r="O1441">
        <v>15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6</v>
      </c>
      <c r="AK1441">
        <v>4</v>
      </c>
      <c r="AL1441">
        <v>3</v>
      </c>
      <c r="AM1441">
        <v>7</v>
      </c>
      <c r="AN1441" s="18">
        <v>0</v>
      </c>
      <c r="AO1441" s="18">
        <v>0</v>
      </c>
      <c r="AP1441" s="18">
        <v>0</v>
      </c>
      <c r="AQ1441" s="18">
        <v>0.142857142857143</v>
      </c>
      <c r="AR1441" s="29">
        <v>0</v>
      </c>
      <c r="AS1441" s="29">
        <v>0</v>
      </c>
      <c r="AT1441" s="29">
        <v>17</v>
      </c>
      <c r="AU1441" s="24" t="str">
        <f t="shared" si="23"/>
        <v>库存为17</v>
      </c>
      <c r="AV1441" s="31" t="str">
        <f>IFERROR(时间!$B$4+AU1441,"上周无销量")</f>
        <v>上周无销量</v>
      </c>
    </row>
    <row r="1442" spans="1:48">
      <c r="A1442" s="16" t="s">
        <v>2466</v>
      </c>
      <c r="B1442" t="s">
        <v>2467</v>
      </c>
      <c r="C1442" t="s">
        <v>2457</v>
      </c>
      <c r="D1442" s="24">
        <v>0</v>
      </c>
      <c r="E1442" s="24">
        <v>0</v>
      </c>
      <c r="F1442" s="24">
        <v>0</v>
      </c>
      <c r="G1442" s="24">
        <v>1</v>
      </c>
      <c r="H1442" s="25">
        <v>22.5</v>
      </c>
      <c r="I1442">
        <v>5</v>
      </c>
      <c r="J1442" s="26">
        <v>0</v>
      </c>
      <c r="K1442" s="26">
        <v>0</v>
      </c>
      <c r="L1442" s="26">
        <v>0</v>
      </c>
      <c r="M1442">
        <v>5</v>
      </c>
      <c r="N1442">
        <v>0</v>
      </c>
      <c r="O1442">
        <v>5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10</v>
      </c>
      <c r="AK1442">
        <v>16</v>
      </c>
      <c r="AL1442">
        <v>14</v>
      </c>
      <c r="AM1442">
        <v>15</v>
      </c>
      <c r="AN1442" s="18">
        <v>0</v>
      </c>
      <c r="AO1442" s="18">
        <v>0</v>
      </c>
      <c r="AP1442" s="18">
        <v>0</v>
      </c>
      <c r="AQ1442" s="18">
        <v>0.0666666666666667</v>
      </c>
      <c r="AR1442" s="29">
        <v>0</v>
      </c>
      <c r="AS1442" s="29">
        <v>0</v>
      </c>
      <c r="AT1442" s="29">
        <v>5</v>
      </c>
      <c r="AU1442" s="24" t="str">
        <f t="shared" si="23"/>
        <v>库存为5</v>
      </c>
      <c r="AV1442" s="31" t="str">
        <f>IFERROR(时间!$B$4+AU1442,"上周无销量")</f>
        <v>上周无销量</v>
      </c>
    </row>
    <row r="1443" spans="1:48">
      <c r="A1443" s="16" t="s">
        <v>2468</v>
      </c>
      <c r="B1443" t="s">
        <v>2469</v>
      </c>
      <c r="C1443" t="s">
        <v>2457</v>
      </c>
      <c r="D1443" s="24">
        <v>0</v>
      </c>
      <c r="E1443" s="24">
        <v>0</v>
      </c>
      <c r="F1443" s="24">
        <v>1</v>
      </c>
      <c r="G1443" s="24">
        <v>1</v>
      </c>
      <c r="H1443" s="25">
        <v>21.5</v>
      </c>
      <c r="I1443">
        <v>12</v>
      </c>
      <c r="J1443" s="26">
        <v>0</v>
      </c>
      <c r="K1443" s="26">
        <v>0</v>
      </c>
      <c r="L1443" s="26">
        <v>0</v>
      </c>
      <c r="M1443">
        <v>12</v>
      </c>
      <c r="N1443">
        <v>0</v>
      </c>
      <c r="O1443">
        <v>8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8</v>
      </c>
      <c r="AK1443">
        <v>5</v>
      </c>
      <c r="AL1443">
        <v>4</v>
      </c>
      <c r="AM1443">
        <v>4</v>
      </c>
      <c r="AN1443" s="18">
        <v>0</v>
      </c>
      <c r="AO1443" s="18">
        <v>0</v>
      </c>
      <c r="AP1443" s="18">
        <v>0.25</v>
      </c>
      <c r="AQ1443" s="18">
        <v>0.25</v>
      </c>
      <c r="AR1443" s="29">
        <v>0</v>
      </c>
      <c r="AS1443" s="29">
        <v>0</v>
      </c>
      <c r="AT1443" s="29">
        <v>12</v>
      </c>
      <c r="AU1443" s="24" t="str">
        <f t="shared" si="23"/>
        <v>库存为12</v>
      </c>
      <c r="AV1443" s="31" t="str">
        <f>IFERROR(时间!$B$4+AU1443,"上周无销量")</f>
        <v>上周无销量</v>
      </c>
    </row>
    <row r="1444" spans="1:48">
      <c r="A1444" s="16" t="s">
        <v>2470</v>
      </c>
      <c r="B1444" t="s">
        <v>2471</v>
      </c>
      <c r="C1444" t="s">
        <v>2457</v>
      </c>
      <c r="D1444" s="24">
        <v>0</v>
      </c>
      <c r="E1444" s="24">
        <v>0</v>
      </c>
      <c r="F1444" s="24">
        <v>1</v>
      </c>
      <c r="G1444" s="24">
        <v>1</v>
      </c>
      <c r="H1444" s="25">
        <v>19.47</v>
      </c>
      <c r="I1444">
        <v>12</v>
      </c>
      <c r="J1444" s="26">
        <v>0</v>
      </c>
      <c r="K1444" s="26">
        <v>0</v>
      </c>
      <c r="L1444" s="26">
        <v>0</v>
      </c>
      <c r="M1444">
        <v>12</v>
      </c>
      <c r="N1444">
        <v>0</v>
      </c>
      <c r="O1444">
        <v>11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5</v>
      </c>
      <c r="AK1444">
        <v>8</v>
      </c>
      <c r="AL1444">
        <v>16</v>
      </c>
      <c r="AM1444">
        <v>10</v>
      </c>
      <c r="AN1444" s="18">
        <v>0</v>
      </c>
      <c r="AO1444" s="18">
        <v>0</v>
      </c>
      <c r="AP1444" s="18">
        <v>0.0625</v>
      </c>
      <c r="AQ1444" s="18">
        <v>0.1</v>
      </c>
      <c r="AR1444" s="29">
        <v>0</v>
      </c>
      <c r="AS1444" s="29">
        <v>0</v>
      </c>
      <c r="AT1444" s="29">
        <v>12</v>
      </c>
      <c r="AU1444" s="24" t="str">
        <f t="shared" si="23"/>
        <v>库存为12</v>
      </c>
      <c r="AV1444" s="31" t="str">
        <f>IFERROR(时间!$B$4+AU1444,"上周无销量")</f>
        <v>上周无销量</v>
      </c>
    </row>
    <row r="1445" spans="1:48">
      <c r="A1445" s="16" t="s">
        <v>2472</v>
      </c>
      <c r="B1445" t="s">
        <v>2473</v>
      </c>
      <c r="C1445" t="s">
        <v>2457</v>
      </c>
      <c r="D1445" s="24">
        <v>0</v>
      </c>
      <c r="E1445" s="24">
        <v>0</v>
      </c>
      <c r="F1445" s="24">
        <v>1</v>
      </c>
      <c r="G1445" s="24">
        <v>0</v>
      </c>
      <c r="H1445" s="25">
        <v>26.98</v>
      </c>
      <c r="I1445">
        <v>4</v>
      </c>
      <c r="J1445" s="26">
        <v>0</v>
      </c>
      <c r="K1445" s="26">
        <v>0</v>
      </c>
      <c r="L1445" s="26">
        <v>0</v>
      </c>
      <c r="M1445">
        <v>4</v>
      </c>
      <c r="N1445">
        <v>0</v>
      </c>
      <c r="O1445">
        <v>4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8</v>
      </c>
      <c r="AK1445">
        <v>7</v>
      </c>
      <c r="AL1445">
        <v>12</v>
      </c>
      <c r="AM1445">
        <v>5</v>
      </c>
      <c r="AN1445" s="18">
        <v>0</v>
      </c>
      <c r="AO1445" s="18">
        <v>0</v>
      </c>
      <c r="AP1445" s="18">
        <v>0.0833333333333333</v>
      </c>
      <c r="AQ1445" s="18">
        <v>0</v>
      </c>
      <c r="AR1445" s="29">
        <v>0</v>
      </c>
      <c r="AS1445" s="29">
        <v>0</v>
      </c>
      <c r="AT1445" s="29">
        <v>4</v>
      </c>
      <c r="AU1445" s="24" t="str">
        <f t="shared" si="23"/>
        <v>库存为4</v>
      </c>
      <c r="AV1445" s="31" t="str">
        <f>IFERROR(时间!$B$4+AU1445,"上周无销量")</f>
        <v>上周无销量</v>
      </c>
    </row>
    <row r="1446" spans="1:48">
      <c r="A1446" s="16" t="s">
        <v>2474</v>
      </c>
      <c r="B1446" t="s">
        <v>2475</v>
      </c>
      <c r="C1446" t="s">
        <v>2457</v>
      </c>
      <c r="D1446" s="24">
        <v>0</v>
      </c>
      <c r="E1446" s="24">
        <v>0</v>
      </c>
      <c r="F1446" s="24">
        <v>0</v>
      </c>
      <c r="G1446" s="24">
        <v>0</v>
      </c>
      <c r="H1446" s="25">
        <v>0</v>
      </c>
      <c r="I1446">
        <v>7</v>
      </c>
      <c r="J1446" s="26">
        <v>0</v>
      </c>
      <c r="K1446" s="26">
        <v>0</v>
      </c>
      <c r="L1446" s="26">
        <v>0</v>
      </c>
      <c r="M1446">
        <v>7</v>
      </c>
      <c r="N1446">
        <v>0</v>
      </c>
      <c r="O1446">
        <v>6</v>
      </c>
      <c r="P1446">
        <v>303</v>
      </c>
      <c r="Q1446">
        <v>0</v>
      </c>
      <c r="R1446">
        <v>0</v>
      </c>
      <c r="S1446">
        <v>0</v>
      </c>
      <c r="T1446">
        <v>1</v>
      </c>
      <c r="U1446">
        <v>0</v>
      </c>
      <c r="V1446">
        <v>0</v>
      </c>
      <c r="W1446">
        <v>0</v>
      </c>
      <c r="X1446" s="18">
        <v>0.0033003300330033</v>
      </c>
      <c r="Y1446" s="18" t="s">
        <v>52</v>
      </c>
      <c r="Z1446" s="18" t="s">
        <v>52</v>
      </c>
      <c r="AA1446" s="18" t="s">
        <v>52</v>
      </c>
      <c r="AB1446">
        <v>0.47</v>
      </c>
      <c r="AC1446">
        <v>0</v>
      </c>
      <c r="AD1446">
        <v>0</v>
      </c>
      <c r="AE1446">
        <v>0</v>
      </c>
      <c r="AF1446" s="18" t="s">
        <v>279</v>
      </c>
      <c r="AG1446" s="18" t="s">
        <v>52</v>
      </c>
      <c r="AH1446" s="18" t="s">
        <v>52</v>
      </c>
      <c r="AI1446" s="18" t="s">
        <v>52</v>
      </c>
      <c r="AJ1446">
        <v>5</v>
      </c>
      <c r="AK1446">
        <v>4</v>
      </c>
      <c r="AL1446">
        <v>2</v>
      </c>
      <c r="AM1446">
        <v>2</v>
      </c>
      <c r="AN1446" s="18">
        <v>0</v>
      </c>
      <c r="AO1446" s="18">
        <v>0</v>
      </c>
      <c r="AP1446" s="18">
        <v>0</v>
      </c>
      <c r="AQ1446" s="18">
        <v>0</v>
      </c>
      <c r="AR1446" s="29">
        <v>0</v>
      </c>
      <c r="AS1446" s="29">
        <v>0</v>
      </c>
      <c r="AT1446" s="29">
        <v>7</v>
      </c>
      <c r="AU1446" s="24" t="str">
        <f t="shared" si="23"/>
        <v>库存为7</v>
      </c>
      <c r="AV1446" s="31" t="str">
        <f>IFERROR(时间!$B$4+AU1446,"上周无销量")</f>
        <v>上周无销量</v>
      </c>
    </row>
    <row r="1447" spans="1:48">
      <c r="A1447" s="16" t="s">
        <v>2476</v>
      </c>
      <c r="B1447" t="s">
        <v>2477</v>
      </c>
      <c r="C1447" t="s">
        <v>2457</v>
      </c>
      <c r="D1447" s="24">
        <v>0</v>
      </c>
      <c r="E1447" s="24">
        <v>0</v>
      </c>
      <c r="F1447" s="24">
        <v>0</v>
      </c>
      <c r="G1447" s="24">
        <v>0</v>
      </c>
      <c r="H1447" s="25">
        <v>0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0</v>
      </c>
      <c r="AK1447">
        <v>0</v>
      </c>
      <c r="AL1447">
        <v>0</v>
      </c>
      <c r="AM1447">
        <v>0</v>
      </c>
      <c r="AN1447" s="18" t="s">
        <v>52</v>
      </c>
      <c r="AO1447" s="18" t="s">
        <v>52</v>
      </c>
      <c r="AP1447" s="18" t="s">
        <v>52</v>
      </c>
      <c r="AQ1447" s="18" t="s">
        <v>52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2478</v>
      </c>
      <c r="B1448" t="s">
        <v>2479</v>
      </c>
      <c r="C1448" t="s">
        <v>2457</v>
      </c>
      <c r="D1448" s="24">
        <v>0</v>
      </c>
      <c r="E1448" s="24">
        <v>0</v>
      </c>
      <c r="F1448" s="24">
        <v>0</v>
      </c>
      <c r="G1448" s="24">
        <v>0</v>
      </c>
      <c r="H1448" s="25">
        <v>0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36</v>
      </c>
      <c r="AK1448">
        <v>11</v>
      </c>
      <c r="AL1448">
        <v>8</v>
      </c>
      <c r="AM1448">
        <v>6</v>
      </c>
      <c r="AN1448" s="18">
        <v>0</v>
      </c>
      <c r="AO1448" s="18">
        <v>0</v>
      </c>
      <c r="AP1448" s="18">
        <v>0</v>
      </c>
      <c r="AQ1448" s="18">
        <v>0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2480</v>
      </c>
      <c r="B1449" t="s">
        <v>2481</v>
      </c>
      <c r="C1449" t="s">
        <v>2457</v>
      </c>
      <c r="D1449" s="24">
        <v>0</v>
      </c>
      <c r="E1449" s="24">
        <v>1</v>
      </c>
      <c r="F1449" s="24">
        <v>1</v>
      </c>
      <c r="G1449" s="24">
        <v>0</v>
      </c>
      <c r="H1449" s="25">
        <v>26.98</v>
      </c>
      <c r="I1449">
        <v>0</v>
      </c>
      <c r="J1449" s="26">
        <v>0</v>
      </c>
      <c r="K1449" s="26">
        <v>0</v>
      </c>
      <c r="L1449" s="26">
        <v>0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0</v>
      </c>
      <c r="AK1449">
        <v>12</v>
      </c>
      <c r="AL1449">
        <v>17</v>
      </c>
      <c r="AM1449">
        <v>6</v>
      </c>
      <c r="AN1449" s="18" t="s">
        <v>52</v>
      </c>
      <c r="AO1449" s="18">
        <v>0.0833333333333333</v>
      </c>
      <c r="AP1449" s="18">
        <v>0.0588235294117647</v>
      </c>
      <c r="AQ1449" s="18">
        <v>0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2482</v>
      </c>
      <c r="B1450" t="s">
        <v>2483</v>
      </c>
      <c r="C1450" t="s">
        <v>2457</v>
      </c>
      <c r="D1450" s="24">
        <v>0</v>
      </c>
      <c r="E1450" s="24">
        <v>0</v>
      </c>
      <c r="F1450" s="24">
        <v>0</v>
      </c>
      <c r="G1450" s="24">
        <v>0</v>
      </c>
      <c r="H1450" s="25">
        <v>0</v>
      </c>
      <c r="I1450">
        <v>0</v>
      </c>
      <c r="J1450" s="26">
        <v>0</v>
      </c>
      <c r="K1450" s="26">
        <v>0</v>
      </c>
      <c r="L1450" s="26">
        <v>0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0</v>
      </c>
      <c r="AK1450">
        <v>0</v>
      </c>
      <c r="AL1450">
        <v>0</v>
      </c>
      <c r="AM1450">
        <v>0</v>
      </c>
      <c r="AN1450" s="18" t="s">
        <v>52</v>
      </c>
      <c r="AO1450" s="18" t="s">
        <v>52</v>
      </c>
      <c r="AP1450" s="18" t="s">
        <v>52</v>
      </c>
      <c r="AQ1450" s="18" t="s">
        <v>52</v>
      </c>
      <c r="AR1450" s="29">
        <v>0</v>
      </c>
      <c r="AS1450" s="29">
        <v>0</v>
      </c>
      <c r="AT1450" s="29">
        <v>0</v>
      </c>
      <c r="AU1450" s="24" t="str">
        <f t="shared" si="23"/>
        <v>库存为0</v>
      </c>
      <c r="AV1450" s="31" t="str">
        <f>IFERROR(时间!$B$4+AU1450,"上周无销量")</f>
        <v>上周无销量</v>
      </c>
    </row>
    <row r="1451" spans="1:48">
      <c r="A1451" s="16" t="s">
        <v>2484</v>
      </c>
      <c r="B1451" t="s">
        <v>2485</v>
      </c>
      <c r="C1451" t="s">
        <v>2457</v>
      </c>
      <c r="D1451" s="24">
        <v>0</v>
      </c>
      <c r="E1451" s="24">
        <v>0</v>
      </c>
      <c r="F1451" s="24">
        <v>0</v>
      </c>
      <c r="G1451" s="24">
        <v>0</v>
      </c>
      <c r="H1451" s="25">
        <v>0</v>
      </c>
      <c r="I1451">
        <v>0</v>
      </c>
      <c r="J1451" s="26">
        <v>0</v>
      </c>
      <c r="K1451" s="26">
        <v>0</v>
      </c>
      <c r="L1451" s="26">
        <v>0</v>
      </c>
      <c r="M1451">
        <v>0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0</v>
      </c>
      <c r="AK1451">
        <v>0</v>
      </c>
      <c r="AL1451">
        <v>0</v>
      </c>
      <c r="AM1451">
        <v>0</v>
      </c>
      <c r="AN1451" s="18" t="s">
        <v>52</v>
      </c>
      <c r="AO1451" s="18" t="s">
        <v>52</v>
      </c>
      <c r="AP1451" s="18" t="s">
        <v>52</v>
      </c>
      <c r="AQ1451" s="18" t="s">
        <v>52</v>
      </c>
      <c r="AR1451" s="29">
        <v>0</v>
      </c>
      <c r="AS1451" s="29">
        <v>0</v>
      </c>
      <c r="AT1451" s="29">
        <v>0</v>
      </c>
      <c r="AU1451" s="24" t="str">
        <f t="shared" si="23"/>
        <v>库存为0</v>
      </c>
      <c r="AV1451" s="31" t="str">
        <f>IFERROR(时间!$B$4+AU1451,"上周无销量")</f>
        <v>上周无销量</v>
      </c>
    </row>
    <row r="1452" spans="1:48">
      <c r="A1452" s="16" t="s">
        <v>2486</v>
      </c>
      <c r="B1452" t="s">
        <v>2487</v>
      </c>
      <c r="C1452" t="s">
        <v>2457</v>
      </c>
      <c r="D1452" s="24">
        <v>0</v>
      </c>
      <c r="E1452" s="24">
        <v>1</v>
      </c>
      <c r="F1452" s="24">
        <v>1</v>
      </c>
      <c r="G1452" s="24">
        <v>0</v>
      </c>
      <c r="H1452" s="25">
        <v>26.98</v>
      </c>
      <c r="I1452">
        <v>9</v>
      </c>
      <c r="J1452" s="26">
        <v>0</v>
      </c>
      <c r="K1452" s="26">
        <v>0</v>
      </c>
      <c r="L1452" s="26">
        <v>0</v>
      </c>
      <c r="M1452">
        <v>9</v>
      </c>
      <c r="N1452">
        <v>0</v>
      </c>
      <c r="O1452">
        <v>2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17</v>
      </c>
      <c r="AK1452">
        <v>33</v>
      </c>
      <c r="AL1452">
        <v>26</v>
      </c>
      <c r="AM1452">
        <v>26</v>
      </c>
      <c r="AN1452" s="18">
        <v>0</v>
      </c>
      <c r="AO1452" s="18">
        <v>0.0303030303030303</v>
      </c>
      <c r="AP1452" s="18">
        <v>0.0384615384615385</v>
      </c>
      <c r="AQ1452" s="18">
        <v>0</v>
      </c>
      <c r="AR1452" s="29">
        <v>0</v>
      </c>
      <c r="AS1452" s="29">
        <v>0</v>
      </c>
      <c r="AT1452" s="29">
        <v>9</v>
      </c>
      <c r="AU1452" s="24" t="str">
        <f t="shared" si="23"/>
        <v>库存为9</v>
      </c>
      <c r="AV1452" s="31" t="str">
        <f>IFERROR(时间!$B$4+AU1452,"上周无销量")</f>
        <v>上周无销量</v>
      </c>
    </row>
    <row r="1453" spans="1:48">
      <c r="A1453" s="16" t="s">
        <v>2488</v>
      </c>
      <c r="B1453" t="s">
        <v>2489</v>
      </c>
      <c r="C1453" t="s">
        <v>2457</v>
      </c>
      <c r="D1453" s="24">
        <v>0</v>
      </c>
      <c r="E1453" s="24">
        <v>0</v>
      </c>
      <c r="F1453" s="24">
        <v>1</v>
      </c>
      <c r="G1453" s="24">
        <v>0</v>
      </c>
      <c r="H1453" s="25">
        <v>26.98</v>
      </c>
      <c r="I1453">
        <v>17</v>
      </c>
      <c r="J1453" s="26">
        <v>0</v>
      </c>
      <c r="K1453" s="26">
        <v>0</v>
      </c>
      <c r="L1453" s="26">
        <v>0</v>
      </c>
      <c r="M1453">
        <v>17</v>
      </c>
      <c r="N1453">
        <v>0</v>
      </c>
      <c r="O1453">
        <v>15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6</v>
      </c>
      <c r="AK1453">
        <v>5</v>
      </c>
      <c r="AL1453">
        <v>7</v>
      </c>
      <c r="AM1453">
        <v>4</v>
      </c>
      <c r="AN1453" s="18">
        <v>0</v>
      </c>
      <c r="AO1453" s="18">
        <v>0</v>
      </c>
      <c r="AP1453" s="18">
        <v>0.142857142857143</v>
      </c>
      <c r="AQ1453" s="18">
        <v>0</v>
      </c>
      <c r="AR1453" s="29">
        <v>0</v>
      </c>
      <c r="AS1453" s="29">
        <v>0</v>
      </c>
      <c r="AT1453" s="29">
        <v>17</v>
      </c>
      <c r="AU1453" s="24" t="str">
        <f t="shared" si="23"/>
        <v>库存为17</v>
      </c>
      <c r="AV1453" s="31" t="str">
        <f>IFERROR(时间!$B$4+AU1453,"上周无销量")</f>
        <v>上周无销量</v>
      </c>
    </row>
    <row r="1454" spans="1:48">
      <c r="A1454" s="16" t="s">
        <v>2490</v>
      </c>
      <c r="B1454" t="s">
        <v>2491</v>
      </c>
      <c r="C1454" t="s">
        <v>2457</v>
      </c>
      <c r="D1454" s="24">
        <v>0</v>
      </c>
      <c r="E1454" s="24">
        <v>0</v>
      </c>
      <c r="F1454" s="24">
        <v>0</v>
      </c>
      <c r="G1454" s="24">
        <v>0</v>
      </c>
      <c r="H1454" s="25">
        <v>0</v>
      </c>
      <c r="I1454">
        <v>4</v>
      </c>
      <c r="J1454" s="26">
        <v>0</v>
      </c>
      <c r="K1454" s="26">
        <v>0</v>
      </c>
      <c r="L1454" s="26">
        <v>0</v>
      </c>
      <c r="M1454">
        <v>4</v>
      </c>
      <c r="N1454">
        <v>0</v>
      </c>
      <c r="O1454">
        <v>3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6</v>
      </c>
      <c r="AK1454">
        <v>4</v>
      </c>
      <c r="AL1454">
        <v>15</v>
      </c>
      <c r="AM1454">
        <v>3</v>
      </c>
      <c r="AN1454" s="18">
        <v>0</v>
      </c>
      <c r="AO1454" s="18">
        <v>0</v>
      </c>
      <c r="AP1454" s="18">
        <v>0</v>
      </c>
      <c r="AQ1454" s="18">
        <v>0</v>
      </c>
      <c r="AR1454" s="29">
        <v>0</v>
      </c>
      <c r="AS1454" s="29">
        <v>0</v>
      </c>
      <c r="AT1454" s="29">
        <v>4</v>
      </c>
      <c r="AU1454" s="24" t="str">
        <f t="shared" si="23"/>
        <v>库存为4</v>
      </c>
      <c r="AV1454" s="31" t="str">
        <f>IFERROR(时间!$B$4+AU1454,"上周无销量")</f>
        <v>上周无销量</v>
      </c>
    </row>
    <row r="1455" spans="1:48">
      <c r="A1455" s="16" t="s">
        <v>2492</v>
      </c>
      <c r="B1455" t="s">
        <v>2493</v>
      </c>
      <c r="C1455" t="s">
        <v>2457</v>
      </c>
      <c r="D1455" s="24">
        <v>0</v>
      </c>
      <c r="E1455" s="24">
        <v>1</v>
      </c>
      <c r="F1455" s="24">
        <v>0</v>
      </c>
      <c r="G1455" s="24">
        <v>0</v>
      </c>
      <c r="H1455" s="25">
        <v>26.98</v>
      </c>
      <c r="I1455">
        <v>13</v>
      </c>
      <c r="J1455" s="26">
        <v>0</v>
      </c>
      <c r="K1455" s="26">
        <v>0</v>
      </c>
      <c r="L1455" s="26">
        <v>0</v>
      </c>
      <c r="M1455">
        <v>13</v>
      </c>
      <c r="N1455">
        <v>0</v>
      </c>
      <c r="O1455">
        <v>12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4</v>
      </c>
      <c r="AK1455">
        <v>6</v>
      </c>
      <c r="AL1455">
        <v>13</v>
      </c>
      <c r="AM1455">
        <v>2</v>
      </c>
      <c r="AN1455" s="18">
        <v>0</v>
      </c>
      <c r="AO1455" s="18">
        <v>0.166666666666667</v>
      </c>
      <c r="AP1455" s="18">
        <v>0</v>
      </c>
      <c r="AQ1455" s="18">
        <v>0</v>
      </c>
      <c r="AR1455" s="29">
        <v>0</v>
      </c>
      <c r="AS1455" s="29">
        <v>0</v>
      </c>
      <c r="AT1455" s="29">
        <v>13</v>
      </c>
      <c r="AU1455" s="24" t="str">
        <f t="shared" si="23"/>
        <v>库存为13</v>
      </c>
      <c r="AV1455" s="31" t="str">
        <f>IFERROR(时间!$B$4+AU1455,"上周无销量")</f>
        <v>上周无销量</v>
      </c>
    </row>
    <row r="1456" spans="1:48">
      <c r="A1456" s="16" t="s">
        <v>2494</v>
      </c>
      <c r="B1456" t="s">
        <v>2495</v>
      </c>
      <c r="C1456" t="s">
        <v>2457</v>
      </c>
      <c r="D1456" s="24">
        <v>0</v>
      </c>
      <c r="E1456" s="24">
        <v>0</v>
      </c>
      <c r="F1456" s="24">
        <v>0</v>
      </c>
      <c r="G1456" s="24">
        <v>1</v>
      </c>
      <c r="H1456" s="25">
        <v>26.98</v>
      </c>
      <c r="I1456">
        <v>10</v>
      </c>
      <c r="J1456" s="26">
        <v>0</v>
      </c>
      <c r="K1456" s="26">
        <v>0</v>
      </c>
      <c r="L1456" s="26">
        <v>0</v>
      </c>
      <c r="M1456">
        <v>10</v>
      </c>
      <c r="N1456">
        <v>0</v>
      </c>
      <c r="O1456">
        <v>9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4</v>
      </c>
      <c r="AK1456">
        <v>0</v>
      </c>
      <c r="AL1456">
        <v>3</v>
      </c>
      <c r="AM1456">
        <v>5</v>
      </c>
      <c r="AN1456" s="18">
        <v>0</v>
      </c>
      <c r="AO1456" s="18" t="s">
        <v>52</v>
      </c>
      <c r="AP1456" s="18">
        <v>0</v>
      </c>
      <c r="AQ1456" s="18">
        <v>0.2</v>
      </c>
      <c r="AR1456" s="29">
        <v>0</v>
      </c>
      <c r="AS1456" s="29">
        <v>0</v>
      </c>
      <c r="AT1456" s="29">
        <v>10</v>
      </c>
      <c r="AU1456" s="24" t="str">
        <f t="shared" si="23"/>
        <v>库存为10</v>
      </c>
      <c r="AV1456" s="31" t="str">
        <f>IFERROR(时间!$B$4+AU1456,"上周无销量")</f>
        <v>上周无销量</v>
      </c>
    </row>
    <row r="1457" spans="1:48">
      <c r="A1457" s="16" t="s">
        <v>2496</v>
      </c>
      <c r="B1457" t="s">
        <v>359</v>
      </c>
      <c r="C1457" t="s">
        <v>2497</v>
      </c>
      <c r="D1457" s="24">
        <v>0</v>
      </c>
      <c r="E1457" s="24">
        <v>0</v>
      </c>
      <c r="F1457" s="24">
        <v>2</v>
      </c>
      <c r="G1457" s="24">
        <v>0</v>
      </c>
      <c r="H1457" s="25">
        <v>22.98</v>
      </c>
      <c r="I1457">
        <v>0</v>
      </c>
      <c r="J1457" s="26">
        <v>0</v>
      </c>
      <c r="K1457" s="26">
        <v>0</v>
      </c>
      <c r="L1457" s="26">
        <v>0</v>
      </c>
      <c r="M1457">
        <v>0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42</v>
      </c>
      <c r="AK1457">
        <v>32</v>
      </c>
      <c r="AL1457">
        <v>49</v>
      </c>
      <c r="AM1457">
        <v>29</v>
      </c>
      <c r="AN1457" s="18">
        <v>0</v>
      </c>
      <c r="AO1457" s="18">
        <v>0</v>
      </c>
      <c r="AP1457" s="18">
        <v>0.0408163265306122</v>
      </c>
      <c r="AQ1457" s="18">
        <v>0</v>
      </c>
      <c r="AR1457" s="29">
        <v>0</v>
      </c>
      <c r="AS1457" s="29">
        <v>0</v>
      </c>
      <c r="AT1457" s="29">
        <v>0</v>
      </c>
      <c r="AU1457" s="24" t="str">
        <f t="shared" si="23"/>
        <v>库存为0</v>
      </c>
      <c r="AV1457" s="31" t="str">
        <f>IFERROR(时间!$B$4+AU1457,"上周无销量")</f>
        <v>上周无销量</v>
      </c>
    </row>
    <row r="1458" spans="1:48">
      <c r="A1458" s="16" t="s">
        <v>2498</v>
      </c>
      <c r="B1458" t="s">
        <v>361</v>
      </c>
      <c r="C1458" t="s">
        <v>2497</v>
      </c>
      <c r="D1458" s="24">
        <v>1</v>
      </c>
      <c r="E1458" s="24">
        <v>0</v>
      </c>
      <c r="F1458" s="24">
        <v>0</v>
      </c>
      <c r="G1458" s="24">
        <v>2</v>
      </c>
      <c r="H1458" s="25">
        <v>22.98</v>
      </c>
      <c r="I1458">
        <v>0</v>
      </c>
      <c r="J1458" s="26">
        <v>0</v>
      </c>
      <c r="K1458" s="26">
        <v>0</v>
      </c>
      <c r="L1458" s="26">
        <v>0</v>
      </c>
      <c r="M1458">
        <v>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39</v>
      </c>
      <c r="AK1458">
        <v>13</v>
      </c>
      <c r="AL1458">
        <v>0</v>
      </c>
      <c r="AM1458">
        <v>16</v>
      </c>
      <c r="AN1458" s="18">
        <v>0.0256410256410256</v>
      </c>
      <c r="AO1458" s="18">
        <v>0</v>
      </c>
      <c r="AP1458" s="18" t="s">
        <v>52</v>
      </c>
      <c r="AQ1458" s="18">
        <v>0.125</v>
      </c>
      <c r="AR1458" s="29">
        <v>0.142857142857143</v>
      </c>
      <c r="AS1458" s="29">
        <v>8.57142857142857</v>
      </c>
      <c r="AT1458" s="29">
        <v>-8.57142857142857</v>
      </c>
      <c r="AU1458" s="24">
        <f t="shared" si="23"/>
        <v>0</v>
      </c>
      <c r="AV1458" s="31">
        <f>IFERROR(时间!$B$4+AU1458,"上周无销量")</f>
        <v>43318</v>
      </c>
    </row>
    <row r="1459" spans="1:48">
      <c r="A1459" s="16" t="s">
        <v>2499</v>
      </c>
      <c r="B1459" t="s">
        <v>363</v>
      </c>
      <c r="C1459" t="s">
        <v>2497</v>
      </c>
      <c r="D1459" s="24">
        <v>0</v>
      </c>
      <c r="E1459" s="24">
        <v>0</v>
      </c>
      <c r="F1459" s="24">
        <v>0</v>
      </c>
      <c r="G1459" s="24">
        <v>1</v>
      </c>
      <c r="H1459" s="25">
        <v>23.98</v>
      </c>
      <c r="I1459">
        <v>0</v>
      </c>
      <c r="J1459" s="26">
        <v>0</v>
      </c>
      <c r="K1459" s="26">
        <v>0</v>
      </c>
      <c r="L1459" s="26">
        <v>0</v>
      </c>
      <c r="M1459">
        <v>0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46</v>
      </c>
      <c r="AK1459">
        <v>60</v>
      </c>
      <c r="AL1459">
        <v>48</v>
      </c>
      <c r="AM1459">
        <v>53</v>
      </c>
      <c r="AN1459" s="18">
        <v>0</v>
      </c>
      <c r="AO1459" s="18">
        <v>0</v>
      </c>
      <c r="AP1459" s="18">
        <v>0</v>
      </c>
      <c r="AQ1459" s="18">
        <v>0.0188679245283019</v>
      </c>
      <c r="AR1459" s="29">
        <v>0</v>
      </c>
      <c r="AS1459" s="29">
        <v>0</v>
      </c>
      <c r="AT1459" s="29">
        <v>0</v>
      </c>
      <c r="AU1459" s="24" t="str">
        <f t="shared" si="23"/>
        <v>库存为0</v>
      </c>
      <c r="AV1459" s="31" t="str">
        <f>IFERROR(时间!$B$4+AU1459,"上周无销量")</f>
        <v>上周无销量</v>
      </c>
    </row>
    <row r="1460" spans="1:48">
      <c r="A1460" s="16" t="s">
        <v>2500</v>
      </c>
      <c r="B1460" t="s">
        <v>365</v>
      </c>
      <c r="C1460" t="s">
        <v>2497</v>
      </c>
      <c r="D1460" s="24">
        <v>0</v>
      </c>
      <c r="E1460" s="24">
        <v>0</v>
      </c>
      <c r="F1460" s="24">
        <v>0</v>
      </c>
      <c r="G1460" s="24">
        <v>0</v>
      </c>
      <c r="H1460" s="25">
        <v>0</v>
      </c>
      <c r="I1460">
        <v>6</v>
      </c>
      <c r="J1460" s="26">
        <v>0</v>
      </c>
      <c r="K1460" s="26">
        <v>0</v>
      </c>
      <c r="L1460" s="26">
        <v>0</v>
      </c>
      <c r="M1460">
        <v>6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0</v>
      </c>
      <c r="AK1460">
        <v>0</v>
      </c>
      <c r="AL1460">
        <v>0</v>
      </c>
      <c r="AM1460">
        <v>0</v>
      </c>
      <c r="AN1460" s="18" t="s">
        <v>52</v>
      </c>
      <c r="AO1460" s="18" t="s">
        <v>52</v>
      </c>
      <c r="AP1460" s="18" t="s">
        <v>52</v>
      </c>
      <c r="AQ1460" s="18" t="s">
        <v>52</v>
      </c>
      <c r="AR1460" s="29">
        <v>0</v>
      </c>
      <c r="AS1460" s="29">
        <v>0</v>
      </c>
      <c r="AT1460" s="29">
        <v>6</v>
      </c>
      <c r="AU1460" s="24" t="str">
        <f t="shared" si="23"/>
        <v>库存为6</v>
      </c>
      <c r="AV1460" s="31" t="str">
        <f>IFERROR(时间!$B$4+AU1460,"上周无销量")</f>
        <v>上周无销量</v>
      </c>
    </row>
    <row r="1461" spans="1:48">
      <c r="A1461" s="16" t="s">
        <v>2501</v>
      </c>
      <c r="B1461" t="s">
        <v>367</v>
      </c>
      <c r="C1461" t="s">
        <v>2497</v>
      </c>
      <c r="D1461" s="24">
        <v>0</v>
      </c>
      <c r="E1461" s="24">
        <v>1</v>
      </c>
      <c r="F1461" s="24">
        <v>0</v>
      </c>
      <c r="G1461" s="24">
        <v>1</v>
      </c>
      <c r="H1461" s="25">
        <v>22.98</v>
      </c>
      <c r="I1461">
        <v>0</v>
      </c>
      <c r="J1461" s="26">
        <v>0</v>
      </c>
      <c r="K1461" s="26">
        <v>0</v>
      </c>
      <c r="L1461" s="26">
        <v>0</v>
      </c>
      <c r="M1461">
        <v>0</v>
      </c>
      <c r="N1461">
        <v>1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32</v>
      </c>
      <c r="AK1461">
        <v>28</v>
      </c>
      <c r="AL1461">
        <v>40</v>
      </c>
      <c r="AM1461">
        <v>46</v>
      </c>
      <c r="AN1461" s="18">
        <v>0</v>
      </c>
      <c r="AO1461" s="18">
        <v>0.0357142857142857</v>
      </c>
      <c r="AP1461" s="18">
        <v>0</v>
      </c>
      <c r="AQ1461" s="18">
        <v>0.0217391304347826</v>
      </c>
      <c r="AR1461" s="29">
        <v>0</v>
      </c>
      <c r="AS1461" s="29">
        <v>0</v>
      </c>
      <c r="AT1461" s="29">
        <v>0</v>
      </c>
      <c r="AU1461" s="24" t="str">
        <f t="shared" si="23"/>
        <v>库存为0</v>
      </c>
      <c r="AV1461" s="31" t="str">
        <f>IFERROR(时间!$B$4+AU1461,"上周无销量")</f>
        <v>上周无销量</v>
      </c>
    </row>
    <row r="1462" spans="1:48">
      <c r="A1462" s="16" t="s">
        <v>2502</v>
      </c>
      <c r="B1462" t="s">
        <v>369</v>
      </c>
      <c r="C1462" t="s">
        <v>2497</v>
      </c>
      <c r="D1462" s="24">
        <v>0</v>
      </c>
      <c r="E1462" s="24">
        <v>1</v>
      </c>
      <c r="F1462" s="24">
        <v>0</v>
      </c>
      <c r="G1462" s="24">
        <v>2</v>
      </c>
      <c r="H1462" s="25">
        <v>22.98</v>
      </c>
      <c r="I1462">
        <v>0</v>
      </c>
      <c r="J1462" s="26">
        <v>0</v>
      </c>
      <c r="K1462" s="26">
        <v>0</v>
      </c>
      <c r="L1462" s="26">
        <v>0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21</v>
      </c>
      <c r="AK1462">
        <v>31</v>
      </c>
      <c r="AL1462">
        <v>21</v>
      </c>
      <c r="AM1462">
        <v>25</v>
      </c>
      <c r="AN1462" s="18">
        <v>0</v>
      </c>
      <c r="AO1462" s="18">
        <v>0.032258064516129</v>
      </c>
      <c r="AP1462" s="18">
        <v>0</v>
      </c>
      <c r="AQ1462" s="18">
        <v>0.08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2503</v>
      </c>
      <c r="B1463" t="s">
        <v>371</v>
      </c>
      <c r="C1463" t="s">
        <v>2497</v>
      </c>
      <c r="D1463" s="24">
        <v>1</v>
      </c>
      <c r="E1463" s="24">
        <v>1</v>
      </c>
      <c r="F1463" s="24">
        <v>0</v>
      </c>
      <c r="G1463" s="24">
        <v>1</v>
      </c>
      <c r="H1463" s="25">
        <v>18.98</v>
      </c>
      <c r="I1463">
        <v>11</v>
      </c>
      <c r="J1463" s="26">
        <v>0</v>
      </c>
      <c r="K1463" s="26">
        <v>0</v>
      </c>
      <c r="L1463" s="26">
        <v>0</v>
      </c>
      <c r="M1463">
        <v>11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29</v>
      </c>
      <c r="AK1463">
        <v>25</v>
      </c>
      <c r="AL1463">
        <v>22</v>
      </c>
      <c r="AM1463">
        <v>23</v>
      </c>
      <c r="AN1463" s="18">
        <v>0.0344827586206897</v>
      </c>
      <c r="AO1463" s="18">
        <v>0.04</v>
      </c>
      <c r="AP1463" s="18">
        <v>0</v>
      </c>
      <c r="AQ1463" s="18">
        <v>0.0434782608695652</v>
      </c>
      <c r="AR1463" s="29">
        <v>0.142857142857143</v>
      </c>
      <c r="AS1463" s="29">
        <v>8.57142857142857</v>
      </c>
      <c r="AT1463" s="29">
        <v>2.42857142857143</v>
      </c>
      <c r="AU1463" s="24">
        <f t="shared" si="23"/>
        <v>77</v>
      </c>
      <c r="AV1463" s="31">
        <f>IFERROR(时间!$B$4+AU1463,"上周无销量")</f>
        <v>43395</v>
      </c>
    </row>
    <row r="1464" spans="1:48">
      <c r="A1464" s="16" t="s">
        <v>2504</v>
      </c>
      <c r="B1464" t="s">
        <v>373</v>
      </c>
      <c r="C1464" t="s">
        <v>2497</v>
      </c>
      <c r="D1464" s="24">
        <v>0</v>
      </c>
      <c r="E1464" s="24">
        <v>0</v>
      </c>
      <c r="F1464" s="24">
        <v>2</v>
      </c>
      <c r="G1464" s="24">
        <v>0</v>
      </c>
      <c r="H1464" s="25">
        <v>23.98</v>
      </c>
      <c r="I1464">
        <v>0</v>
      </c>
      <c r="J1464" s="26">
        <v>0</v>
      </c>
      <c r="K1464" s="26">
        <v>0</v>
      </c>
      <c r="L1464" s="26">
        <v>0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27</v>
      </c>
      <c r="AK1464">
        <v>33</v>
      </c>
      <c r="AL1464">
        <v>39</v>
      </c>
      <c r="AM1464">
        <v>37</v>
      </c>
      <c r="AN1464" s="18">
        <v>0</v>
      </c>
      <c r="AO1464" s="18">
        <v>0</v>
      </c>
      <c r="AP1464" s="18">
        <v>0.0512820512820513</v>
      </c>
      <c r="AQ1464" s="18">
        <v>0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2505</v>
      </c>
      <c r="B1465" t="s">
        <v>375</v>
      </c>
      <c r="C1465" t="s">
        <v>2497</v>
      </c>
      <c r="D1465" s="24">
        <v>0</v>
      </c>
      <c r="E1465" s="24">
        <v>2</v>
      </c>
      <c r="F1465" s="24">
        <v>0</v>
      </c>
      <c r="G1465" s="24">
        <v>1</v>
      </c>
      <c r="H1465" s="25">
        <v>23.98</v>
      </c>
      <c r="I1465">
        <v>1</v>
      </c>
      <c r="J1465" s="26">
        <v>0</v>
      </c>
      <c r="K1465" s="26">
        <v>0</v>
      </c>
      <c r="L1465" s="26">
        <v>1</v>
      </c>
      <c r="M1465">
        <v>2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31</v>
      </c>
      <c r="AK1465">
        <v>19</v>
      </c>
      <c r="AL1465">
        <v>29</v>
      </c>
      <c r="AM1465">
        <v>37</v>
      </c>
      <c r="AN1465" s="18">
        <v>0</v>
      </c>
      <c r="AO1465" s="18">
        <v>0.105263157894737</v>
      </c>
      <c r="AP1465" s="18">
        <v>0</v>
      </c>
      <c r="AQ1465" s="18">
        <v>0.027027027027027</v>
      </c>
      <c r="AR1465" s="29">
        <v>0</v>
      </c>
      <c r="AS1465" s="29">
        <v>0</v>
      </c>
      <c r="AT1465" s="29">
        <v>2</v>
      </c>
      <c r="AU1465" s="24" t="str">
        <f t="shared" si="23"/>
        <v>库存为2</v>
      </c>
      <c r="AV1465" s="31" t="str">
        <f>IFERROR(时间!$B$4+AU1465,"上周无销量")</f>
        <v>上周无销量</v>
      </c>
    </row>
    <row r="1466" spans="1:48">
      <c r="A1466" s="16" t="s">
        <v>2506</v>
      </c>
      <c r="B1466" t="s">
        <v>377</v>
      </c>
      <c r="C1466" t="s">
        <v>2497</v>
      </c>
      <c r="D1466" s="24">
        <v>1</v>
      </c>
      <c r="E1466" s="24">
        <v>1</v>
      </c>
      <c r="F1466" s="24">
        <v>1</v>
      </c>
      <c r="G1466" s="24">
        <v>2</v>
      </c>
      <c r="H1466" s="25">
        <v>22.98</v>
      </c>
      <c r="I1466">
        <v>0</v>
      </c>
      <c r="J1466" s="26">
        <v>0</v>
      </c>
      <c r="K1466" s="26">
        <v>0</v>
      </c>
      <c r="L1466" s="26">
        <v>0</v>
      </c>
      <c r="M1466">
        <v>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33</v>
      </c>
      <c r="AK1466">
        <v>27</v>
      </c>
      <c r="AL1466">
        <v>43</v>
      </c>
      <c r="AM1466">
        <v>38</v>
      </c>
      <c r="AN1466" s="18">
        <v>0.0303030303030303</v>
      </c>
      <c r="AO1466" s="18">
        <v>0.037037037037037</v>
      </c>
      <c r="AP1466" s="18">
        <v>0.0232558139534884</v>
      </c>
      <c r="AQ1466" s="18">
        <v>0.0526315789473684</v>
      </c>
      <c r="AR1466" s="29">
        <v>0.142857142857143</v>
      </c>
      <c r="AS1466" s="29">
        <v>8.57142857142857</v>
      </c>
      <c r="AT1466" s="29">
        <v>-8.57142857142857</v>
      </c>
      <c r="AU1466" s="24">
        <f t="shared" si="23"/>
        <v>0</v>
      </c>
      <c r="AV1466" s="31">
        <f>IFERROR(时间!$B$4+AU1466,"上周无销量")</f>
        <v>43318</v>
      </c>
    </row>
    <row r="1467" spans="1:48">
      <c r="A1467" s="16" t="s">
        <v>2507</v>
      </c>
      <c r="B1467" t="s">
        <v>379</v>
      </c>
      <c r="C1467" t="s">
        <v>2497</v>
      </c>
      <c r="D1467" s="24">
        <v>2</v>
      </c>
      <c r="E1467" s="24">
        <v>1</v>
      </c>
      <c r="F1467" s="24">
        <v>0</v>
      </c>
      <c r="G1467" s="24">
        <v>2</v>
      </c>
      <c r="H1467" s="25">
        <v>22.98</v>
      </c>
      <c r="I1467">
        <v>8</v>
      </c>
      <c r="J1467" s="26">
        <v>0</v>
      </c>
      <c r="K1467" s="26">
        <v>0</v>
      </c>
      <c r="L1467" s="26">
        <v>0</v>
      </c>
      <c r="M1467">
        <v>8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31</v>
      </c>
      <c r="AK1467">
        <v>16</v>
      </c>
      <c r="AL1467">
        <v>21</v>
      </c>
      <c r="AM1467">
        <v>25</v>
      </c>
      <c r="AN1467" s="18">
        <v>0.0645161290322581</v>
      </c>
      <c r="AO1467" s="18">
        <v>0.0625</v>
      </c>
      <c r="AP1467" s="18">
        <v>0</v>
      </c>
      <c r="AQ1467" s="18">
        <v>0.08</v>
      </c>
      <c r="AR1467" s="29">
        <v>0.285714285714286</v>
      </c>
      <c r="AS1467" s="29">
        <v>17.1428571428571</v>
      </c>
      <c r="AT1467" s="29">
        <v>-9.14285714285714</v>
      </c>
      <c r="AU1467" s="24">
        <f t="shared" si="23"/>
        <v>28</v>
      </c>
      <c r="AV1467" s="31">
        <f>IFERROR(时间!$B$4+AU1467,"上周无销量")</f>
        <v>43346</v>
      </c>
    </row>
    <row r="1468" spans="1:48">
      <c r="A1468" s="16" t="s">
        <v>2508</v>
      </c>
      <c r="B1468" t="s">
        <v>381</v>
      </c>
      <c r="C1468" t="s">
        <v>2497</v>
      </c>
      <c r="D1468" s="24">
        <v>1</v>
      </c>
      <c r="E1468" s="24">
        <v>0</v>
      </c>
      <c r="F1468" s="24">
        <v>3</v>
      </c>
      <c r="G1468" s="24">
        <v>0</v>
      </c>
      <c r="H1468" s="25">
        <v>21.98</v>
      </c>
      <c r="I1468">
        <v>11</v>
      </c>
      <c r="J1468" s="26">
        <v>0</v>
      </c>
      <c r="K1468" s="26">
        <v>0</v>
      </c>
      <c r="L1468" s="26">
        <v>0</v>
      </c>
      <c r="M1468">
        <v>11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103</v>
      </c>
      <c r="AK1468">
        <v>86</v>
      </c>
      <c r="AL1468">
        <v>131</v>
      </c>
      <c r="AM1468">
        <v>100</v>
      </c>
      <c r="AN1468" s="18">
        <v>0.00970873786407767</v>
      </c>
      <c r="AO1468" s="18">
        <v>0</v>
      </c>
      <c r="AP1468" s="18">
        <v>0.0229007633587786</v>
      </c>
      <c r="AQ1468" s="18">
        <v>0</v>
      </c>
      <c r="AR1468" s="29">
        <v>0.142857142857143</v>
      </c>
      <c r="AS1468" s="29">
        <v>8.57142857142857</v>
      </c>
      <c r="AT1468" s="29">
        <v>2.42857142857143</v>
      </c>
      <c r="AU1468" s="24">
        <f t="shared" si="23"/>
        <v>77</v>
      </c>
      <c r="AV1468" s="31">
        <f>IFERROR(时间!$B$4+AU1468,"上周无销量")</f>
        <v>43395</v>
      </c>
    </row>
    <row r="1469" spans="1:48">
      <c r="A1469" s="16" t="s">
        <v>2509</v>
      </c>
      <c r="B1469" t="s">
        <v>383</v>
      </c>
      <c r="C1469" t="s">
        <v>2497</v>
      </c>
      <c r="D1469" s="24">
        <v>0</v>
      </c>
      <c r="E1469" s="24">
        <v>1</v>
      </c>
      <c r="F1469" s="24">
        <v>6</v>
      </c>
      <c r="G1469" s="24">
        <v>4</v>
      </c>
      <c r="H1469" s="25">
        <v>23.98</v>
      </c>
      <c r="I1469">
        <v>0</v>
      </c>
      <c r="J1469" s="26">
        <v>0</v>
      </c>
      <c r="K1469" s="26">
        <v>0</v>
      </c>
      <c r="L1469" s="26">
        <v>0</v>
      </c>
      <c r="M1469">
        <v>0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14</v>
      </c>
      <c r="AK1469">
        <v>26</v>
      </c>
      <c r="AL1469">
        <v>51</v>
      </c>
      <c r="AM1469">
        <v>29</v>
      </c>
      <c r="AN1469" s="18">
        <v>0</v>
      </c>
      <c r="AO1469" s="18">
        <v>0.0384615384615385</v>
      </c>
      <c r="AP1469" s="18">
        <v>0.117647058823529</v>
      </c>
      <c r="AQ1469" s="18">
        <v>0.137931034482759</v>
      </c>
      <c r="AR1469" s="29">
        <v>0</v>
      </c>
      <c r="AS1469" s="29">
        <v>0</v>
      </c>
      <c r="AT1469" s="29">
        <v>0</v>
      </c>
      <c r="AU1469" s="24" t="str">
        <f t="shared" si="23"/>
        <v>库存为0</v>
      </c>
      <c r="AV1469" s="31" t="str">
        <f>IFERROR(时间!$B$4+AU1469,"上周无销量")</f>
        <v>上周无销量</v>
      </c>
    </row>
    <row r="1470" spans="1:48">
      <c r="A1470" s="16" t="s">
        <v>2510</v>
      </c>
      <c r="B1470" t="s">
        <v>385</v>
      </c>
      <c r="C1470" t="s">
        <v>2497</v>
      </c>
      <c r="D1470" s="24">
        <v>0</v>
      </c>
      <c r="E1470" s="24">
        <v>6</v>
      </c>
      <c r="F1470" s="24">
        <v>6</v>
      </c>
      <c r="G1470" s="24">
        <v>5</v>
      </c>
      <c r="H1470" s="25">
        <v>22.98</v>
      </c>
      <c r="I1470">
        <v>1</v>
      </c>
      <c r="J1470" s="26">
        <v>0</v>
      </c>
      <c r="K1470" s="26">
        <v>0</v>
      </c>
      <c r="L1470" s="26">
        <v>0</v>
      </c>
      <c r="M1470">
        <v>1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0</v>
      </c>
      <c r="AK1470">
        <v>3</v>
      </c>
      <c r="AL1470">
        <v>25</v>
      </c>
      <c r="AM1470">
        <v>20</v>
      </c>
      <c r="AN1470" s="18" t="s">
        <v>52</v>
      </c>
      <c r="AO1470" s="18">
        <v>2</v>
      </c>
      <c r="AP1470" s="18">
        <v>0.24</v>
      </c>
      <c r="AQ1470" s="18">
        <v>0.25</v>
      </c>
      <c r="AR1470" s="29">
        <v>0</v>
      </c>
      <c r="AS1470" s="29">
        <v>0</v>
      </c>
      <c r="AT1470" s="29">
        <v>1</v>
      </c>
      <c r="AU1470" s="24" t="str">
        <f t="shared" si="23"/>
        <v>库存为1</v>
      </c>
      <c r="AV1470" s="31" t="str">
        <f>IFERROR(时间!$B$4+AU1470,"上周无销量")</f>
        <v>上周无销量</v>
      </c>
    </row>
    <row r="1471" spans="1:48">
      <c r="A1471" s="16" t="s">
        <v>2511</v>
      </c>
      <c r="B1471" t="s">
        <v>2512</v>
      </c>
      <c r="C1471" t="s">
        <v>2497</v>
      </c>
      <c r="D1471" s="24">
        <v>8</v>
      </c>
      <c r="E1471" s="24">
        <v>14</v>
      </c>
      <c r="F1471" s="24">
        <v>21</v>
      </c>
      <c r="G1471" s="24">
        <v>9</v>
      </c>
      <c r="H1471" s="25">
        <v>23.98</v>
      </c>
      <c r="I1471">
        <v>0</v>
      </c>
      <c r="J1471" s="26">
        <v>0</v>
      </c>
      <c r="K1471" s="26">
        <v>0</v>
      </c>
      <c r="L1471" s="26">
        <v>0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36</v>
      </c>
      <c r="AK1471">
        <v>41</v>
      </c>
      <c r="AL1471">
        <v>79</v>
      </c>
      <c r="AM1471">
        <v>35</v>
      </c>
      <c r="AN1471" s="18">
        <v>0.222222222222222</v>
      </c>
      <c r="AO1471" s="18">
        <v>0.341463414634146</v>
      </c>
      <c r="AP1471" s="18">
        <v>0.265822784810127</v>
      </c>
      <c r="AQ1471" s="18">
        <v>0.257142857142857</v>
      </c>
      <c r="AR1471" s="29">
        <v>1.14285714285714</v>
      </c>
      <c r="AS1471" s="29">
        <v>68.5714285714286</v>
      </c>
      <c r="AT1471" s="29">
        <v>-68.5714285714286</v>
      </c>
      <c r="AU1471" s="24">
        <f t="shared" si="23"/>
        <v>0</v>
      </c>
      <c r="AV1471" s="31">
        <f>IFERROR(时间!$B$4+AU1471,"上周无销量")</f>
        <v>43318</v>
      </c>
    </row>
    <row r="1472" spans="1:48">
      <c r="A1472" s="16" t="s">
        <v>2513</v>
      </c>
      <c r="B1472" t="s">
        <v>2514</v>
      </c>
      <c r="C1472" t="s">
        <v>2497</v>
      </c>
      <c r="D1472" s="24">
        <v>4</v>
      </c>
      <c r="E1472" s="24">
        <v>5</v>
      </c>
      <c r="F1472" s="24">
        <v>5</v>
      </c>
      <c r="G1472" s="24">
        <v>5</v>
      </c>
      <c r="H1472" s="25">
        <v>22.98</v>
      </c>
      <c r="I1472">
        <v>29</v>
      </c>
      <c r="J1472" s="26">
        <v>15</v>
      </c>
      <c r="K1472" s="26">
        <v>0</v>
      </c>
      <c r="L1472" s="26">
        <v>0</v>
      </c>
      <c r="M1472">
        <v>44</v>
      </c>
      <c r="N1472">
        <v>1</v>
      </c>
      <c r="O1472">
        <v>0</v>
      </c>
      <c r="P1472">
        <v>0</v>
      </c>
      <c r="Q1472">
        <v>0</v>
      </c>
      <c r="R1472">
        <v>0</v>
      </c>
      <c r="S1472">
        <v>1338</v>
      </c>
      <c r="T1472">
        <v>0</v>
      </c>
      <c r="U1472">
        <v>0</v>
      </c>
      <c r="V1472">
        <v>0</v>
      </c>
      <c r="W1472">
        <v>18</v>
      </c>
      <c r="X1472" s="18" t="s">
        <v>52</v>
      </c>
      <c r="Y1472" s="18" t="s">
        <v>52</v>
      </c>
      <c r="Z1472" s="18" t="s">
        <v>52</v>
      </c>
      <c r="AA1472" s="18">
        <v>0.0134529147982063</v>
      </c>
      <c r="AB1472">
        <v>0</v>
      </c>
      <c r="AC1472">
        <v>0</v>
      </c>
      <c r="AD1472">
        <v>0</v>
      </c>
      <c r="AE1472">
        <v>12.62</v>
      </c>
      <c r="AF1472" s="18" t="s">
        <v>52</v>
      </c>
      <c r="AG1472" s="18" t="s">
        <v>52</v>
      </c>
      <c r="AH1472" s="18" t="s">
        <v>52</v>
      </c>
      <c r="AI1472" s="18">
        <v>0.109834638816362</v>
      </c>
      <c r="AJ1472">
        <v>29</v>
      </c>
      <c r="AK1472">
        <v>34</v>
      </c>
      <c r="AL1472">
        <v>20</v>
      </c>
      <c r="AM1472">
        <v>29</v>
      </c>
      <c r="AN1472" s="18">
        <v>0.137931034482759</v>
      </c>
      <c r="AO1472" s="18">
        <v>0.147058823529412</v>
      </c>
      <c r="AP1472" s="18">
        <v>0.25</v>
      </c>
      <c r="AQ1472" s="18">
        <v>0.172413793103448</v>
      </c>
      <c r="AR1472" s="29">
        <v>0.571428571428571</v>
      </c>
      <c r="AS1472" s="29">
        <v>34.2857142857143</v>
      </c>
      <c r="AT1472" s="29">
        <v>9.71428571428572</v>
      </c>
      <c r="AU1472" s="24">
        <f t="shared" si="23"/>
        <v>77</v>
      </c>
      <c r="AV1472" s="31">
        <f>IFERROR(时间!$B$4+AU1472,"上周无销量")</f>
        <v>43395</v>
      </c>
    </row>
    <row r="1473" spans="1:48">
      <c r="A1473" s="16" t="s">
        <v>2515</v>
      </c>
      <c r="B1473" t="s">
        <v>2516</v>
      </c>
      <c r="C1473" t="s">
        <v>2497</v>
      </c>
      <c r="D1473" s="24">
        <v>1</v>
      </c>
      <c r="E1473" s="24">
        <v>0</v>
      </c>
      <c r="F1473" s="24">
        <v>3</v>
      </c>
      <c r="G1473" s="24">
        <v>0</v>
      </c>
      <c r="H1473" s="25">
        <v>22.98</v>
      </c>
      <c r="I1473">
        <v>11</v>
      </c>
      <c r="J1473" s="26">
        <v>0</v>
      </c>
      <c r="K1473" s="26">
        <v>0</v>
      </c>
      <c r="L1473" s="26">
        <v>0</v>
      </c>
      <c r="M1473">
        <v>11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27</v>
      </c>
      <c r="AK1473">
        <v>23</v>
      </c>
      <c r="AL1473">
        <v>21</v>
      </c>
      <c r="AM1473">
        <v>29</v>
      </c>
      <c r="AN1473" s="18">
        <v>0.037037037037037</v>
      </c>
      <c r="AO1473" s="18">
        <v>0</v>
      </c>
      <c r="AP1473" s="18">
        <v>0.142857142857143</v>
      </c>
      <c r="AQ1473" s="18">
        <v>0</v>
      </c>
      <c r="AR1473" s="29">
        <v>0.142857142857143</v>
      </c>
      <c r="AS1473" s="29">
        <v>8.57142857142857</v>
      </c>
      <c r="AT1473" s="29">
        <v>2.42857142857143</v>
      </c>
      <c r="AU1473" s="24">
        <f t="shared" si="23"/>
        <v>77</v>
      </c>
      <c r="AV1473" s="31">
        <f>IFERROR(时间!$B$4+AU1473,"上周无销量")</f>
        <v>43395</v>
      </c>
    </row>
    <row r="1474" spans="1:48">
      <c r="A1474" s="16" t="s">
        <v>2517</v>
      </c>
      <c r="B1474" t="s">
        <v>2518</v>
      </c>
      <c r="C1474" t="s">
        <v>2497</v>
      </c>
      <c r="D1474" s="24">
        <v>11</v>
      </c>
      <c r="E1474" s="24">
        <v>16</v>
      </c>
      <c r="F1474" s="24">
        <v>17</v>
      </c>
      <c r="G1474" s="24">
        <v>8</v>
      </c>
      <c r="H1474" s="25">
        <v>23.98</v>
      </c>
      <c r="I1474">
        <v>3</v>
      </c>
      <c r="J1474" s="26">
        <v>33</v>
      </c>
      <c r="K1474" s="26">
        <v>0</v>
      </c>
      <c r="L1474" s="26">
        <v>21</v>
      </c>
      <c r="M1474">
        <v>57</v>
      </c>
      <c r="N1474">
        <v>1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52</v>
      </c>
      <c r="AK1474">
        <v>45</v>
      </c>
      <c r="AL1474">
        <v>76</v>
      </c>
      <c r="AM1474">
        <v>39</v>
      </c>
      <c r="AN1474" s="18">
        <v>0.211538461538462</v>
      </c>
      <c r="AO1474" s="18">
        <v>0.355555555555556</v>
      </c>
      <c r="AP1474" s="18">
        <v>0.223684210526316</v>
      </c>
      <c r="AQ1474" s="18">
        <v>0.205128205128205</v>
      </c>
      <c r="AR1474" s="29">
        <v>1.57142857142857</v>
      </c>
      <c r="AS1474" s="29">
        <v>94.2857142857143</v>
      </c>
      <c r="AT1474" s="29">
        <v>-37.2857142857143</v>
      </c>
      <c r="AU1474" s="24">
        <f t="shared" si="23"/>
        <v>36</v>
      </c>
      <c r="AV1474" s="31">
        <f>IFERROR(时间!$B$4+AU1474,"上周无销量")</f>
        <v>43354</v>
      </c>
    </row>
    <row r="1475" spans="1:48">
      <c r="A1475" s="16" t="s">
        <v>2519</v>
      </c>
      <c r="B1475" t="s">
        <v>2520</v>
      </c>
      <c r="C1475" t="s">
        <v>2497</v>
      </c>
      <c r="D1475" s="24">
        <v>16</v>
      </c>
      <c r="E1475" s="24">
        <v>11</v>
      </c>
      <c r="F1475" s="24">
        <v>12</v>
      </c>
      <c r="G1475" s="24">
        <v>4</v>
      </c>
      <c r="H1475" s="25">
        <v>23.98</v>
      </c>
      <c r="I1475">
        <v>8</v>
      </c>
      <c r="J1475" s="26">
        <v>20</v>
      </c>
      <c r="K1475" s="26">
        <v>0</v>
      </c>
      <c r="L1475" s="26">
        <v>41</v>
      </c>
      <c r="M1475">
        <v>69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40</v>
      </c>
      <c r="AK1475">
        <v>24</v>
      </c>
      <c r="AL1475">
        <v>46</v>
      </c>
      <c r="AM1475">
        <v>37</v>
      </c>
      <c r="AN1475" s="18">
        <v>0.4</v>
      </c>
      <c r="AO1475" s="18">
        <v>0.458333333333333</v>
      </c>
      <c r="AP1475" s="18">
        <v>0.260869565217391</v>
      </c>
      <c r="AQ1475" s="18">
        <v>0.108108108108108</v>
      </c>
      <c r="AR1475" s="29">
        <v>2.28571428571429</v>
      </c>
      <c r="AS1475" s="29">
        <v>137.142857142857</v>
      </c>
      <c r="AT1475" s="29">
        <v>-68.1428571428571</v>
      </c>
      <c r="AU1475" s="24">
        <f t="shared" si="23"/>
        <v>30</v>
      </c>
      <c r="AV1475" s="31">
        <f>IFERROR(时间!$B$4+AU1475,"上周无销量")</f>
        <v>43348</v>
      </c>
    </row>
    <row r="1476" spans="1:48">
      <c r="A1476" s="16" t="s">
        <v>2521</v>
      </c>
      <c r="B1476" t="s">
        <v>2522</v>
      </c>
      <c r="C1476" t="s">
        <v>2497</v>
      </c>
      <c r="D1476" s="24">
        <v>5</v>
      </c>
      <c r="E1476" s="24">
        <v>0</v>
      </c>
      <c r="F1476" s="24">
        <v>7</v>
      </c>
      <c r="G1476" s="24">
        <v>8</v>
      </c>
      <c r="H1476" s="25">
        <v>23.98</v>
      </c>
      <c r="I1476">
        <v>12</v>
      </c>
      <c r="J1476" s="26">
        <v>15</v>
      </c>
      <c r="K1476" s="26">
        <v>0</v>
      </c>
      <c r="L1476" s="26">
        <v>4</v>
      </c>
      <c r="M1476">
        <v>31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18</v>
      </c>
      <c r="AK1476">
        <v>5</v>
      </c>
      <c r="AL1476">
        <v>22</v>
      </c>
      <c r="AM1476">
        <v>44</v>
      </c>
      <c r="AN1476" s="18">
        <v>0.277777777777778</v>
      </c>
      <c r="AO1476" s="18">
        <v>0</v>
      </c>
      <c r="AP1476" s="18">
        <v>0.318181818181818</v>
      </c>
      <c r="AQ1476" s="18">
        <v>0.181818181818182</v>
      </c>
      <c r="AR1476" s="29">
        <v>0.714285714285714</v>
      </c>
      <c r="AS1476" s="29">
        <v>42.8571428571429</v>
      </c>
      <c r="AT1476" s="29">
        <v>-11.8571428571429</v>
      </c>
      <c r="AU1476" s="24">
        <f t="shared" si="23"/>
        <v>43</v>
      </c>
      <c r="AV1476" s="31">
        <f>IFERROR(时间!$B$4+AU1476,"上周无销量")</f>
        <v>43361</v>
      </c>
    </row>
    <row r="1477" spans="1:48">
      <c r="A1477" s="16" t="s">
        <v>2523</v>
      </c>
      <c r="B1477" t="s">
        <v>2524</v>
      </c>
      <c r="C1477" t="s">
        <v>2497</v>
      </c>
      <c r="D1477" s="24">
        <v>1</v>
      </c>
      <c r="E1477" s="24">
        <v>1</v>
      </c>
      <c r="F1477" s="24">
        <v>7</v>
      </c>
      <c r="G1477" s="24">
        <v>2</v>
      </c>
      <c r="H1477" s="25">
        <v>22.98</v>
      </c>
      <c r="I1477">
        <v>12</v>
      </c>
      <c r="J1477" s="26">
        <v>10</v>
      </c>
      <c r="K1477" s="26">
        <v>0</v>
      </c>
      <c r="L1477" s="26">
        <v>0</v>
      </c>
      <c r="M1477">
        <v>22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19</v>
      </c>
      <c r="AK1477">
        <v>19</v>
      </c>
      <c r="AL1477">
        <v>21</v>
      </c>
      <c r="AM1477">
        <v>22</v>
      </c>
      <c r="AN1477" s="18">
        <v>0.0526315789473684</v>
      </c>
      <c r="AO1477" s="18">
        <v>0.0526315789473684</v>
      </c>
      <c r="AP1477" s="18">
        <v>0.333333333333333</v>
      </c>
      <c r="AQ1477" s="18">
        <v>0.0909090909090909</v>
      </c>
      <c r="AR1477" s="29">
        <v>0.142857142857143</v>
      </c>
      <c r="AS1477" s="29">
        <v>8.57142857142857</v>
      </c>
      <c r="AT1477" s="29">
        <v>13.4285714285714</v>
      </c>
      <c r="AU1477" s="24">
        <f t="shared" si="23"/>
        <v>154</v>
      </c>
      <c r="AV1477" s="31">
        <f>IFERROR(时间!$B$4+AU1477,"上周无销量")</f>
        <v>43472</v>
      </c>
    </row>
    <row r="1478" spans="1:48">
      <c r="A1478" s="16" t="s">
        <v>2525</v>
      </c>
      <c r="B1478" t="s">
        <v>2526</v>
      </c>
      <c r="C1478" t="s">
        <v>2497</v>
      </c>
      <c r="D1478" s="24">
        <v>0</v>
      </c>
      <c r="E1478" s="24">
        <v>0</v>
      </c>
      <c r="F1478" s="24">
        <v>1</v>
      </c>
      <c r="G1478" s="24">
        <v>1</v>
      </c>
      <c r="H1478" s="25">
        <v>21.48</v>
      </c>
      <c r="I1478">
        <v>9</v>
      </c>
      <c r="J1478" s="26">
        <v>0</v>
      </c>
      <c r="K1478" s="26">
        <v>0</v>
      </c>
      <c r="L1478" s="26">
        <v>0</v>
      </c>
      <c r="M1478">
        <v>9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21</v>
      </c>
      <c r="AK1478">
        <v>17</v>
      </c>
      <c r="AL1478">
        <v>17</v>
      </c>
      <c r="AM1478">
        <v>15</v>
      </c>
      <c r="AN1478" s="18">
        <v>0</v>
      </c>
      <c r="AO1478" s="18">
        <v>0</v>
      </c>
      <c r="AP1478" s="18">
        <v>0.0588235294117647</v>
      </c>
      <c r="AQ1478" s="18">
        <v>0.0666666666666667</v>
      </c>
      <c r="AR1478" s="29">
        <v>0</v>
      </c>
      <c r="AS1478" s="29">
        <v>0</v>
      </c>
      <c r="AT1478" s="29">
        <v>9</v>
      </c>
      <c r="AU1478" s="24" t="str">
        <f t="shared" ref="AU1478:AU1541" si="24">IF(AR1478="","库存为"&amp;M1478,IF(AS1478=0,"库存为"&amp;M1478,INT(M1478/AR1478)))</f>
        <v>库存为9</v>
      </c>
      <c r="AV1478" s="31" t="str">
        <f>IFERROR(时间!$B$4+AU1478,"上周无销量")</f>
        <v>上周无销量</v>
      </c>
    </row>
    <row r="1479" spans="1:48">
      <c r="A1479" s="16" t="s">
        <v>2527</v>
      </c>
      <c r="B1479" t="s">
        <v>2528</v>
      </c>
      <c r="C1479" t="s">
        <v>2497</v>
      </c>
      <c r="D1479" s="24">
        <v>8</v>
      </c>
      <c r="E1479" s="24">
        <v>7</v>
      </c>
      <c r="F1479" s="24">
        <v>15</v>
      </c>
      <c r="G1479" s="24">
        <v>5</v>
      </c>
      <c r="H1479" s="25">
        <v>23.98</v>
      </c>
      <c r="I1479">
        <v>31</v>
      </c>
      <c r="J1479" s="26">
        <v>1</v>
      </c>
      <c r="K1479" s="26">
        <v>0</v>
      </c>
      <c r="L1479" s="26">
        <v>10</v>
      </c>
      <c r="M1479">
        <v>42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93</v>
      </c>
      <c r="AK1479">
        <v>79</v>
      </c>
      <c r="AL1479">
        <v>102</v>
      </c>
      <c r="AM1479">
        <v>90</v>
      </c>
      <c r="AN1479" s="18">
        <v>0.0860215053763441</v>
      </c>
      <c r="AO1479" s="18">
        <v>0.0886075949367089</v>
      </c>
      <c r="AP1479" s="18">
        <v>0.147058823529412</v>
      </c>
      <c r="AQ1479" s="18">
        <v>0.0555555555555556</v>
      </c>
      <c r="AR1479" s="29">
        <v>1.14285714285714</v>
      </c>
      <c r="AS1479" s="29">
        <v>68.5714285714286</v>
      </c>
      <c r="AT1479" s="29">
        <v>-26.5714285714286</v>
      </c>
      <c r="AU1479" s="24">
        <f t="shared" si="24"/>
        <v>36</v>
      </c>
      <c r="AV1479" s="31">
        <f>IFERROR(时间!$B$4+AU1479,"上周无销量")</f>
        <v>43354</v>
      </c>
    </row>
    <row r="1480" spans="1:48">
      <c r="A1480" s="16" t="s">
        <v>2529</v>
      </c>
      <c r="B1480" t="s">
        <v>2530</v>
      </c>
      <c r="C1480" t="s">
        <v>2497</v>
      </c>
      <c r="D1480" s="24">
        <v>7</v>
      </c>
      <c r="E1480" s="24">
        <v>4</v>
      </c>
      <c r="F1480" s="24">
        <v>6</v>
      </c>
      <c r="G1480" s="24">
        <v>5</v>
      </c>
      <c r="H1480" s="25">
        <v>23.98</v>
      </c>
      <c r="I1480">
        <v>4</v>
      </c>
      <c r="J1480" s="26">
        <v>32</v>
      </c>
      <c r="K1480" s="26">
        <v>0</v>
      </c>
      <c r="L1480" s="26">
        <v>2</v>
      </c>
      <c r="M1480">
        <v>38</v>
      </c>
      <c r="N1480">
        <v>1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80</v>
      </c>
      <c r="AK1480">
        <v>45</v>
      </c>
      <c r="AL1480">
        <v>49</v>
      </c>
      <c r="AM1480">
        <v>90</v>
      </c>
      <c r="AN1480" s="18">
        <v>0.0875</v>
      </c>
      <c r="AO1480" s="18">
        <v>0.0888888888888889</v>
      </c>
      <c r="AP1480" s="18">
        <v>0.122448979591837</v>
      </c>
      <c r="AQ1480" s="18">
        <v>0.0555555555555556</v>
      </c>
      <c r="AR1480" s="29">
        <v>1</v>
      </c>
      <c r="AS1480" s="29">
        <v>60</v>
      </c>
      <c r="AT1480" s="29">
        <v>-22</v>
      </c>
      <c r="AU1480" s="24">
        <f t="shared" si="24"/>
        <v>38</v>
      </c>
      <c r="AV1480" s="31">
        <f>IFERROR(时间!$B$4+AU1480,"上周无销量")</f>
        <v>43356</v>
      </c>
    </row>
    <row r="1481" spans="1:48">
      <c r="A1481" s="16" t="s">
        <v>2531</v>
      </c>
      <c r="B1481" t="s">
        <v>387</v>
      </c>
      <c r="C1481" t="s">
        <v>2497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>
        <v>0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25</v>
      </c>
      <c r="AK1481">
        <v>21</v>
      </c>
      <c r="AL1481">
        <v>28</v>
      </c>
      <c r="AM1481">
        <v>28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2532</v>
      </c>
      <c r="B1482" t="s">
        <v>389</v>
      </c>
      <c r="C1482" t="s">
        <v>2497</v>
      </c>
      <c r="D1482" s="24">
        <v>0</v>
      </c>
      <c r="E1482" s="24">
        <v>0</v>
      </c>
      <c r="F1482" s="24">
        <v>0</v>
      </c>
      <c r="G1482" s="24">
        <v>2</v>
      </c>
      <c r="H1482" s="25">
        <v>22.98</v>
      </c>
      <c r="I1482">
        <v>0</v>
      </c>
      <c r="J1482" s="26">
        <v>0</v>
      </c>
      <c r="K1482" s="26">
        <v>0</v>
      </c>
      <c r="L1482" s="26">
        <v>0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16</v>
      </c>
      <c r="AK1482">
        <v>18</v>
      </c>
      <c r="AL1482">
        <v>33</v>
      </c>
      <c r="AM1482">
        <v>16</v>
      </c>
      <c r="AN1482" s="18">
        <v>0</v>
      </c>
      <c r="AO1482" s="18">
        <v>0</v>
      </c>
      <c r="AP1482" s="18">
        <v>0</v>
      </c>
      <c r="AQ1482" s="18">
        <v>0.125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2533</v>
      </c>
      <c r="B1483" t="s">
        <v>391</v>
      </c>
      <c r="C1483" t="s">
        <v>2497</v>
      </c>
      <c r="D1483" s="24">
        <v>1</v>
      </c>
      <c r="E1483" s="24">
        <v>0</v>
      </c>
      <c r="F1483" s="24">
        <v>0</v>
      </c>
      <c r="G1483" s="24">
        <v>0</v>
      </c>
      <c r="H1483" s="25">
        <v>22.98</v>
      </c>
      <c r="I1483">
        <v>14</v>
      </c>
      <c r="J1483" s="26">
        <v>0</v>
      </c>
      <c r="K1483" s="26">
        <v>0</v>
      </c>
      <c r="L1483" s="26">
        <v>0</v>
      </c>
      <c r="M1483">
        <v>14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23</v>
      </c>
      <c r="AK1483">
        <v>18</v>
      </c>
      <c r="AL1483">
        <v>18</v>
      </c>
      <c r="AM1483">
        <v>14</v>
      </c>
      <c r="AN1483" s="18">
        <v>0.0434782608695652</v>
      </c>
      <c r="AO1483" s="18">
        <v>0</v>
      </c>
      <c r="AP1483" s="18">
        <v>0</v>
      </c>
      <c r="AQ1483" s="18">
        <v>0</v>
      </c>
      <c r="AR1483" s="29">
        <v>0.142857142857143</v>
      </c>
      <c r="AS1483" s="29">
        <v>8.57142857142857</v>
      </c>
      <c r="AT1483" s="29">
        <v>5.42857142857143</v>
      </c>
      <c r="AU1483" s="24">
        <f t="shared" si="24"/>
        <v>98</v>
      </c>
      <c r="AV1483" s="31">
        <f>IFERROR(时间!$B$4+AU1483,"上周无销量")</f>
        <v>43416</v>
      </c>
    </row>
    <row r="1484" spans="1:48">
      <c r="A1484" s="16" t="s">
        <v>2534</v>
      </c>
      <c r="B1484" t="s">
        <v>393</v>
      </c>
      <c r="C1484" t="s">
        <v>2497</v>
      </c>
      <c r="D1484" s="24">
        <v>3</v>
      </c>
      <c r="E1484" s="24">
        <v>0</v>
      </c>
      <c r="F1484" s="24">
        <v>1</v>
      </c>
      <c r="G1484" s="24">
        <v>1</v>
      </c>
      <c r="H1484" s="25">
        <v>23.98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1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28</v>
      </c>
      <c r="AK1484">
        <v>20</v>
      </c>
      <c r="AL1484">
        <v>37</v>
      </c>
      <c r="AM1484">
        <v>23</v>
      </c>
      <c r="AN1484" s="18">
        <v>0.107142857142857</v>
      </c>
      <c r="AO1484" s="18">
        <v>0</v>
      </c>
      <c r="AP1484" s="18">
        <v>0.027027027027027</v>
      </c>
      <c r="AQ1484" s="18">
        <v>0.0434782608695652</v>
      </c>
      <c r="AR1484" s="29">
        <v>0.428571428571429</v>
      </c>
      <c r="AS1484" s="29">
        <v>25.7142857142857</v>
      </c>
      <c r="AT1484" s="29">
        <v>-25.7142857142857</v>
      </c>
      <c r="AU1484" s="24">
        <f t="shared" si="24"/>
        <v>0</v>
      </c>
      <c r="AV1484" s="31">
        <f>IFERROR(时间!$B$4+AU1484,"上周无销量")</f>
        <v>43318</v>
      </c>
    </row>
    <row r="1485" spans="1:48">
      <c r="A1485" s="16" t="s">
        <v>2535</v>
      </c>
      <c r="B1485" t="s">
        <v>395</v>
      </c>
      <c r="C1485" t="s">
        <v>2497</v>
      </c>
      <c r="D1485" s="24">
        <v>2</v>
      </c>
      <c r="E1485" s="24">
        <v>0</v>
      </c>
      <c r="F1485" s="24">
        <v>3</v>
      </c>
      <c r="G1485" s="24">
        <v>1</v>
      </c>
      <c r="H1485" s="25">
        <v>23.98</v>
      </c>
      <c r="I1485">
        <v>3</v>
      </c>
      <c r="J1485" s="26">
        <v>0</v>
      </c>
      <c r="K1485" s="26">
        <v>0</v>
      </c>
      <c r="L1485" s="26">
        <v>2</v>
      </c>
      <c r="M1485">
        <v>5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26</v>
      </c>
      <c r="AK1485">
        <v>28</v>
      </c>
      <c r="AL1485">
        <v>27</v>
      </c>
      <c r="AM1485">
        <v>13</v>
      </c>
      <c r="AN1485" s="18">
        <v>0.0769230769230769</v>
      </c>
      <c r="AO1485" s="18">
        <v>0</v>
      </c>
      <c r="AP1485" s="18">
        <v>0.111111111111111</v>
      </c>
      <c r="AQ1485" s="18">
        <v>0.0769230769230769</v>
      </c>
      <c r="AR1485" s="29">
        <v>0.285714285714286</v>
      </c>
      <c r="AS1485" s="29">
        <v>17.1428571428571</v>
      </c>
      <c r="AT1485" s="29">
        <v>-12.1428571428571</v>
      </c>
      <c r="AU1485" s="24">
        <f t="shared" si="24"/>
        <v>17</v>
      </c>
      <c r="AV1485" s="31">
        <f>IFERROR(时间!$B$4+AU1485,"上周无销量")</f>
        <v>43335</v>
      </c>
    </row>
    <row r="1486" spans="1:48">
      <c r="A1486" s="16" t="s">
        <v>2536</v>
      </c>
      <c r="B1486" t="s">
        <v>397</v>
      </c>
      <c r="C1486" t="s">
        <v>2497</v>
      </c>
      <c r="D1486" s="24">
        <v>1</v>
      </c>
      <c r="E1486" s="24">
        <v>0</v>
      </c>
      <c r="F1486" s="24">
        <v>0</v>
      </c>
      <c r="G1486" s="24">
        <v>0</v>
      </c>
      <c r="H1486" s="25">
        <v>23.98</v>
      </c>
      <c r="I1486">
        <v>0</v>
      </c>
      <c r="J1486" s="26">
        <v>0</v>
      </c>
      <c r="K1486" s="26">
        <v>0</v>
      </c>
      <c r="L1486" s="26">
        <v>0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5</v>
      </c>
      <c r="AK1486">
        <v>5</v>
      </c>
      <c r="AL1486">
        <v>0</v>
      </c>
      <c r="AM1486">
        <v>0</v>
      </c>
      <c r="AN1486" s="18">
        <v>0.2</v>
      </c>
      <c r="AO1486" s="18">
        <v>0</v>
      </c>
      <c r="AP1486" s="18" t="s">
        <v>52</v>
      </c>
      <c r="AQ1486" s="18" t="s">
        <v>52</v>
      </c>
      <c r="AR1486" s="29">
        <v>0.142857142857143</v>
      </c>
      <c r="AS1486" s="29">
        <v>8.57142857142857</v>
      </c>
      <c r="AT1486" s="29">
        <v>-8.57142857142857</v>
      </c>
      <c r="AU1486" s="24">
        <f t="shared" si="24"/>
        <v>0</v>
      </c>
      <c r="AV1486" s="31">
        <f>IFERROR(时间!$B$4+AU1486,"上周无销量")</f>
        <v>43318</v>
      </c>
    </row>
    <row r="1487" spans="1:48">
      <c r="A1487" s="16" t="s">
        <v>2537</v>
      </c>
      <c r="B1487" t="s">
        <v>399</v>
      </c>
      <c r="C1487" t="s">
        <v>2497</v>
      </c>
      <c r="D1487" s="24">
        <v>0</v>
      </c>
      <c r="E1487" s="24">
        <v>1</v>
      </c>
      <c r="F1487" s="24">
        <v>1</v>
      </c>
      <c r="G1487" s="24">
        <v>1</v>
      </c>
      <c r="H1487" s="25">
        <v>22.98</v>
      </c>
      <c r="I1487">
        <v>0</v>
      </c>
      <c r="J1487" s="26">
        <v>0</v>
      </c>
      <c r="K1487" s="26">
        <v>0</v>
      </c>
      <c r="L1487" s="26">
        <v>0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0</v>
      </c>
      <c r="AK1487">
        <v>5</v>
      </c>
      <c r="AL1487">
        <v>1</v>
      </c>
      <c r="AM1487">
        <v>23</v>
      </c>
      <c r="AN1487" s="18" t="s">
        <v>52</v>
      </c>
      <c r="AO1487" s="18">
        <v>0.2</v>
      </c>
      <c r="AP1487" s="18">
        <v>1</v>
      </c>
      <c r="AQ1487" s="18">
        <v>0.0434782608695652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2538</v>
      </c>
      <c r="B1488" t="s">
        <v>401</v>
      </c>
      <c r="C1488" t="s">
        <v>2497</v>
      </c>
      <c r="D1488" s="24">
        <v>1</v>
      </c>
      <c r="E1488" s="24">
        <v>1</v>
      </c>
      <c r="F1488" s="24">
        <v>1</v>
      </c>
      <c r="G1488" s="24">
        <v>0</v>
      </c>
      <c r="H1488" s="25">
        <v>15.98</v>
      </c>
      <c r="I1488">
        <v>12</v>
      </c>
      <c r="J1488" s="26">
        <v>0</v>
      </c>
      <c r="K1488" s="26">
        <v>0</v>
      </c>
      <c r="L1488" s="26">
        <v>0</v>
      </c>
      <c r="M1488">
        <v>12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30</v>
      </c>
      <c r="AK1488">
        <v>21</v>
      </c>
      <c r="AL1488">
        <v>22</v>
      </c>
      <c r="AM1488">
        <v>16</v>
      </c>
      <c r="AN1488" s="18">
        <v>0.0333333333333333</v>
      </c>
      <c r="AO1488" s="18">
        <v>0.0476190476190476</v>
      </c>
      <c r="AP1488" s="18">
        <v>0.0454545454545455</v>
      </c>
      <c r="AQ1488" s="18">
        <v>0</v>
      </c>
      <c r="AR1488" s="29">
        <v>0.142857142857143</v>
      </c>
      <c r="AS1488" s="29">
        <v>8.57142857142857</v>
      </c>
      <c r="AT1488" s="29">
        <v>3.42857142857143</v>
      </c>
      <c r="AU1488" s="24">
        <f t="shared" si="24"/>
        <v>84</v>
      </c>
      <c r="AV1488" s="31">
        <f>IFERROR(时间!$B$4+AU1488,"上周无销量")</f>
        <v>43402</v>
      </c>
    </row>
    <row r="1489" spans="1:48">
      <c r="A1489" s="16" t="s">
        <v>2539</v>
      </c>
      <c r="B1489" t="s">
        <v>403</v>
      </c>
      <c r="C1489" t="s">
        <v>2497</v>
      </c>
      <c r="D1489" s="24">
        <v>0</v>
      </c>
      <c r="E1489" s="24">
        <v>0</v>
      </c>
      <c r="F1489" s="24">
        <v>0</v>
      </c>
      <c r="G1489" s="24">
        <v>2</v>
      </c>
      <c r="H1489" s="25">
        <v>23.98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0</v>
      </c>
      <c r="AK1489">
        <v>0</v>
      </c>
      <c r="AL1489">
        <v>0</v>
      </c>
      <c r="AM1489">
        <v>2</v>
      </c>
      <c r="AN1489" s="18" t="s">
        <v>52</v>
      </c>
      <c r="AO1489" s="18" t="s">
        <v>52</v>
      </c>
      <c r="AP1489" s="18" t="s">
        <v>52</v>
      </c>
      <c r="AQ1489" s="18">
        <v>1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2540</v>
      </c>
      <c r="B1490" t="s">
        <v>405</v>
      </c>
      <c r="C1490" t="s">
        <v>2497</v>
      </c>
      <c r="D1490" s="24">
        <v>1</v>
      </c>
      <c r="E1490" s="24">
        <v>2</v>
      </c>
      <c r="F1490" s="24">
        <v>4</v>
      </c>
      <c r="G1490" s="24">
        <v>0</v>
      </c>
      <c r="H1490" s="25">
        <v>22.98</v>
      </c>
      <c r="I1490">
        <v>1</v>
      </c>
      <c r="J1490" s="26">
        <v>0</v>
      </c>
      <c r="K1490" s="26">
        <v>0</v>
      </c>
      <c r="L1490" s="26">
        <v>0</v>
      </c>
      <c r="M1490">
        <v>1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16</v>
      </c>
      <c r="AK1490">
        <v>2</v>
      </c>
      <c r="AL1490">
        <v>14</v>
      </c>
      <c r="AM1490">
        <v>0</v>
      </c>
      <c r="AN1490" s="18">
        <v>0.0625</v>
      </c>
      <c r="AO1490" s="18">
        <v>1</v>
      </c>
      <c r="AP1490" s="18">
        <v>0.285714285714286</v>
      </c>
      <c r="AQ1490" s="18" t="s">
        <v>52</v>
      </c>
      <c r="AR1490" s="29">
        <v>0.142857142857143</v>
      </c>
      <c r="AS1490" s="29">
        <v>8.57142857142857</v>
      </c>
      <c r="AT1490" s="29">
        <v>-7.57142857142857</v>
      </c>
      <c r="AU1490" s="24">
        <f t="shared" si="24"/>
        <v>7</v>
      </c>
      <c r="AV1490" s="31">
        <f>IFERROR(时间!$B$4+AU1490,"上周无销量")</f>
        <v>43325</v>
      </c>
    </row>
    <row r="1491" spans="1:48">
      <c r="A1491" s="16" t="s">
        <v>2541</v>
      </c>
      <c r="B1491" t="s">
        <v>447</v>
      </c>
      <c r="C1491" t="s">
        <v>2542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0</v>
      </c>
      <c r="J1491" s="26">
        <v>0</v>
      </c>
      <c r="K1491" s="26">
        <v>0</v>
      </c>
      <c r="L1491" s="26">
        <v>0</v>
      </c>
      <c r="M1491">
        <v>0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114</v>
      </c>
      <c r="AK1491">
        <v>59</v>
      </c>
      <c r="AL1491">
        <v>10</v>
      </c>
      <c r="AM1491">
        <v>4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0</v>
      </c>
      <c r="AU1491" s="24" t="str">
        <f t="shared" si="24"/>
        <v>库存为0</v>
      </c>
      <c r="AV1491" s="31" t="str">
        <f>IFERROR(时间!$B$4+AU1491,"上周无销量")</f>
        <v>上周无销量</v>
      </c>
    </row>
    <row r="1492" spans="1:48">
      <c r="A1492" s="16" t="s">
        <v>2543</v>
      </c>
      <c r="B1492" t="s">
        <v>450</v>
      </c>
      <c r="C1492" t="s">
        <v>2542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0</v>
      </c>
      <c r="J1492" s="26">
        <v>0</v>
      </c>
      <c r="K1492" s="26">
        <v>0</v>
      </c>
      <c r="L1492" s="26">
        <v>0</v>
      </c>
      <c r="M1492">
        <v>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15</v>
      </c>
      <c r="AK1492">
        <v>10</v>
      </c>
      <c r="AL1492">
        <v>9</v>
      </c>
      <c r="AM1492">
        <v>13</v>
      </c>
      <c r="AN1492" s="18">
        <v>0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0</v>
      </c>
      <c r="AU1492" s="24" t="str">
        <f t="shared" si="24"/>
        <v>库存为0</v>
      </c>
      <c r="AV1492" s="31" t="str">
        <f>IFERROR(时间!$B$4+AU1492,"上周无销量")</f>
        <v>上周无销量</v>
      </c>
    </row>
    <row r="1493" spans="1:48">
      <c r="A1493" s="16" t="s">
        <v>2544</v>
      </c>
      <c r="B1493" t="s">
        <v>452</v>
      </c>
      <c r="C1493" t="s">
        <v>2542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>
        <v>0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26</v>
      </c>
      <c r="AK1493">
        <v>37</v>
      </c>
      <c r="AL1493">
        <v>36</v>
      </c>
      <c r="AM1493">
        <v>48</v>
      </c>
      <c r="AN1493" s="18">
        <v>0</v>
      </c>
      <c r="AO1493" s="18">
        <v>0</v>
      </c>
      <c r="AP1493" s="18">
        <v>0</v>
      </c>
      <c r="AQ1493" s="18">
        <v>0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2545</v>
      </c>
      <c r="B1494" t="s">
        <v>454</v>
      </c>
      <c r="C1494" t="s">
        <v>2542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8</v>
      </c>
      <c r="AK1494">
        <v>4</v>
      </c>
      <c r="AL1494">
        <v>7</v>
      </c>
      <c r="AM1494">
        <v>12</v>
      </c>
      <c r="AN1494" s="18">
        <v>0</v>
      </c>
      <c r="AO1494" s="18">
        <v>0</v>
      </c>
      <c r="AP1494" s="18">
        <v>0</v>
      </c>
      <c r="AQ1494" s="18">
        <v>0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2546</v>
      </c>
      <c r="B1495" t="s">
        <v>456</v>
      </c>
      <c r="C1495" t="s">
        <v>2542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>
        <v>0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16</v>
      </c>
      <c r="AK1495">
        <v>10</v>
      </c>
      <c r="AL1495">
        <v>11</v>
      </c>
      <c r="AM1495">
        <v>10</v>
      </c>
      <c r="AN1495" s="18">
        <v>0</v>
      </c>
      <c r="AO1495" s="18">
        <v>0</v>
      </c>
      <c r="AP1495" s="18">
        <v>0</v>
      </c>
      <c r="AQ1495" s="18">
        <v>0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2547</v>
      </c>
      <c r="B1496" t="s">
        <v>458</v>
      </c>
      <c r="C1496" t="s">
        <v>2542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1</v>
      </c>
      <c r="J1496" s="26">
        <v>0</v>
      </c>
      <c r="K1496" s="26">
        <v>0</v>
      </c>
      <c r="L1496" s="26">
        <v>0</v>
      </c>
      <c r="M1496">
        <v>1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32</v>
      </c>
      <c r="AK1496">
        <v>24</v>
      </c>
      <c r="AL1496">
        <v>11</v>
      </c>
      <c r="AM1496">
        <v>14</v>
      </c>
      <c r="AN1496" s="18">
        <v>0</v>
      </c>
      <c r="AO1496" s="18">
        <v>0</v>
      </c>
      <c r="AP1496" s="18">
        <v>0</v>
      </c>
      <c r="AQ1496" s="18">
        <v>0</v>
      </c>
      <c r="AR1496" s="29">
        <v>0</v>
      </c>
      <c r="AS1496" s="29">
        <v>0</v>
      </c>
      <c r="AT1496" s="29">
        <v>1</v>
      </c>
      <c r="AU1496" s="24" t="str">
        <f t="shared" si="24"/>
        <v>库存为1</v>
      </c>
      <c r="AV1496" s="31" t="str">
        <f>IFERROR(时间!$B$4+AU1496,"上周无销量")</f>
        <v>上周无销量</v>
      </c>
    </row>
    <row r="1497" spans="1:48">
      <c r="A1497" s="16" t="s">
        <v>2548</v>
      </c>
      <c r="B1497" t="s">
        <v>460</v>
      </c>
      <c r="C1497" t="s">
        <v>2542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0</v>
      </c>
      <c r="J1497" s="26">
        <v>0</v>
      </c>
      <c r="K1497" s="26">
        <v>0</v>
      </c>
      <c r="L1497" s="26">
        <v>0</v>
      </c>
      <c r="M1497">
        <v>0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17</v>
      </c>
      <c r="AK1497">
        <v>15</v>
      </c>
      <c r="AL1497">
        <v>9</v>
      </c>
      <c r="AM1497">
        <v>14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0</v>
      </c>
      <c r="AU1497" s="24" t="str">
        <f t="shared" si="24"/>
        <v>库存为0</v>
      </c>
      <c r="AV1497" s="31" t="str">
        <f>IFERROR(时间!$B$4+AU1497,"上周无销量")</f>
        <v>上周无销量</v>
      </c>
    </row>
    <row r="1498" spans="1:48">
      <c r="A1498" s="16" t="s">
        <v>2549</v>
      </c>
      <c r="B1498" t="s">
        <v>462</v>
      </c>
      <c r="C1498" t="s">
        <v>2542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9</v>
      </c>
      <c r="AK1498">
        <v>5</v>
      </c>
      <c r="AL1498">
        <v>7</v>
      </c>
      <c r="AM1498">
        <v>17</v>
      </c>
      <c r="AN1498" s="18">
        <v>0</v>
      </c>
      <c r="AO1498" s="18">
        <v>0</v>
      </c>
      <c r="AP1498" s="18">
        <v>0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2550</v>
      </c>
      <c r="B1499" t="s">
        <v>464</v>
      </c>
      <c r="C1499" t="s">
        <v>2542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2</v>
      </c>
      <c r="J1499" s="26">
        <v>0</v>
      </c>
      <c r="K1499" s="26">
        <v>0</v>
      </c>
      <c r="L1499" s="26">
        <v>0</v>
      </c>
      <c r="M1499">
        <v>2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21</v>
      </c>
      <c r="AK1499">
        <v>14</v>
      </c>
      <c r="AL1499">
        <v>5</v>
      </c>
      <c r="AM1499">
        <v>6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2</v>
      </c>
      <c r="AU1499" s="24" t="str">
        <f t="shared" si="24"/>
        <v>库存为2</v>
      </c>
      <c r="AV1499" s="31" t="str">
        <f>IFERROR(时间!$B$4+AU1499,"上周无销量")</f>
        <v>上周无销量</v>
      </c>
    </row>
    <row r="1500" spans="1:48">
      <c r="A1500" s="16" t="s">
        <v>2551</v>
      </c>
      <c r="B1500" t="s">
        <v>466</v>
      </c>
      <c r="C1500" t="s">
        <v>2542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1</v>
      </c>
      <c r="J1500" s="26">
        <v>0</v>
      </c>
      <c r="K1500" s="26">
        <v>0</v>
      </c>
      <c r="L1500" s="26">
        <v>0</v>
      </c>
      <c r="M1500">
        <v>1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8</v>
      </c>
      <c r="AK1500">
        <v>8</v>
      </c>
      <c r="AL1500">
        <v>7</v>
      </c>
      <c r="AM1500">
        <v>5</v>
      </c>
      <c r="AN1500" s="18">
        <v>0</v>
      </c>
      <c r="AO1500" s="18">
        <v>0</v>
      </c>
      <c r="AP1500" s="18">
        <v>0</v>
      </c>
      <c r="AQ1500" s="18">
        <v>0</v>
      </c>
      <c r="AR1500" s="29">
        <v>0</v>
      </c>
      <c r="AS1500" s="29">
        <v>0</v>
      </c>
      <c r="AT1500" s="29">
        <v>1</v>
      </c>
      <c r="AU1500" s="24" t="str">
        <f t="shared" si="24"/>
        <v>库存为1</v>
      </c>
      <c r="AV1500" s="31" t="str">
        <f>IFERROR(时间!$B$4+AU1500,"上周无销量")</f>
        <v>上周无销量</v>
      </c>
    </row>
    <row r="1501" spans="1:48">
      <c r="A1501" s="16" t="s">
        <v>2552</v>
      </c>
      <c r="B1501" t="s">
        <v>468</v>
      </c>
      <c r="C1501" t="s">
        <v>2542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2</v>
      </c>
      <c r="J1501" s="26">
        <v>0</v>
      </c>
      <c r="K1501" s="26">
        <v>0</v>
      </c>
      <c r="L1501" s="26">
        <v>1</v>
      </c>
      <c r="M1501">
        <v>3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18</v>
      </c>
      <c r="AK1501">
        <v>13</v>
      </c>
      <c r="AL1501">
        <v>6</v>
      </c>
      <c r="AM1501">
        <v>3</v>
      </c>
      <c r="AN1501" s="18">
        <v>0</v>
      </c>
      <c r="AO1501" s="18">
        <v>0</v>
      </c>
      <c r="AP1501" s="18">
        <v>0</v>
      </c>
      <c r="AQ1501" s="18">
        <v>0</v>
      </c>
      <c r="AR1501" s="29">
        <v>0</v>
      </c>
      <c r="AS1501" s="29">
        <v>0</v>
      </c>
      <c r="AT1501" s="29">
        <v>3</v>
      </c>
      <c r="AU1501" s="24" t="str">
        <f t="shared" si="24"/>
        <v>库存为3</v>
      </c>
      <c r="AV1501" s="31" t="str">
        <f>IFERROR(时间!$B$4+AU1501,"上周无销量")</f>
        <v>上周无销量</v>
      </c>
    </row>
    <row r="1502" spans="1:48">
      <c r="A1502" s="16" t="s">
        <v>2553</v>
      </c>
      <c r="B1502" t="s">
        <v>470</v>
      </c>
      <c r="C1502" t="s">
        <v>2542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6</v>
      </c>
      <c r="AK1502">
        <v>5</v>
      </c>
      <c r="AL1502">
        <v>6</v>
      </c>
      <c r="AM1502">
        <v>2</v>
      </c>
      <c r="AN1502" s="18">
        <v>0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2554</v>
      </c>
      <c r="B1503" t="s">
        <v>472</v>
      </c>
      <c r="C1503" t="s">
        <v>2542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10</v>
      </c>
      <c r="AK1503">
        <v>8</v>
      </c>
      <c r="AL1503">
        <v>6</v>
      </c>
      <c r="AM1503">
        <v>5</v>
      </c>
      <c r="AN1503" s="18">
        <v>0</v>
      </c>
      <c r="AO1503" s="18">
        <v>0</v>
      </c>
      <c r="AP1503" s="18">
        <v>0</v>
      </c>
      <c r="AQ1503" s="18">
        <v>0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2555</v>
      </c>
      <c r="B1504" t="s">
        <v>474</v>
      </c>
      <c r="C1504" t="s">
        <v>2542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2</v>
      </c>
      <c r="J1504" s="26">
        <v>0</v>
      </c>
      <c r="K1504" s="26">
        <v>0</v>
      </c>
      <c r="L1504" s="26">
        <v>0</v>
      </c>
      <c r="M1504">
        <v>2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28</v>
      </c>
      <c r="AK1504">
        <v>32</v>
      </c>
      <c r="AL1504">
        <v>10</v>
      </c>
      <c r="AM1504">
        <v>4</v>
      </c>
      <c r="AN1504" s="18">
        <v>0</v>
      </c>
      <c r="AO1504" s="18">
        <v>0</v>
      </c>
      <c r="AP1504" s="18">
        <v>0</v>
      </c>
      <c r="AQ1504" s="18">
        <v>0</v>
      </c>
      <c r="AR1504" s="29">
        <v>0</v>
      </c>
      <c r="AS1504" s="29">
        <v>0</v>
      </c>
      <c r="AT1504" s="29">
        <v>2</v>
      </c>
      <c r="AU1504" s="24" t="str">
        <f t="shared" si="24"/>
        <v>库存为2</v>
      </c>
      <c r="AV1504" s="31" t="str">
        <f>IFERROR(时间!$B$4+AU1504,"上周无销量")</f>
        <v>上周无销量</v>
      </c>
    </row>
    <row r="1505" spans="1:48">
      <c r="A1505" s="16" t="s">
        <v>2556</v>
      </c>
      <c r="B1505" t="s">
        <v>476</v>
      </c>
      <c r="C1505" t="s">
        <v>2542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2</v>
      </c>
      <c r="J1505" s="26">
        <v>0</v>
      </c>
      <c r="K1505" s="26">
        <v>0</v>
      </c>
      <c r="L1505" s="26">
        <v>0</v>
      </c>
      <c r="M1505">
        <v>2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9</v>
      </c>
      <c r="AK1505">
        <v>6</v>
      </c>
      <c r="AL1505">
        <v>5</v>
      </c>
      <c r="AM1505">
        <v>5</v>
      </c>
      <c r="AN1505" s="18">
        <v>0</v>
      </c>
      <c r="AO1505" s="18">
        <v>0</v>
      </c>
      <c r="AP1505" s="18">
        <v>0</v>
      </c>
      <c r="AQ1505" s="18">
        <v>0</v>
      </c>
      <c r="AR1505" s="29">
        <v>0</v>
      </c>
      <c r="AS1505" s="29">
        <v>0</v>
      </c>
      <c r="AT1505" s="29">
        <v>2</v>
      </c>
      <c r="AU1505" s="24" t="str">
        <f t="shared" si="24"/>
        <v>库存为2</v>
      </c>
      <c r="AV1505" s="31" t="str">
        <f>IFERROR(时间!$B$4+AU1505,"上周无销量")</f>
        <v>上周无销量</v>
      </c>
    </row>
    <row r="1506" spans="1:48">
      <c r="A1506" s="16" t="s">
        <v>2557</v>
      </c>
      <c r="B1506" t="s">
        <v>478</v>
      </c>
      <c r="C1506" t="s">
        <v>2542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6</v>
      </c>
      <c r="J1506" s="26">
        <v>0</v>
      </c>
      <c r="K1506" s="26">
        <v>0</v>
      </c>
      <c r="L1506" s="26">
        <v>0</v>
      </c>
      <c r="M1506">
        <v>6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28</v>
      </c>
      <c r="AK1506">
        <v>22</v>
      </c>
      <c r="AL1506">
        <v>11</v>
      </c>
      <c r="AM1506">
        <v>8</v>
      </c>
      <c r="AN1506" s="18">
        <v>0</v>
      </c>
      <c r="AO1506" s="18">
        <v>0</v>
      </c>
      <c r="AP1506" s="18">
        <v>0</v>
      </c>
      <c r="AQ1506" s="18">
        <v>0</v>
      </c>
      <c r="AR1506" s="29">
        <v>0</v>
      </c>
      <c r="AS1506" s="29">
        <v>0</v>
      </c>
      <c r="AT1506" s="29">
        <v>6</v>
      </c>
      <c r="AU1506" s="24" t="str">
        <f t="shared" si="24"/>
        <v>库存为6</v>
      </c>
      <c r="AV1506" s="31" t="str">
        <f>IFERROR(时间!$B$4+AU1506,"上周无销量")</f>
        <v>上周无销量</v>
      </c>
    </row>
    <row r="1507" spans="1:48">
      <c r="A1507" s="16" t="s">
        <v>2558</v>
      </c>
      <c r="B1507" t="s">
        <v>480</v>
      </c>
      <c r="C1507" t="s">
        <v>2542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1</v>
      </c>
      <c r="J1507" s="26">
        <v>0</v>
      </c>
      <c r="K1507" s="26">
        <v>0</v>
      </c>
      <c r="L1507" s="26">
        <v>0</v>
      </c>
      <c r="M1507">
        <v>1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12</v>
      </c>
      <c r="AK1507">
        <v>13</v>
      </c>
      <c r="AL1507">
        <v>6</v>
      </c>
      <c r="AM1507">
        <v>6</v>
      </c>
      <c r="AN1507" s="18">
        <v>0</v>
      </c>
      <c r="AO1507" s="18">
        <v>0</v>
      </c>
      <c r="AP1507" s="18">
        <v>0</v>
      </c>
      <c r="AQ1507" s="18">
        <v>0</v>
      </c>
      <c r="AR1507" s="29">
        <v>0</v>
      </c>
      <c r="AS1507" s="29">
        <v>0</v>
      </c>
      <c r="AT1507" s="29">
        <v>1</v>
      </c>
      <c r="AU1507" s="24" t="str">
        <f t="shared" si="24"/>
        <v>库存为1</v>
      </c>
      <c r="AV1507" s="31" t="str">
        <f>IFERROR(时间!$B$4+AU1507,"上周无销量")</f>
        <v>上周无销量</v>
      </c>
    </row>
    <row r="1508" spans="1:48">
      <c r="A1508" s="16" t="s">
        <v>2559</v>
      </c>
      <c r="B1508" t="s">
        <v>482</v>
      </c>
      <c r="C1508" t="s">
        <v>2542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9</v>
      </c>
      <c r="AK1508">
        <v>8</v>
      </c>
      <c r="AL1508">
        <v>7</v>
      </c>
      <c r="AM1508">
        <v>7</v>
      </c>
      <c r="AN1508" s="18">
        <v>0</v>
      </c>
      <c r="AO1508" s="18">
        <v>0</v>
      </c>
      <c r="AP1508" s="18">
        <v>0</v>
      </c>
      <c r="AQ1508" s="18">
        <v>0</v>
      </c>
      <c r="AR1508" s="29">
        <v>0</v>
      </c>
      <c r="AS1508" s="29">
        <v>0</v>
      </c>
      <c r="AT1508" s="29">
        <v>0</v>
      </c>
      <c r="AU1508" s="24" t="str">
        <f t="shared" si="24"/>
        <v>库存为0</v>
      </c>
      <c r="AV1508" s="31" t="str">
        <f>IFERROR(时间!$B$4+AU1508,"上周无销量")</f>
        <v>上周无销量</v>
      </c>
    </row>
    <row r="1509" spans="1:48">
      <c r="A1509" s="16" t="s">
        <v>2560</v>
      </c>
      <c r="B1509" t="s">
        <v>484</v>
      </c>
      <c r="C1509" t="s">
        <v>2542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10</v>
      </c>
      <c r="J1509" s="26">
        <v>0</v>
      </c>
      <c r="K1509" s="26">
        <v>0</v>
      </c>
      <c r="L1509" s="26">
        <v>0</v>
      </c>
      <c r="M1509">
        <v>10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10</v>
      </c>
      <c r="AK1509">
        <v>10</v>
      </c>
      <c r="AL1509">
        <v>8</v>
      </c>
      <c r="AM1509">
        <v>4</v>
      </c>
      <c r="AN1509" s="18">
        <v>0</v>
      </c>
      <c r="AO1509" s="18">
        <v>0</v>
      </c>
      <c r="AP1509" s="18">
        <v>0</v>
      </c>
      <c r="AQ1509" s="18">
        <v>0</v>
      </c>
      <c r="AR1509" s="29">
        <v>0</v>
      </c>
      <c r="AS1509" s="29">
        <v>0</v>
      </c>
      <c r="AT1509" s="29">
        <v>10</v>
      </c>
      <c r="AU1509" s="24" t="str">
        <f t="shared" si="24"/>
        <v>库存为10</v>
      </c>
      <c r="AV1509" s="31" t="str">
        <f>IFERROR(时间!$B$4+AU1509,"上周无销量")</f>
        <v>上周无销量</v>
      </c>
    </row>
    <row r="1510" spans="1:48">
      <c r="A1510" s="16" t="s">
        <v>2561</v>
      </c>
      <c r="B1510" t="s">
        <v>486</v>
      </c>
      <c r="C1510" t="s">
        <v>2542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6</v>
      </c>
      <c r="J1510" s="26">
        <v>0</v>
      </c>
      <c r="K1510" s="26">
        <v>0</v>
      </c>
      <c r="L1510" s="26">
        <v>0</v>
      </c>
      <c r="M1510">
        <v>6</v>
      </c>
      <c r="N1510">
        <v>0</v>
      </c>
      <c r="O1510">
        <v>0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3</v>
      </c>
      <c r="AK1510">
        <v>5</v>
      </c>
      <c r="AL1510">
        <v>7</v>
      </c>
      <c r="AM1510">
        <v>1</v>
      </c>
      <c r="AN1510" s="18">
        <v>0</v>
      </c>
      <c r="AO1510" s="18">
        <v>0</v>
      </c>
      <c r="AP1510" s="18">
        <v>0</v>
      </c>
      <c r="AQ1510" s="18">
        <v>0</v>
      </c>
      <c r="AR1510" s="29">
        <v>0</v>
      </c>
      <c r="AS1510" s="29">
        <v>0</v>
      </c>
      <c r="AT1510" s="29">
        <v>6</v>
      </c>
      <c r="AU1510" s="24" t="str">
        <f t="shared" si="24"/>
        <v>库存为6</v>
      </c>
      <c r="AV1510" s="31" t="str">
        <f>IFERROR(时间!$B$4+AU1510,"上周无销量")</f>
        <v>上周无销量</v>
      </c>
    </row>
    <row r="1511" spans="1:48">
      <c r="A1511" s="16" t="s">
        <v>2562</v>
      </c>
      <c r="B1511" t="s">
        <v>488</v>
      </c>
      <c r="C1511" t="s">
        <v>2542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1</v>
      </c>
      <c r="J1511" s="26">
        <v>0</v>
      </c>
      <c r="K1511" s="26">
        <v>0</v>
      </c>
      <c r="L1511" s="26">
        <v>0</v>
      </c>
      <c r="M1511">
        <v>1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17</v>
      </c>
      <c r="AK1511">
        <v>16</v>
      </c>
      <c r="AL1511">
        <v>8</v>
      </c>
      <c r="AM1511">
        <v>8</v>
      </c>
      <c r="AN1511" s="18">
        <v>0</v>
      </c>
      <c r="AO1511" s="18">
        <v>0</v>
      </c>
      <c r="AP1511" s="18">
        <v>0</v>
      </c>
      <c r="AQ1511" s="18">
        <v>0</v>
      </c>
      <c r="AR1511" s="29">
        <v>0</v>
      </c>
      <c r="AS1511" s="29">
        <v>0</v>
      </c>
      <c r="AT1511" s="29">
        <v>1</v>
      </c>
      <c r="AU1511" s="24" t="str">
        <f t="shared" si="24"/>
        <v>库存为1</v>
      </c>
      <c r="AV1511" s="31" t="str">
        <f>IFERROR(时间!$B$4+AU1511,"上周无销量")</f>
        <v>上周无销量</v>
      </c>
    </row>
    <row r="1512" spans="1:48">
      <c r="A1512" s="16" t="s">
        <v>2563</v>
      </c>
      <c r="B1512" t="s">
        <v>490</v>
      </c>
      <c r="C1512" t="s">
        <v>2542</v>
      </c>
      <c r="D1512" s="24">
        <v>0</v>
      </c>
      <c r="E1512" s="24">
        <v>0</v>
      </c>
      <c r="F1512" s="24">
        <v>0</v>
      </c>
      <c r="G1512" s="24">
        <v>0</v>
      </c>
      <c r="H1512" s="25">
        <v>0</v>
      </c>
      <c r="I1512">
        <v>0</v>
      </c>
      <c r="J1512" s="26">
        <v>0</v>
      </c>
      <c r="K1512" s="26">
        <v>0</v>
      </c>
      <c r="L1512" s="26">
        <v>0</v>
      </c>
      <c r="M1512">
        <v>0</v>
      </c>
      <c r="N1512">
        <v>0</v>
      </c>
      <c r="O1512">
        <v>0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6</v>
      </c>
      <c r="AK1512">
        <v>15</v>
      </c>
      <c r="AL1512">
        <v>9</v>
      </c>
      <c r="AM1512">
        <v>12</v>
      </c>
      <c r="AN1512" s="18">
        <v>0</v>
      </c>
      <c r="AO1512" s="18">
        <v>0</v>
      </c>
      <c r="AP1512" s="18">
        <v>0</v>
      </c>
      <c r="AQ1512" s="18">
        <v>0</v>
      </c>
      <c r="AR1512" s="29">
        <v>0</v>
      </c>
      <c r="AS1512" s="29">
        <v>0</v>
      </c>
      <c r="AT1512" s="29">
        <v>0</v>
      </c>
      <c r="AU1512" s="24" t="str">
        <f t="shared" si="24"/>
        <v>库存为0</v>
      </c>
      <c r="AV1512" s="31" t="str">
        <f>IFERROR(时间!$B$4+AU1512,"上周无销量")</f>
        <v>上周无销量</v>
      </c>
    </row>
    <row r="1513" spans="1:48">
      <c r="A1513" s="16" t="s">
        <v>2564</v>
      </c>
      <c r="B1513" t="s">
        <v>492</v>
      </c>
      <c r="C1513" t="s">
        <v>2542</v>
      </c>
      <c r="D1513" s="24">
        <v>0</v>
      </c>
      <c r="E1513" s="24">
        <v>0</v>
      </c>
      <c r="F1513" s="24">
        <v>0</v>
      </c>
      <c r="G1513" s="24">
        <v>0</v>
      </c>
      <c r="H1513" s="25">
        <v>0</v>
      </c>
      <c r="I1513">
        <v>0</v>
      </c>
      <c r="J1513" s="26">
        <v>0</v>
      </c>
      <c r="K1513" s="26">
        <v>0</v>
      </c>
      <c r="L1513" s="26">
        <v>0</v>
      </c>
      <c r="M1513">
        <v>0</v>
      </c>
      <c r="N1513">
        <v>0</v>
      </c>
      <c r="O1513">
        <v>0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9</v>
      </c>
      <c r="AK1513">
        <v>6</v>
      </c>
      <c r="AL1513">
        <v>6</v>
      </c>
      <c r="AM1513">
        <v>5</v>
      </c>
      <c r="AN1513" s="18">
        <v>0</v>
      </c>
      <c r="AO1513" s="18">
        <v>0</v>
      </c>
      <c r="AP1513" s="18">
        <v>0</v>
      </c>
      <c r="AQ1513" s="18">
        <v>0</v>
      </c>
      <c r="AR1513" s="29">
        <v>0</v>
      </c>
      <c r="AS1513" s="29">
        <v>0</v>
      </c>
      <c r="AT1513" s="29">
        <v>0</v>
      </c>
      <c r="AU1513" s="24" t="str">
        <f t="shared" si="24"/>
        <v>库存为0</v>
      </c>
      <c r="AV1513" s="31" t="str">
        <f>IFERROR(时间!$B$4+AU1513,"上周无销量")</f>
        <v>上周无销量</v>
      </c>
    </row>
    <row r="1514" spans="1:48">
      <c r="A1514" s="16" t="s">
        <v>2565</v>
      </c>
      <c r="B1514" t="s">
        <v>494</v>
      </c>
      <c r="C1514" t="s">
        <v>2542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1</v>
      </c>
      <c r="J1514" s="26">
        <v>0</v>
      </c>
      <c r="K1514" s="26">
        <v>0</v>
      </c>
      <c r="L1514" s="26">
        <v>1</v>
      </c>
      <c r="M1514">
        <v>2</v>
      </c>
      <c r="N1514">
        <v>0</v>
      </c>
      <c r="O1514">
        <v>0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7</v>
      </c>
      <c r="AK1514">
        <v>10</v>
      </c>
      <c r="AL1514">
        <v>11</v>
      </c>
      <c r="AM1514">
        <v>7</v>
      </c>
      <c r="AN1514" s="18">
        <v>0</v>
      </c>
      <c r="AO1514" s="18">
        <v>0</v>
      </c>
      <c r="AP1514" s="18">
        <v>0</v>
      </c>
      <c r="AQ1514" s="18">
        <v>0</v>
      </c>
      <c r="AR1514" s="29">
        <v>0</v>
      </c>
      <c r="AS1514" s="29">
        <v>0</v>
      </c>
      <c r="AT1514" s="29">
        <v>2</v>
      </c>
      <c r="AU1514" s="24" t="str">
        <f t="shared" si="24"/>
        <v>库存为2</v>
      </c>
      <c r="AV1514" s="31" t="str">
        <f>IFERROR(时间!$B$4+AU1514,"上周无销量")</f>
        <v>上周无销量</v>
      </c>
    </row>
    <row r="1515" spans="1:48">
      <c r="A1515" s="16" t="s">
        <v>2566</v>
      </c>
      <c r="B1515" t="s">
        <v>496</v>
      </c>
      <c r="C1515" t="s">
        <v>2542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2</v>
      </c>
      <c r="J1515" s="26">
        <v>0</v>
      </c>
      <c r="K1515" s="26">
        <v>0</v>
      </c>
      <c r="L1515" s="26">
        <v>0</v>
      </c>
      <c r="M1515">
        <v>2</v>
      </c>
      <c r="N1515">
        <v>0</v>
      </c>
      <c r="O1515">
        <v>0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8</v>
      </c>
      <c r="AK1515">
        <v>5</v>
      </c>
      <c r="AL1515">
        <v>7</v>
      </c>
      <c r="AM1515">
        <v>11</v>
      </c>
      <c r="AN1515" s="18">
        <v>0</v>
      </c>
      <c r="AO1515" s="18">
        <v>0</v>
      </c>
      <c r="AP1515" s="18">
        <v>0</v>
      </c>
      <c r="AQ1515" s="18">
        <v>0</v>
      </c>
      <c r="AR1515" s="29">
        <v>0</v>
      </c>
      <c r="AS1515" s="29">
        <v>0</v>
      </c>
      <c r="AT1515" s="29">
        <v>2</v>
      </c>
      <c r="AU1515" s="24" t="str">
        <f t="shared" si="24"/>
        <v>库存为2</v>
      </c>
      <c r="AV1515" s="31" t="str">
        <f>IFERROR(时间!$B$4+AU1515,"上周无销量")</f>
        <v>上周无销量</v>
      </c>
    </row>
    <row r="1516" spans="1:48">
      <c r="A1516" s="16" t="s">
        <v>2567</v>
      </c>
      <c r="B1516" t="s">
        <v>498</v>
      </c>
      <c r="C1516" t="s">
        <v>2542</v>
      </c>
      <c r="D1516" s="24">
        <v>0</v>
      </c>
      <c r="E1516" s="24">
        <v>0</v>
      </c>
      <c r="F1516" s="24">
        <v>0</v>
      </c>
      <c r="G1516" s="24">
        <v>0</v>
      </c>
      <c r="H1516" s="25">
        <v>0</v>
      </c>
      <c r="I1516">
        <v>1</v>
      </c>
      <c r="J1516" s="26">
        <v>0</v>
      </c>
      <c r="K1516" s="26">
        <v>0</v>
      </c>
      <c r="L1516" s="26">
        <v>0</v>
      </c>
      <c r="M1516">
        <v>1</v>
      </c>
      <c r="N1516">
        <v>0</v>
      </c>
      <c r="O1516">
        <v>0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19</v>
      </c>
      <c r="AK1516">
        <v>17</v>
      </c>
      <c r="AL1516">
        <v>12</v>
      </c>
      <c r="AM1516">
        <v>14</v>
      </c>
      <c r="AN1516" s="18">
        <v>0</v>
      </c>
      <c r="AO1516" s="18">
        <v>0</v>
      </c>
      <c r="AP1516" s="18">
        <v>0</v>
      </c>
      <c r="AQ1516" s="18">
        <v>0</v>
      </c>
      <c r="AR1516" s="29">
        <v>0</v>
      </c>
      <c r="AS1516" s="29">
        <v>0</v>
      </c>
      <c r="AT1516" s="29">
        <v>1</v>
      </c>
      <c r="AU1516" s="24" t="str">
        <f t="shared" si="24"/>
        <v>库存为1</v>
      </c>
      <c r="AV1516" s="31" t="str">
        <f>IFERROR(时间!$B$4+AU1516,"上周无销量")</f>
        <v>上周无销量</v>
      </c>
    </row>
    <row r="1517" spans="1:48">
      <c r="A1517" s="16" t="s">
        <v>2568</v>
      </c>
      <c r="B1517" t="s">
        <v>500</v>
      </c>
      <c r="C1517" t="s">
        <v>2542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0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17</v>
      </c>
      <c r="AK1517">
        <v>4</v>
      </c>
      <c r="AL1517">
        <v>0</v>
      </c>
      <c r="AM1517">
        <v>25</v>
      </c>
      <c r="AN1517" s="18">
        <v>0</v>
      </c>
      <c r="AO1517" s="18">
        <v>0</v>
      </c>
      <c r="AP1517" s="18" t="s">
        <v>52</v>
      </c>
      <c r="AQ1517" s="18">
        <v>0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2569</v>
      </c>
      <c r="B1518" t="s">
        <v>502</v>
      </c>
      <c r="C1518" t="s">
        <v>2542</v>
      </c>
      <c r="D1518" s="24">
        <v>0</v>
      </c>
      <c r="E1518" s="24">
        <v>0</v>
      </c>
      <c r="F1518" s="24">
        <v>0</v>
      </c>
      <c r="G1518" s="24">
        <v>0</v>
      </c>
      <c r="H1518" s="25">
        <v>0</v>
      </c>
      <c r="I1518">
        <v>0</v>
      </c>
      <c r="J1518" s="26">
        <v>0</v>
      </c>
      <c r="K1518" s="26">
        <v>0</v>
      </c>
      <c r="L1518" s="26">
        <v>0</v>
      </c>
      <c r="M1518">
        <v>0</v>
      </c>
      <c r="N1518">
        <v>0</v>
      </c>
      <c r="O1518">
        <v>0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0</v>
      </c>
      <c r="AK1518">
        <v>2</v>
      </c>
      <c r="AL1518">
        <v>18</v>
      </c>
      <c r="AM1518">
        <v>11</v>
      </c>
      <c r="AN1518" s="18" t="s">
        <v>52</v>
      </c>
      <c r="AO1518" s="18">
        <v>0</v>
      </c>
      <c r="AP1518" s="18">
        <v>0</v>
      </c>
      <c r="AQ1518" s="18">
        <v>0</v>
      </c>
      <c r="AR1518" s="29">
        <v>0</v>
      </c>
      <c r="AS1518" s="29">
        <v>0</v>
      </c>
      <c r="AT1518" s="29">
        <v>0</v>
      </c>
      <c r="AU1518" s="24" t="str">
        <f t="shared" si="24"/>
        <v>库存为0</v>
      </c>
      <c r="AV1518" s="31" t="str">
        <f>IFERROR(时间!$B$4+AU1518,"上周无销量")</f>
        <v>上周无销量</v>
      </c>
    </row>
    <row r="1519" spans="1:48">
      <c r="A1519" s="16" t="s">
        <v>2570</v>
      </c>
      <c r="B1519" t="s">
        <v>504</v>
      </c>
      <c r="C1519" t="s">
        <v>2542</v>
      </c>
      <c r="D1519" s="24">
        <v>0</v>
      </c>
      <c r="E1519" s="24">
        <v>0</v>
      </c>
      <c r="F1519" s="24">
        <v>0</v>
      </c>
      <c r="G1519" s="24">
        <v>0</v>
      </c>
      <c r="H1519" s="25">
        <v>0</v>
      </c>
      <c r="I1519">
        <v>0</v>
      </c>
      <c r="J1519" s="26">
        <v>0</v>
      </c>
      <c r="K1519" s="26">
        <v>0</v>
      </c>
      <c r="L1519" s="26">
        <v>0</v>
      </c>
      <c r="M1519">
        <v>0</v>
      </c>
      <c r="N1519">
        <v>0</v>
      </c>
      <c r="O1519">
        <v>0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16</v>
      </c>
      <c r="AK1519">
        <v>11</v>
      </c>
      <c r="AL1519">
        <v>5</v>
      </c>
      <c r="AM1519">
        <v>2</v>
      </c>
      <c r="AN1519" s="18">
        <v>0</v>
      </c>
      <c r="AO1519" s="18">
        <v>0</v>
      </c>
      <c r="AP1519" s="18">
        <v>0</v>
      </c>
      <c r="AQ1519" s="18">
        <v>0</v>
      </c>
      <c r="AR1519" s="29">
        <v>0</v>
      </c>
      <c r="AS1519" s="29">
        <v>0</v>
      </c>
      <c r="AT1519" s="29">
        <v>0</v>
      </c>
      <c r="AU1519" s="24" t="str">
        <f t="shared" si="24"/>
        <v>库存为0</v>
      </c>
      <c r="AV1519" s="31" t="str">
        <f>IFERROR(时间!$B$4+AU1519,"上周无销量")</f>
        <v>上周无销量</v>
      </c>
    </row>
    <row r="1520" spans="1:48">
      <c r="A1520" s="16" t="s">
        <v>2571</v>
      </c>
      <c r="B1520" t="s">
        <v>506</v>
      </c>
      <c r="C1520" t="s">
        <v>2542</v>
      </c>
      <c r="D1520" s="24">
        <v>0</v>
      </c>
      <c r="E1520" s="24">
        <v>0</v>
      </c>
      <c r="F1520" s="24">
        <v>0</v>
      </c>
      <c r="G1520" s="24">
        <v>0</v>
      </c>
      <c r="H1520" s="25">
        <v>0</v>
      </c>
      <c r="I1520">
        <v>0</v>
      </c>
      <c r="J1520" s="26">
        <v>0</v>
      </c>
      <c r="K1520" s="26">
        <v>0</v>
      </c>
      <c r="L1520" s="26">
        <v>0</v>
      </c>
      <c r="M1520">
        <v>0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5</v>
      </c>
      <c r="AK1520">
        <v>7</v>
      </c>
      <c r="AL1520">
        <v>10</v>
      </c>
      <c r="AM1520">
        <v>9</v>
      </c>
      <c r="AN1520" s="18">
        <v>0</v>
      </c>
      <c r="AO1520" s="18">
        <v>0</v>
      </c>
      <c r="AP1520" s="18">
        <v>0</v>
      </c>
      <c r="AQ1520" s="18">
        <v>0</v>
      </c>
      <c r="AR1520" s="29">
        <v>0</v>
      </c>
      <c r="AS1520" s="29">
        <v>0</v>
      </c>
      <c r="AT1520" s="29">
        <v>0</v>
      </c>
      <c r="AU1520" s="24" t="str">
        <f t="shared" si="24"/>
        <v>库存为0</v>
      </c>
      <c r="AV1520" s="31" t="str">
        <f>IFERROR(时间!$B$4+AU1520,"上周无销量")</f>
        <v>上周无销量</v>
      </c>
    </row>
    <row r="1521" spans="1:48">
      <c r="A1521" s="16" t="s">
        <v>2572</v>
      </c>
      <c r="B1521" t="s">
        <v>2573</v>
      </c>
      <c r="C1521" t="s">
        <v>2574</v>
      </c>
      <c r="D1521" s="24">
        <v>0</v>
      </c>
      <c r="E1521" s="24">
        <v>0</v>
      </c>
      <c r="F1521" s="24">
        <v>0</v>
      </c>
      <c r="G1521" s="24">
        <v>0</v>
      </c>
      <c r="H1521" s="25">
        <v>0</v>
      </c>
      <c r="I1521">
        <v>0</v>
      </c>
      <c r="J1521" s="26">
        <v>0</v>
      </c>
      <c r="K1521" s="26">
        <v>0</v>
      </c>
      <c r="L1521" s="26">
        <v>0</v>
      </c>
      <c r="M1521">
        <v>0</v>
      </c>
      <c r="N1521">
        <v>0</v>
      </c>
      <c r="O1521">
        <v>0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0</v>
      </c>
      <c r="AK1521">
        <v>0</v>
      </c>
      <c r="AL1521">
        <v>0</v>
      </c>
      <c r="AM1521">
        <v>0</v>
      </c>
      <c r="AN1521" s="18" t="s">
        <v>52</v>
      </c>
      <c r="AO1521" s="18" t="s">
        <v>52</v>
      </c>
      <c r="AP1521" s="18" t="s">
        <v>52</v>
      </c>
      <c r="AQ1521" s="18" t="s">
        <v>52</v>
      </c>
      <c r="AR1521" s="29">
        <v>0</v>
      </c>
      <c r="AS1521" s="29">
        <v>0</v>
      </c>
      <c r="AT1521" s="29">
        <v>0</v>
      </c>
      <c r="AU1521" s="24" t="str">
        <f t="shared" si="24"/>
        <v>库存为0</v>
      </c>
      <c r="AV1521" s="31" t="str">
        <f>IFERROR(时间!$B$4+AU1521,"上周无销量")</f>
        <v>上周无销量</v>
      </c>
    </row>
    <row r="1522" spans="1:48">
      <c r="A1522" s="16" t="s">
        <v>2575</v>
      </c>
      <c r="B1522" t="s">
        <v>2576</v>
      </c>
      <c r="C1522" t="s">
        <v>2574</v>
      </c>
      <c r="D1522" s="24">
        <v>1</v>
      </c>
      <c r="E1522" s="24">
        <v>1</v>
      </c>
      <c r="F1522" s="24">
        <v>2</v>
      </c>
      <c r="G1522" s="24">
        <v>0</v>
      </c>
      <c r="H1522" s="25">
        <v>22.98</v>
      </c>
      <c r="I1522">
        <v>20</v>
      </c>
      <c r="J1522" s="26">
        <v>40</v>
      </c>
      <c r="K1522" s="26">
        <v>0</v>
      </c>
      <c r="L1522" s="26">
        <v>0</v>
      </c>
      <c r="M1522">
        <v>60</v>
      </c>
      <c r="N1522">
        <v>0</v>
      </c>
      <c r="O1522">
        <v>18</v>
      </c>
      <c r="P1522">
        <v>1075</v>
      </c>
      <c r="Q1522">
        <v>740</v>
      </c>
      <c r="R1522">
        <v>301</v>
      </c>
      <c r="S1522">
        <v>433</v>
      </c>
      <c r="T1522">
        <v>9</v>
      </c>
      <c r="U1522">
        <v>8</v>
      </c>
      <c r="V1522">
        <v>2</v>
      </c>
      <c r="W1522">
        <v>2</v>
      </c>
      <c r="X1522" s="18">
        <v>0.00837209302325581</v>
      </c>
      <c r="Y1522" s="18">
        <v>0.0108108108108108</v>
      </c>
      <c r="Z1522" s="18">
        <v>0.00664451827242525</v>
      </c>
      <c r="AA1522" s="18">
        <v>0.0046189376443418</v>
      </c>
      <c r="AB1522">
        <v>6.35</v>
      </c>
      <c r="AC1522">
        <v>4.25</v>
      </c>
      <c r="AD1522">
        <v>1.26</v>
      </c>
      <c r="AE1522">
        <v>1.09</v>
      </c>
      <c r="AF1522" s="18">
        <v>0.276327241079199</v>
      </c>
      <c r="AG1522" s="18">
        <v>0.184943429068755</v>
      </c>
      <c r="AH1522" s="18">
        <v>0.0274151436031332</v>
      </c>
      <c r="AI1522" s="18" t="s">
        <v>2577</v>
      </c>
      <c r="AJ1522">
        <v>12</v>
      </c>
      <c r="AK1522">
        <v>10</v>
      </c>
      <c r="AL1522">
        <v>22</v>
      </c>
      <c r="AM1522">
        <v>9</v>
      </c>
      <c r="AN1522" s="18">
        <v>0.0833333333333333</v>
      </c>
      <c r="AO1522" s="18">
        <v>0.1</v>
      </c>
      <c r="AP1522" s="18">
        <v>0.0909090909090909</v>
      </c>
      <c r="AQ1522" s="18">
        <v>0</v>
      </c>
      <c r="AR1522" s="29">
        <v>0.142857142857143</v>
      </c>
      <c r="AS1522" s="29">
        <v>8.57142857142857</v>
      </c>
      <c r="AT1522" s="29">
        <v>51.4285714285714</v>
      </c>
      <c r="AU1522" s="24">
        <f t="shared" si="24"/>
        <v>420</v>
      </c>
      <c r="AV1522" s="31">
        <f>IFERROR(时间!$B$4+AU1522,"上周无销量")</f>
        <v>43738</v>
      </c>
    </row>
    <row r="1523" spans="1:48">
      <c r="A1523" s="16" t="s">
        <v>2578</v>
      </c>
      <c r="B1523" t="s">
        <v>103</v>
      </c>
      <c r="C1523" t="s">
        <v>2574</v>
      </c>
      <c r="D1523" s="24">
        <v>0</v>
      </c>
      <c r="E1523" s="24">
        <v>1</v>
      </c>
      <c r="F1523" s="24">
        <v>1</v>
      </c>
      <c r="G1523" s="24">
        <v>0</v>
      </c>
      <c r="H1523" s="25">
        <v>19.53</v>
      </c>
      <c r="I1523">
        <v>49</v>
      </c>
      <c r="J1523" s="26">
        <v>0</v>
      </c>
      <c r="K1523" s="26">
        <v>0</v>
      </c>
      <c r="L1523" s="26">
        <v>0</v>
      </c>
      <c r="M1523">
        <v>49</v>
      </c>
      <c r="N1523">
        <v>0</v>
      </c>
      <c r="O1523">
        <v>39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12</v>
      </c>
      <c r="AK1523">
        <v>10</v>
      </c>
      <c r="AL1523">
        <v>20</v>
      </c>
      <c r="AM1523">
        <v>13</v>
      </c>
      <c r="AN1523" s="18">
        <v>0</v>
      </c>
      <c r="AO1523" s="18">
        <v>0.1</v>
      </c>
      <c r="AP1523" s="18">
        <v>0.05</v>
      </c>
      <c r="AQ1523" s="18">
        <v>0</v>
      </c>
      <c r="AR1523" s="29">
        <v>0</v>
      </c>
      <c r="AS1523" s="29">
        <v>0</v>
      </c>
      <c r="AT1523" s="29">
        <v>49</v>
      </c>
      <c r="AU1523" s="24" t="str">
        <f t="shared" si="24"/>
        <v>库存为49</v>
      </c>
      <c r="AV1523" s="31" t="str">
        <f>IFERROR(时间!$B$4+AU1523,"上周无销量")</f>
        <v>上周无销量</v>
      </c>
    </row>
    <row r="1524" spans="1:48">
      <c r="A1524" s="16" t="s">
        <v>2579</v>
      </c>
      <c r="B1524" t="s">
        <v>2580</v>
      </c>
      <c r="C1524" t="s">
        <v>2574</v>
      </c>
      <c r="D1524" s="24">
        <v>0</v>
      </c>
      <c r="E1524" s="24">
        <v>0</v>
      </c>
      <c r="F1524" s="24">
        <v>0</v>
      </c>
      <c r="G1524" s="24">
        <v>0</v>
      </c>
      <c r="H1524" s="25">
        <v>0</v>
      </c>
      <c r="I1524">
        <v>0</v>
      </c>
      <c r="J1524" s="26">
        <v>0</v>
      </c>
      <c r="K1524" s="26">
        <v>0</v>
      </c>
      <c r="L1524" s="26">
        <v>0</v>
      </c>
      <c r="M1524">
        <v>0</v>
      </c>
      <c r="N1524">
        <v>0</v>
      </c>
      <c r="O1524">
        <v>0</v>
      </c>
      <c r="P1524" t="s">
        <v>52</v>
      </c>
      <c r="Q1524" t="s">
        <v>52</v>
      </c>
      <c r="R1524" t="s">
        <v>52</v>
      </c>
      <c r="S1524" t="s">
        <v>52</v>
      </c>
      <c r="T1524" t="s">
        <v>52</v>
      </c>
      <c r="U1524" t="s">
        <v>52</v>
      </c>
      <c r="V1524" t="s">
        <v>52</v>
      </c>
      <c r="W1524" t="s">
        <v>52</v>
      </c>
      <c r="X1524" s="18" t="s">
        <v>52</v>
      </c>
      <c r="Y1524" s="18" t="s">
        <v>52</v>
      </c>
      <c r="Z1524" s="18" t="s">
        <v>52</v>
      </c>
      <c r="AA1524" s="18" t="s">
        <v>52</v>
      </c>
      <c r="AB1524" t="s">
        <v>52</v>
      </c>
      <c r="AC1524" t="s">
        <v>52</v>
      </c>
      <c r="AD1524" t="s">
        <v>52</v>
      </c>
      <c r="AE1524" t="s">
        <v>52</v>
      </c>
      <c r="AF1524" s="18" t="s">
        <v>52</v>
      </c>
      <c r="AG1524" s="18" t="s">
        <v>52</v>
      </c>
      <c r="AH1524" s="18" t="s">
        <v>52</v>
      </c>
      <c r="AI1524" s="18" t="s">
        <v>52</v>
      </c>
      <c r="AJ1524">
        <v>0</v>
      </c>
      <c r="AK1524">
        <v>0</v>
      </c>
      <c r="AL1524">
        <v>0</v>
      </c>
      <c r="AM1524">
        <v>0</v>
      </c>
      <c r="AN1524" s="18" t="s">
        <v>52</v>
      </c>
      <c r="AO1524" s="18" t="s">
        <v>52</v>
      </c>
      <c r="AP1524" s="18" t="s">
        <v>52</v>
      </c>
      <c r="AQ1524" s="18" t="s">
        <v>52</v>
      </c>
      <c r="AR1524" s="29">
        <v>0</v>
      </c>
      <c r="AS1524" s="29">
        <v>0</v>
      </c>
      <c r="AT1524" s="29">
        <v>0</v>
      </c>
      <c r="AU1524" s="24" t="str">
        <f t="shared" si="24"/>
        <v>库存为0</v>
      </c>
      <c r="AV1524" s="31" t="str">
        <f>IFERROR(时间!$B$4+AU1524,"上周无销量")</f>
        <v>上周无销量</v>
      </c>
    </row>
    <row r="1525" spans="1:48">
      <c r="A1525" s="16" t="s">
        <v>2581</v>
      </c>
      <c r="B1525" t="s">
        <v>1364</v>
      </c>
      <c r="C1525" t="s">
        <v>2582</v>
      </c>
      <c r="D1525" s="24">
        <v>3</v>
      </c>
      <c r="E1525" s="24">
        <v>0</v>
      </c>
      <c r="F1525" s="24">
        <v>0</v>
      </c>
      <c r="G1525" s="24">
        <v>2</v>
      </c>
      <c r="H1525" s="25">
        <v>18.98</v>
      </c>
      <c r="I1525">
        <v>23</v>
      </c>
      <c r="J1525" s="26">
        <v>0</v>
      </c>
      <c r="K1525" s="26">
        <v>0</v>
      </c>
      <c r="L1525" s="26">
        <v>0</v>
      </c>
      <c r="M1525">
        <v>23</v>
      </c>
      <c r="N1525">
        <v>0</v>
      </c>
      <c r="O1525">
        <v>21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2</v>
      </c>
      <c r="AK1525">
        <v>7</v>
      </c>
      <c r="AL1525">
        <v>7</v>
      </c>
      <c r="AM1525">
        <v>10</v>
      </c>
      <c r="AN1525" s="18">
        <v>1.5</v>
      </c>
      <c r="AO1525" s="18">
        <v>0</v>
      </c>
      <c r="AP1525" s="18">
        <v>0</v>
      </c>
      <c r="AQ1525" s="18">
        <v>0.2</v>
      </c>
      <c r="AR1525" s="29">
        <v>0.428571428571429</v>
      </c>
      <c r="AS1525" s="29">
        <v>25.7142857142857</v>
      </c>
      <c r="AT1525" s="29">
        <v>-2.71428571428571</v>
      </c>
      <c r="AU1525" s="24">
        <f t="shared" si="24"/>
        <v>53</v>
      </c>
      <c r="AV1525" s="31">
        <f>IFERROR(时间!$B$4+AU1525,"上周无销量")</f>
        <v>43371</v>
      </c>
    </row>
    <row r="1526" spans="1:48">
      <c r="A1526" s="16" t="s">
        <v>2583</v>
      </c>
      <c r="B1526" t="s">
        <v>1371</v>
      </c>
      <c r="C1526" t="s">
        <v>2582</v>
      </c>
      <c r="D1526" s="24">
        <v>0</v>
      </c>
      <c r="E1526" s="24">
        <v>0</v>
      </c>
      <c r="F1526" s="24">
        <v>0</v>
      </c>
      <c r="G1526" s="24">
        <v>0</v>
      </c>
      <c r="H1526" s="25">
        <v>0</v>
      </c>
      <c r="I1526">
        <v>45</v>
      </c>
      <c r="J1526" s="26">
        <v>0</v>
      </c>
      <c r="K1526" s="26">
        <v>0</v>
      </c>
      <c r="L1526" s="26">
        <v>0</v>
      </c>
      <c r="M1526">
        <v>45</v>
      </c>
      <c r="N1526">
        <v>0</v>
      </c>
      <c r="O1526">
        <v>45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5</v>
      </c>
      <c r="AK1526">
        <v>6</v>
      </c>
      <c r="AL1526">
        <v>9</v>
      </c>
      <c r="AM1526">
        <v>2</v>
      </c>
      <c r="AN1526" s="18">
        <v>0</v>
      </c>
      <c r="AO1526" s="18">
        <v>0</v>
      </c>
      <c r="AP1526" s="18">
        <v>0</v>
      </c>
      <c r="AQ1526" s="18">
        <v>0</v>
      </c>
      <c r="AR1526" s="29">
        <v>0</v>
      </c>
      <c r="AS1526" s="29">
        <v>0</v>
      </c>
      <c r="AT1526" s="29">
        <v>45</v>
      </c>
      <c r="AU1526" s="24" t="str">
        <f t="shared" si="24"/>
        <v>库存为45</v>
      </c>
      <c r="AV1526" s="31" t="str">
        <f>IFERROR(时间!$B$4+AU1526,"上周无销量")</f>
        <v>上周无销量</v>
      </c>
    </row>
    <row r="1527" spans="1:48">
      <c r="A1527" s="16" t="s">
        <v>2584</v>
      </c>
      <c r="B1527" t="s">
        <v>2585</v>
      </c>
      <c r="C1527" t="s">
        <v>2582</v>
      </c>
      <c r="D1527" s="24">
        <v>0</v>
      </c>
      <c r="E1527" s="24">
        <v>0</v>
      </c>
      <c r="F1527" s="24">
        <v>0</v>
      </c>
      <c r="G1527" s="24">
        <v>0</v>
      </c>
      <c r="H1527" s="25">
        <v>0</v>
      </c>
      <c r="I1527">
        <v>0</v>
      </c>
      <c r="J1527" s="26">
        <v>0</v>
      </c>
      <c r="K1527" s="26">
        <v>0</v>
      </c>
      <c r="L1527" s="26">
        <v>0</v>
      </c>
      <c r="M1527">
        <v>0</v>
      </c>
      <c r="N1527">
        <v>1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0</v>
      </c>
      <c r="AK1527">
        <v>0</v>
      </c>
      <c r="AL1527">
        <v>0</v>
      </c>
      <c r="AM1527">
        <v>0</v>
      </c>
      <c r="AN1527" s="18" t="s">
        <v>52</v>
      </c>
      <c r="AO1527" s="18" t="s">
        <v>52</v>
      </c>
      <c r="AP1527" s="18" t="s">
        <v>52</v>
      </c>
      <c r="AQ1527" s="18" t="s">
        <v>52</v>
      </c>
      <c r="AR1527" s="29">
        <v>0</v>
      </c>
      <c r="AS1527" s="29">
        <v>0</v>
      </c>
      <c r="AT1527" s="29">
        <v>0</v>
      </c>
      <c r="AU1527" s="24" t="str">
        <f t="shared" si="24"/>
        <v>库存为0</v>
      </c>
      <c r="AV1527" s="31" t="str">
        <f>IFERROR(时间!$B$4+AU1527,"上周无销量")</f>
        <v>上周无销量</v>
      </c>
    </row>
    <row r="1528" spans="1:48">
      <c r="A1528" s="16" t="s">
        <v>2586</v>
      </c>
      <c r="B1528" t="s">
        <v>2587</v>
      </c>
      <c r="C1528" t="s">
        <v>2582</v>
      </c>
      <c r="D1528" s="24">
        <v>2</v>
      </c>
      <c r="E1528" s="24">
        <v>1</v>
      </c>
      <c r="F1528" s="24">
        <v>1</v>
      </c>
      <c r="G1528" s="24">
        <v>2</v>
      </c>
      <c r="H1528" s="25">
        <v>18.98</v>
      </c>
      <c r="I1528">
        <v>29</v>
      </c>
      <c r="J1528" s="26">
        <v>0</v>
      </c>
      <c r="K1528" s="26">
        <v>0</v>
      </c>
      <c r="L1528" s="26">
        <v>0</v>
      </c>
      <c r="M1528">
        <v>29</v>
      </c>
      <c r="N1528">
        <v>0</v>
      </c>
      <c r="O1528">
        <v>27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30</v>
      </c>
      <c r="AK1528">
        <v>9</v>
      </c>
      <c r="AL1528">
        <v>11</v>
      </c>
      <c r="AM1528">
        <v>29</v>
      </c>
      <c r="AN1528" s="18">
        <v>0.0666666666666667</v>
      </c>
      <c r="AO1528" s="18">
        <v>0.111111111111111</v>
      </c>
      <c r="AP1528" s="18">
        <v>0.0909090909090909</v>
      </c>
      <c r="AQ1528" s="18">
        <v>0.0689655172413793</v>
      </c>
      <c r="AR1528" s="29">
        <v>0.285714285714286</v>
      </c>
      <c r="AS1528" s="29">
        <v>17.1428571428571</v>
      </c>
      <c r="AT1528" s="29">
        <v>11.8571428571429</v>
      </c>
      <c r="AU1528" s="24">
        <f t="shared" si="24"/>
        <v>101</v>
      </c>
      <c r="AV1528" s="31">
        <f>IFERROR(时间!$B$4+AU1528,"上周无销量")</f>
        <v>43419</v>
      </c>
    </row>
    <row r="1529" spans="1:48">
      <c r="A1529" s="16" t="s">
        <v>2588</v>
      </c>
      <c r="B1529" t="s">
        <v>2589</v>
      </c>
      <c r="C1529" t="s">
        <v>2582</v>
      </c>
      <c r="D1529" s="24">
        <v>1</v>
      </c>
      <c r="E1529" s="24">
        <v>2</v>
      </c>
      <c r="F1529" s="24">
        <v>1</v>
      </c>
      <c r="G1529" s="24">
        <v>2</v>
      </c>
      <c r="H1529" s="25">
        <v>18.98</v>
      </c>
      <c r="I1529">
        <v>4</v>
      </c>
      <c r="J1529" s="26">
        <v>0</v>
      </c>
      <c r="K1529" s="26">
        <v>0</v>
      </c>
      <c r="L1529" s="26">
        <v>0</v>
      </c>
      <c r="M1529">
        <v>4</v>
      </c>
      <c r="N1529">
        <v>0</v>
      </c>
      <c r="O1529">
        <v>0</v>
      </c>
      <c r="P1529">
        <v>2796</v>
      </c>
      <c r="Q1529">
        <v>5445</v>
      </c>
      <c r="R1529">
        <v>6996</v>
      </c>
      <c r="S1529">
        <v>7782</v>
      </c>
      <c r="T1529">
        <v>7</v>
      </c>
      <c r="U1529">
        <v>8</v>
      </c>
      <c r="V1529">
        <v>16</v>
      </c>
      <c r="W1529">
        <v>11</v>
      </c>
      <c r="X1529" s="18">
        <v>0.0025035765379113</v>
      </c>
      <c r="Y1529" s="18">
        <v>0.0014692378328742</v>
      </c>
      <c r="Z1529" s="18">
        <v>0.00228702115494568</v>
      </c>
      <c r="AA1529" s="18">
        <v>0.00141351837573888</v>
      </c>
      <c r="AB1529">
        <v>1.67</v>
      </c>
      <c r="AC1529">
        <v>1.97</v>
      </c>
      <c r="AD1529">
        <v>3.94</v>
      </c>
      <c r="AE1529">
        <v>2.47</v>
      </c>
      <c r="AF1529" s="18">
        <v>0.0879873551106428</v>
      </c>
      <c r="AG1529" s="18">
        <v>0.0518967334035827</v>
      </c>
      <c r="AH1529" s="18">
        <v>0.207586933614331</v>
      </c>
      <c r="AI1529" s="18">
        <v>0.0650684931506849</v>
      </c>
      <c r="AJ1529">
        <v>3</v>
      </c>
      <c r="AK1529">
        <v>7</v>
      </c>
      <c r="AL1529">
        <v>7</v>
      </c>
      <c r="AM1529">
        <v>19</v>
      </c>
      <c r="AN1529" s="18">
        <v>0.333333333333333</v>
      </c>
      <c r="AO1529" s="18">
        <v>0.285714285714286</v>
      </c>
      <c r="AP1529" s="18">
        <v>0.142857142857143</v>
      </c>
      <c r="AQ1529" s="18">
        <v>0.105263157894737</v>
      </c>
      <c r="AR1529" s="29">
        <v>0.142857142857143</v>
      </c>
      <c r="AS1529" s="29">
        <v>8.57142857142857</v>
      </c>
      <c r="AT1529" s="29">
        <v>-4.57142857142857</v>
      </c>
      <c r="AU1529" s="24">
        <f t="shared" si="24"/>
        <v>28</v>
      </c>
      <c r="AV1529" s="31">
        <f>IFERROR(时间!$B$4+AU1529,"上周无销量")</f>
        <v>43346</v>
      </c>
    </row>
    <row r="1530" spans="1:48">
      <c r="A1530" s="16" t="s">
        <v>2590</v>
      </c>
      <c r="B1530" t="s">
        <v>2591</v>
      </c>
      <c r="C1530" t="s">
        <v>2582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0</v>
      </c>
      <c r="J1530" s="26">
        <v>0</v>
      </c>
      <c r="K1530" s="26">
        <v>0</v>
      </c>
      <c r="L1530" s="26">
        <v>0</v>
      </c>
      <c r="M1530">
        <v>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0</v>
      </c>
      <c r="AK1530">
        <v>0</v>
      </c>
      <c r="AL1530">
        <v>0</v>
      </c>
      <c r="AM1530">
        <v>0</v>
      </c>
      <c r="AN1530" s="18" t="s">
        <v>52</v>
      </c>
      <c r="AO1530" s="18" t="s">
        <v>52</v>
      </c>
      <c r="AP1530" s="18" t="s">
        <v>52</v>
      </c>
      <c r="AQ1530" s="18" t="s">
        <v>52</v>
      </c>
      <c r="AR1530" s="29">
        <v>0</v>
      </c>
      <c r="AS1530" s="29">
        <v>0</v>
      </c>
      <c r="AT1530" s="29">
        <v>0</v>
      </c>
      <c r="AU1530" s="24" t="str">
        <f t="shared" si="24"/>
        <v>库存为0</v>
      </c>
      <c r="AV1530" s="31" t="str">
        <f>IFERROR(时间!$B$4+AU1530,"上周无销量")</f>
        <v>上周无销量</v>
      </c>
    </row>
    <row r="1531" spans="1:48">
      <c r="A1531" s="16" t="s">
        <v>2592</v>
      </c>
      <c r="B1531" t="s">
        <v>2593</v>
      </c>
      <c r="C1531" t="s">
        <v>2594</v>
      </c>
      <c r="D1531" s="24">
        <v>1</v>
      </c>
      <c r="E1531" s="24">
        <v>0</v>
      </c>
      <c r="F1531" s="24">
        <v>0</v>
      </c>
      <c r="G1531" s="24">
        <v>0</v>
      </c>
      <c r="H1531" s="25">
        <v>25.98</v>
      </c>
      <c r="I1531">
        <v>43</v>
      </c>
      <c r="J1531" s="26">
        <v>0</v>
      </c>
      <c r="K1531" s="26">
        <v>0</v>
      </c>
      <c r="L1531" s="26">
        <v>0</v>
      </c>
      <c r="M1531">
        <v>43</v>
      </c>
      <c r="N1531">
        <v>0</v>
      </c>
      <c r="O1531">
        <v>43</v>
      </c>
      <c r="P1531">
        <v>222</v>
      </c>
      <c r="Q1531">
        <v>128</v>
      </c>
      <c r="R1531">
        <v>312</v>
      </c>
      <c r="S1531">
        <v>347</v>
      </c>
      <c r="T1531">
        <v>0</v>
      </c>
      <c r="U1531">
        <v>0</v>
      </c>
      <c r="V1531">
        <v>1</v>
      </c>
      <c r="W1531">
        <v>0</v>
      </c>
      <c r="X1531" s="18">
        <v>0</v>
      </c>
      <c r="Y1531" s="18">
        <v>0</v>
      </c>
      <c r="Z1531" s="18">
        <v>0.00320512820512821</v>
      </c>
      <c r="AA1531" s="18">
        <v>0</v>
      </c>
      <c r="AB1531">
        <v>0</v>
      </c>
      <c r="AC1531">
        <v>0</v>
      </c>
      <c r="AD1531">
        <v>0.44</v>
      </c>
      <c r="AE1531">
        <v>0</v>
      </c>
      <c r="AF1531" s="18" t="s">
        <v>52</v>
      </c>
      <c r="AG1531" s="18" t="s">
        <v>52</v>
      </c>
      <c r="AH1531" s="18" t="s">
        <v>1744</v>
      </c>
      <c r="AI1531" s="18" t="s">
        <v>52</v>
      </c>
      <c r="AJ1531">
        <v>7</v>
      </c>
      <c r="AK1531">
        <v>4</v>
      </c>
      <c r="AL1531">
        <v>6</v>
      </c>
      <c r="AM1531">
        <v>4</v>
      </c>
      <c r="AN1531" s="18">
        <v>0.142857142857143</v>
      </c>
      <c r="AO1531" s="18">
        <v>0</v>
      </c>
      <c r="AP1531" s="18">
        <v>0</v>
      </c>
      <c r="AQ1531" s="18">
        <v>0</v>
      </c>
      <c r="AR1531" s="29">
        <v>0.142857142857143</v>
      </c>
      <c r="AS1531" s="29">
        <v>8.57142857142857</v>
      </c>
      <c r="AT1531" s="29">
        <v>34.4285714285714</v>
      </c>
      <c r="AU1531" s="24">
        <f t="shared" si="24"/>
        <v>301</v>
      </c>
      <c r="AV1531" s="31">
        <f>IFERROR(时间!$B$4+AU1531,"上周无销量")</f>
        <v>43619</v>
      </c>
    </row>
    <row r="1532" spans="1:48">
      <c r="A1532" s="16" t="s">
        <v>2595</v>
      </c>
      <c r="B1532" t="s">
        <v>2596</v>
      </c>
      <c r="C1532" t="s">
        <v>2594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22</v>
      </c>
      <c r="J1532" s="26">
        <v>0</v>
      </c>
      <c r="K1532" s="26">
        <v>0</v>
      </c>
      <c r="L1532" s="26">
        <v>0</v>
      </c>
      <c r="M1532">
        <v>22</v>
      </c>
      <c r="N1532">
        <v>0</v>
      </c>
      <c r="O1532">
        <v>22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0</v>
      </c>
      <c r="AK1532">
        <v>0</v>
      </c>
      <c r="AL1532">
        <v>0</v>
      </c>
      <c r="AM1532">
        <v>0</v>
      </c>
      <c r="AN1532" s="18" t="s">
        <v>52</v>
      </c>
      <c r="AO1532" s="18" t="s">
        <v>52</v>
      </c>
      <c r="AP1532" s="18" t="s">
        <v>52</v>
      </c>
      <c r="AQ1532" s="18" t="s">
        <v>52</v>
      </c>
      <c r="AR1532" s="29">
        <v>0</v>
      </c>
      <c r="AS1532" s="29">
        <v>0</v>
      </c>
      <c r="AT1532" s="29">
        <v>22</v>
      </c>
      <c r="AU1532" s="24" t="str">
        <f t="shared" si="24"/>
        <v>库存为22</v>
      </c>
      <c r="AV1532" s="31" t="str">
        <f>IFERROR(时间!$B$4+AU1532,"上周无销量")</f>
        <v>上周无销量</v>
      </c>
    </row>
    <row r="1533" spans="1:48">
      <c r="A1533" s="16" t="s">
        <v>2597</v>
      </c>
      <c r="B1533" t="s">
        <v>2598</v>
      </c>
      <c r="C1533" t="s">
        <v>2594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4</v>
      </c>
      <c r="J1533" s="26">
        <v>0</v>
      </c>
      <c r="K1533" s="26">
        <v>0</v>
      </c>
      <c r="L1533" s="26">
        <v>0</v>
      </c>
      <c r="M1533">
        <v>4</v>
      </c>
      <c r="N1533">
        <v>0</v>
      </c>
      <c r="O1533">
        <v>4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4</v>
      </c>
      <c r="AK1533">
        <v>4</v>
      </c>
      <c r="AL1533">
        <v>2</v>
      </c>
      <c r="AM1533">
        <v>0</v>
      </c>
      <c r="AN1533" s="18">
        <v>0</v>
      </c>
      <c r="AO1533" s="18">
        <v>0</v>
      </c>
      <c r="AP1533" s="18">
        <v>0</v>
      </c>
      <c r="AQ1533" s="18" t="s">
        <v>52</v>
      </c>
      <c r="AR1533" s="29">
        <v>0</v>
      </c>
      <c r="AS1533" s="29">
        <v>0</v>
      </c>
      <c r="AT1533" s="29">
        <v>4</v>
      </c>
      <c r="AU1533" s="24" t="str">
        <f t="shared" si="24"/>
        <v>库存为4</v>
      </c>
      <c r="AV1533" s="31" t="str">
        <f>IFERROR(时间!$B$4+AU1533,"上周无销量")</f>
        <v>上周无销量</v>
      </c>
    </row>
    <row r="1534" spans="1:48">
      <c r="A1534" s="16" t="s">
        <v>2599</v>
      </c>
      <c r="B1534" t="s">
        <v>1382</v>
      </c>
      <c r="C1534" t="s">
        <v>2594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16</v>
      </c>
      <c r="J1534" s="26">
        <v>0</v>
      </c>
      <c r="K1534" s="26">
        <v>0</v>
      </c>
      <c r="L1534" s="26">
        <v>1</v>
      </c>
      <c r="M1534">
        <v>17</v>
      </c>
      <c r="N1534">
        <v>0</v>
      </c>
      <c r="O1534">
        <v>18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9</v>
      </c>
      <c r="AK1534">
        <v>4</v>
      </c>
      <c r="AL1534">
        <v>5</v>
      </c>
      <c r="AM1534">
        <v>2</v>
      </c>
      <c r="AN1534" s="18">
        <v>0</v>
      </c>
      <c r="AO1534" s="18">
        <v>0</v>
      </c>
      <c r="AP1534" s="18">
        <v>0</v>
      </c>
      <c r="AQ1534" s="18">
        <v>0</v>
      </c>
      <c r="AR1534" s="29">
        <v>0</v>
      </c>
      <c r="AS1534" s="29">
        <v>0</v>
      </c>
      <c r="AT1534" s="29">
        <v>17</v>
      </c>
      <c r="AU1534" s="24" t="str">
        <f t="shared" si="24"/>
        <v>库存为17</v>
      </c>
      <c r="AV1534" s="31" t="str">
        <f>IFERROR(时间!$B$4+AU1534,"上周无销量")</f>
        <v>上周无销量</v>
      </c>
    </row>
    <row r="1535" spans="1:48">
      <c r="A1535" s="16" t="s">
        <v>2600</v>
      </c>
      <c r="B1535" t="s">
        <v>2601</v>
      </c>
      <c r="C1535" t="s">
        <v>2594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10</v>
      </c>
      <c r="J1535" s="26">
        <v>0</v>
      </c>
      <c r="K1535" s="26">
        <v>0</v>
      </c>
      <c r="L1535" s="26">
        <v>0</v>
      </c>
      <c r="M1535">
        <v>10</v>
      </c>
      <c r="N1535">
        <v>0</v>
      </c>
      <c r="O1535">
        <v>10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0</v>
      </c>
      <c r="AK1535">
        <v>0</v>
      </c>
      <c r="AL1535">
        <v>0</v>
      </c>
      <c r="AM1535">
        <v>0</v>
      </c>
      <c r="AN1535" s="18" t="s">
        <v>52</v>
      </c>
      <c r="AO1535" s="18" t="s">
        <v>52</v>
      </c>
      <c r="AP1535" s="18" t="s">
        <v>52</v>
      </c>
      <c r="AQ1535" s="18" t="s">
        <v>52</v>
      </c>
      <c r="AR1535" s="29">
        <v>0</v>
      </c>
      <c r="AS1535" s="29">
        <v>0</v>
      </c>
      <c r="AT1535" s="29">
        <v>10</v>
      </c>
      <c r="AU1535" s="24" t="str">
        <f t="shared" si="24"/>
        <v>库存为10</v>
      </c>
      <c r="AV1535" s="31" t="str">
        <f>IFERROR(时间!$B$4+AU1535,"上周无销量")</f>
        <v>上周无销量</v>
      </c>
    </row>
    <row r="1536" spans="1:48">
      <c r="A1536" s="16" t="s">
        <v>2602</v>
      </c>
      <c r="B1536" t="s">
        <v>2603</v>
      </c>
      <c r="C1536" t="s">
        <v>2594</v>
      </c>
      <c r="D1536" s="24">
        <v>0</v>
      </c>
      <c r="E1536" s="24">
        <v>0</v>
      </c>
      <c r="F1536" s="24">
        <v>1</v>
      </c>
      <c r="G1536" s="24">
        <v>0</v>
      </c>
      <c r="H1536" s="25">
        <v>27.98</v>
      </c>
      <c r="I1536">
        <v>17</v>
      </c>
      <c r="J1536" s="26">
        <v>0</v>
      </c>
      <c r="K1536" s="26">
        <v>0</v>
      </c>
      <c r="L1536" s="26">
        <v>0</v>
      </c>
      <c r="M1536">
        <v>17</v>
      </c>
      <c r="N1536">
        <v>0</v>
      </c>
      <c r="O1536">
        <v>16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5</v>
      </c>
      <c r="AK1536">
        <v>9</v>
      </c>
      <c r="AL1536">
        <v>6</v>
      </c>
      <c r="AM1536">
        <v>2</v>
      </c>
      <c r="AN1536" s="18">
        <v>0</v>
      </c>
      <c r="AO1536" s="18">
        <v>0</v>
      </c>
      <c r="AP1536" s="18">
        <v>0.166666666666667</v>
      </c>
      <c r="AQ1536" s="18">
        <v>0</v>
      </c>
      <c r="AR1536" s="29">
        <v>0</v>
      </c>
      <c r="AS1536" s="29">
        <v>0</v>
      </c>
      <c r="AT1536" s="29">
        <v>17</v>
      </c>
      <c r="AU1536" s="24" t="str">
        <f t="shared" si="24"/>
        <v>库存为17</v>
      </c>
      <c r="AV1536" s="31" t="str">
        <f>IFERROR(时间!$B$4+AU1536,"上周无销量")</f>
        <v>上周无销量</v>
      </c>
    </row>
    <row r="1537" spans="1:48">
      <c r="A1537" s="16" t="s">
        <v>2604</v>
      </c>
      <c r="B1537" t="s">
        <v>2605</v>
      </c>
      <c r="C1537" t="s">
        <v>2594</v>
      </c>
      <c r="D1537" s="24">
        <v>2</v>
      </c>
      <c r="E1537" s="24">
        <v>0</v>
      </c>
      <c r="F1537" s="24">
        <v>0</v>
      </c>
      <c r="G1537" s="24">
        <v>0</v>
      </c>
      <c r="H1537" s="25">
        <v>22.02</v>
      </c>
      <c r="I1537">
        <v>18</v>
      </c>
      <c r="J1537" s="26">
        <v>0</v>
      </c>
      <c r="K1537" s="26">
        <v>0</v>
      </c>
      <c r="L1537" s="26">
        <v>0</v>
      </c>
      <c r="M1537">
        <v>18</v>
      </c>
      <c r="N1537">
        <v>0</v>
      </c>
      <c r="O1537">
        <v>18</v>
      </c>
      <c r="P1537">
        <v>32733</v>
      </c>
      <c r="Q1537">
        <v>0</v>
      </c>
      <c r="R1537">
        <v>0</v>
      </c>
      <c r="S1537">
        <v>0</v>
      </c>
      <c r="T1537">
        <v>35</v>
      </c>
      <c r="U1537">
        <v>0</v>
      </c>
      <c r="V1537">
        <v>0</v>
      </c>
      <c r="W1537">
        <v>0</v>
      </c>
      <c r="X1537" s="18">
        <v>0.00106925732441267</v>
      </c>
      <c r="Y1537" s="18" t="s">
        <v>52</v>
      </c>
      <c r="Z1537" s="18" t="s">
        <v>52</v>
      </c>
      <c r="AA1537" s="18" t="s">
        <v>52</v>
      </c>
      <c r="AB1537">
        <v>17.49</v>
      </c>
      <c r="AC1537">
        <v>0</v>
      </c>
      <c r="AD1537">
        <v>0</v>
      </c>
      <c r="AE1537">
        <v>0</v>
      </c>
      <c r="AF1537" s="18">
        <v>0.397138964577657</v>
      </c>
      <c r="AG1537" s="18" t="s">
        <v>52</v>
      </c>
      <c r="AH1537" s="18" t="s">
        <v>52</v>
      </c>
      <c r="AI1537" s="18" t="s">
        <v>52</v>
      </c>
      <c r="AJ1537">
        <v>36</v>
      </c>
      <c r="AK1537">
        <v>18</v>
      </c>
      <c r="AL1537">
        <v>3</v>
      </c>
      <c r="AM1537">
        <v>6</v>
      </c>
      <c r="AN1537" s="18">
        <v>0.0555555555555556</v>
      </c>
      <c r="AO1537" s="18">
        <v>0</v>
      </c>
      <c r="AP1537" s="18">
        <v>0</v>
      </c>
      <c r="AQ1537" s="18">
        <v>0</v>
      </c>
      <c r="AR1537" s="29">
        <v>0.285714285714286</v>
      </c>
      <c r="AS1537" s="29">
        <v>17.1428571428571</v>
      </c>
      <c r="AT1537" s="29">
        <v>0.857142857142858</v>
      </c>
      <c r="AU1537" s="24">
        <f t="shared" si="24"/>
        <v>63</v>
      </c>
      <c r="AV1537" s="31">
        <f>IFERROR(时间!$B$4+AU1537,"上周无销量")</f>
        <v>43381</v>
      </c>
    </row>
    <row r="1538" spans="1:48">
      <c r="A1538" s="16" t="s">
        <v>2606</v>
      </c>
      <c r="B1538" t="s">
        <v>2607</v>
      </c>
      <c r="C1538" t="s">
        <v>2594</v>
      </c>
      <c r="D1538" s="24">
        <v>0</v>
      </c>
      <c r="E1538" s="24">
        <v>0</v>
      </c>
      <c r="F1538" s="24">
        <v>0</v>
      </c>
      <c r="G1538" s="24">
        <v>0</v>
      </c>
      <c r="H1538" s="25">
        <v>0</v>
      </c>
      <c r="I1538">
        <v>17</v>
      </c>
      <c r="J1538" s="26">
        <v>0</v>
      </c>
      <c r="K1538" s="26">
        <v>0</v>
      </c>
      <c r="L1538" s="26">
        <v>0</v>
      </c>
      <c r="M1538">
        <v>17</v>
      </c>
      <c r="N1538">
        <v>0</v>
      </c>
      <c r="O1538">
        <v>17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3</v>
      </c>
      <c r="AK1538">
        <v>4</v>
      </c>
      <c r="AL1538">
        <v>1</v>
      </c>
      <c r="AM1538">
        <v>4</v>
      </c>
      <c r="AN1538" s="18">
        <v>0</v>
      </c>
      <c r="AO1538" s="18">
        <v>0</v>
      </c>
      <c r="AP1538" s="18">
        <v>0</v>
      </c>
      <c r="AQ1538" s="18">
        <v>0</v>
      </c>
      <c r="AR1538" s="29">
        <v>0</v>
      </c>
      <c r="AS1538" s="29">
        <v>0</v>
      </c>
      <c r="AT1538" s="29">
        <v>17</v>
      </c>
      <c r="AU1538" s="24" t="str">
        <f t="shared" si="24"/>
        <v>库存为17</v>
      </c>
      <c r="AV1538" s="31" t="str">
        <f>IFERROR(时间!$B$4+AU1538,"上周无销量")</f>
        <v>上周无销量</v>
      </c>
    </row>
    <row r="1539" spans="1:48">
      <c r="A1539" s="16" t="s">
        <v>2608</v>
      </c>
      <c r="B1539" t="s">
        <v>2609</v>
      </c>
      <c r="C1539" t="s">
        <v>2594</v>
      </c>
      <c r="D1539" s="24">
        <v>1</v>
      </c>
      <c r="E1539" s="24">
        <v>0</v>
      </c>
      <c r="F1539" s="24">
        <v>0</v>
      </c>
      <c r="G1539" s="24">
        <v>0</v>
      </c>
      <c r="H1539" s="25">
        <v>25.98</v>
      </c>
      <c r="I1539">
        <v>11</v>
      </c>
      <c r="J1539" s="26">
        <v>0</v>
      </c>
      <c r="K1539" s="26">
        <v>0</v>
      </c>
      <c r="L1539" s="26">
        <v>0</v>
      </c>
      <c r="M1539">
        <v>11</v>
      </c>
      <c r="N1539">
        <v>0</v>
      </c>
      <c r="O1539">
        <v>11</v>
      </c>
      <c r="P1539">
        <v>25001</v>
      </c>
      <c r="Q1539">
        <v>482</v>
      </c>
      <c r="R1539">
        <v>365</v>
      </c>
      <c r="S1539">
        <v>491</v>
      </c>
      <c r="T1539">
        <v>61</v>
      </c>
      <c r="U1539">
        <v>3</v>
      </c>
      <c r="V1539">
        <v>4</v>
      </c>
      <c r="W1539">
        <v>2</v>
      </c>
      <c r="X1539" s="18">
        <v>0.00243990240390384</v>
      </c>
      <c r="Y1539" s="18">
        <v>0.00622406639004149</v>
      </c>
      <c r="Z1539" s="18">
        <v>0.010958904109589</v>
      </c>
      <c r="AA1539" s="18">
        <v>0.00407331975560081</v>
      </c>
      <c r="AB1539">
        <v>35.52</v>
      </c>
      <c r="AC1539">
        <v>1.43</v>
      </c>
      <c r="AD1539">
        <v>1.81</v>
      </c>
      <c r="AE1539">
        <v>0.84</v>
      </c>
      <c r="AF1539" s="18">
        <v>1.36720554272517</v>
      </c>
      <c r="AG1539" s="18" t="s">
        <v>2610</v>
      </c>
      <c r="AH1539" s="18" t="s">
        <v>2611</v>
      </c>
      <c r="AI1539" s="18" t="s">
        <v>2272</v>
      </c>
      <c r="AJ1539">
        <v>36</v>
      </c>
      <c r="AK1539">
        <v>27</v>
      </c>
      <c r="AL1539">
        <v>11</v>
      </c>
      <c r="AM1539">
        <v>4</v>
      </c>
      <c r="AN1539" s="18">
        <v>0.0277777777777778</v>
      </c>
      <c r="AO1539" s="18">
        <v>0</v>
      </c>
      <c r="AP1539" s="18">
        <v>0</v>
      </c>
      <c r="AQ1539" s="18">
        <v>0</v>
      </c>
      <c r="AR1539" s="29">
        <v>0.142857142857143</v>
      </c>
      <c r="AS1539" s="29">
        <v>8.57142857142857</v>
      </c>
      <c r="AT1539" s="29">
        <v>2.42857142857143</v>
      </c>
      <c r="AU1539" s="24">
        <f t="shared" si="24"/>
        <v>77</v>
      </c>
      <c r="AV1539" s="31">
        <f>IFERROR(时间!$B$4+AU1539,"上周无销量")</f>
        <v>43395</v>
      </c>
    </row>
    <row r="1540" spans="1:48">
      <c r="A1540" s="16" t="s">
        <v>2612</v>
      </c>
      <c r="B1540" t="s">
        <v>1398</v>
      </c>
      <c r="C1540" t="s">
        <v>2594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9</v>
      </c>
      <c r="J1540" s="26">
        <v>0</v>
      </c>
      <c r="K1540" s="26">
        <v>0</v>
      </c>
      <c r="L1540" s="26">
        <v>0</v>
      </c>
      <c r="M1540">
        <v>9</v>
      </c>
      <c r="N1540">
        <v>0</v>
      </c>
      <c r="O1540">
        <v>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17</v>
      </c>
      <c r="AK1540">
        <v>20</v>
      </c>
      <c r="AL1540">
        <v>13</v>
      </c>
      <c r="AM1540">
        <v>6</v>
      </c>
      <c r="AN1540" s="18">
        <v>0</v>
      </c>
      <c r="AO1540" s="18">
        <v>0</v>
      </c>
      <c r="AP1540" s="18">
        <v>0</v>
      </c>
      <c r="AQ1540" s="18">
        <v>0</v>
      </c>
      <c r="AR1540" s="29">
        <v>0</v>
      </c>
      <c r="AS1540" s="29">
        <v>0</v>
      </c>
      <c r="AT1540" s="29">
        <v>9</v>
      </c>
      <c r="AU1540" s="24" t="str">
        <f t="shared" si="24"/>
        <v>库存为9</v>
      </c>
      <c r="AV1540" s="31" t="str">
        <f>IFERROR(时间!$B$4+AU1540,"上周无销量")</f>
        <v>上周无销量</v>
      </c>
    </row>
    <row r="1541" spans="1:48">
      <c r="A1541" s="16" t="s">
        <v>2613</v>
      </c>
      <c r="B1541" t="s">
        <v>2614</v>
      </c>
      <c r="C1541" t="s">
        <v>2594</v>
      </c>
      <c r="D1541" s="24">
        <v>0</v>
      </c>
      <c r="E1541" s="24">
        <v>1</v>
      </c>
      <c r="F1541" s="24">
        <v>2</v>
      </c>
      <c r="G1541" s="24">
        <v>0</v>
      </c>
      <c r="H1541" s="25">
        <v>27.98</v>
      </c>
      <c r="I1541">
        <v>9</v>
      </c>
      <c r="J1541" s="26">
        <v>0</v>
      </c>
      <c r="K1541" s="26">
        <v>0</v>
      </c>
      <c r="L1541" s="26">
        <v>0</v>
      </c>
      <c r="M1541">
        <v>9</v>
      </c>
      <c r="N1541">
        <v>0</v>
      </c>
      <c r="O1541">
        <v>9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3</v>
      </c>
      <c r="AK1541">
        <v>7</v>
      </c>
      <c r="AL1541">
        <v>10</v>
      </c>
      <c r="AM1541">
        <v>4</v>
      </c>
      <c r="AN1541" s="18">
        <v>0</v>
      </c>
      <c r="AO1541" s="18">
        <v>0.142857142857143</v>
      </c>
      <c r="AP1541" s="18">
        <v>0.2</v>
      </c>
      <c r="AQ1541" s="18">
        <v>0</v>
      </c>
      <c r="AR1541" s="29">
        <v>0</v>
      </c>
      <c r="AS1541" s="29">
        <v>0</v>
      </c>
      <c r="AT1541" s="29">
        <v>9</v>
      </c>
      <c r="AU1541" s="24" t="str">
        <f t="shared" si="24"/>
        <v>库存为9</v>
      </c>
      <c r="AV1541" s="31" t="str">
        <f>IFERROR(时间!$B$4+AU1541,"上周无销量")</f>
        <v>上周无销量</v>
      </c>
    </row>
    <row r="1542" spans="1:48">
      <c r="A1542" s="16" t="s">
        <v>2615</v>
      </c>
      <c r="B1542" t="s">
        <v>2616</v>
      </c>
      <c r="C1542" t="s">
        <v>2594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31</v>
      </c>
      <c r="J1542" s="26">
        <v>0</v>
      </c>
      <c r="K1542" s="26">
        <v>0</v>
      </c>
      <c r="L1542" s="26">
        <v>0</v>
      </c>
      <c r="M1542">
        <v>31</v>
      </c>
      <c r="N1542">
        <v>0</v>
      </c>
      <c r="O1542">
        <v>31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1</v>
      </c>
      <c r="AK1542">
        <v>0</v>
      </c>
      <c r="AL1542">
        <v>0</v>
      </c>
      <c r="AM1542">
        <v>0</v>
      </c>
      <c r="AN1542" s="18">
        <v>0</v>
      </c>
      <c r="AO1542" s="18" t="s">
        <v>52</v>
      </c>
      <c r="AP1542" s="18" t="s">
        <v>52</v>
      </c>
      <c r="AQ1542" s="18" t="s">
        <v>52</v>
      </c>
      <c r="AR1542" s="29">
        <v>0</v>
      </c>
      <c r="AS1542" s="29">
        <v>0</v>
      </c>
      <c r="AT1542" s="29">
        <v>31</v>
      </c>
      <c r="AU1542" s="24" t="str">
        <f t="shared" ref="AU1542:AU1605" si="25">IF(AR1542="","库存为"&amp;M1542,IF(AS1542=0,"库存为"&amp;M1542,INT(M1542/AR1542)))</f>
        <v>库存为31</v>
      </c>
      <c r="AV1542" s="31" t="str">
        <f>IFERROR(时间!$B$4+AU1542,"上周无销量")</f>
        <v>上周无销量</v>
      </c>
    </row>
    <row r="1543" spans="1:48">
      <c r="A1543" s="16" t="s">
        <v>2617</v>
      </c>
      <c r="B1543" t="s">
        <v>1406</v>
      </c>
      <c r="C1543" t="s">
        <v>2594</v>
      </c>
      <c r="D1543" s="24">
        <v>0</v>
      </c>
      <c r="E1543" s="24">
        <v>0</v>
      </c>
      <c r="F1543" s="24">
        <v>0</v>
      </c>
      <c r="G1543" s="24">
        <v>0</v>
      </c>
      <c r="H1543" s="25">
        <v>0</v>
      </c>
      <c r="I1543">
        <v>27</v>
      </c>
      <c r="J1543" s="26">
        <v>0</v>
      </c>
      <c r="K1543" s="26">
        <v>0</v>
      </c>
      <c r="L1543" s="26">
        <v>0</v>
      </c>
      <c r="M1543">
        <v>27</v>
      </c>
      <c r="N1543">
        <v>0</v>
      </c>
      <c r="O1543">
        <v>26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6</v>
      </c>
      <c r="AK1543">
        <v>8</v>
      </c>
      <c r="AL1543">
        <v>4</v>
      </c>
      <c r="AM1543">
        <v>6</v>
      </c>
      <c r="AN1543" s="18">
        <v>0</v>
      </c>
      <c r="AO1543" s="18">
        <v>0</v>
      </c>
      <c r="AP1543" s="18">
        <v>0</v>
      </c>
      <c r="AQ1543" s="18">
        <v>0</v>
      </c>
      <c r="AR1543" s="29">
        <v>0</v>
      </c>
      <c r="AS1543" s="29">
        <v>0</v>
      </c>
      <c r="AT1543" s="29">
        <v>27</v>
      </c>
      <c r="AU1543" s="24" t="str">
        <f t="shared" si="25"/>
        <v>库存为27</v>
      </c>
      <c r="AV1543" s="31" t="str">
        <f>IFERROR(时间!$B$4+AU1543,"上周无销量")</f>
        <v>上周无销量</v>
      </c>
    </row>
    <row r="1544" spans="1:48">
      <c r="A1544" s="16" t="s">
        <v>2618</v>
      </c>
      <c r="B1544" t="s">
        <v>2619</v>
      </c>
      <c r="C1544" t="s">
        <v>2594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14</v>
      </c>
      <c r="J1544" s="26">
        <v>0</v>
      </c>
      <c r="K1544" s="26">
        <v>0</v>
      </c>
      <c r="L1544" s="26">
        <v>0</v>
      </c>
      <c r="M1544">
        <v>14</v>
      </c>
      <c r="N1544">
        <v>0</v>
      </c>
      <c r="O1544">
        <v>13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5</v>
      </c>
      <c r="AK1544">
        <v>5</v>
      </c>
      <c r="AL1544">
        <v>5</v>
      </c>
      <c r="AM1544">
        <v>2</v>
      </c>
      <c r="AN1544" s="18">
        <v>0</v>
      </c>
      <c r="AO1544" s="18">
        <v>0</v>
      </c>
      <c r="AP1544" s="18">
        <v>0</v>
      </c>
      <c r="AQ1544" s="18">
        <v>0</v>
      </c>
      <c r="AR1544" s="29">
        <v>0</v>
      </c>
      <c r="AS1544" s="29">
        <v>0</v>
      </c>
      <c r="AT1544" s="29">
        <v>14</v>
      </c>
      <c r="AU1544" s="24" t="str">
        <f t="shared" si="25"/>
        <v>库存为14</v>
      </c>
      <c r="AV1544" s="31" t="str">
        <f>IFERROR(时间!$B$4+AU1544,"上周无销量")</f>
        <v>上周无销量</v>
      </c>
    </row>
    <row r="1545" spans="1:48">
      <c r="A1545" s="16" t="s">
        <v>2620</v>
      </c>
      <c r="B1545" t="s">
        <v>2621</v>
      </c>
      <c r="C1545" t="s">
        <v>2594</v>
      </c>
      <c r="D1545" s="24">
        <v>0</v>
      </c>
      <c r="E1545" s="24">
        <v>0</v>
      </c>
      <c r="F1545" s="24">
        <v>1</v>
      </c>
      <c r="G1545" s="24">
        <v>0</v>
      </c>
      <c r="H1545" s="25">
        <v>27.98</v>
      </c>
      <c r="I1545">
        <v>4</v>
      </c>
      <c r="J1545" s="26">
        <v>0</v>
      </c>
      <c r="K1545" s="26">
        <v>0</v>
      </c>
      <c r="L1545" s="26">
        <v>0</v>
      </c>
      <c r="M1545">
        <v>4</v>
      </c>
      <c r="N1545">
        <v>0</v>
      </c>
      <c r="O1545">
        <v>4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10</v>
      </c>
      <c r="AK1545">
        <v>23</v>
      </c>
      <c r="AL1545">
        <v>22</v>
      </c>
      <c r="AM1545">
        <v>11</v>
      </c>
      <c r="AN1545" s="18">
        <v>0</v>
      </c>
      <c r="AO1545" s="18">
        <v>0</v>
      </c>
      <c r="AP1545" s="18">
        <v>0.0454545454545455</v>
      </c>
      <c r="AQ1545" s="18">
        <v>0</v>
      </c>
      <c r="AR1545" s="29">
        <v>0</v>
      </c>
      <c r="AS1545" s="29">
        <v>0</v>
      </c>
      <c r="AT1545" s="29">
        <v>4</v>
      </c>
      <c r="AU1545" s="24" t="str">
        <f t="shared" si="25"/>
        <v>库存为4</v>
      </c>
      <c r="AV1545" s="31" t="str">
        <f>IFERROR(时间!$B$4+AU1545,"上周无销量")</f>
        <v>上周无销量</v>
      </c>
    </row>
    <row r="1546" spans="1:48">
      <c r="A1546" s="16" t="s">
        <v>2622</v>
      </c>
      <c r="B1546" t="s">
        <v>2623</v>
      </c>
      <c r="C1546" t="s">
        <v>2594</v>
      </c>
      <c r="D1546" s="24">
        <v>0</v>
      </c>
      <c r="E1546" s="24">
        <v>0</v>
      </c>
      <c r="F1546" s="24">
        <v>0</v>
      </c>
      <c r="G1546" s="24">
        <v>0</v>
      </c>
      <c r="H1546" s="25">
        <v>0</v>
      </c>
      <c r="I1546">
        <v>27</v>
      </c>
      <c r="J1546" s="26">
        <v>0</v>
      </c>
      <c r="K1546" s="26">
        <v>0</v>
      </c>
      <c r="L1546" s="26">
        <v>0</v>
      </c>
      <c r="M1546">
        <v>27</v>
      </c>
      <c r="N1546">
        <v>0</v>
      </c>
      <c r="O1546">
        <v>27</v>
      </c>
      <c r="P1546">
        <v>495</v>
      </c>
      <c r="Q1546">
        <v>759</v>
      </c>
      <c r="R1546">
        <v>860</v>
      </c>
      <c r="S1546">
        <v>1038</v>
      </c>
      <c r="T1546">
        <v>0</v>
      </c>
      <c r="U1546">
        <v>0</v>
      </c>
      <c r="V1546">
        <v>0</v>
      </c>
      <c r="W1546">
        <v>1</v>
      </c>
      <c r="X1546" s="18">
        <v>0</v>
      </c>
      <c r="Y1546" s="18">
        <v>0</v>
      </c>
      <c r="Z1546" s="18">
        <v>0</v>
      </c>
      <c r="AA1546" s="18">
        <v>0.000963391136801541</v>
      </c>
      <c r="AB1546">
        <v>0</v>
      </c>
      <c r="AC1546">
        <v>0</v>
      </c>
      <c r="AD1546">
        <v>0</v>
      </c>
      <c r="AE1546">
        <v>0.41</v>
      </c>
      <c r="AF1546" s="18" t="s">
        <v>52</v>
      </c>
      <c r="AG1546" s="18" t="s">
        <v>52</v>
      </c>
      <c r="AH1546" s="18" t="s">
        <v>52</v>
      </c>
      <c r="AI1546" s="18" t="s">
        <v>2624</v>
      </c>
      <c r="AJ1546">
        <v>5</v>
      </c>
      <c r="AK1546">
        <v>4</v>
      </c>
      <c r="AL1546">
        <v>10</v>
      </c>
      <c r="AM1546">
        <v>4</v>
      </c>
      <c r="AN1546" s="18">
        <v>0</v>
      </c>
      <c r="AO1546" s="18">
        <v>0</v>
      </c>
      <c r="AP1546" s="18">
        <v>0</v>
      </c>
      <c r="AQ1546" s="18">
        <v>0</v>
      </c>
      <c r="AR1546" s="29">
        <v>0</v>
      </c>
      <c r="AS1546" s="29">
        <v>0</v>
      </c>
      <c r="AT1546" s="29">
        <v>27</v>
      </c>
      <c r="AU1546" s="24" t="str">
        <f t="shared" si="25"/>
        <v>库存为27</v>
      </c>
      <c r="AV1546" s="31" t="str">
        <f>IFERROR(时间!$B$4+AU1546,"上周无销量")</f>
        <v>上周无销量</v>
      </c>
    </row>
    <row r="1547" spans="1:48">
      <c r="A1547" s="16" t="s">
        <v>2625</v>
      </c>
      <c r="B1547" t="s">
        <v>2626</v>
      </c>
      <c r="C1547" t="s">
        <v>2594</v>
      </c>
      <c r="D1547" s="24">
        <v>0</v>
      </c>
      <c r="E1547" s="24">
        <v>0</v>
      </c>
      <c r="F1547" s="24">
        <v>0</v>
      </c>
      <c r="G1547" s="24">
        <v>0</v>
      </c>
      <c r="H1547" s="25">
        <v>0</v>
      </c>
      <c r="I1547">
        <v>9</v>
      </c>
      <c r="J1547" s="26">
        <v>0</v>
      </c>
      <c r="K1547" s="26">
        <v>0</v>
      </c>
      <c r="L1547" s="26">
        <v>0</v>
      </c>
      <c r="M1547">
        <v>9</v>
      </c>
      <c r="N1547">
        <v>0</v>
      </c>
      <c r="O1547">
        <v>9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0</v>
      </c>
      <c r="AK1547">
        <v>0</v>
      </c>
      <c r="AL1547">
        <v>0</v>
      </c>
      <c r="AM1547">
        <v>0</v>
      </c>
      <c r="AN1547" s="18" t="s">
        <v>52</v>
      </c>
      <c r="AO1547" s="18" t="s">
        <v>52</v>
      </c>
      <c r="AP1547" s="18" t="s">
        <v>52</v>
      </c>
      <c r="AQ1547" s="18" t="s">
        <v>52</v>
      </c>
      <c r="AR1547" s="29">
        <v>0</v>
      </c>
      <c r="AS1547" s="29">
        <v>0</v>
      </c>
      <c r="AT1547" s="29">
        <v>9</v>
      </c>
      <c r="AU1547" s="24" t="str">
        <f t="shared" si="25"/>
        <v>库存为9</v>
      </c>
      <c r="AV1547" s="31" t="str">
        <f>IFERROR(时间!$B$4+AU1547,"上周无销量")</f>
        <v>上周无销量</v>
      </c>
    </row>
    <row r="1548" spans="1:48">
      <c r="A1548" s="16" t="s">
        <v>2627</v>
      </c>
      <c r="B1548" t="s">
        <v>2628</v>
      </c>
      <c r="C1548" t="s">
        <v>2594</v>
      </c>
      <c r="D1548" s="24">
        <v>0</v>
      </c>
      <c r="E1548" s="24">
        <v>0</v>
      </c>
      <c r="F1548" s="24">
        <v>0</v>
      </c>
      <c r="G1548" s="24">
        <v>1</v>
      </c>
      <c r="H1548" s="25">
        <v>25.98</v>
      </c>
      <c r="I1548">
        <v>0</v>
      </c>
      <c r="J1548" s="26">
        <v>0</v>
      </c>
      <c r="K1548" s="26">
        <v>0</v>
      </c>
      <c r="L1548" s="26">
        <v>0</v>
      </c>
      <c r="M1548">
        <v>0</v>
      </c>
      <c r="N1548">
        <v>0</v>
      </c>
      <c r="O1548">
        <v>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0</v>
      </c>
      <c r="AK1548">
        <v>0</v>
      </c>
      <c r="AL1548">
        <v>0</v>
      </c>
      <c r="AM1548">
        <v>1</v>
      </c>
      <c r="AN1548" s="18" t="s">
        <v>52</v>
      </c>
      <c r="AO1548" s="18" t="s">
        <v>52</v>
      </c>
      <c r="AP1548" s="18" t="s">
        <v>52</v>
      </c>
      <c r="AQ1548" s="18">
        <v>1</v>
      </c>
      <c r="AR1548" s="29">
        <v>0</v>
      </c>
      <c r="AS1548" s="29">
        <v>0</v>
      </c>
      <c r="AT1548" s="29">
        <v>0</v>
      </c>
      <c r="AU1548" s="24" t="str">
        <f t="shared" si="25"/>
        <v>库存为0</v>
      </c>
      <c r="AV1548" s="31" t="str">
        <f>IFERROR(时间!$B$4+AU1548,"上周无销量")</f>
        <v>上周无销量</v>
      </c>
    </row>
    <row r="1549" spans="1:48">
      <c r="A1549" s="16" t="s">
        <v>2629</v>
      </c>
      <c r="B1549" t="s">
        <v>1418</v>
      </c>
      <c r="C1549" t="s">
        <v>2594</v>
      </c>
      <c r="D1549" s="24">
        <v>1</v>
      </c>
      <c r="E1549" s="24">
        <v>0</v>
      </c>
      <c r="F1549" s="24">
        <v>0</v>
      </c>
      <c r="G1549" s="24">
        <v>0</v>
      </c>
      <c r="H1549" s="25">
        <v>25.98</v>
      </c>
      <c r="I1549">
        <v>21</v>
      </c>
      <c r="J1549" s="26">
        <v>0</v>
      </c>
      <c r="K1549" s="26">
        <v>0</v>
      </c>
      <c r="L1549" s="26">
        <v>0</v>
      </c>
      <c r="M1549">
        <v>21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17</v>
      </c>
      <c r="AK1549">
        <v>14</v>
      </c>
      <c r="AL1549">
        <v>15</v>
      </c>
      <c r="AM1549">
        <v>9</v>
      </c>
      <c r="AN1549" s="18">
        <v>0.0588235294117647</v>
      </c>
      <c r="AO1549" s="18">
        <v>0</v>
      </c>
      <c r="AP1549" s="18">
        <v>0</v>
      </c>
      <c r="AQ1549" s="18">
        <v>0</v>
      </c>
      <c r="AR1549" s="29">
        <v>0.142857142857143</v>
      </c>
      <c r="AS1549" s="29">
        <v>8.57142857142857</v>
      </c>
      <c r="AT1549" s="29">
        <v>12.4285714285714</v>
      </c>
      <c r="AU1549" s="24">
        <f t="shared" si="25"/>
        <v>147</v>
      </c>
      <c r="AV1549" s="31">
        <f>IFERROR(时间!$B$4+AU1549,"上周无销量")</f>
        <v>43465</v>
      </c>
    </row>
    <row r="1550" spans="1:48">
      <c r="A1550" s="16" t="s">
        <v>2630</v>
      </c>
      <c r="B1550" t="s">
        <v>1420</v>
      </c>
      <c r="C1550" t="s">
        <v>2594</v>
      </c>
      <c r="D1550" s="24">
        <v>0</v>
      </c>
      <c r="E1550" s="24">
        <v>0</v>
      </c>
      <c r="F1550" s="24">
        <v>0</v>
      </c>
      <c r="G1550" s="24">
        <v>0</v>
      </c>
      <c r="H1550" s="25">
        <v>0</v>
      </c>
      <c r="I1550">
        <v>6</v>
      </c>
      <c r="J1550" s="26">
        <v>0</v>
      </c>
      <c r="K1550" s="26">
        <v>0</v>
      </c>
      <c r="L1550" s="26">
        <v>0</v>
      </c>
      <c r="M1550">
        <v>6</v>
      </c>
      <c r="N1550">
        <v>0</v>
      </c>
      <c r="O1550">
        <v>6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11</v>
      </c>
      <c r="AK1550">
        <v>11</v>
      </c>
      <c r="AL1550">
        <v>11</v>
      </c>
      <c r="AM1550">
        <v>3</v>
      </c>
      <c r="AN1550" s="18">
        <v>0</v>
      </c>
      <c r="AO1550" s="18">
        <v>0</v>
      </c>
      <c r="AP1550" s="18">
        <v>0</v>
      </c>
      <c r="AQ1550" s="18">
        <v>0</v>
      </c>
      <c r="AR1550" s="29">
        <v>0</v>
      </c>
      <c r="AS1550" s="29">
        <v>0</v>
      </c>
      <c r="AT1550" s="29">
        <v>6</v>
      </c>
      <c r="AU1550" s="24" t="str">
        <f t="shared" si="25"/>
        <v>库存为6</v>
      </c>
      <c r="AV1550" s="31" t="str">
        <f>IFERROR(时间!$B$4+AU1550,"上周无销量")</f>
        <v>上周无销量</v>
      </c>
    </row>
    <row r="1551" spans="1:48">
      <c r="A1551" s="16" t="s">
        <v>2631</v>
      </c>
      <c r="B1551" t="s">
        <v>1422</v>
      </c>
      <c r="C1551" t="s">
        <v>2594</v>
      </c>
      <c r="D1551" s="24">
        <v>0</v>
      </c>
      <c r="E1551" s="24">
        <v>0</v>
      </c>
      <c r="F1551" s="24">
        <v>0</v>
      </c>
      <c r="G1551" s="24">
        <v>1</v>
      </c>
      <c r="H1551" s="25">
        <v>23.98</v>
      </c>
      <c r="I1551">
        <v>4</v>
      </c>
      <c r="J1551" s="26">
        <v>0</v>
      </c>
      <c r="K1551" s="26">
        <v>0</v>
      </c>
      <c r="L1551" s="26">
        <v>0</v>
      </c>
      <c r="M1551">
        <v>4</v>
      </c>
      <c r="N1551">
        <v>0</v>
      </c>
      <c r="O1551">
        <v>3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7</v>
      </c>
      <c r="AK1551">
        <v>8</v>
      </c>
      <c r="AL1551">
        <v>7</v>
      </c>
      <c r="AM1551">
        <v>4</v>
      </c>
      <c r="AN1551" s="18">
        <v>0</v>
      </c>
      <c r="AO1551" s="18">
        <v>0</v>
      </c>
      <c r="AP1551" s="18">
        <v>0</v>
      </c>
      <c r="AQ1551" s="18">
        <v>0.25</v>
      </c>
      <c r="AR1551" s="29">
        <v>0</v>
      </c>
      <c r="AS1551" s="29">
        <v>0</v>
      </c>
      <c r="AT1551" s="29">
        <v>4</v>
      </c>
      <c r="AU1551" s="24" t="str">
        <f t="shared" si="25"/>
        <v>库存为4</v>
      </c>
      <c r="AV1551" s="31" t="str">
        <f>IFERROR(时间!$B$4+AU1551,"上周无销量")</f>
        <v>上周无销量</v>
      </c>
    </row>
    <row r="1552" spans="1:48">
      <c r="A1552" s="16" t="s">
        <v>2632</v>
      </c>
      <c r="B1552" t="s">
        <v>1424</v>
      </c>
      <c r="C1552" t="s">
        <v>2594</v>
      </c>
      <c r="D1552" s="24">
        <v>0</v>
      </c>
      <c r="E1552" s="24">
        <v>0</v>
      </c>
      <c r="F1552" s="24">
        <v>0</v>
      </c>
      <c r="G1552" s="24">
        <v>0</v>
      </c>
      <c r="H1552" s="25">
        <v>0</v>
      </c>
      <c r="I1552">
        <v>0</v>
      </c>
      <c r="J1552" s="26">
        <v>0</v>
      </c>
      <c r="K1552" s="26">
        <v>0</v>
      </c>
      <c r="L1552" s="26">
        <v>0</v>
      </c>
      <c r="M1552">
        <v>0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0</v>
      </c>
      <c r="AK1552">
        <v>0</v>
      </c>
      <c r="AL1552">
        <v>0</v>
      </c>
      <c r="AM1552">
        <v>0</v>
      </c>
      <c r="AN1552" s="18" t="s">
        <v>52</v>
      </c>
      <c r="AO1552" s="18" t="s">
        <v>52</v>
      </c>
      <c r="AP1552" s="18" t="s">
        <v>52</v>
      </c>
      <c r="AQ1552" s="18" t="s">
        <v>52</v>
      </c>
      <c r="AR1552" s="29">
        <v>0</v>
      </c>
      <c r="AS1552" s="29">
        <v>0</v>
      </c>
      <c r="AT1552" s="29">
        <v>0</v>
      </c>
      <c r="AU1552" s="24" t="str">
        <f t="shared" si="25"/>
        <v>库存为0</v>
      </c>
      <c r="AV1552" s="31" t="str">
        <f>IFERROR(时间!$B$4+AU1552,"上周无销量")</f>
        <v>上周无销量</v>
      </c>
    </row>
    <row r="1553" spans="1:48">
      <c r="A1553" s="16" t="s">
        <v>2633</v>
      </c>
      <c r="B1553" t="s">
        <v>1426</v>
      </c>
      <c r="C1553" t="s">
        <v>2594</v>
      </c>
      <c r="D1553" s="24">
        <v>0</v>
      </c>
      <c r="E1553" s="24">
        <v>0</v>
      </c>
      <c r="F1553" s="24">
        <v>1</v>
      </c>
      <c r="G1553" s="24">
        <v>1</v>
      </c>
      <c r="H1553" s="25">
        <v>27.98</v>
      </c>
      <c r="I1553">
        <v>4</v>
      </c>
      <c r="J1553" s="26">
        <v>0</v>
      </c>
      <c r="K1553" s="26">
        <v>0</v>
      </c>
      <c r="L1553" s="26">
        <v>0</v>
      </c>
      <c r="M1553">
        <v>4</v>
      </c>
      <c r="N1553">
        <v>0</v>
      </c>
      <c r="O1553">
        <v>0</v>
      </c>
      <c r="P1553">
        <v>166</v>
      </c>
      <c r="Q1553">
        <v>235</v>
      </c>
      <c r="R1553">
        <v>260</v>
      </c>
      <c r="S1553">
        <v>170</v>
      </c>
      <c r="T1553">
        <v>1</v>
      </c>
      <c r="U1553">
        <v>5</v>
      </c>
      <c r="V1553">
        <v>1</v>
      </c>
      <c r="W1553">
        <v>3</v>
      </c>
      <c r="X1553" s="18">
        <v>0.00602409638554217</v>
      </c>
      <c r="Y1553" s="18">
        <v>0.0212765957446809</v>
      </c>
      <c r="Z1553" s="18">
        <v>0.00384615384615385</v>
      </c>
      <c r="AA1553" s="18">
        <v>0.0176470588235294</v>
      </c>
      <c r="AB1553">
        <v>0.34</v>
      </c>
      <c r="AC1553">
        <v>2.95</v>
      </c>
      <c r="AD1553">
        <v>0.3</v>
      </c>
      <c r="AE1553">
        <v>1.24</v>
      </c>
      <c r="AF1553" s="18" t="s">
        <v>2634</v>
      </c>
      <c r="AG1553" s="18" t="s">
        <v>2635</v>
      </c>
      <c r="AH1553" s="18">
        <v>0.0107219442458899</v>
      </c>
      <c r="AI1553" s="18">
        <v>0.0443173695496783</v>
      </c>
      <c r="AJ1553">
        <v>10</v>
      </c>
      <c r="AK1553">
        <v>15</v>
      </c>
      <c r="AL1553">
        <v>13</v>
      </c>
      <c r="AM1553">
        <v>8</v>
      </c>
      <c r="AN1553" s="18">
        <v>0</v>
      </c>
      <c r="AO1553" s="18">
        <v>0</v>
      </c>
      <c r="AP1553" s="18">
        <v>0.0769230769230769</v>
      </c>
      <c r="AQ1553" s="18">
        <v>0.125</v>
      </c>
      <c r="AR1553" s="29">
        <v>0</v>
      </c>
      <c r="AS1553" s="29">
        <v>0</v>
      </c>
      <c r="AT1553" s="29">
        <v>4</v>
      </c>
      <c r="AU1553" s="24" t="str">
        <f t="shared" si="25"/>
        <v>库存为4</v>
      </c>
      <c r="AV1553" s="31" t="str">
        <f>IFERROR(时间!$B$4+AU1553,"上周无销量")</f>
        <v>上周无销量</v>
      </c>
    </row>
    <row r="1554" spans="1:48">
      <c r="A1554" s="16" t="s">
        <v>2636</v>
      </c>
      <c r="B1554" t="s">
        <v>1428</v>
      </c>
      <c r="C1554" t="s">
        <v>2594</v>
      </c>
      <c r="D1554" s="24">
        <v>0</v>
      </c>
      <c r="E1554" s="24">
        <v>3</v>
      </c>
      <c r="F1554" s="24">
        <v>1</v>
      </c>
      <c r="G1554" s="24">
        <v>3</v>
      </c>
      <c r="H1554" s="25">
        <v>27.1228571428571</v>
      </c>
      <c r="I1554">
        <v>14</v>
      </c>
      <c r="J1554" s="26">
        <v>0</v>
      </c>
      <c r="K1554" s="26">
        <v>0</v>
      </c>
      <c r="L1554" s="26">
        <v>0</v>
      </c>
      <c r="M1554">
        <v>14</v>
      </c>
      <c r="N1554">
        <v>0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12</v>
      </c>
      <c r="AK1554">
        <v>8</v>
      </c>
      <c r="AL1554">
        <v>11</v>
      </c>
      <c r="AM1554">
        <v>14</v>
      </c>
      <c r="AN1554" s="18">
        <v>0</v>
      </c>
      <c r="AO1554" s="18">
        <v>0.375</v>
      </c>
      <c r="AP1554" s="18">
        <v>0.0909090909090909</v>
      </c>
      <c r="AQ1554" s="18">
        <v>0.214285714285714</v>
      </c>
      <c r="AR1554" s="29">
        <v>0</v>
      </c>
      <c r="AS1554" s="29">
        <v>0</v>
      </c>
      <c r="AT1554" s="29">
        <v>14</v>
      </c>
      <c r="AU1554" s="24" t="str">
        <f t="shared" si="25"/>
        <v>库存为14</v>
      </c>
      <c r="AV1554" s="31" t="str">
        <f>IFERROR(时间!$B$4+AU1554,"上周无销量")</f>
        <v>上周无销量</v>
      </c>
    </row>
    <row r="1555" spans="1:48">
      <c r="A1555" s="16" t="s">
        <v>2637</v>
      </c>
      <c r="B1555" t="s">
        <v>1430</v>
      </c>
      <c r="C1555" t="s">
        <v>2594</v>
      </c>
      <c r="D1555" s="24">
        <v>0</v>
      </c>
      <c r="E1555" s="24">
        <v>0</v>
      </c>
      <c r="F1555" s="24">
        <v>0</v>
      </c>
      <c r="G1555" s="24">
        <v>0</v>
      </c>
      <c r="H1555" s="25">
        <v>0</v>
      </c>
      <c r="I1555">
        <v>0</v>
      </c>
      <c r="J1555" s="26">
        <v>0</v>
      </c>
      <c r="K1555" s="26">
        <v>0</v>
      </c>
      <c r="L1555" s="26">
        <v>0</v>
      </c>
      <c r="M1555">
        <v>0</v>
      </c>
      <c r="N1555">
        <v>0</v>
      </c>
      <c r="O1555">
        <v>0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11</v>
      </c>
      <c r="AK1555">
        <v>7</v>
      </c>
      <c r="AL1555">
        <v>11</v>
      </c>
      <c r="AM1555">
        <v>0</v>
      </c>
      <c r="AN1555" s="18">
        <v>0</v>
      </c>
      <c r="AO1555" s="18">
        <v>0</v>
      </c>
      <c r="AP1555" s="18">
        <v>0</v>
      </c>
      <c r="AQ1555" s="18" t="s">
        <v>52</v>
      </c>
      <c r="AR1555" s="29">
        <v>0</v>
      </c>
      <c r="AS1555" s="29">
        <v>0</v>
      </c>
      <c r="AT1555" s="29">
        <v>0</v>
      </c>
      <c r="AU1555" s="24" t="str">
        <f t="shared" si="25"/>
        <v>库存为0</v>
      </c>
      <c r="AV1555" s="31" t="str">
        <f>IFERROR(时间!$B$4+AU1555,"上周无销量")</f>
        <v>上周无销量</v>
      </c>
    </row>
    <row r="1556" spans="1:48">
      <c r="A1556" s="16" t="s">
        <v>2638</v>
      </c>
      <c r="B1556" t="s">
        <v>1432</v>
      </c>
      <c r="C1556" t="s">
        <v>2594</v>
      </c>
      <c r="D1556" s="24">
        <v>0</v>
      </c>
      <c r="E1556" s="24">
        <v>1</v>
      </c>
      <c r="F1556" s="24">
        <v>1</v>
      </c>
      <c r="G1556" s="24">
        <v>1</v>
      </c>
      <c r="H1556" s="25">
        <v>27.3133333333333</v>
      </c>
      <c r="I1556">
        <v>0</v>
      </c>
      <c r="J1556" s="26">
        <v>0</v>
      </c>
      <c r="K1556" s="26">
        <v>0</v>
      </c>
      <c r="L1556" s="26">
        <v>0</v>
      </c>
      <c r="M1556">
        <v>0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2</v>
      </c>
      <c r="AK1556">
        <v>1</v>
      </c>
      <c r="AL1556">
        <v>3</v>
      </c>
      <c r="AM1556">
        <v>0</v>
      </c>
      <c r="AN1556" s="18">
        <v>0</v>
      </c>
      <c r="AO1556" s="18">
        <v>1</v>
      </c>
      <c r="AP1556" s="18">
        <v>0.333333333333333</v>
      </c>
      <c r="AQ1556" s="18" t="s">
        <v>52</v>
      </c>
      <c r="AR1556" s="29">
        <v>0</v>
      </c>
      <c r="AS1556" s="29">
        <v>0</v>
      </c>
      <c r="AT1556" s="29">
        <v>0</v>
      </c>
      <c r="AU1556" s="24" t="str">
        <f t="shared" si="25"/>
        <v>库存为0</v>
      </c>
      <c r="AV1556" s="31" t="str">
        <f>IFERROR(时间!$B$4+AU1556,"上周无销量")</f>
        <v>上周无销量</v>
      </c>
    </row>
    <row r="1557" spans="1:48">
      <c r="A1557" s="16" t="s">
        <v>2639</v>
      </c>
      <c r="B1557" t="s">
        <v>1434</v>
      </c>
      <c r="C1557" t="s">
        <v>2594</v>
      </c>
      <c r="D1557" s="24">
        <v>0</v>
      </c>
      <c r="E1557" s="24">
        <v>0</v>
      </c>
      <c r="F1557" s="24">
        <v>0</v>
      </c>
      <c r="G1557" s="24">
        <v>2</v>
      </c>
      <c r="H1557" s="25">
        <v>26.98</v>
      </c>
      <c r="I1557">
        <v>0</v>
      </c>
      <c r="J1557" s="26">
        <v>0</v>
      </c>
      <c r="K1557" s="26">
        <v>0</v>
      </c>
      <c r="L1557" s="26">
        <v>0</v>
      </c>
      <c r="M1557">
        <v>0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1</v>
      </c>
      <c r="AK1557">
        <v>0</v>
      </c>
      <c r="AL1557">
        <v>0</v>
      </c>
      <c r="AM1557">
        <v>10</v>
      </c>
      <c r="AN1557" s="18">
        <v>0</v>
      </c>
      <c r="AO1557" s="18" t="s">
        <v>52</v>
      </c>
      <c r="AP1557" s="18" t="s">
        <v>52</v>
      </c>
      <c r="AQ1557" s="18">
        <v>0.2</v>
      </c>
      <c r="AR1557" s="29">
        <v>0</v>
      </c>
      <c r="AS1557" s="29">
        <v>0</v>
      </c>
      <c r="AT1557" s="29">
        <v>0</v>
      </c>
      <c r="AU1557" s="24" t="str">
        <f t="shared" si="25"/>
        <v>库存为0</v>
      </c>
      <c r="AV1557" s="31" t="str">
        <f>IFERROR(时间!$B$4+AU1557,"上周无销量")</f>
        <v>上周无销量</v>
      </c>
    </row>
    <row r="1558" spans="1:48">
      <c r="A1558" s="16" t="s">
        <v>2640</v>
      </c>
      <c r="B1558" t="s">
        <v>2641</v>
      </c>
      <c r="C1558" t="s">
        <v>2594</v>
      </c>
      <c r="D1558" s="24">
        <v>1</v>
      </c>
      <c r="E1558" s="24">
        <v>0</v>
      </c>
      <c r="F1558" s="24">
        <v>0</v>
      </c>
      <c r="G1558" s="24">
        <v>0</v>
      </c>
      <c r="H1558" s="25">
        <v>25.98</v>
      </c>
      <c r="I1558">
        <v>22</v>
      </c>
      <c r="J1558" s="26">
        <v>0</v>
      </c>
      <c r="K1558" s="26">
        <v>0</v>
      </c>
      <c r="L1558" s="26">
        <v>0</v>
      </c>
      <c r="M1558">
        <v>22</v>
      </c>
      <c r="N1558">
        <v>0</v>
      </c>
      <c r="O1558">
        <v>20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5</v>
      </c>
      <c r="AK1558">
        <v>5</v>
      </c>
      <c r="AL1558">
        <v>15</v>
      </c>
      <c r="AM1558">
        <v>6</v>
      </c>
      <c r="AN1558" s="18">
        <v>0.2</v>
      </c>
      <c r="AO1558" s="18">
        <v>0</v>
      </c>
      <c r="AP1558" s="18">
        <v>0</v>
      </c>
      <c r="AQ1558" s="18">
        <v>0</v>
      </c>
      <c r="AR1558" s="29">
        <v>0.142857142857143</v>
      </c>
      <c r="AS1558" s="29">
        <v>8.57142857142857</v>
      </c>
      <c r="AT1558" s="29">
        <v>13.4285714285714</v>
      </c>
      <c r="AU1558" s="24">
        <f t="shared" si="25"/>
        <v>154</v>
      </c>
      <c r="AV1558" s="31">
        <f>IFERROR(时间!$B$4+AU1558,"上周无销量")</f>
        <v>43472</v>
      </c>
    </row>
    <row r="1559" spans="1:48">
      <c r="A1559" s="16" t="s">
        <v>2642</v>
      </c>
      <c r="B1559" t="s">
        <v>2643</v>
      </c>
      <c r="C1559" t="s">
        <v>2594</v>
      </c>
      <c r="D1559" s="24">
        <v>0</v>
      </c>
      <c r="E1559" s="24">
        <v>0</v>
      </c>
      <c r="F1559" s="24">
        <v>0</v>
      </c>
      <c r="G1559" s="24">
        <v>0</v>
      </c>
      <c r="H1559" s="25">
        <v>0</v>
      </c>
      <c r="I1559">
        <v>20</v>
      </c>
      <c r="J1559" s="26">
        <v>0</v>
      </c>
      <c r="K1559" s="26">
        <v>0</v>
      </c>
      <c r="L1559" s="26">
        <v>0</v>
      </c>
      <c r="M1559">
        <v>20</v>
      </c>
      <c r="N1559">
        <v>0</v>
      </c>
      <c r="O1559">
        <v>20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2</v>
      </c>
      <c r="AK1559">
        <v>1</v>
      </c>
      <c r="AL1559">
        <v>4</v>
      </c>
      <c r="AM1559">
        <v>5</v>
      </c>
      <c r="AN1559" s="18">
        <v>0</v>
      </c>
      <c r="AO1559" s="18">
        <v>0</v>
      </c>
      <c r="AP1559" s="18">
        <v>0</v>
      </c>
      <c r="AQ1559" s="18">
        <v>0</v>
      </c>
      <c r="AR1559" s="29">
        <v>0</v>
      </c>
      <c r="AS1559" s="29">
        <v>0</v>
      </c>
      <c r="AT1559" s="29">
        <v>20</v>
      </c>
      <c r="AU1559" s="24" t="str">
        <f t="shared" si="25"/>
        <v>库存为20</v>
      </c>
      <c r="AV1559" s="31" t="str">
        <f>IFERROR(时间!$B$4+AU1559,"上周无销量")</f>
        <v>上周无销量</v>
      </c>
    </row>
    <row r="1560" spans="1:48">
      <c r="A1560" s="16" t="s">
        <v>2644</v>
      </c>
      <c r="B1560" t="s">
        <v>2645</v>
      </c>
      <c r="C1560" t="s">
        <v>2594</v>
      </c>
      <c r="D1560" s="24">
        <v>0</v>
      </c>
      <c r="E1560" s="24">
        <v>0</v>
      </c>
      <c r="F1560" s="24">
        <v>1</v>
      </c>
      <c r="G1560" s="24">
        <v>2</v>
      </c>
      <c r="H1560" s="25">
        <v>26.98</v>
      </c>
      <c r="I1560">
        <v>28</v>
      </c>
      <c r="J1560" s="26">
        <v>0</v>
      </c>
      <c r="K1560" s="26">
        <v>0</v>
      </c>
      <c r="L1560" s="26">
        <v>0</v>
      </c>
      <c r="M1560">
        <v>28</v>
      </c>
      <c r="N1560">
        <v>0</v>
      </c>
      <c r="O1560">
        <v>28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3</v>
      </c>
      <c r="AK1560">
        <v>3</v>
      </c>
      <c r="AL1560">
        <v>5</v>
      </c>
      <c r="AM1560">
        <v>5</v>
      </c>
      <c r="AN1560" s="18">
        <v>0</v>
      </c>
      <c r="AO1560" s="18">
        <v>0</v>
      </c>
      <c r="AP1560" s="18">
        <v>0.2</v>
      </c>
      <c r="AQ1560" s="18">
        <v>0.4</v>
      </c>
      <c r="AR1560" s="29">
        <v>0</v>
      </c>
      <c r="AS1560" s="29">
        <v>0</v>
      </c>
      <c r="AT1560" s="29">
        <v>28</v>
      </c>
      <c r="AU1560" s="24" t="str">
        <f t="shared" si="25"/>
        <v>库存为28</v>
      </c>
      <c r="AV1560" s="31" t="str">
        <f>IFERROR(时间!$B$4+AU1560,"上周无销量")</f>
        <v>上周无销量</v>
      </c>
    </row>
    <row r="1561" spans="1:48">
      <c r="A1561" s="16" t="s">
        <v>2646</v>
      </c>
      <c r="B1561" t="s">
        <v>2647</v>
      </c>
      <c r="C1561" t="s">
        <v>2594</v>
      </c>
      <c r="D1561" s="24">
        <v>0</v>
      </c>
      <c r="E1561" s="24">
        <v>1</v>
      </c>
      <c r="F1561" s="24">
        <v>0</v>
      </c>
      <c r="G1561" s="24">
        <v>0</v>
      </c>
      <c r="H1561" s="25">
        <v>27.98</v>
      </c>
      <c r="I1561">
        <v>14</v>
      </c>
      <c r="J1561" s="26">
        <v>0</v>
      </c>
      <c r="K1561" s="26">
        <v>0</v>
      </c>
      <c r="L1561" s="26">
        <v>0</v>
      </c>
      <c r="M1561">
        <v>14</v>
      </c>
      <c r="N1561">
        <v>0</v>
      </c>
      <c r="O1561">
        <v>13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5</v>
      </c>
      <c r="AK1561">
        <v>8</v>
      </c>
      <c r="AL1561">
        <v>3</v>
      </c>
      <c r="AM1561">
        <v>7</v>
      </c>
      <c r="AN1561" s="18">
        <v>0</v>
      </c>
      <c r="AO1561" s="18">
        <v>0.125</v>
      </c>
      <c r="AP1561" s="18">
        <v>0</v>
      </c>
      <c r="AQ1561" s="18">
        <v>0</v>
      </c>
      <c r="AR1561" s="29">
        <v>0</v>
      </c>
      <c r="AS1561" s="29">
        <v>0</v>
      </c>
      <c r="AT1561" s="29">
        <v>14</v>
      </c>
      <c r="AU1561" s="24" t="str">
        <f t="shared" si="25"/>
        <v>库存为14</v>
      </c>
      <c r="AV1561" s="31" t="str">
        <f>IFERROR(时间!$B$4+AU1561,"上周无销量")</f>
        <v>上周无销量</v>
      </c>
    </row>
    <row r="1562" spans="1:48">
      <c r="A1562" s="16" t="s">
        <v>2648</v>
      </c>
      <c r="B1562" t="s">
        <v>2649</v>
      </c>
      <c r="C1562" t="s">
        <v>2594</v>
      </c>
      <c r="D1562" s="24">
        <v>0</v>
      </c>
      <c r="E1562" s="24">
        <v>0</v>
      </c>
      <c r="F1562" s="24">
        <v>0</v>
      </c>
      <c r="G1562" s="24">
        <v>0</v>
      </c>
      <c r="H1562" s="25">
        <v>0</v>
      </c>
      <c r="I1562">
        <v>10</v>
      </c>
      <c r="J1562" s="26">
        <v>0</v>
      </c>
      <c r="K1562" s="26">
        <v>0</v>
      </c>
      <c r="L1562" s="26">
        <v>0</v>
      </c>
      <c r="M1562">
        <v>10</v>
      </c>
      <c r="N1562">
        <v>0</v>
      </c>
      <c r="O1562">
        <v>10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4</v>
      </c>
      <c r="AK1562">
        <v>4</v>
      </c>
      <c r="AL1562">
        <v>6</v>
      </c>
      <c r="AM1562">
        <v>7</v>
      </c>
      <c r="AN1562" s="18">
        <v>0</v>
      </c>
      <c r="AO1562" s="18">
        <v>0</v>
      </c>
      <c r="AP1562" s="18">
        <v>0</v>
      </c>
      <c r="AQ1562" s="18">
        <v>0</v>
      </c>
      <c r="AR1562" s="29">
        <v>0</v>
      </c>
      <c r="AS1562" s="29">
        <v>0</v>
      </c>
      <c r="AT1562" s="29">
        <v>10</v>
      </c>
      <c r="AU1562" s="24" t="str">
        <f t="shared" si="25"/>
        <v>库存为10</v>
      </c>
      <c r="AV1562" s="31" t="str">
        <f>IFERROR(时间!$B$4+AU1562,"上周无销量")</f>
        <v>上周无销量</v>
      </c>
    </row>
    <row r="1563" spans="1:48">
      <c r="A1563" s="16" t="s">
        <v>2650</v>
      </c>
      <c r="B1563" t="s">
        <v>2651</v>
      </c>
      <c r="C1563" t="s">
        <v>2594</v>
      </c>
      <c r="D1563" s="24">
        <v>1</v>
      </c>
      <c r="E1563" s="24">
        <v>0</v>
      </c>
      <c r="F1563" s="24">
        <v>0</v>
      </c>
      <c r="G1563" s="24">
        <v>0</v>
      </c>
      <c r="H1563" s="25">
        <v>25.98</v>
      </c>
      <c r="I1563">
        <v>21</v>
      </c>
      <c r="J1563" s="26">
        <v>0</v>
      </c>
      <c r="K1563" s="26">
        <v>0</v>
      </c>
      <c r="L1563" s="26">
        <v>0</v>
      </c>
      <c r="M1563">
        <v>21</v>
      </c>
      <c r="N1563">
        <v>0</v>
      </c>
      <c r="O1563">
        <v>21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9</v>
      </c>
      <c r="AK1563">
        <v>7</v>
      </c>
      <c r="AL1563">
        <v>6</v>
      </c>
      <c r="AM1563">
        <v>6</v>
      </c>
      <c r="AN1563" s="18">
        <v>0.111111111111111</v>
      </c>
      <c r="AO1563" s="18">
        <v>0</v>
      </c>
      <c r="AP1563" s="18">
        <v>0</v>
      </c>
      <c r="AQ1563" s="18">
        <v>0</v>
      </c>
      <c r="AR1563" s="29">
        <v>0.142857142857143</v>
      </c>
      <c r="AS1563" s="29">
        <v>8.57142857142857</v>
      </c>
      <c r="AT1563" s="29">
        <v>12.4285714285714</v>
      </c>
      <c r="AU1563" s="24">
        <f t="shared" si="25"/>
        <v>147</v>
      </c>
      <c r="AV1563" s="31">
        <f>IFERROR(时间!$B$4+AU1563,"上周无销量")</f>
        <v>43465</v>
      </c>
    </row>
    <row r="1564" spans="1:48">
      <c r="A1564" s="16" t="s">
        <v>2652</v>
      </c>
      <c r="B1564" t="s">
        <v>2653</v>
      </c>
      <c r="C1564" t="s">
        <v>2594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34</v>
      </c>
      <c r="J1564" s="26">
        <v>0</v>
      </c>
      <c r="K1564" s="26">
        <v>0</v>
      </c>
      <c r="L1564" s="26">
        <v>0</v>
      </c>
      <c r="M1564">
        <v>34</v>
      </c>
      <c r="N1564">
        <v>0</v>
      </c>
      <c r="O1564">
        <v>34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4</v>
      </c>
      <c r="AK1564">
        <v>2</v>
      </c>
      <c r="AL1564">
        <v>7</v>
      </c>
      <c r="AM1564">
        <v>5</v>
      </c>
      <c r="AN1564" s="18">
        <v>0</v>
      </c>
      <c r="AO1564" s="18">
        <v>0</v>
      </c>
      <c r="AP1564" s="18">
        <v>0</v>
      </c>
      <c r="AQ1564" s="18">
        <v>0</v>
      </c>
      <c r="AR1564" s="29">
        <v>0</v>
      </c>
      <c r="AS1564" s="29">
        <v>0</v>
      </c>
      <c r="AT1564" s="29">
        <v>34</v>
      </c>
      <c r="AU1564" s="24" t="str">
        <f t="shared" si="25"/>
        <v>库存为34</v>
      </c>
      <c r="AV1564" s="31" t="str">
        <f>IFERROR(时间!$B$4+AU1564,"上周无销量")</f>
        <v>上周无销量</v>
      </c>
    </row>
    <row r="1565" spans="1:48">
      <c r="A1565" s="16" t="s">
        <v>2654</v>
      </c>
      <c r="B1565" t="s">
        <v>2655</v>
      </c>
      <c r="C1565" t="s">
        <v>2594</v>
      </c>
      <c r="D1565" s="24">
        <v>0</v>
      </c>
      <c r="E1565" s="24">
        <v>0</v>
      </c>
      <c r="F1565" s="24">
        <v>0</v>
      </c>
      <c r="G1565" s="24">
        <v>0</v>
      </c>
      <c r="H1565" s="25">
        <v>0</v>
      </c>
      <c r="I1565">
        <v>16</v>
      </c>
      <c r="J1565" s="26">
        <v>0</v>
      </c>
      <c r="K1565" s="26">
        <v>0</v>
      </c>
      <c r="L1565" s="26">
        <v>0</v>
      </c>
      <c r="M1565">
        <v>16</v>
      </c>
      <c r="N1565">
        <v>0</v>
      </c>
      <c r="O1565">
        <v>16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0</v>
      </c>
      <c r="AK1565">
        <v>0</v>
      </c>
      <c r="AL1565">
        <v>0</v>
      </c>
      <c r="AM1565">
        <v>0</v>
      </c>
      <c r="AN1565" s="18" t="s">
        <v>52</v>
      </c>
      <c r="AO1565" s="18" t="s">
        <v>52</v>
      </c>
      <c r="AP1565" s="18" t="s">
        <v>52</v>
      </c>
      <c r="AQ1565" s="18" t="s">
        <v>52</v>
      </c>
      <c r="AR1565" s="29">
        <v>0</v>
      </c>
      <c r="AS1565" s="29">
        <v>0</v>
      </c>
      <c r="AT1565" s="29">
        <v>16</v>
      </c>
      <c r="AU1565" s="24" t="str">
        <f t="shared" si="25"/>
        <v>库存为16</v>
      </c>
      <c r="AV1565" s="31" t="str">
        <f>IFERROR(时间!$B$4+AU1565,"上周无销量")</f>
        <v>上周无销量</v>
      </c>
    </row>
    <row r="1566" spans="1:48">
      <c r="A1566" s="16" t="s">
        <v>2656</v>
      </c>
      <c r="B1566" t="s">
        <v>1462</v>
      </c>
      <c r="C1566" t="s">
        <v>2594</v>
      </c>
      <c r="D1566" s="24">
        <v>0</v>
      </c>
      <c r="E1566" s="24">
        <v>0</v>
      </c>
      <c r="F1566" s="24">
        <v>0</v>
      </c>
      <c r="G1566" s="24">
        <v>0</v>
      </c>
      <c r="H1566" s="25">
        <v>0</v>
      </c>
      <c r="I1566">
        <v>34</v>
      </c>
      <c r="J1566" s="26">
        <v>0</v>
      </c>
      <c r="K1566" s="26">
        <v>0</v>
      </c>
      <c r="L1566" s="26">
        <v>0</v>
      </c>
      <c r="M1566">
        <v>34</v>
      </c>
      <c r="N1566">
        <v>0</v>
      </c>
      <c r="O1566">
        <v>34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4</v>
      </c>
      <c r="AK1566">
        <v>6</v>
      </c>
      <c r="AL1566">
        <v>5</v>
      </c>
      <c r="AM1566">
        <v>4</v>
      </c>
      <c r="AN1566" s="18">
        <v>0</v>
      </c>
      <c r="AO1566" s="18">
        <v>0</v>
      </c>
      <c r="AP1566" s="18">
        <v>0</v>
      </c>
      <c r="AQ1566" s="18">
        <v>0</v>
      </c>
      <c r="AR1566" s="29">
        <v>0</v>
      </c>
      <c r="AS1566" s="29">
        <v>0</v>
      </c>
      <c r="AT1566" s="29">
        <v>34</v>
      </c>
      <c r="AU1566" s="24" t="str">
        <f t="shared" si="25"/>
        <v>库存为34</v>
      </c>
      <c r="AV1566" s="31" t="str">
        <f>IFERROR(时间!$B$4+AU1566,"上周无销量")</f>
        <v>上周无销量</v>
      </c>
    </row>
    <row r="1567" spans="1:48">
      <c r="A1567" s="16" t="s">
        <v>2657</v>
      </c>
      <c r="B1567" t="s">
        <v>2658</v>
      </c>
      <c r="C1567" t="s">
        <v>2594</v>
      </c>
      <c r="D1567" s="24">
        <v>0</v>
      </c>
      <c r="E1567" s="24">
        <v>0</v>
      </c>
      <c r="F1567" s="24">
        <v>0</v>
      </c>
      <c r="G1567" s="24">
        <v>0</v>
      </c>
      <c r="H1567" s="25">
        <v>0</v>
      </c>
      <c r="I1567">
        <v>33</v>
      </c>
      <c r="J1567" s="26">
        <v>0</v>
      </c>
      <c r="K1567" s="26">
        <v>0</v>
      </c>
      <c r="L1567" s="26">
        <v>0</v>
      </c>
      <c r="M1567">
        <v>33</v>
      </c>
      <c r="N1567">
        <v>0</v>
      </c>
      <c r="O1567">
        <v>33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0</v>
      </c>
      <c r="AK1567">
        <v>0</v>
      </c>
      <c r="AL1567">
        <v>0</v>
      </c>
      <c r="AM1567">
        <v>0</v>
      </c>
      <c r="AN1567" s="18" t="s">
        <v>52</v>
      </c>
      <c r="AO1567" s="18" t="s">
        <v>52</v>
      </c>
      <c r="AP1567" s="18" t="s">
        <v>52</v>
      </c>
      <c r="AQ1567" s="18" t="s">
        <v>52</v>
      </c>
      <c r="AR1567" s="29">
        <v>0</v>
      </c>
      <c r="AS1567" s="29">
        <v>0</v>
      </c>
      <c r="AT1567" s="29">
        <v>33</v>
      </c>
      <c r="AU1567" s="24" t="str">
        <f t="shared" si="25"/>
        <v>库存为33</v>
      </c>
      <c r="AV1567" s="31" t="str">
        <f>IFERROR(时间!$B$4+AU1567,"上周无销量")</f>
        <v>上周无销量</v>
      </c>
    </row>
    <row r="1568" spans="1:48">
      <c r="A1568" s="16" t="s">
        <v>2659</v>
      </c>
      <c r="B1568" t="s">
        <v>1398</v>
      </c>
      <c r="C1568" t="s">
        <v>2594</v>
      </c>
      <c r="D1568" s="24">
        <v>0</v>
      </c>
      <c r="E1568" s="24">
        <v>0</v>
      </c>
      <c r="F1568" s="24">
        <v>0</v>
      </c>
      <c r="G1568" s="24">
        <v>0</v>
      </c>
      <c r="H1568" s="25">
        <v>0</v>
      </c>
      <c r="I1568">
        <v>4</v>
      </c>
      <c r="J1568" s="26">
        <v>13</v>
      </c>
      <c r="K1568" s="26">
        <v>0</v>
      </c>
      <c r="L1568" s="26">
        <v>0</v>
      </c>
      <c r="M1568">
        <v>17</v>
      </c>
      <c r="N1568">
        <v>0</v>
      </c>
      <c r="O1568">
        <v>4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17</v>
      </c>
      <c r="AK1568">
        <v>20</v>
      </c>
      <c r="AL1568">
        <v>13</v>
      </c>
      <c r="AM1568">
        <v>6</v>
      </c>
      <c r="AN1568" s="18">
        <v>0</v>
      </c>
      <c r="AO1568" s="18">
        <v>0</v>
      </c>
      <c r="AP1568" s="18">
        <v>0</v>
      </c>
      <c r="AQ1568" s="18">
        <v>0</v>
      </c>
      <c r="AR1568" s="29">
        <v>0</v>
      </c>
      <c r="AS1568" s="29">
        <v>0</v>
      </c>
      <c r="AT1568" s="29">
        <v>17</v>
      </c>
      <c r="AU1568" s="24" t="str">
        <f t="shared" si="25"/>
        <v>库存为17</v>
      </c>
      <c r="AV1568" s="31" t="str">
        <f>IFERROR(时间!$B$4+AU1568,"上周无销量")</f>
        <v>上周无销量</v>
      </c>
    </row>
    <row r="1569" spans="1:48">
      <c r="A1569" s="16" t="s">
        <v>2660</v>
      </c>
      <c r="B1569" t="s">
        <v>1477</v>
      </c>
      <c r="C1569" t="s">
        <v>2661</v>
      </c>
      <c r="D1569" s="24">
        <v>1</v>
      </c>
      <c r="E1569" s="24">
        <v>0</v>
      </c>
      <c r="F1569" s="24">
        <v>0</v>
      </c>
      <c r="G1569" s="24">
        <v>2</v>
      </c>
      <c r="H1569" s="25">
        <v>22.98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39</v>
      </c>
      <c r="AK1569">
        <v>19</v>
      </c>
      <c r="AL1569">
        <v>41</v>
      </c>
      <c r="AM1569">
        <v>28</v>
      </c>
      <c r="AN1569" s="18">
        <v>0.0256410256410256</v>
      </c>
      <c r="AO1569" s="18">
        <v>0</v>
      </c>
      <c r="AP1569" s="18">
        <v>0</v>
      </c>
      <c r="AQ1569" s="18">
        <v>0.0714285714285714</v>
      </c>
      <c r="AR1569" s="29">
        <v>0.142857142857143</v>
      </c>
      <c r="AS1569" s="29">
        <v>8.57142857142857</v>
      </c>
      <c r="AT1569" s="29">
        <v>-8.57142857142857</v>
      </c>
      <c r="AU1569" s="24">
        <f t="shared" si="25"/>
        <v>0</v>
      </c>
      <c r="AV1569" s="31">
        <f>IFERROR(时间!$B$4+AU1569,"上周无销量")</f>
        <v>43318</v>
      </c>
    </row>
    <row r="1570" spans="1:48">
      <c r="A1570" s="16" t="s">
        <v>2662</v>
      </c>
      <c r="B1570" t="s">
        <v>1479</v>
      </c>
      <c r="C1570" t="s">
        <v>2661</v>
      </c>
      <c r="D1570" s="24">
        <v>3</v>
      </c>
      <c r="E1570" s="24">
        <v>6</v>
      </c>
      <c r="F1570" s="24">
        <v>6</v>
      </c>
      <c r="G1570" s="24">
        <v>8</v>
      </c>
      <c r="H1570" s="25">
        <v>21.98</v>
      </c>
      <c r="I1570">
        <v>29</v>
      </c>
      <c r="J1570" s="26">
        <v>0</v>
      </c>
      <c r="K1570" s="26">
        <v>0</v>
      </c>
      <c r="L1570" s="26">
        <v>0</v>
      </c>
      <c r="M1570">
        <v>29</v>
      </c>
      <c r="N1570">
        <v>0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21</v>
      </c>
      <c r="AK1570">
        <v>20</v>
      </c>
      <c r="AL1570">
        <v>35</v>
      </c>
      <c r="AM1570">
        <v>30</v>
      </c>
      <c r="AN1570" s="18">
        <v>0.142857142857143</v>
      </c>
      <c r="AO1570" s="18">
        <v>0.3</v>
      </c>
      <c r="AP1570" s="18">
        <v>0.171428571428571</v>
      </c>
      <c r="AQ1570" s="18">
        <v>0.266666666666667</v>
      </c>
      <c r="AR1570" s="29">
        <v>0.428571428571429</v>
      </c>
      <c r="AS1570" s="29">
        <v>25.7142857142857</v>
      </c>
      <c r="AT1570" s="29">
        <v>3.28571428571429</v>
      </c>
      <c r="AU1570" s="24">
        <f t="shared" si="25"/>
        <v>67</v>
      </c>
      <c r="AV1570" s="31">
        <f>IFERROR(时间!$B$4+AU1570,"上周无销量")</f>
        <v>43385</v>
      </c>
    </row>
    <row r="1571" spans="1:48">
      <c r="A1571" s="16" t="s">
        <v>2663</v>
      </c>
      <c r="B1571" t="s">
        <v>1481</v>
      </c>
      <c r="C1571" t="s">
        <v>2661</v>
      </c>
      <c r="D1571" s="24">
        <v>2</v>
      </c>
      <c r="E1571" s="24">
        <v>1</v>
      </c>
      <c r="F1571" s="24">
        <v>0</v>
      </c>
      <c r="G1571" s="24">
        <v>0</v>
      </c>
      <c r="H1571" s="25">
        <v>20.98</v>
      </c>
      <c r="I1571">
        <v>12</v>
      </c>
      <c r="J1571" s="26">
        <v>0</v>
      </c>
      <c r="K1571" s="26">
        <v>0</v>
      </c>
      <c r="L1571" s="26">
        <v>0</v>
      </c>
      <c r="M1571">
        <v>12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18</v>
      </c>
      <c r="AK1571">
        <v>21</v>
      </c>
      <c r="AL1571">
        <v>4</v>
      </c>
      <c r="AM1571">
        <v>2</v>
      </c>
      <c r="AN1571" s="18">
        <v>0.111111111111111</v>
      </c>
      <c r="AO1571" s="18">
        <v>0.0476190476190476</v>
      </c>
      <c r="AP1571" s="18">
        <v>0</v>
      </c>
      <c r="AQ1571" s="18">
        <v>0</v>
      </c>
      <c r="AR1571" s="29">
        <v>0.285714285714286</v>
      </c>
      <c r="AS1571" s="29">
        <v>17.1428571428571</v>
      </c>
      <c r="AT1571" s="29">
        <v>-5.14285714285714</v>
      </c>
      <c r="AU1571" s="24">
        <f t="shared" si="25"/>
        <v>42</v>
      </c>
      <c r="AV1571" s="31">
        <f>IFERROR(时间!$B$4+AU1571,"上周无销量")</f>
        <v>43360</v>
      </c>
    </row>
    <row r="1572" spans="1:48">
      <c r="A1572" s="16" t="s">
        <v>2664</v>
      </c>
      <c r="B1572" t="s">
        <v>1483</v>
      </c>
      <c r="C1572" t="s">
        <v>2661</v>
      </c>
      <c r="D1572" s="24">
        <v>5</v>
      </c>
      <c r="E1572" s="24">
        <v>15</v>
      </c>
      <c r="F1572" s="24">
        <v>12</v>
      </c>
      <c r="G1572" s="24">
        <v>7</v>
      </c>
      <c r="H1572" s="25">
        <v>22.98</v>
      </c>
      <c r="I1572">
        <v>0</v>
      </c>
      <c r="J1572" s="26">
        <v>0</v>
      </c>
      <c r="K1572" s="26">
        <v>0</v>
      </c>
      <c r="L1572" s="26">
        <v>0</v>
      </c>
      <c r="M1572">
        <v>0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67</v>
      </c>
      <c r="AK1572">
        <v>55</v>
      </c>
      <c r="AL1572">
        <v>51</v>
      </c>
      <c r="AM1572">
        <v>56</v>
      </c>
      <c r="AN1572" s="18">
        <v>0.0746268656716418</v>
      </c>
      <c r="AO1572" s="18">
        <v>0.272727272727273</v>
      </c>
      <c r="AP1572" s="18">
        <v>0.235294117647059</v>
      </c>
      <c r="AQ1572" s="18">
        <v>0.125</v>
      </c>
      <c r="AR1572" s="29">
        <v>0.714285714285714</v>
      </c>
      <c r="AS1572" s="29">
        <v>42.8571428571429</v>
      </c>
      <c r="AT1572" s="29">
        <v>-42.8571428571429</v>
      </c>
      <c r="AU1572" s="24">
        <f t="shared" si="25"/>
        <v>0</v>
      </c>
      <c r="AV1572" s="31">
        <f>IFERROR(时间!$B$4+AU1572,"上周无销量")</f>
        <v>43318</v>
      </c>
    </row>
    <row r="1573" spans="1:48">
      <c r="A1573" s="16" t="s">
        <v>2665</v>
      </c>
      <c r="B1573" t="s">
        <v>1485</v>
      </c>
      <c r="C1573" t="s">
        <v>2661</v>
      </c>
      <c r="D1573" s="24">
        <v>8</v>
      </c>
      <c r="E1573" s="24">
        <v>7</v>
      </c>
      <c r="F1573" s="24">
        <v>13</v>
      </c>
      <c r="G1573" s="24">
        <v>5</v>
      </c>
      <c r="H1573" s="25">
        <v>22.98</v>
      </c>
      <c r="I1573">
        <v>0</v>
      </c>
      <c r="J1573" s="26">
        <v>0</v>
      </c>
      <c r="K1573" s="26">
        <v>0</v>
      </c>
      <c r="L1573" s="26">
        <v>1</v>
      </c>
      <c r="M1573">
        <v>1</v>
      </c>
      <c r="N1573">
        <v>1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35</v>
      </c>
      <c r="AK1573">
        <v>15</v>
      </c>
      <c r="AL1573">
        <v>46</v>
      </c>
      <c r="AM1573">
        <v>36</v>
      </c>
      <c r="AN1573" s="18">
        <v>0.228571428571429</v>
      </c>
      <c r="AO1573" s="18">
        <v>0.466666666666667</v>
      </c>
      <c r="AP1573" s="18">
        <v>0.282608695652174</v>
      </c>
      <c r="AQ1573" s="18">
        <v>0.138888888888889</v>
      </c>
      <c r="AR1573" s="29">
        <v>1.14285714285714</v>
      </c>
      <c r="AS1573" s="29">
        <v>68.5714285714286</v>
      </c>
      <c r="AT1573" s="29">
        <v>-67.5714285714286</v>
      </c>
      <c r="AU1573" s="24">
        <f t="shared" si="25"/>
        <v>0</v>
      </c>
      <c r="AV1573" s="31">
        <f>IFERROR(时间!$B$4+AU1573,"上周无销量")</f>
        <v>43318</v>
      </c>
    </row>
    <row r="1574" spans="1:48">
      <c r="A1574" s="16" t="s">
        <v>2666</v>
      </c>
      <c r="B1574" t="s">
        <v>1487</v>
      </c>
      <c r="C1574" t="s">
        <v>2661</v>
      </c>
      <c r="D1574" s="24">
        <v>0</v>
      </c>
      <c r="E1574" s="24">
        <v>0</v>
      </c>
      <c r="F1574" s="24">
        <v>0</v>
      </c>
      <c r="G1574" s="24">
        <v>1</v>
      </c>
      <c r="H1574" s="25">
        <v>24.98</v>
      </c>
      <c r="I1574">
        <v>7</v>
      </c>
      <c r="J1574" s="26">
        <v>0</v>
      </c>
      <c r="K1574" s="26">
        <v>0</v>
      </c>
      <c r="L1574" s="26">
        <v>0</v>
      </c>
      <c r="M1574">
        <v>7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6647</v>
      </c>
      <c r="T1574">
        <v>0</v>
      </c>
      <c r="U1574">
        <v>0</v>
      </c>
      <c r="V1574">
        <v>0</v>
      </c>
      <c r="W1574">
        <v>47</v>
      </c>
      <c r="X1574" s="18" t="s">
        <v>52</v>
      </c>
      <c r="Y1574" s="18" t="s">
        <v>52</v>
      </c>
      <c r="Z1574" s="18" t="s">
        <v>52</v>
      </c>
      <c r="AA1574" s="18">
        <v>0.00707085903415074</v>
      </c>
      <c r="AB1574">
        <v>0</v>
      </c>
      <c r="AC1574">
        <v>0</v>
      </c>
      <c r="AD1574">
        <v>0</v>
      </c>
      <c r="AE1574">
        <v>34.23</v>
      </c>
      <c r="AF1574" s="18" t="s">
        <v>52</v>
      </c>
      <c r="AG1574" s="18" t="s">
        <v>52</v>
      </c>
      <c r="AH1574" s="18" t="s">
        <v>52</v>
      </c>
      <c r="AI1574" s="18">
        <v>1.37029623698959</v>
      </c>
      <c r="AJ1574">
        <v>32</v>
      </c>
      <c r="AK1574">
        <v>37</v>
      </c>
      <c r="AL1574">
        <v>40</v>
      </c>
      <c r="AM1574">
        <v>19</v>
      </c>
      <c r="AN1574" s="18">
        <v>0</v>
      </c>
      <c r="AO1574" s="18">
        <v>0</v>
      </c>
      <c r="AP1574" s="18">
        <v>0</v>
      </c>
      <c r="AQ1574" s="18">
        <v>0.0526315789473684</v>
      </c>
      <c r="AR1574" s="29">
        <v>0</v>
      </c>
      <c r="AS1574" s="29">
        <v>0</v>
      </c>
      <c r="AT1574" s="29">
        <v>7</v>
      </c>
      <c r="AU1574" s="24" t="str">
        <f t="shared" si="25"/>
        <v>库存为7</v>
      </c>
      <c r="AV1574" s="31" t="str">
        <f>IFERROR(时间!$B$4+AU1574,"上周无销量")</f>
        <v>上周无销量</v>
      </c>
    </row>
    <row r="1575" spans="1:48">
      <c r="A1575" s="16" t="s">
        <v>2667</v>
      </c>
      <c r="B1575" t="s">
        <v>1489</v>
      </c>
      <c r="C1575" t="s">
        <v>2661</v>
      </c>
      <c r="D1575" s="24">
        <v>1</v>
      </c>
      <c r="E1575" s="24">
        <v>3</v>
      </c>
      <c r="F1575" s="24">
        <v>2</v>
      </c>
      <c r="G1575" s="24">
        <v>6</v>
      </c>
      <c r="H1575" s="25">
        <v>22.98</v>
      </c>
      <c r="I1575">
        <v>0</v>
      </c>
      <c r="J1575" s="26">
        <v>0</v>
      </c>
      <c r="K1575" s="26">
        <v>0</v>
      </c>
      <c r="L1575" s="26">
        <v>0</v>
      </c>
      <c r="M1575">
        <v>0</v>
      </c>
      <c r="N1575">
        <v>0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13</v>
      </c>
      <c r="AK1575">
        <v>4</v>
      </c>
      <c r="AL1575">
        <v>4</v>
      </c>
      <c r="AM1575">
        <v>22</v>
      </c>
      <c r="AN1575" s="18">
        <v>0.0769230769230769</v>
      </c>
      <c r="AO1575" s="18">
        <v>0.75</v>
      </c>
      <c r="AP1575" s="18">
        <v>0.5</v>
      </c>
      <c r="AQ1575" s="18">
        <v>0.272727272727273</v>
      </c>
      <c r="AR1575" s="29">
        <v>0.142857142857143</v>
      </c>
      <c r="AS1575" s="29">
        <v>8.57142857142857</v>
      </c>
      <c r="AT1575" s="29">
        <v>-8.57142857142857</v>
      </c>
      <c r="AU1575" s="24">
        <f t="shared" si="25"/>
        <v>0</v>
      </c>
      <c r="AV1575" s="31">
        <f>IFERROR(时间!$B$4+AU1575,"上周无销量")</f>
        <v>43318</v>
      </c>
    </row>
    <row r="1576" spans="1:48">
      <c r="A1576" s="16" t="s">
        <v>2668</v>
      </c>
      <c r="B1576" t="s">
        <v>1491</v>
      </c>
      <c r="C1576" t="s">
        <v>2661</v>
      </c>
      <c r="D1576" s="24">
        <v>2</v>
      </c>
      <c r="E1576" s="24">
        <v>1</v>
      </c>
      <c r="F1576" s="24">
        <v>2</v>
      </c>
      <c r="G1576" s="24">
        <v>1</v>
      </c>
      <c r="H1576" s="25">
        <v>17.98</v>
      </c>
      <c r="I1576">
        <v>8</v>
      </c>
      <c r="J1576" s="26">
        <v>0</v>
      </c>
      <c r="K1576" s="26">
        <v>0</v>
      </c>
      <c r="L1576" s="26">
        <v>0</v>
      </c>
      <c r="M1576">
        <v>8</v>
      </c>
      <c r="N1576">
        <v>0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31</v>
      </c>
      <c r="AK1576">
        <v>29</v>
      </c>
      <c r="AL1576">
        <v>25</v>
      </c>
      <c r="AM1576">
        <v>27</v>
      </c>
      <c r="AN1576" s="18">
        <v>0.0645161290322581</v>
      </c>
      <c r="AO1576" s="18">
        <v>0.0344827586206897</v>
      </c>
      <c r="AP1576" s="18">
        <v>0.08</v>
      </c>
      <c r="AQ1576" s="18">
        <v>0.037037037037037</v>
      </c>
      <c r="AR1576" s="29">
        <v>0.285714285714286</v>
      </c>
      <c r="AS1576" s="29">
        <v>17.1428571428571</v>
      </c>
      <c r="AT1576" s="29">
        <v>-9.14285714285714</v>
      </c>
      <c r="AU1576" s="24">
        <f t="shared" si="25"/>
        <v>28</v>
      </c>
      <c r="AV1576" s="31">
        <f>IFERROR(时间!$B$4+AU1576,"上周无销量")</f>
        <v>43346</v>
      </c>
    </row>
    <row r="1577" spans="1:48">
      <c r="A1577" s="16" t="s">
        <v>2669</v>
      </c>
      <c r="B1577" t="s">
        <v>1493</v>
      </c>
      <c r="C1577" t="s">
        <v>2661</v>
      </c>
      <c r="D1577" s="24">
        <v>3</v>
      </c>
      <c r="E1577" s="24">
        <v>0</v>
      </c>
      <c r="F1577" s="24">
        <v>0</v>
      </c>
      <c r="G1577" s="24">
        <v>1</v>
      </c>
      <c r="H1577" s="25">
        <v>24.98</v>
      </c>
      <c r="I1577">
        <v>0</v>
      </c>
      <c r="J1577" s="26">
        <v>0</v>
      </c>
      <c r="K1577" s="26">
        <v>0</v>
      </c>
      <c r="L1577" s="26">
        <v>0</v>
      </c>
      <c r="M1577">
        <v>0</v>
      </c>
      <c r="N1577">
        <v>0</v>
      </c>
      <c r="O1577">
        <v>0</v>
      </c>
      <c r="P1577">
        <v>0</v>
      </c>
      <c r="Q1577">
        <v>248</v>
      </c>
      <c r="R1577">
        <v>6806</v>
      </c>
      <c r="S1577">
        <v>5464</v>
      </c>
      <c r="T1577">
        <v>0</v>
      </c>
      <c r="U1577">
        <v>0</v>
      </c>
      <c r="V1577">
        <v>24</v>
      </c>
      <c r="W1577">
        <v>15</v>
      </c>
      <c r="X1577" s="18" t="s">
        <v>52</v>
      </c>
      <c r="Y1577" s="18">
        <v>0</v>
      </c>
      <c r="Z1577" s="18">
        <v>0.0035263003232442</v>
      </c>
      <c r="AA1577" s="18">
        <v>0.00274524158125915</v>
      </c>
      <c r="AB1577">
        <v>0</v>
      </c>
      <c r="AC1577">
        <v>0</v>
      </c>
      <c r="AD1577">
        <v>15.17</v>
      </c>
      <c r="AE1577">
        <v>10.31</v>
      </c>
      <c r="AF1577" s="18" t="s">
        <v>52</v>
      </c>
      <c r="AG1577" s="18" t="s">
        <v>52</v>
      </c>
      <c r="AH1577" s="18" t="s">
        <v>2670</v>
      </c>
      <c r="AI1577" s="18">
        <v>0.412730184147318</v>
      </c>
      <c r="AJ1577">
        <v>25</v>
      </c>
      <c r="AK1577">
        <v>31</v>
      </c>
      <c r="AL1577">
        <v>47</v>
      </c>
      <c r="AM1577">
        <v>12</v>
      </c>
      <c r="AN1577" s="18">
        <v>0.12</v>
      </c>
      <c r="AO1577" s="18">
        <v>0</v>
      </c>
      <c r="AP1577" s="18">
        <v>0</v>
      </c>
      <c r="AQ1577" s="18">
        <v>0.0833333333333333</v>
      </c>
      <c r="AR1577" s="29">
        <v>0.428571428571429</v>
      </c>
      <c r="AS1577" s="29">
        <v>25.7142857142857</v>
      </c>
      <c r="AT1577" s="29">
        <v>-25.7142857142857</v>
      </c>
      <c r="AU1577" s="24">
        <f t="shared" si="25"/>
        <v>0</v>
      </c>
      <c r="AV1577" s="31">
        <f>IFERROR(时间!$B$4+AU1577,"上周无销量")</f>
        <v>43318</v>
      </c>
    </row>
    <row r="1578" spans="1:48">
      <c r="A1578" s="16" t="s">
        <v>2671</v>
      </c>
      <c r="B1578" t="s">
        <v>1495</v>
      </c>
      <c r="C1578" t="s">
        <v>2661</v>
      </c>
      <c r="D1578" s="24">
        <v>0</v>
      </c>
      <c r="E1578" s="24">
        <v>0</v>
      </c>
      <c r="F1578" s="24">
        <v>1</v>
      </c>
      <c r="G1578" s="24">
        <v>0</v>
      </c>
      <c r="H1578" s="25">
        <v>23.98</v>
      </c>
      <c r="I1578">
        <v>5</v>
      </c>
      <c r="J1578" s="26">
        <v>0</v>
      </c>
      <c r="K1578" s="26">
        <v>0</v>
      </c>
      <c r="L1578" s="26">
        <v>0</v>
      </c>
      <c r="M1578">
        <v>5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0</v>
      </c>
      <c r="AK1578">
        <v>0</v>
      </c>
      <c r="AL1578">
        <v>4</v>
      </c>
      <c r="AM1578">
        <v>6</v>
      </c>
      <c r="AN1578" s="18" t="s">
        <v>52</v>
      </c>
      <c r="AO1578" s="18" t="s">
        <v>52</v>
      </c>
      <c r="AP1578" s="18">
        <v>0.25</v>
      </c>
      <c r="AQ1578" s="18">
        <v>0</v>
      </c>
      <c r="AR1578" s="29">
        <v>0</v>
      </c>
      <c r="AS1578" s="29">
        <v>0</v>
      </c>
      <c r="AT1578" s="29">
        <v>5</v>
      </c>
      <c r="AU1578" s="24" t="str">
        <f t="shared" si="25"/>
        <v>库存为5</v>
      </c>
      <c r="AV1578" s="31" t="str">
        <f>IFERROR(时间!$B$4+AU1578,"上周无销量")</f>
        <v>上周无销量</v>
      </c>
    </row>
    <row r="1579" spans="1:48">
      <c r="A1579" s="16" t="s">
        <v>2672</v>
      </c>
      <c r="B1579" t="s">
        <v>1497</v>
      </c>
      <c r="C1579" t="s">
        <v>2661</v>
      </c>
      <c r="D1579" s="24">
        <v>0</v>
      </c>
      <c r="E1579" s="24">
        <v>0</v>
      </c>
      <c r="F1579" s="24">
        <v>0</v>
      </c>
      <c r="G1579" s="24">
        <v>0</v>
      </c>
      <c r="H1579" s="25">
        <v>0</v>
      </c>
      <c r="I1579">
        <v>0</v>
      </c>
      <c r="J1579" s="26">
        <v>0</v>
      </c>
      <c r="K1579" s="26">
        <v>0</v>
      </c>
      <c r="L1579" s="26">
        <v>0</v>
      </c>
      <c r="M1579">
        <v>0</v>
      </c>
      <c r="N1579">
        <v>1</v>
      </c>
      <c r="O1579">
        <v>0</v>
      </c>
      <c r="P1579">
        <v>0</v>
      </c>
      <c r="Q1579">
        <v>0</v>
      </c>
      <c r="R1579">
        <v>99</v>
      </c>
      <c r="S1579">
        <v>0</v>
      </c>
      <c r="T1579">
        <v>0</v>
      </c>
      <c r="U1579">
        <v>0</v>
      </c>
      <c r="V1579">
        <v>0</v>
      </c>
      <c r="W1579">
        <v>0</v>
      </c>
      <c r="X1579" s="18" t="s">
        <v>52</v>
      </c>
      <c r="Y1579" s="18" t="s">
        <v>52</v>
      </c>
      <c r="Z1579" s="18">
        <v>0</v>
      </c>
      <c r="AA1579" s="18" t="s">
        <v>52</v>
      </c>
      <c r="AB1579">
        <v>0</v>
      </c>
      <c r="AC1579">
        <v>0</v>
      </c>
      <c r="AD1579">
        <v>0</v>
      </c>
      <c r="AE1579">
        <v>0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125</v>
      </c>
      <c r="AK1579">
        <v>122</v>
      </c>
      <c r="AL1579">
        <v>124</v>
      </c>
      <c r="AM1579">
        <v>93</v>
      </c>
      <c r="AN1579" s="18">
        <v>0</v>
      </c>
      <c r="AO1579" s="18">
        <v>0</v>
      </c>
      <c r="AP1579" s="18">
        <v>0</v>
      </c>
      <c r="AQ1579" s="18">
        <v>0</v>
      </c>
      <c r="AR1579" s="29">
        <v>0</v>
      </c>
      <c r="AS1579" s="29">
        <v>0</v>
      </c>
      <c r="AT1579" s="29">
        <v>0</v>
      </c>
      <c r="AU1579" s="24" t="str">
        <f t="shared" si="25"/>
        <v>库存为0</v>
      </c>
      <c r="AV1579" s="31" t="str">
        <f>IFERROR(时间!$B$4+AU1579,"上周无销量")</f>
        <v>上周无销量</v>
      </c>
    </row>
    <row r="1580" spans="1:48">
      <c r="A1580" s="16" t="s">
        <v>2673</v>
      </c>
      <c r="B1580" t="s">
        <v>1499</v>
      </c>
      <c r="C1580" t="s">
        <v>2661</v>
      </c>
      <c r="D1580" s="24">
        <v>3</v>
      </c>
      <c r="E1580" s="24">
        <v>14</v>
      </c>
      <c r="F1580" s="24">
        <v>26</v>
      </c>
      <c r="G1580" s="24">
        <v>17</v>
      </c>
      <c r="H1580" s="25">
        <v>22.98</v>
      </c>
      <c r="I1580">
        <v>0</v>
      </c>
      <c r="J1580" s="26">
        <v>0</v>
      </c>
      <c r="K1580" s="26">
        <v>0</v>
      </c>
      <c r="L1580" s="26">
        <v>3</v>
      </c>
      <c r="M1580">
        <v>3</v>
      </c>
      <c r="N1580">
        <v>0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61</v>
      </c>
      <c r="AK1580">
        <v>62</v>
      </c>
      <c r="AL1580">
        <v>103</v>
      </c>
      <c r="AM1580">
        <v>69</v>
      </c>
      <c r="AN1580" s="18">
        <v>0.0491803278688525</v>
      </c>
      <c r="AO1580" s="18">
        <v>0.225806451612903</v>
      </c>
      <c r="AP1580" s="18">
        <v>0.252427184466019</v>
      </c>
      <c r="AQ1580" s="18">
        <v>0.246376811594203</v>
      </c>
      <c r="AR1580" s="29">
        <v>0.428571428571429</v>
      </c>
      <c r="AS1580" s="29">
        <v>25.7142857142857</v>
      </c>
      <c r="AT1580" s="29">
        <v>-22.7142857142857</v>
      </c>
      <c r="AU1580" s="24">
        <f t="shared" si="25"/>
        <v>7</v>
      </c>
      <c r="AV1580" s="31">
        <f>IFERROR(时间!$B$4+AU1580,"上周无销量")</f>
        <v>43325</v>
      </c>
    </row>
    <row r="1581" spans="1:48">
      <c r="A1581" s="16" t="s">
        <v>2674</v>
      </c>
      <c r="B1581" t="s">
        <v>1501</v>
      </c>
      <c r="C1581" t="s">
        <v>2661</v>
      </c>
      <c r="D1581" s="24">
        <v>4</v>
      </c>
      <c r="E1581" s="24">
        <v>0</v>
      </c>
      <c r="F1581" s="24">
        <v>0</v>
      </c>
      <c r="G1581" s="24">
        <v>0</v>
      </c>
      <c r="H1581" s="25">
        <v>21.98</v>
      </c>
      <c r="I1581">
        <v>16</v>
      </c>
      <c r="J1581" s="26">
        <v>0</v>
      </c>
      <c r="K1581" s="26">
        <v>0</v>
      </c>
      <c r="L1581" s="26">
        <v>0</v>
      </c>
      <c r="M1581">
        <v>16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27</v>
      </c>
      <c r="AK1581">
        <v>5</v>
      </c>
      <c r="AL1581">
        <v>4</v>
      </c>
      <c r="AM1581">
        <v>5</v>
      </c>
      <c r="AN1581" s="18">
        <v>0.148148148148148</v>
      </c>
      <c r="AO1581" s="18">
        <v>0</v>
      </c>
      <c r="AP1581" s="18">
        <v>0</v>
      </c>
      <c r="AQ1581" s="18">
        <v>0</v>
      </c>
      <c r="AR1581" s="29">
        <v>0.571428571428571</v>
      </c>
      <c r="AS1581" s="29">
        <v>34.2857142857143</v>
      </c>
      <c r="AT1581" s="29">
        <v>-18.2857142857143</v>
      </c>
      <c r="AU1581" s="24">
        <f t="shared" si="25"/>
        <v>28</v>
      </c>
      <c r="AV1581" s="31">
        <f>IFERROR(时间!$B$4+AU1581,"上周无销量")</f>
        <v>43346</v>
      </c>
    </row>
    <row r="1582" spans="1:48">
      <c r="A1582" s="16" t="s">
        <v>2675</v>
      </c>
      <c r="B1582" t="s">
        <v>1503</v>
      </c>
      <c r="C1582" t="s">
        <v>2661</v>
      </c>
      <c r="D1582" s="24">
        <v>0</v>
      </c>
      <c r="E1582" s="24">
        <v>0</v>
      </c>
      <c r="F1582" s="24">
        <v>1</v>
      </c>
      <c r="G1582" s="24">
        <v>2</v>
      </c>
      <c r="H1582" s="25">
        <v>24.98</v>
      </c>
      <c r="I1582">
        <v>1</v>
      </c>
      <c r="J1582" s="26">
        <v>0</v>
      </c>
      <c r="K1582" s="26">
        <v>0</v>
      </c>
      <c r="L1582" s="26">
        <v>0</v>
      </c>
      <c r="M1582">
        <v>1</v>
      </c>
      <c r="N1582">
        <v>1</v>
      </c>
      <c r="O1582">
        <v>0</v>
      </c>
      <c r="P1582">
        <v>0</v>
      </c>
      <c r="Q1582">
        <v>0</v>
      </c>
      <c r="R1582">
        <v>0</v>
      </c>
      <c r="S1582">
        <v>317</v>
      </c>
      <c r="T1582">
        <v>0</v>
      </c>
      <c r="U1582">
        <v>0</v>
      </c>
      <c r="V1582">
        <v>0</v>
      </c>
      <c r="W1582">
        <v>8</v>
      </c>
      <c r="X1582" s="18" t="s">
        <v>52</v>
      </c>
      <c r="Y1582" s="18" t="s">
        <v>52</v>
      </c>
      <c r="Z1582" s="18" t="s">
        <v>52</v>
      </c>
      <c r="AA1582" s="18">
        <v>0.0252365930599369</v>
      </c>
      <c r="AB1582">
        <v>0</v>
      </c>
      <c r="AC1582">
        <v>0</v>
      </c>
      <c r="AD1582">
        <v>0</v>
      </c>
      <c r="AE1582">
        <v>6.18</v>
      </c>
      <c r="AF1582" s="18" t="s">
        <v>52</v>
      </c>
      <c r="AG1582" s="18" t="s">
        <v>52</v>
      </c>
      <c r="AH1582" s="18" t="s">
        <v>52</v>
      </c>
      <c r="AI1582" s="18">
        <v>0.123698959167334</v>
      </c>
      <c r="AJ1582">
        <v>78</v>
      </c>
      <c r="AK1582">
        <v>88</v>
      </c>
      <c r="AL1582">
        <v>106</v>
      </c>
      <c r="AM1582">
        <v>64</v>
      </c>
      <c r="AN1582" s="18">
        <v>0</v>
      </c>
      <c r="AO1582" s="18">
        <v>0</v>
      </c>
      <c r="AP1582" s="18">
        <v>0.00943396226415094</v>
      </c>
      <c r="AQ1582" s="18">
        <v>0.03125</v>
      </c>
      <c r="AR1582" s="29">
        <v>0</v>
      </c>
      <c r="AS1582" s="29">
        <v>0</v>
      </c>
      <c r="AT1582" s="29">
        <v>1</v>
      </c>
      <c r="AU1582" s="24" t="str">
        <f t="shared" si="25"/>
        <v>库存为1</v>
      </c>
      <c r="AV1582" s="31" t="str">
        <f>IFERROR(时间!$B$4+AU1582,"上周无销量")</f>
        <v>上周无销量</v>
      </c>
    </row>
    <row r="1583" spans="1:48">
      <c r="A1583" s="16" t="s">
        <v>2676</v>
      </c>
      <c r="B1583" t="s">
        <v>1505</v>
      </c>
      <c r="C1583" t="s">
        <v>2661</v>
      </c>
      <c r="D1583" s="24">
        <v>9</v>
      </c>
      <c r="E1583" s="24">
        <v>9</v>
      </c>
      <c r="F1583" s="24">
        <v>12</v>
      </c>
      <c r="G1583" s="24">
        <v>8</v>
      </c>
      <c r="H1583" s="25">
        <v>23.98</v>
      </c>
      <c r="I1583">
        <v>21</v>
      </c>
      <c r="J1583" s="26">
        <v>0</v>
      </c>
      <c r="K1583" s="26">
        <v>0</v>
      </c>
      <c r="L1583" s="26">
        <v>2</v>
      </c>
      <c r="M1583">
        <v>23</v>
      </c>
      <c r="N1583">
        <v>1</v>
      </c>
      <c r="O1583">
        <v>0</v>
      </c>
      <c r="P1583">
        <v>1481</v>
      </c>
      <c r="Q1583">
        <v>1500</v>
      </c>
      <c r="R1583">
        <v>913</v>
      </c>
      <c r="S1583">
        <v>0</v>
      </c>
      <c r="T1583">
        <v>20</v>
      </c>
      <c r="U1583">
        <v>14</v>
      </c>
      <c r="V1583">
        <v>13</v>
      </c>
      <c r="W1583">
        <v>0</v>
      </c>
      <c r="X1583" s="18">
        <v>0.0135043889264011</v>
      </c>
      <c r="Y1583" s="18">
        <v>0.00933333333333333</v>
      </c>
      <c r="Z1583" s="18">
        <v>0.0142387732749179</v>
      </c>
      <c r="AA1583" s="18" t="s">
        <v>52</v>
      </c>
      <c r="AB1583">
        <v>10.87</v>
      </c>
      <c r="AC1583">
        <v>8.6</v>
      </c>
      <c r="AD1583">
        <v>9.82</v>
      </c>
      <c r="AE1583">
        <v>0</v>
      </c>
      <c r="AF1583" s="18">
        <v>0.0503660457788898</v>
      </c>
      <c r="AG1583" s="18">
        <v>0.0398480214993976</v>
      </c>
      <c r="AH1583" s="18">
        <v>0.0341256602724493</v>
      </c>
      <c r="AI1583" s="18" t="s">
        <v>52</v>
      </c>
      <c r="AJ1583">
        <v>64</v>
      </c>
      <c r="AK1583">
        <v>45</v>
      </c>
      <c r="AL1583">
        <v>85</v>
      </c>
      <c r="AM1583">
        <v>57</v>
      </c>
      <c r="AN1583" s="18">
        <v>0.140625</v>
      </c>
      <c r="AO1583" s="18">
        <v>0.2</v>
      </c>
      <c r="AP1583" s="18">
        <v>0.141176470588235</v>
      </c>
      <c r="AQ1583" s="18">
        <v>0.140350877192982</v>
      </c>
      <c r="AR1583" s="29">
        <v>1.28571428571429</v>
      </c>
      <c r="AS1583" s="29">
        <v>77.1428571428572</v>
      </c>
      <c r="AT1583" s="29">
        <v>-54.1428571428572</v>
      </c>
      <c r="AU1583" s="24">
        <f t="shared" si="25"/>
        <v>17</v>
      </c>
      <c r="AV1583" s="31">
        <f>IFERROR(时间!$B$4+AU1583,"上周无销量")</f>
        <v>43335</v>
      </c>
    </row>
    <row r="1584" spans="1:48">
      <c r="A1584" s="16" t="s">
        <v>2677</v>
      </c>
      <c r="B1584" t="s">
        <v>2678</v>
      </c>
      <c r="C1584" t="s">
        <v>2661</v>
      </c>
      <c r="D1584" s="24">
        <v>0</v>
      </c>
      <c r="E1584" s="24">
        <v>0</v>
      </c>
      <c r="F1584" s="24">
        <v>0</v>
      </c>
      <c r="G1584" s="24">
        <v>1</v>
      </c>
      <c r="H1584" s="25">
        <v>22.98</v>
      </c>
      <c r="I1584">
        <v>1</v>
      </c>
      <c r="J1584" s="26">
        <v>0</v>
      </c>
      <c r="K1584" s="26">
        <v>0</v>
      </c>
      <c r="L1584" s="26">
        <v>0</v>
      </c>
      <c r="M1584">
        <v>1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2</v>
      </c>
      <c r="AK1584">
        <v>0</v>
      </c>
      <c r="AL1584">
        <v>7</v>
      </c>
      <c r="AM1584">
        <v>3</v>
      </c>
      <c r="AN1584" s="18">
        <v>0</v>
      </c>
      <c r="AO1584" s="18" t="s">
        <v>52</v>
      </c>
      <c r="AP1584" s="18">
        <v>0</v>
      </c>
      <c r="AQ1584" s="18">
        <v>0.333333333333333</v>
      </c>
      <c r="AR1584" s="29">
        <v>0</v>
      </c>
      <c r="AS1584" s="29">
        <v>0</v>
      </c>
      <c r="AT1584" s="29">
        <v>1</v>
      </c>
      <c r="AU1584" s="24" t="str">
        <f t="shared" si="25"/>
        <v>库存为1</v>
      </c>
      <c r="AV1584" s="31" t="str">
        <f>IFERROR(时间!$B$4+AU1584,"上周无销量")</f>
        <v>上周无销量</v>
      </c>
    </row>
    <row r="1585" spans="1:48">
      <c r="A1585" s="16" t="s">
        <v>2679</v>
      </c>
      <c r="B1585" t="s">
        <v>1509</v>
      </c>
      <c r="C1585" t="s">
        <v>2661</v>
      </c>
      <c r="D1585" s="24">
        <v>5</v>
      </c>
      <c r="E1585" s="24">
        <v>7</v>
      </c>
      <c r="F1585" s="24">
        <v>2</v>
      </c>
      <c r="G1585" s="24">
        <v>4</v>
      </c>
      <c r="H1585" s="25">
        <v>22.98</v>
      </c>
      <c r="I1585">
        <v>21</v>
      </c>
      <c r="J1585" s="26">
        <v>0</v>
      </c>
      <c r="K1585" s="26">
        <v>0</v>
      </c>
      <c r="L1585" s="26">
        <v>1</v>
      </c>
      <c r="M1585">
        <v>22</v>
      </c>
      <c r="N1585">
        <v>0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19</v>
      </c>
      <c r="AK1585">
        <v>33</v>
      </c>
      <c r="AL1585">
        <v>25</v>
      </c>
      <c r="AM1585">
        <v>22</v>
      </c>
      <c r="AN1585" s="18">
        <v>0.263157894736842</v>
      </c>
      <c r="AO1585" s="18">
        <v>0.212121212121212</v>
      </c>
      <c r="AP1585" s="18">
        <v>0.08</v>
      </c>
      <c r="AQ1585" s="18">
        <v>0.181818181818182</v>
      </c>
      <c r="AR1585" s="29">
        <v>0.714285714285714</v>
      </c>
      <c r="AS1585" s="29">
        <v>42.8571428571429</v>
      </c>
      <c r="AT1585" s="29">
        <v>-20.8571428571429</v>
      </c>
      <c r="AU1585" s="24">
        <f t="shared" si="25"/>
        <v>30</v>
      </c>
      <c r="AV1585" s="31">
        <f>IFERROR(时间!$B$4+AU1585,"上周无销量")</f>
        <v>43348</v>
      </c>
    </row>
    <row r="1586" spans="1:48">
      <c r="A1586" s="16" t="s">
        <v>2680</v>
      </c>
      <c r="B1586" t="s">
        <v>1511</v>
      </c>
      <c r="C1586" t="s">
        <v>2661</v>
      </c>
      <c r="D1586" s="24">
        <v>0</v>
      </c>
      <c r="E1586" s="24">
        <v>0</v>
      </c>
      <c r="F1586" s="24">
        <v>0</v>
      </c>
      <c r="G1586" s="24">
        <v>0</v>
      </c>
      <c r="H1586" s="25">
        <v>0</v>
      </c>
      <c r="I1586">
        <v>6</v>
      </c>
      <c r="J1586" s="26">
        <v>0</v>
      </c>
      <c r="K1586" s="26">
        <v>0</v>
      </c>
      <c r="L1586" s="26">
        <v>0</v>
      </c>
      <c r="M1586">
        <v>6</v>
      </c>
      <c r="N1586">
        <v>0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7</v>
      </c>
      <c r="AK1586">
        <v>2</v>
      </c>
      <c r="AL1586">
        <v>4</v>
      </c>
      <c r="AM1586">
        <v>4</v>
      </c>
      <c r="AN1586" s="18">
        <v>0</v>
      </c>
      <c r="AO1586" s="18">
        <v>0</v>
      </c>
      <c r="AP1586" s="18">
        <v>0</v>
      </c>
      <c r="AQ1586" s="18">
        <v>0</v>
      </c>
      <c r="AR1586" s="29">
        <v>0</v>
      </c>
      <c r="AS1586" s="29">
        <v>0</v>
      </c>
      <c r="AT1586" s="29">
        <v>6</v>
      </c>
      <c r="AU1586" s="24" t="str">
        <f t="shared" si="25"/>
        <v>库存为6</v>
      </c>
      <c r="AV1586" s="31" t="str">
        <f>IFERROR(时间!$B$4+AU1586,"上周无销量")</f>
        <v>上周无销量</v>
      </c>
    </row>
    <row r="1587" spans="1:48">
      <c r="A1587" s="16" t="s">
        <v>2681</v>
      </c>
      <c r="B1587" t="s">
        <v>1513</v>
      </c>
      <c r="C1587" t="s">
        <v>2661</v>
      </c>
      <c r="D1587" s="24">
        <v>0</v>
      </c>
      <c r="E1587" s="24">
        <v>2</v>
      </c>
      <c r="F1587" s="24">
        <v>1</v>
      </c>
      <c r="G1587" s="24">
        <v>7</v>
      </c>
      <c r="H1587" s="25">
        <v>23.98</v>
      </c>
      <c r="I1587">
        <v>0</v>
      </c>
      <c r="J1587" s="26">
        <v>0</v>
      </c>
      <c r="K1587" s="26">
        <v>0</v>
      </c>
      <c r="L1587" s="26">
        <v>0</v>
      </c>
      <c r="M1587">
        <v>0</v>
      </c>
      <c r="N1587">
        <v>0</v>
      </c>
      <c r="O1587">
        <v>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0</v>
      </c>
      <c r="AK1587">
        <v>5</v>
      </c>
      <c r="AL1587">
        <v>0</v>
      </c>
      <c r="AM1587">
        <v>15</v>
      </c>
      <c r="AN1587" s="18" t="s">
        <v>52</v>
      </c>
      <c r="AO1587" s="18">
        <v>0.4</v>
      </c>
      <c r="AP1587" s="18" t="s">
        <v>52</v>
      </c>
      <c r="AQ1587" s="18">
        <v>0.466666666666667</v>
      </c>
      <c r="AR1587" s="29">
        <v>0</v>
      </c>
      <c r="AS1587" s="29">
        <v>0</v>
      </c>
      <c r="AT1587" s="29">
        <v>0</v>
      </c>
      <c r="AU1587" s="24" t="str">
        <f t="shared" si="25"/>
        <v>库存为0</v>
      </c>
      <c r="AV1587" s="31" t="str">
        <f>IFERROR(时间!$B$4+AU1587,"上周无销量")</f>
        <v>上周无销量</v>
      </c>
    </row>
    <row r="1588" spans="1:48">
      <c r="A1588" s="16" t="s">
        <v>2682</v>
      </c>
      <c r="B1588" t="s">
        <v>1515</v>
      </c>
      <c r="C1588" t="s">
        <v>2661</v>
      </c>
      <c r="D1588" s="24">
        <v>2</v>
      </c>
      <c r="E1588" s="24">
        <v>2</v>
      </c>
      <c r="F1588" s="24">
        <v>4</v>
      </c>
      <c r="G1588" s="24">
        <v>6</v>
      </c>
      <c r="H1588" s="25">
        <v>23.98</v>
      </c>
      <c r="I1588">
        <v>38</v>
      </c>
      <c r="J1588" s="26">
        <v>0</v>
      </c>
      <c r="K1588" s="26">
        <v>0</v>
      </c>
      <c r="L1588" s="26">
        <v>0</v>
      </c>
      <c r="M1588">
        <v>38</v>
      </c>
      <c r="N1588">
        <v>0</v>
      </c>
      <c r="O1588">
        <v>0</v>
      </c>
      <c r="P1588" t="s">
        <v>52</v>
      </c>
      <c r="Q1588" t="s">
        <v>52</v>
      </c>
      <c r="R1588" t="s">
        <v>52</v>
      </c>
      <c r="S1588" t="s">
        <v>52</v>
      </c>
      <c r="T1588" t="s">
        <v>52</v>
      </c>
      <c r="U1588" t="s">
        <v>52</v>
      </c>
      <c r="V1588" t="s">
        <v>52</v>
      </c>
      <c r="W1588" t="s">
        <v>52</v>
      </c>
      <c r="X1588" s="18" t="s">
        <v>52</v>
      </c>
      <c r="Y1588" s="18" t="s">
        <v>52</v>
      </c>
      <c r="Z1588" s="18" t="s">
        <v>52</v>
      </c>
      <c r="AA1588" s="18" t="s">
        <v>52</v>
      </c>
      <c r="AB1588" t="s">
        <v>52</v>
      </c>
      <c r="AC1588" t="s">
        <v>52</v>
      </c>
      <c r="AD1588" t="s">
        <v>52</v>
      </c>
      <c r="AE1588" t="s">
        <v>52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24</v>
      </c>
      <c r="AK1588">
        <v>18</v>
      </c>
      <c r="AL1588">
        <v>26</v>
      </c>
      <c r="AM1588">
        <v>24</v>
      </c>
      <c r="AN1588" s="18">
        <v>0.0833333333333333</v>
      </c>
      <c r="AO1588" s="18">
        <v>0.111111111111111</v>
      </c>
      <c r="AP1588" s="18">
        <v>0.153846153846154</v>
      </c>
      <c r="AQ1588" s="18">
        <v>0.25</v>
      </c>
      <c r="AR1588" s="29">
        <v>0.285714285714286</v>
      </c>
      <c r="AS1588" s="29">
        <v>17.1428571428571</v>
      </c>
      <c r="AT1588" s="29">
        <v>20.8571428571429</v>
      </c>
      <c r="AU1588" s="24">
        <f t="shared" si="25"/>
        <v>133</v>
      </c>
      <c r="AV1588" s="31">
        <f>IFERROR(时间!$B$4+AU1588,"上周无销量")</f>
        <v>43451</v>
      </c>
    </row>
    <row r="1589" spans="1:48">
      <c r="A1589" s="16" t="s">
        <v>2683</v>
      </c>
      <c r="B1589" t="s">
        <v>1517</v>
      </c>
      <c r="C1589" t="s">
        <v>2661</v>
      </c>
      <c r="D1589" s="24">
        <v>3</v>
      </c>
      <c r="E1589" s="24">
        <v>0</v>
      </c>
      <c r="F1589" s="24">
        <v>0</v>
      </c>
      <c r="G1589" s="24">
        <v>5</v>
      </c>
      <c r="H1589" s="25">
        <v>22.98</v>
      </c>
      <c r="I1589">
        <v>0</v>
      </c>
      <c r="J1589" s="26">
        <v>0</v>
      </c>
      <c r="K1589" s="26">
        <v>0</v>
      </c>
      <c r="L1589" s="26">
        <v>0</v>
      </c>
      <c r="M1589">
        <v>0</v>
      </c>
      <c r="N1589">
        <v>0</v>
      </c>
      <c r="O1589">
        <v>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46</v>
      </c>
      <c r="AK1589">
        <v>61</v>
      </c>
      <c r="AL1589">
        <v>82</v>
      </c>
      <c r="AM1589">
        <v>54</v>
      </c>
      <c r="AN1589" s="18">
        <v>0.0652173913043478</v>
      </c>
      <c r="AO1589" s="18">
        <v>0</v>
      </c>
      <c r="AP1589" s="18">
        <v>0</v>
      </c>
      <c r="AQ1589" s="18">
        <v>0.0925925925925926</v>
      </c>
      <c r="AR1589" s="29">
        <v>0.428571428571429</v>
      </c>
      <c r="AS1589" s="29">
        <v>25.7142857142857</v>
      </c>
      <c r="AT1589" s="29">
        <v>-25.7142857142857</v>
      </c>
      <c r="AU1589" s="24">
        <f t="shared" si="25"/>
        <v>0</v>
      </c>
      <c r="AV1589" s="31">
        <f>IFERROR(时间!$B$4+AU1589,"上周无销量")</f>
        <v>43318</v>
      </c>
    </row>
    <row r="1590" spans="1:48">
      <c r="A1590" s="16" t="s">
        <v>2684</v>
      </c>
      <c r="B1590" t="s">
        <v>1519</v>
      </c>
      <c r="C1590" t="s">
        <v>2661</v>
      </c>
      <c r="D1590" s="24">
        <v>0</v>
      </c>
      <c r="E1590" s="24">
        <v>1</v>
      </c>
      <c r="F1590" s="24">
        <v>4</v>
      </c>
      <c r="G1590" s="24">
        <v>2</v>
      </c>
      <c r="H1590" s="25">
        <v>22.98</v>
      </c>
      <c r="I1590">
        <v>0</v>
      </c>
      <c r="J1590" s="26">
        <v>0</v>
      </c>
      <c r="K1590" s="26">
        <v>0</v>
      </c>
      <c r="L1590" s="26">
        <v>0</v>
      </c>
      <c r="M1590">
        <v>0</v>
      </c>
      <c r="N1590">
        <v>0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71</v>
      </c>
      <c r="AK1590">
        <v>112</v>
      </c>
      <c r="AL1590">
        <v>134</v>
      </c>
      <c r="AM1590">
        <v>106</v>
      </c>
      <c r="AN1590" s="18">
        <v>0</v>
      </c>
      <c r="AO1590" s="18">
        <v>0.00892857142857143</v>
      </c>
      <c r="AP1590" s="18">
        <v>0.0298507462686567</v>
      </c>
      <c r="AQ1590" s="18">
        <v>0.0188679245283019</v>
      </c>
      <c r="AR1590" s="29">
        <v>0</v>
      </c>
      <c r="AS1590" s="29">
        <v>0</v>
      </c>
      <c r="AT1590" s="29">
        <v>0</v>
      </c>
      <c r="AU1590" s="24" t="str">
        <f t="shared" si="25"/>
        <v>库存为0</v>
      </c>
      <c r="AV1590" s="31" t="str">
        <f>IFERROR(时间!$B$4+AU1590,"上周无销量")</f>
        <v>上周无销量</v>
      </c>
    </row>
    <row r="1591" spans="1:48">
      <c r="A1591" s="16" t="s">
        <v>2685</v>
      </c>
      <c r="B1591" t="s">
        <v>1521</v>
      </c>
      <c r="C1591" t="s">
        <v>2661</v>
      </c>
      <c r="D1591" s="24">
        <v>2</v>
      </c>
      <c r="E1591" s="24">
        <v>2</v>
      </c>
      <c r="F1591" s="24">
        <v>3</v>
      </c>
      <c r="G1591" s="24">
        <v>6</v>
      </c>
      <c r="H1591" s="25">
        <v>19.98</v>
      </c>
      <c r="I1591">
        <v>0</v>
      </c>
      <c r="J1591" s="26">
        <v>0</v>
      </c>
      <c r="K1591" s="26">
        <v>0</v>
      </c>
      <c r="L1591" s="26">
        <v>0</v>
      </c>
      <c r="M1591">
        <v>0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40</v>
      </c>
      <c r="AK1591">
        <v>39</v>
      </c>
      <c r="AL1591">
        <v>39</v>
      </c>
      <c r="AM1591">
        <v>25</v>
      </c>
      <c r="AN1591" s="18">
        <v>0.05</v>
      </c>
      <c r="AO1591" s="18">
        <v>0.0512820512820513</v>
      </c>
      <c r="AP1591" s="18">
        <v>0.0769230769230769</v>
      </c>
      <c r="AQ1591" s="18">
        <v>0.24</v>
      </c>
      <c r="AR1591" s="29">
        <v>0.285714285714286</v>
      </c>
      <c r="AS1591" s="29">
        <v>17.1428571428571</v>
      </c>
      <c r="AT1591" s="29">
        <v>-17.1428571428571</v>
      </c>
      <c r="AU1591" s="24">
        <f t="shared" si="25"/>
        <v>0</v>
      </c>
      <c r="AV1591" s="31">
        <f>IFERROR(时间!$B$4+AU1591,"上周无销量")</f>
        <v>43318</v>
      </c>
    </row>
    <row r="1592" spans="1:48">
      <c r="A1592" s="16" t="s">
        <v>2686</v>
      </c>
      <c r="B1592" t="s">
        <v>1523</v>
      </c>
      <c r="C1592" t="s">
        <v>2661</v>
      </c>
      <c r="D1592" s="24">
        <v>0</v>
      </c>
      <c r="E1592" s="24">
        <v>0</v>
      </c>
      <c r="F1592" s="24">
        <v>9</v>
      </c>
      <c r="G1592" s="24">
        <v>11</v>
      </c>
      <c r="H1592" s="25">
        <v>23.98</v>
      </c>
      <c r="I1592">
        <v>0</v>
      </c>
      <c r="J1592" s="26">
        <v>0</v>
      </c>
      <c r="K1592" s="26">
        <v>0</v>
      </c>
      <c r="L1592" s="26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1611</v>
      </c>
      <c r="S1592">
        <v>1565</v>
      </c>
      <c r="T1592">
        <v>0</v>
      </c>
      <c r="U1592">
        <v>0</v>
      </c>
      <c r="V1592">
        <v>13</v>
      </c>
      <c r="W1592">
        <v>10</v>
      </c>
      <c r="X1592" s="18" t="s">
        <v>52</v>
      </c>
      <c r="Y1592" s="18" t="s">
        <v>52</v>
      </c>
      <c r="Z1592" s="18">
        <v>0.00806952203600248</v>
      </c>
      <c r="AA1592" s="18">
        <v>0.00638977635782748</v>
      </c>
      <c r="AB1592">
        <v>0</v>
      </c>
      <c r="AC1592">
        <v>0</v>
      </c>
      <c r="AD1592">
        <v>9.96</v>
      </c>
      <c r="AE1592">
        <v>7.18</v>
      </c>
      <c r="AF1592" s="18" t="s">
        <v>52</v>
      </c>
      <c r="AG1592" s="18" t="s">
        <v>52</v>
      </c>
      <c r="AH1592" s="18">
        <v>0.0461495690853489</v>
      </c>
      <c r="AI1592" s="18">
        <v>0.0272196527409205</v>
      </c>
      <c r="AJ1592">
        <v>40</v>
      </c>
      <c r="AK1592">
        <v>53</v>
      </c>
      <c r="AL1592">
        <v>74</v>
      </c>
      <c r="AM1592">
        <v>42</v>
      </c>
      <c r="AN1592" s="18">
        <v>0</v>
      </c>
      <c r="AO1592" s="18">
        <v>0</v>
      </c>
      <c r="AP1592" s="18">
        <v>0.121621621621622</v>
      </c>
      <c r="AQ1592" s="18">
        <v>0.261904761904762</v>
      </c>
      <c r="AR1592" s="29">
        <v>0</v>
      </c>
      <c r="AS1592" s="29">
        <v>0</v>
      </c>
      <c r="AT1592" s="29">
        <v>0</v>
      </c>
      <c r="AU1592" s="24" t="str">
        <f t="shared" si="25"/>
        <v>库存为0</v>
      </c>
      <c r="AV1592" s="31" t="str">
        <f>IFERROR(时间!$B$4+AU1592,"上周无销量")</f>
        <v>上周无销量</v>
      </c>
    </row>
    <row r="1593" spans="1:48">
      <c r="A1593" s="16" t="s">
        <v>2687</v>
      </c>
      <c r="B1593" t="s">
        <v>1525</v>
      </c>
      <c r="C1593" t="s">
        <v>2661</v>
      </c>
      <c r="D1593" s="24">
        <v>0</v>
      </c>
      <c r="E1593" s="24">
        <v>1</v>
      </c>
      <c r="F1593" s="24">
        <v>2</v>
      </c>
      <c r="G1593" s="24">
        <v>2</v>
      </c>
      <c r="H1593" s="25">
        <v>23.98</v>
      </c>
      <c r="I1593">
        <v>0</v>
      </c>
      <c r="J1593" s="26">
        <v>0</v>
      </c>
      <c r="K1593" s="26">
        <v>0</v>
      </c>
      <c r="L1593" s="26">
        <v>0</v>
      </c>
      <c r="M1593">
        <v>0</v>
      </c>
      <c r="N1593">
        <v>0</v>
      </c>
      <c r="O1593">
        <v>0</v>
      </c>
      <c r="P1593">
        <v>10</v>
      </c>
      <c r="Q1593">
        <v>137</v>
      </c>
      <c r="R1593">
        <v>24</v>
      </c>
      <c r="S1593">
        <v>695</v>
      </c>
      <c r="T1593">
        <v>0</v>
      </c>
      <c r="U1593">
        <v>1</v>
      </c>
      <c r="V1593">
        <v>1</v>
      </c>
      <c r="W1593">
        <v>6</v>
      </c>
      <c r="X1593" s="18">
        <v>0</v>
      </c>
      <c r="Y1593" s="18">
        <v>0.0072992700729927</v>
      </c>
      <c r="Z1593" s="18">
        <v>0.0416666666666667</v>
      </c>
      <c r="AA1593" s="18">
        <v>0.00863309352517986</v>
      </c>
      <c r="AB1593">
        <v>0</v>
      </c>
      <c r="AC1593">
        <v>0.49</v>
      </c>
      <c r="AD1593">
        <v>0.61</v>
      </c>
      <c r="AE1593">
        <v>3.64</v>
      </c>
      <c r="AF1593" s="18" t="s">
        <v>52</v>
      </c>
      <c r="AG1593" s="18">
        <v>0.0204336947456214</v>
      </c>
      <c r="AH1593" s="18">
        <v>0.0127189324437031</v>
      </c>
      <c r="AI1593" s="18">
        <v>0.0758965804837364</v>
      </c>
      <c r="AJ1593">
        <v>39</v>
      </c>
      <c r="AK1593">
        <v>56</v>
      </c>
      <c r="AL1593">
        <v>44</v>
      </c>
      <c r="AM1593">
        <v>29</v>
      </c>
      <c r="AN1593" s="18">
        <v>0</v>
      </c>
      <c r="AO1593" s="18">
        <v>0.0178571428571429</v>
      </c>
      <c r="AP1593" s="18">
        <v>0.0454545454545455</v>
      </c>
      <c r="AQ1593" s="18">
        <v>0.0689655172413793</v>
      </c>
      <c r="AR1593" s="29">
        <v>0</v>
      </c>
      <c r="AS1593" s="29">
        <v>0</v>
      </c>
      <c r="AT1593" s="29">
        <v>0</v>
      </c>
      <c r="AU1593" s="24" t="str">
        <f t="shared" si="25"/>
        <v>库存为0</v>
      </c>
      <c r="AV1593" s="31" t="str">
        <f>IFERROR(时间!$B$4+AU1593,"上周无销量")</f>
        <v>上周无销量</v>
      </c>
    </row>
    <row r="1594" spans="1:48">
      <c r="A1594" s="16" t="s">
        <v>2688</v>
      </c>
      <c r="B1594" t="s">
        <v>1527</v>
      </c>
      <c r="C1594" t="s">
        <v>2661</v>
      </c>
      <c r="D1594" s="24">
        <v>0</v>
      </c>
      <c r="E1594" s="24">
        <v>0</v>
      </c>
      <c r="F1594" s="24">
        <v>0</v>
      </c>
      <c r="G1594" s="24">
        <v>2</v>
      </c>
      <c r="H1594" s="25">
        <v>24.98</v>
      </c>
      <c r="I1594">
        <v>0</v>
      </c>
      <c r="J1594" s="26">
        <v>0</v>
      </c>
      <c r="K1594" s="26">
        <v>0</v>
      </c>
      <c r="L1594" s="26">
        <v>1</v>
      </c>
      <c r="M1594">
        <v>1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87</v>
      </c>
      <c r="T1594">
        <v>0</v>
      </c>
      <c r="U1594">
        <v>0</v>
      </c>
      <c r="V1594">
        <v>0</v>
      </c>
      <c r="W1594">
        <v>1</v>
      </c>
      <c r="X1594" s="18" t="s">
        <v>52</v>
      </c>
      <c r="Y1594" s="18" t="s">
        <v>52</v>
      </c>
      <c r="Z1594" s="18" t="s">
        <v>52</v>
      </c>
      <c r="AA1594" s="18">
        <v>0.0114942528735632</v>
      </c>
      <c r="AB1594">
        <v>0</v>
      </c>
      <c r="AC1594">
        <v>0</v>
      </c>
      <c r="AD1594">
        <v>0</v>
      </c>
      <c r="AE1594">
        <v>0.48</v>
      </c>
      <c r="AF1594" s="18" t="s">
        <v>52</v>
      </c>
      <c r="AG1594" s="18" t="s">
        <v>52</v>
      </c>
      <c r="AH1594" s="18" t="s">
        <v>52</v>
      </c>
      <c r="AI1594" s="18">
        <v>0.00960768614891913</v>
      </c>
      <c r="AJ1594">
        <v>66</v>
      </c>
      <c r="AK1594">
        <v>48</v>
      </c>
      <c r="AL1594">
        <v>74</v>
      </c>
      <c r="AM1594">
        <v>49</v>
      </c>
      <c r="AN1594" s="18">
        <v>0</v>
      </c>
      <c r="AO1594" s="18">
        <v>0</v>
      </c>
      <c r="AP1594" s="18">
        <v>0</v>
      </c>
      <c r="AQ1594" s="18">
        <v>0.0408163265306122</v>
      </c>
      <c r="AR1594" s="29">
        <v>0</v>
      </c>
      <c r="AS1594" s="29">
        <v>0</v>
      </c>
      <c r="AT1594" s="29">
        <v>1</v>
      </c>
      <c r="AU1594" s="24" t="str">
        <f t="shared" si="25"/>
        <v>库存为1</v>
      </c>
      <c r="AV1594" s="31" t="str">
        <f>IFERROR(时间!$B$4+AU1594,"上周无销量")</f>
        <v>上周无销量</v>
      </c>
    </row>
    <row r="1595" spans="1:48">
      <c r="A1595" s="16" t="s">
        <v>2689</v>
      </c>
      <c r="B1595" t="s">
        <v>1529</v>
      </c>
      <c r="C1595" t="s">
        <v>2661</v>
      </c>
      <c r="D1595" s="24">
        <v>2</v>
      </c>
      <c r="E1595" s="24">
        <v>1</v>
      </c>
      <c r="F1595" s="24">
        <v>3</v>
      </c>
      <c r="G1595" s="24">
        <v>0</v>
      </c>
      <c r="H1595" s="25">
        <v>22.98</v>
      </c>
      <c r="I1595">
        <v>0</v>
      </c>
      <c r="J1595" s="26">
        <v>0</v>
      </c>
      <c r="K1595" s="26">
        <v>0</v>
      </c>
      <c r="L1595" s="26">
        <v>1</v>
      </c>
      <c r="M1595">
        <v>1</v>
      </c>
      <c r="N1595">
        <v>1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61</v>
      </c>
      <c r="AK1595">
        <v>44</v>
      </c>
      <c r="AL1595">
        <v>57</v>
      </c>
      <c r="AM1595">
        <v>34</v>
      </c>
      <c r="AN1595" s="18">
        <v>0.0327868852459016</v>
      </c>
      <c r="AO1595" s="18">
        <v>0.0227272727272727</v>
      </c>
      <c r="AP1595" s="18">
        <v>0.0526315789473684</v>
      </c>
      <c r="AQ1595" s="18">
        <v>0</v>
      </c>
      <c r="AR1595" s="29">
        <v>0.285714285714286</v>
      </c>
      <c r="AS1595" s="29">
        <v>17.1428571428571</v>
      </c>
      <c r="AT1595" s="29">
        <v>-16.1428571428571</v>
      </c>
      <c r="AU1595" s="24">
        <f t="shared" si="25"/>
        <v>3</v>
      </c>
      <c r="AV1595" s="31">
        <f>IFERROR(时间!$B$4+AU1595,"上周无销量")</f>
        <v>43321</v>
      </c>
    </row>
    <row r="1596" spans="1:48">
      <c r="A1596" s="16" t="s">
        <v>2690</v>
      </c>
      <c r="B1596" t="s">
        <v>1531</v>
      </c>
      <c r="C1596" t="s">
        <v>2661</v>
      </c>
      <c r="D1596" s="24">
        <v>9</v>
      </c>
      <c r="E1596" s="24">
        <v>10</v>
      </c>
      <c r="F1596" s="24">
        <v>1</v>
      </c>
      <c r="G1596" s="24">
        <v>7</v>
      </c>
      <c r="H1596" s="25">
        <v>20.72</v>
      </c>
      <c r="I1596">
        <v>0</v>
      </c>
      <c r="J1596" s="26">
        <v>0</v>
      </c>
      <c r="K1596" s="26">
        <v>0</v>
      </c>
      <c r="L1596" s="26">
        <v>0</v>
      </c>
      <c r="M1596">
        <v>0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30</v>
      </c>
      <c r="AK1596">
        <v>37</v>
      </c>
      <c r="AL1596">
        <v>28</v>
      </c>
      <c r="AM1596">
        <v>27</v>
      </c>
      <c r="AN1596" s="18">
        <v>0.3</v>
      </c>
      <c r="AO1596" s="18">
        <v>0.27027027027027</v>
      </c>
      <c r="AP1596" s="18">
        <v>0.0357142857142857</v>
      </c>
      <c r="AQ1596" s="18">
        <v>0.259259259259259</v>
      </c>
      <c r="AR1596" s="29">
        <v>1.28571428571429</v>
      </c>
      <c r="AS1596" s="29">
        <v>77.1428571428572</v>
      </c>
      <c r="AT1596" s="29">
        <v>-77.1428571428572</v>
      </c>
      <c r="AU1596" s="24">
        <f t="shared" si="25"/>
        <v>0</v>
      </c>
      <c r="AV1596" s="31">
        <f>IFERROR(时间!$B$4+AU1596,"上周无销量")</f>
        <v>43318</v>
      </c>
    </row>
    <row r="1597" spans="1:48">
      <c r="A1597" s="16" t="s">
        <v>2691</v>
      </c>
      <c r="B1597" t="s">
        <v>1533</v>
      </c>
      <c r="C1597" t="s">
        <v>2661</v>
      </c>
      <c r="D1597" s="24">
        <v>0</v>
      </c>
      <c r="E1597" s="24">
        <v>0</v>
      </c>
      <c r="F1597" s="24">
        <v>0</v>
      </c>
      <c r="G1597" s="24">
        <v>0</v>
      </c>
      <c r="H1597" s="25">
        <v>0</v>
      </c>
      <c r="I1597">
        <v>24</v>
      </c>
      <c r="J1597" s="26">
        <v>0</v>
      </c>
      <c r="K1597" s="26">
        <v>0</v>
      </c>
      <c r="L1597" s="26">
        <v>0</v>
      </c>
      <c r="M1597">
        <v>24</v>
      </c>
      <c r="N1597">
        <v>2</v>
      </c>
      <c r="O1597">
        <v>0</v>
      </c>
      <c r="P1597">
        <v>0</v>
      </c>
      <c r="Q1597">
        <v>168</v>
      </c>
      <c r="R1597">
        <v>185</v>
      </c>
      <c r="S1597">
        <v>3841</v>
      </c>
      <c r="T1597">
        <v>0</v>
      </c>
      <c r="U1597">
        <v>0</v>
      </c>
      <c r="V1597">
        <v>0</v>
      </c>
      <c r="W1597">
        <v>26</v>
      </c>
      <c r="X1597" s="18" t="s">
        <v>52</v>
      </c>
      <c r="Y1597" s="18">
        <v>0</v>
      </c>
      <c r="Z1597" s="18">
        <v>0</v>
      </c>
      <c r="AA1597" s="18">
        <v>0.00676907055454309</v>
      </c>
      <c r="AB1597">
        <v>0</v>
      </c>
      <c r="AC1597">
        <v>0</v>
      </c>
      <c r="AD1597">
        <v>0</v>
      </c>
      <c r="AE1597">
        <v>16.59</v>
      </c>
      <c r="AF1597" s="18" t="s">
        <v>52</v>
      </c>
      <c r="AG1597" s="18" t="s">
        <v>52</v>
      </c>
      <c r="AH1597" s="18" t="s">
        <v>52</v>
      </c>
      <c r="AI1597" s="18" t="s">
        <v>2692</v>
      </c>
      <c r="AJ1597">
        <v>65</v>
      </c>
      <c r="AK1597">
        <v>49</v>
      </c>
      <c r="AL1597">
        <v>76</v>
      </c>
      <c r="AM1597">
        <v>97</v>
      </c>
      <c r="AN1597" s="18">
        <v>0</v>
      </c>
      <c r="AO1597" s="18">
        <v>0</v>
      </c>
      <c r="AP1597" s="18">
        <v>0</v>
      </c>
      <c r="AQ1597" s="18">
        <v>0</v>
      </c>
      <c r="AR1597" s="29">
        <v>0</v>
      </c>
      <c r="AS1597" s="29">
        <v>0</v>
      </c>
      <c r="AT1597" s="29">
        <v>24</v>
      </c>
      <c r="AU1597" s="24" t="str">
        <f t="shared" si="25"/>
        <v>库存为24</v>
      </c>
      <c r="AV1597" s="31" t="str">
        <f>IFERROR(时间!$B$4+AU1597,"上周无销量")</f>
        <v>上周无销量</v>
      </c>
    </row>
    <row r="1598" spans="1:48">
      <c r="A1598" s="16" t="s">
        <v>2693</v>
      </c>
      <c r="B1598" t="s">
        <v>1535</v>
      </c>
      <c r="C1598" t="s">
        <v>2661</v>
      </c>
      <c r="D1598" s="24">
        <v>1</v>
      </c>
      <c r="E1598" s="24">
        <v>4</v>
      </c>
      <c r="F1598" s="24">
        <v>10</v>
      </c>
      <c r="G1598" s="24">
        <v>7</v>
      </c>
      <c r="H1598" s="25">
        <v>24.98</v>
      </c>
      <c r="I1598">
        <v>10</v>
      </c>
      <c r="J1598" s="26">
        <v>0</v>
      </c>
      <c r="K1598" s="26">
        <v>0</v>
      </c>
      <c r="L1598" s="26">
        <v>0</v>
      </c>
      <c r="M1598">
        <v>10</v>
      </c>
      <c r="N1598">
        <v>2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>
        <v>0</v>
      </c>
      <c r="AC1598">
        <v>0</v>
      </c>
      <c r="AD1598">
        <v>0</v>
      </c>
      <c r="AE1598">
        <v>0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138</v>
      </c>
      <c r="AK1598">
        <v>97</v>
      </c>
      <c r="AL1598">
        <v>150</v>
      </c>
      <c r="AM1598">
        <v>129</v>
      </c>
      <c r="AN1598" s="18">
        <v>0.0072463768115942</v>
      </c>
      <c r="AO1598" s="18">
        <v>0.0412371134020619</v>
      </c>
      <c r="AP1598" s="18">
        <v>0.0666666666666667</v>
      </c>
      <c r="AQ1598" s="18">
        <v>0.0542635658914729</v>
      </c>
      <c r="AR1598" s="29">
        <v>0.142857142857143</v>
      </c>
      <c r="AS1598" s="29">
        <v>8.57142857142857</v>
      </c>
      <c r="AT1598" s="29">
        <v>1.42857142857143</v>
      </c>
      <c r="AU1598" s="24">
        <f t="shared" si="25"/>
        <v>70</v>
      </c>
      <c r="AV1598" s="31">
        <f>IFERROR(时间!$B$4+AU1598,"上周无销量")</f>
        <v>43388</v>
      </c>
    </row>
    <row r="1599" spans="1:48">
      <c r="A1599" s="16" t="s">
        <v>2694</v>
      </c>
      <c r="B1599" t="s">
        <v>1543</v>
      </c>
      <c r="C1599" t="s">
        <v>2661</v>
      </c>
      <c r="D1599" s="24">
        <v>1</v>
      </c>
      <c r="E1599" s="24">
        <v>12</v>
      </c>
      <c r="F1599" s="24">
        <v>8</v>
      </c>
      <c r="G1599" s="24">
        <v>18</v>
      </c>
      <c r="H1599" s="25">
        <v>24.98</v>
      </c>
      <c r="I1599">
        <v>21</v>
      </c>
      <c r="J1599" s="26">
        <v>0</v>
      </c>
      <c r="K1599" s="26">
        <v>0</v>
      </c>
      <c r="L1599" s="26">
        <v>1</v>
      </c>
      <c r="M1599">
        <v>22</v>
      </c>
      <c r="N1599">
        <v>0</v>
      </c>
      <c r="O1599">
        <v>0</v>
      </c>
      <c r="P1599">
        <v>47</v>
      </c>
      <c r="Q1599">
        <v>65</v>
      </c>
      <c r="R1599">
        <v>296</v>
      </c>
      <c r="S1599">
        <v>172</v>
      </c>
      <c r="T1599">
        <v>0</v>
      </c>
      <c r="U1599">
        <v>0</v>
      </c>
      <c r="V1599">
        <v>1</v>
      </c>
      <c r="W1599">
        <v>1</v>
      </c>
      <c r="X1599" s="18">
        <v>0</v>
      </c>
      <c r="Y1599" s="18">
        <v>0</v>
      </c>
      <c r="Z1599" s="18">
        <v>0.00337837837837838</v>
      </c>
      <c r="AA1599" s="18">
        <v>0.00581395348837209</v>
      </c>
      <c r="AB1599">
        <v>0</v>
      </c>
      <c r="AC1599">
        <v>0</v>
      </c>
      <c r="AD1599">
        <v>0.55</v>
      </c>
      <c r="AE1599">
        <v>0.35</v>
      </c>
      <c r="AF1599" s="18" t="s">
        <v>52</v>
      </c>
      <c r="AG1599" s="18" t="s">
        <v>52</v>
      </c>
      <c r="AH1599" s="18">
        <v>0.00275220176140913</v>
      </c>
      <c r="AI1599" s="18">
        <v>0.000778400498176319</v>
      </c>
      <c r="AJ1599">
        <v>114</v>
      </c>
      <c r="AK1599">
        <v>132</v>
      </c>
      <c r="AL1599">
        <v>185</v>
      </c>
      <c r="AM1599">
        <v>112</v>
      </c>
      <c r="AN1599" s="18">
        <v>0.0087719298245614</v>
      </c>
      <c r="AO1599" s="18">
        <v>0.0909090909090909</v>
      </c>
      <c r="AP1599" s="18">
        <v>0.0432432432432432</v>
      </c>
      <c r="AQ1599" s="18">
        <v>0.160714285714286</v>
      </c>
      <c r="AR1599" s="29">
        <v>0.142857142857143</v>
      </c>
      <c r="AS1599" s="29">
        <v>8.57142857142857</v>
      </c>
      <c r="AT1599" s="29">
        <v>13.4285714285714</v>
      </c>
      <c r="AU1599" s="24">
        <f t="shared" si="25"/>
        <v>154</v>
      </c>
      <c r="AV1599" s="31">
        <f>IFERROR(时间!$B$4+AU1599,"上周无销量")</f>
        <v>43472</v>
      </c>
    </row>
    <row r="1600" spans="1:48">
      <c r="A1600" s="16" t="s">
        <v>2695</v>
      </c>
      <c r="B1600" t="s">
        <v>1537</v>
      </c>
      <c r="C1600" t="s">
        <v>2661</v>
      </c>
      <c r="D1600" s="24">
        <v>1</v>
      </c>
      <c r="E1600" s="24">
        <v>1</v>
      </c>
      <c r="F1600" s="24">
        <v>3</v>
      </c>
      <c r="G1600" s="24">
        <v>3</v>
      </c>
      <c r="H1600" s="25">
        <v>24.98</v>
      </c>
      <c r="I1600">
        <v>12</v>
      </c>
      <c r="J1600" s="26">
        <v>0</v>
      </c>
      <c r="K1600" s="26">
        <v>0</v>
      </c>
      <c r="L1600" s="26">
        <v>0</v>
      </c>
      <c r="M1600">
        <v>12</v>
      </c>
      <c r="N1600">
        <v>1</v>
      </c>
      <c r="O1600">
        <v>0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133</v>
      </c>
      <c r="AK1600">
        <v>79</v>
      </c>
      <c r="AL1600">
        <v>133</v>
      </c>
      <c r="AM1600">
        <v>114</v>
      </c>
      <c r="AN1600" s="18">
        <v>0.0075187969924812</v>
      </c>
      <c r="AO1600" s="18">
        <v>0.0126582278481013</v>
      </c>
      <c r="AP1600" s="18">
        <v>0.0225563909774436</v>
      </c>
      <c r="AQ1600" s="18">
        <v>0.0263157894736842</v>
      </c>
      <c r="AR1600" s="29">
        <v>0.142857142857143</v>
      </c>
      <c r="AS1600" s="29">
        <v>8.57142857142857</v>
      </c>
      <c r="AT1600" s="29">
        <v>3.42857142857143</v>
      </c>
      <c r="AU1600" s="24">
        <f t="shared" si="25"/>
        <v>84</v>
      </c>
      <c r="AV1600" s="31">
        <f>IFERROR(时间!$B$4+AU1600,"上周无销量")</f>
        <v>43402</v>
      </c>
    </row>
    <row r="1601" spans="1:48">
      <c r="A1601" s="16" t="s">
        <v>2696</v>
      </c>
      <c r="B1601" t="s">
        <v>1539</v>
      </c>
      <c r="C1601" t="s">
        <v>2661</v>
      </c>
      <c r="D1601" s="24">
        <v>16</v>
      </c>
      <c r="E1601" s="24">
        <v>6</v>
      </c>
      <c r="F1601" s="24">
        <v>19</v>
      </c>
      <c r="G1601" s="24">
        <v>15</v>
      </c>
      <c r="H1601" s="25">
        <v>22.98</v>
      </c>
      <c r="I1601">
        <v>6</v>
      </c>
      <c r="J1601" s="26">
        <v>0</v>
      </c>
      <c r="K1601" s="26">
        <v>0</v>
      </c>
      <c r="L1601" s="26">
        <v>2</v>
      </c>
      <c r="M1601">
        <v>8</v>
      </c>
      <c r="N1601">
        <v>0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59</v>
      </c>
      <c r="AK1601">
        <v>68</v>
      </c>
      <c r="AL1601">
        <v>114</v>
      </c>
      <c r="AM1601">
        <v>78</v>
      </c>
      <c r="AN1601" s="18">
        <v>0.271186440677966</v>
      </c>
      <c r="AO1601" s="18">
        <v>0.0882352941176471</v>
      </c>
      <c r="AP1601" s="18">
        <v>0.166666666666667</v>
      </c>
      <c r="AQ1601" s="18">
        <v>0.192307692307692</v>
      </c>
      <c r="AR1601" s="29">
        <v>2.28571428571429</v>
      </c>
      <c r="AS1601" s="29">
        <v>137.142857142857</v>
      </c>
      <c r="AT1601" s="29">
        <v>-129.142857142857</v>
      </c>
      <c r="AU1601" s="24">
        <f t="shared" si="25"/>
        <v>3</v>
      </c>
      <c r="AV1601" s="31">
        <f>IFERROR(时间!$B$4+AU1601,"上周无销量")</f>
        <v>43321</v>
      </c>
    </row>
    <row r="1602" spans="1:48">
      <c r="A1602" s="16" t="s">
        <v>2697</v>
      </c>
      <c r="B1602" t="s">
        <v>1541</v>
      </c>
      <c r="C1602" t="s">
        <v>2661</v>
      </c>
      <c r="D1602" s="24">
        <v>9</v>
      </c>
      <c r="E1602" s="24">
        <v>4</v>
      </c>
      <c r="F1602" s="24">
        <v>6</v>
      </c>
      <c r="G1602" s="24">
        <v>3</v>
      </c>
      <c r="H1602" s="25">
        <v>21.98</v>
      </c>
      <c r="I1602">
        <v>18</v>
      </c>
      <c r="J1602" s="26">
        <v>0</v>
      </c>
      <c r="K1602" s="26">
        <v>0</v>
      </c>
      <c r="L1602" s="26">
        <v>2</v>
      </c>
      <c r="M1602">
        <v>20</v>
      </c>
      <c r="N1602">
        <v>0</v>
      </c>
      <c r="O1602">
        <v>0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206</v>
      </c>
      <c r="AK1602">
        <v>188</v>
      </c>
      <c r="AL1602">
        <v>165</v>
      </c>
      <c r="AM1602">
        <v>127</v>
      </c>
      <c r="AN1602" s="18">
        <v>0.0436893203883495</v>
      </c>
      <c r="AO1602" s="18">
        <v>0.0212765957446809</v>
      </c>
      <c r="AP1602" s="18">
        <v>0.0363636363636364</v>
      </c>
      <c r="AQ1602" s="18">
        <v>0.0236220472440945</v>
      </c>
      <c r="AR1602" s="29">
        <v>1.28571428571429</v>
      </c>
      <c r="AS1602" s="29">
        <v>77.1428571428572</v>
      </c>
      <c r="AT1602" s="29">
        <v>-57.1428571428572</v>
      </c>
      <c r="AU1602" s="24">
        <f t="shared" si="25"/>
        <v>15</v>
      </c>
      <c r="AV1602" s="31">
        <f>IFERROR(时间!$B$4+AU1602,"上周无销量")</f>
        <v>43333</v>
      </c>
    </row>
    <row r="1603" spans="1:48">
      <c r="A1603" s="16" t="s">
        <v>2698</v>
      </c>
      <c r="B1603" t="s">
        <v>1543</v>
      </c>
      <c r="C1603" t="s">
        <v>2661</v>
      </c>
      <c r="D1603" s="24">
        <v>0</v>
      </c>
      <c r="E1603" s="24">
        <v>0</v>
      </c>
      <c r="F1603" s="24">
        <v>0</v>
      </c>
      <c r="G1603" s="24">
        <v>0</v>
      </c>
      <c r="H1603" s="25">
        <v>0</v>
      </c>
      <c r="I1603">
        <v>0</v>
      </c>
      <c r="J1603" s="26">
        <v>0</v>
      </c>
      <c r="K1603" s="26">
        <v>0</v>
      </c>
      <c r="L1603" s="26">
        <v>0</v>
      </c>
      <c r="M1603">
        <v>0</v>
      </c>
      <c r="N1603">
        <v>0</v>
      </c>
      <c r="O1603">
        <v>0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114</v>
      </c>
      <c r="AK1603">
        <v>132</v>
      </c>
      <c r="AL1603">
        <v>185</v>
      </c>
      <c r="AM1603">
        <v>112</v>
      </c>
      <c r="AN1603" s="18">
        <v>0</v>
      </c>
      <c r="AO1603" s="18">
        <v>0</v>
      </c>
      <c r="AP1603" s="18">
        <v>0</v>
      </c>
      <c r="AQ1603" s="18">
        <v>0</v>
      </c>
      <c r="AR1603" s="29">
        <v>0</v>
      </c>
      <c r="AS1603" s="29">
        <v>0</v>
      </c>
      <c r="AT1603" s="29">
        <v>0</v>
      </c>
      <c r="AU1603" s="24" t="str">
        <f t="shared" si="25"/>
        <v>库存为0</v>
      </c>
      <c r="AV1603" s="31" t="str">
        <f>IFERROR(时间!$B$4+AU1603,"上周无销量")</f>
        <v>上周无销量</v>
      </c>
    </row>
    <row r="1604" spans="1:48">
      <c r="A1604" s="16" t="s">
        <v>2699</v>
      </c>
      <c r="B1604" t="s">
        <v>1545</v>
      </c>
      <c r="C1604" t="s">
        <v>2661</v>
      </c>
      <c r="D1604" s="24">
        <v>0</v>
      </c>
      <c r="E1604" s="24">
        <v>0</v>
      </c>
      <c r="F1604" s="24">
        <v>0</v>
      </c>
      <c r="G1604" s="24">
        <v>0</v>
      </c>
      <c r="H1604" s="25">
        <v>0</v>
      </c>
      <c r="I1604">
        <v>6</v>
      </c>
      <c r="J1604" s="26">
        <v>0</v>
      </c>
      <c r="K1604" s="26">
        <v>0</v>
      </c>
      <c r="L1604" s="26">
        <v>1</v>
      </c>
      <c r="M1604">
        <v>7</v>
      </c>
      <c r="N1604">
        <v>1</v>
      </c>
      <c r="O1604">
        <v>0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108</v>
      </c>
      <c r="AK1604">
        <v>97</v>
      </c>
      <c r="AL1604">
        <v>159</v>
      </c>
      <c r="AM1604">
        <v>108</v>
      </c>
      <c r="AN1604" s="18">
        <v>0</v>
      </c>
      <c r="AO1604" s="18">
        <v>0</v>
      </c>
      <c r="AP1604" s="18">
        <v>0</v>
      </c>
      <c r="AQ1604" s="18">
        <v>0</v>
      </c>
      <c r="AR1604" s="29">
        <v>0</v>
      </c>
      <c r="AS1604" s="29">
        <v>0</v>
      </c>
      <c r="AT1604" s="29">
        <v>7</v>
      </c>
      <c r="AU1604" s="24" t="str">
        <f t="shared" si="25"/>
        <v>库存为7</v>
      </c>
      <c r="AV1604" s="31" t="str">
        <f>IFERROR(时间!$B$4+AU1604,"上周无销量")</f>
        <v>上周无销量</v>
      </c>
    </row>
    <row r="1605" spans="1:48">
      <c r="A1605" s="16" t="s">
        <v>2700</v>
      </c>
      <c r="B1605" t="s">
        <v>1547</v>
      </c>
      <c r="C1605" t="s">
        <v>2661</v>
      </c>
      <c r="D1605" s="24">
        <v>0</v>
      </c>
      <c r="E1605" s="24">
        <v>0</v>
      </c>
      <c r="F1605" s="24">
        <v>2</v>
      </c>
      <c r="G1605" s="24">
        <v>2</v>
      </c>
      <c r="H1605" s="25">
        <v>24.98</v>
      </c>
      <c r="I1605">
        <v>7</v>
      </c>
      <c r="J1605" s="26">
        <v>0</v>
      </c>
      <c r="K1605" s="26">
        <v>0</v>
      </c>
      <c r="L1605" s="26">
        <v>1</v>
      </c>
      <c r="M1605">
        <v>8</v>
      </c>
      <c r="N1605">
        <v>0</v>
      </c>
      <c r="O1605">
        <v>0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218</v>
      </c>
      <c r="AK1605">
        <v>152</v>
      </c>
      <c r="AL1605">
        <v>160</v>
      </c>
      <c r="AM1605">
        <v>169</v>
      </c>
      <c r="AN1605" s="18">
        <v>0</v>
      </c>
      <c r="AO1605" s="18">
        <v>0</v>
      </c>
      <c r="AP1605" s="18">
        <v>0.0125</v>
      </c>
      <c r="AQ1605" s="18">
        <v>0.0118343195266272</v>
      </c>
      <c r="AR1605" s="29">
        <v>0</v>
      </c>
      <c r="AS1605" s="29">
        <v>0</v>
      </c>
      <c r="AT1605" s="29">
        <v>8</v>
      </c>
      <c r="AU1605" s="24" t="str">
        <f t="shared" si="25"/>
        <v>库存为8</v>
      </c>
      <c r="AV1605" s="31" t="str">
        <f>IFERROR(时间!$B$4+AU1605,"上周无销量")</f>
        <v>上周无销量</v>
      </c>
    </row>
    <row r="1606" spans="1:48">
      <c r="A1606" s="16" t="s">
        <v>2701</v>
      </c>
      <c r="B1606" t="s">
        <v>1549</v>
      </c>
      <c r="C1606" t="s">
        <v>2661</v>
      </c>
      <c r="D1606" s="24">
        <v>1</v>
      </c>
      <c r="E1606" s="24">
        <v>1</v>
      </c>
      <c r="F1606" s="24">
        <v>5</v>
      </c>
      <c r="G1606" s="24">
        <v>12</v>
      </c>
      <c r="H1606" s="25">
        <v>22.98</v>
      </c>
      <c r="I1606">
        <v>0</v>
      </c>
      <c r="J1606" s="26">
        <v>0</v>
      </c>
      <c r="K1606" s="26">
        <v>0</v>
      </c>
      <c r="L1606" s="26">
        <v>0</v>
      </c>
      <c r="M1606">
        <v>0</v>
      </c>
      <c r="N1606">
        <v>1</v>
      </c>
      <c r="O1606">
        <v>0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184</v>
      </c>
      <c r="AK1606">
        <v>157</v>
      </c>
      <c r="AL1606">
        <v>198</v>
      </c>
      <c r="AM1606">
        <v>176</v>
      </c>
      <c r="AN1606" s="18">
        <v>0.00543478260869565</v>
      </c>
      <c r="AO1606" s="18">
        <v>0.00636942675159236</v>
      </c>
      <c r="AP1606" s="18">
        <v>0.0252525252525253</v>
      </c>
      <c r="AQ1606" s="18">
        <v>0.0681818181818182</v>
      </c>
      <c r="AR1606" s="29">
        <v>0.142857142857143</v>
      </c>
      <c r="AS1606" s="29">
        <v>8.57142857142857</v>
      </c>
      <c r="AT1606" s="29">
        <v>-8.57142857142857</v>
      </c>
      <c r="AU1606" s="24">
        <f t="shared" ref="AU1606:AU1669" si="26">IF(AR1606="","库存为"&amp;M1606,IF(AS1606=0,"库存为"&amp;M1606,INT(M1606/AR1606)))</f>
        <v>0</v>
      </c>
      <c r="AV1606" s="31">
        <f>IFERROR(时间!$B$4+AU1606,"上周无销量")</f>
        <v>43318</v>
      </c>
    </row>
    <row r="1607" spans="1:48">
      <c r="A1607" s="16" t="s">
        <v>2702</v>
      </c>
      <c r="B1607" t="s">
        <v>1551</v>
      </c>
      <c r="C1607" t="s">
        <v>2661</v>
      </c>
      <c r="D1607" s="24">
        <v>19</v>
      </c>
      <c r="E1607" s="24">
        <v>4</v>
      </c>
      <c r="F1607" s="24">
        <v>6</v>
      </c>
      <c r="G1607" s="24">
        <v>5</v>
      </c>
      <c r="H1607" s="25">
        <v>19.98</v>
      </c>
      <c r="I1607">
        <v>0</v>
      </c>
      <c r="J1607" s="26">
        <v>0</v>
      </c>
      <c r="K1607" s="26">
        <v>0</v>
      </c>
      <c r="L1607" s="26">
        <v>0</v>
      </c>
      <c r="M1607">
        <v>0</v>
      </c>
      <c r="N1607">
        <v>0</v>
      </c>
      <c r="O1607">
        <v>0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70</v>
      </c>
      <c r="AK1607">
        <v>59</v>
      </c>
      <c r="AL1607">
        <v>62</v>
      </c>
      <c r="AM1607">
        <v>49</v>
      </c>
      <c r="AN1607" s="18">
        <v>0.271428571428571</v>
      </c>
      <c r="AO1607" s="18">
        <v>0.0677966101694915</v>
      </c>
      <c r="AP1607" s="18">
        <v>0.0967741935483871</v>
      </c>
      <c r="AQ1607" s="18">
        <v>0.102040816326531</v>
      </c>
      <c r="AR1607" s="29">
        <v>2.71428571428571</v>
      </c>
      <c r="AS1607" s="29">
        <v>162.857142857143</v>
      </c>
      <c r="AT1607" s="29">
        <v>-162.857142857143</v>
      </c>
      <c r="AU1607" s="24">
        <f t="shared" si="26"/>
        <v>0</v>
      </c>
      <c r="AV1607" s="31">
        <f>IFERROR(时间!$B$4+AU1607,"上周无销量")</f>
        <v>43318</v>
      </c>
    </row>
    <row r="1608" spans="1:48">
      <c r="A1608" s="16" t="s">
        <v>2703</v>
      </c>
      <c r="B1608" t="s">
        <v>1553</v>
      </c>
      <c r="C1608" t="s">
        <v>2661</v>
      </c>
      <c r="D1608" s="24">
        <v>1</v>
      </c>
      <c r="E1608" s="24">
        <v>0</v>
      </c>
      <c r="F1608" s="24">
        <v>0</v>
      </c>
      <c r="G1608" s="24">
        <v>4</v>
      </c>
      <c r="H1608" s="25">
        <v>24.98</v>
      </c>
      <c r="I1608">
        <v>1</v>
      </c>
      <c r="J1608" s="26">
        <v>0</v>
      </c>
      <c r="K1608" s="26">
        <v>0</v>
      </c>
      <c r="L1608" s="26">
        <v>0</v>
      </c>
      <c r="M1608">
        <v>1</v>
      </c>
      <c r="N1608">
        <v>4</v>
      </c>
      <c r="O1608">
        <v>0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125</v>
      </c>
      <c r="AK1608">
        <v>141</v>
      </c>
      <c r="AL1608">
        <v>98</v>
      </c>
      <c r="AM1608">
        <v>83</v>
      </c>
      <c r="AN1608" s="18">
        <v>0.008</v>
      </c>
      <c r="AO1608" s="18">
        <v>0</v>
      </c>
      <c r="AP1608" s="18">
        <v>0</v>
      </c>
      <c r="AQ1608" s="18">
        <v>0.0481927710843374</v>
      </c>
      <c r="AR1608" s="29">
        <v>0.142857142857143</v>
      </c>
      <c r="AS1608" s="29">
        <v>8.57142857142857</v>
      </c>
      <c r="AT1608" s="29">
        <v>-7.57142857142857</v>
      </c>
      <c r="AU1608" s="24">
        <f t="shared" si="26"/>
        <v>7</v>
      </c>
      <c r="AV1608" s="31">
        <f>IFERROR(时间!$B$4+AU1608,"上周无销量")</f>
        <v>43325</v>
      </c>
    </row>
    <row r="1609" spans="1:48">
      <c r="A1609" s="16" t="s">
        <v>2704</v>
      </c>
      <c r="B1609" t="s">
        <v>2705</v>
      </c>
      <c r="C1609" t="s">
        <v>2661</v>
      </c>
      <c r="D1609" s="24">
        <v>0</v>
      </c>
      <c r="E1609" s="24">
        <v>0</v>
      </c>
      <c r="F1609" s="24">
        <v>0</v>
      </c>
      <c r="G1609" s="24">
        <v>0</v>
      </c>
      <c r="H1609" s="25">
        <v>0</v>
      </c>
      <c r="I1609">
        <v>1</v>
      </c>
      <c r="J1609" s="26">
        <v>0</v>
      </c>
      <c r="K1609" s="26">
        <v>0</v>
      </c>
      <c r="L1609" s="26">
        <v>0</v>
      </c>
      <c r="M1609">
        <v>1</v>
      </c>
      <c r="N1609">
        <v>2</v>
      </c>
      <c r="O1609">
        <v>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5</v>
      </c>
      <c r="AK1609">
        <v>4</v>
      </c>
      <c r="AL1609">
        <v>0</v>
      </c>
      <c r="AM1609">
        <v>0</v>
      </c>
      <c r="AN1609" s="18">
        <v>0</v>
      </c>
      <c r="AO1609" s="18">
        <v>0</v>
      </c>
      <c r="AP1609" s="18" t="s">
        <v>52</v>
      </c>
      <c r="AQ1609" s="18" t="s">
        <v>52</v>
      </c>
      <c r="AR1609" s="29">
        <v>0</v>
      </c>
      <c r="AS1609" s="29">
        <v>0</v>
      </c>
      <c r="AT1609" s="29">
        <v>1</v>
      </c>
      <c r="AU1609" s="24" t="str">
        <f t="shared" si="26"/>
        <v>库存为1</v>
      </c>
      <c r="AV1609" s="31" t="str">
        <f>IFERROR(时间!$B$4+AU1609,"上周无销量")</f>
        <v>上周无销量</v>
      </c>
    </row>
    <row r="1610" spans="1:48">
      <c r="A1610" s="16" t="s">
        <v>2706</v>
      </c>
      <c r="B1610" t="s">
        <v>1572</v>
      </c>
      <c r="C1610" t="s">
        <v>2707</v>
      </c>
      <c r="D1610" s="24">
        <v>1</v>
      </c>
      <c r="E1610" s="24">
        <v>3</v>
      </c>
      <c r="F1610" s="24">
        <v>7</v>
      </c>
      <c r="G1610" s="24">
        <v>5</v>
      </c>
      <c r="H1610" s="25">
        <v>25.47875</v>
      </c>
      <c r="I1610">
        <v>66</v>
      </c>
      <c r="J1610" s="26">
        <v>0</v>
      </c>
      <c r="K1610" s="26">
        <v>0</v>
      </c>
      <c r="L1610" s="26">
        <v>0</v>
      </c>
      <c r="M1610">
        <v>66</v>
      </c>
      <c r="N1610">
        <v>0</v>
      </c>
      <c r="O1610">
        <v>59</v>
      </c>
      <c r="P1610">
        <v>379</v>
      </c>
      <c r="Q1610">
        <v>269</v>
      </c>
      <c r="R1610">
        <v>461</v>
      </c>
      <c r="S1610">
        <v>212</v>
      </c>
      <c r="T1610">
        <v>3</v>
      </c>
      <c r="U1610">
        <v>0</v>
      </c>
      <c r="V1610">
        <v>2</v>
      </c>
      <c r="W1610">
        <v>1</v>
      </c>
      <c r="X1610" s="18">
        <v>0.0079155672823219</v>
      </c>
      <c r="Y1610" s="18">
        <v>0</v>
      </c>
      <c r="Z1610" s="18">
        <v>0.00433839479392625</v>
      </c>
      <c r="AA1610" s="18">
        <v>0.00471698113207547</v>
      </c>
      <c r="AB1610">
        <v>2.98</v>
      </c>
      <c r="AC1610">
        <v>0</v>
      </c>
      <c r="AD1610">
        <v>0.97</v>
      </c>
      <c r="AE1610">
        <v>0.8</v>
      </c>
      <c r="AF1610" s="18">
        <v>0.116960211941324</v>
      </c>
      <c r="AG1610" s="18" t="s">
        <v>52</v>
      </c>
      <c r="AH1610" s="18">
        <v>0.00543870592440479</v>
      </c>
      <c r="AI1610" s="18">
        <v>0.00627974292302409</v>
      </c>
      <c r="AJ1610">
        <v>13</v>
      </c>
      <c r="AK1610">
        <v>30</v>
      </c>
      <c r="AL1610">
        <v>19</v>
      </c>
      <c r="AM1610">
        <v>19</v>
      </c>
      <c r="AN1610" s="18">
        <v>0.0769230769230769</v>
      </c>
      <c r="AO1610" s="18">
        <v>0.1</v>
      </c>
      <c r="AP1610" s="18">
        <v>0.368421052631579</v>
      </c>
      <c r="AQ1610" s="18">
        <v>0.263157894736842</v>
      </c>
      <c r="AR1610" s="29">
        <v>0.142857142857143</v>
      </c>
      <c r="AS1610" s="29">
        <v>8.57142857142857</v>
      </c>
      <c r="AT1610" s="29">
        <v>57.4285714285714</v>
      </c>
      <c r="AU1610" s="24">
        <f t="shared" si="26"/>
        <v>462</v>
      </c>
      <c r="AV1610" s="31">
        <f>IFERROR(时间!$B$4+AU1610,"上周无销量")</f>
        <v>43780</v>
      </c>
    </row>
    <row r="1611" spans="1:48">
      <c r="A1611" s="16" t="s">
        <v>2708</v>
      </c>
      <c r="B1611" t="s">
        <v>1576</v>
      </c>
      <c r="C1611" t="s">
        <v>2707</v>
      </c>
      <c r="D1611" s="24">
        <v>1</v>
      </c>
      <c r="E1611" s="24">
        <v>2</v>
      </c>
      <c r="F1611" s="24">
        <v>3</v>
      </c>
      <c r="G1611" s="24">
        <v>3</v>
      </c>
      <c r="H1611" s="25">
        <v>23.98</v>
      </c>
      <c r="I1611">
        <v>10</v>
      </c>
      <c r="J1611" s="26">
        <v>5</v>
      </c>
      <c r="K1611" s="26">
        <v>0</v>
      </c>
      <c r="L1611" s="26">
        <v>0</v>
      </c>
      <c r="M1611">
        <v>15</v>
      </c>
      <c r="N1611">
        <v>0</v>
      </c>
      <c r="O1611">
        <v>5</v>
      </c>
      <c r="P1611">
        <v>8011</v>
      </c>
      <c r="Q1611">
        <v>16454</v>
      </c>
      <c r="R1611">
        <v>750</v>
      </c>
      <c r="S1611">
        <v>923</v>
      </c>
      <c r="T1611">
        <v>13</v>
      </c>
      <c r="U1611">
        <v>35</v>
      </c>
      <c r="V1611">
        <v>3</v>
      </c>
      <c r="W1611">
        <v>4</v>
      </c>
      <c r="X1611" s="18">
        <v>0.00162276869304706</v>
      </c>
      <c r="Y1611" s="18">
        <v>0.00212714233621004</v>
      </c>
      <c r="Z1611" s="18">
        <v>0.004</v>
      </c>
      <c r="AA1611" s="18">
        <v>0.00433369447453954</v>
      </c>
      <c r="AB1611">
        <v>10.48</v>
      </c>
      <c r="AC1611">
        <v>23.3</v>
      </c>
      <c r="AD1611">
        <v>1.66</v>
      </c>
      <c r="AE1611">
        <v>2.08</v>
      </c>
      <c r="AF1611" s="18">
        <v>0.437030859049208</v>
      </c>
      <c r="AG1611" s="18">
        <v>0.48582151793161</v>
      </c>
      <c r="AH1611" s="18">
        <v>0.0230747845426745</v>
      </c>
      <c r="AI1611" s="18">
        <v>0.0289129830414234</v>
      </c>
      <c r="AJ1611">
        <v>22</v>
      </c>
      <c r="AK1611">
        <v>23</v>
      </c>
      <c r="AL1611">
        <v>17</v>
      </c>
      <c r="AM1611">
        <v>11</v>
      </c>
      <c r="AN1611" s="18">
        <v>0.0454545454545455</v>
      </c>
      <c r="AO1611" s="18">
        <v>0.0869565217391304</v>
      </c>
      <c r="AP1611" s="18">
        <v>0.176470588235294</v>
      </c>
      <c r="AQ1611" s="18">
        <v>0.272727272727273</v>
      </c>
      <c r="AR1611" s="29">
        <v>0.142857142857143</v>
      </c>
      <c r="AS1611" s="29">
        <v>8.57142857142857</v>
      </c>
      <c r="AT1611" s="29">
        <v>6.42857142857143</v>
      </c>
      <c r="AU1611" s="24">
        <f t="shared" si="26"/>
        <v>105</v>
      </c>
      <c r="AV1611" s="31">
        <f>IFERROR(时间!$B$4+AU1611,"上周无销量")</f>
        <v>43423</v>
      </c>
    </row>
    <row r="1612" spans="1:48">
      <c r="A1612" s="16" t="s">
        <v>2709</v>
      </c>
      <c r="B1612" t="s">
        <v>1583</v>
      </c>
      <c r="C1612" t="s">
        <v>2707</v>
      </c>
      <c r="D1612" s="24">
        <v>3</v>
      </c>
      <c r="E1612" s="24">
        <v>0</v>
      </c>
      <c r="F1612" s="24">
        <v>0</v>
      </c>
      <c r="G1612" s="24">
        <v>0</v>
      </c>
      <c r="H1612" s="25">
        <v>33.98</v>
      </c>
      <c r="I1612">
        <v>138</v>
      </c>
      <c r="J1612" s="26">
        <v>0</v>
      </c>
      <c r="K1612" s="26">
        <v>0</v>
      </c>
      <c r="L1612" s="26">
        <v>0</v>
      </c>
      <c r="M1612">
        <v>138</v>
      </c>
      <c r="N1612">
        <v>0</v>
      </c>
      <c r="O1612">
        <v>138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7</v>
      </c>
      <c r="AK1612">
        <v>11</v>
      </c>
      <c r="AL1612">
        <v>13</v>
      </c>
      <c r="AM1612">
        <v>3</v>
      </c>
      <c r="AN1612" s="18">
        <v>0.428571428571429</v>
      </c>
      <c r="AO1612" s="18">
        <v>0</v>
      </c>
      <c r="AP1612" s="18">
        <v>0</v>
      </c>
      <c r="AQ1612" s="18">
        <v>0</v>
      </c>
      <c r="AR1612" s="29">
        <v>0.428571428571429</v>
      </c>
      <c r="AS1612" s="29">
        <v>25.7142857142857</v>
      </c>
      <c r="AT1612" s="29">
        <v>112.285714285714</v>
      </c>
      <c r="AU1612" s="24">
        <f t="shared" si="26"/>
        <v>322</v>
      </c>
      <c r="AV1612" s="31">
        <f>IFERROR(时间!$B$4+AU1612,"上周无销量")</f>
        <v>43640</v>
      </c>
    </row>
    <row r="1613" spans="1:48">
      <c r="A1613" s="16" t="s">
        <v>2710</v>
      </c>
      <c r="B1613" t="s">
        <v>1581</v>
      </c>
      <c r="C1613" t="s">
        <v>2707</v>
      </c>
      <c r="D1613" s="24">
        <v>0</v>
      </c>
      <c r="E1613" s="24">
        <v>0</v>
      </c>
      <c r="F1613" s="24">
        <v>1</v>
      </c>
      <c r="G1613" s="24">
        <v>0</v>
      </c>
      <c r="H1613" s="25">
        <v>19.98</v>
      </c>
      <c r="I1613">
        <v>147</v>
      </c>
      <c r="J1613" s="26">
        <v>0</v>
      </c>
      <c r="K1613" s="26">
        <v>0</v>
      </c>
      <c r="L1613" s="26">
        <v>0</v>
      </c>
      <c r="M1613">
        <v>147</v>
      </c>
      <c r="N1613">
        <v>0</v>
      </c>
      <c r="O1613">
        <v>146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3</v>
      </c>
      <c r="AK1613">
        <v>13</v>
      </c>
      <c r="AL1613">
        <v>8</v>
      </c>
      <c r="AM1613">
        <v>8</v>
      </c>
      <c r="AN1613" s="18">
        <v>0</v>
      </c>
      <c r="AO1613" s="18">
        <v>0</v>
      </c>
      <c r="AP1613" s="18">
        <v>0.125</v>
      </c>
      <c r="AQ1613" s="18">
        <v>0</v>
      </c>
      <c r="AR1613" s="29">
        <v>0</v>
      </c>
      <c r="AS1613" s="29">
        <v>0</v>
      </c>
      <c r="AT1613" s="29">
        <v>147</v>
      </c>
      <c r="AU1613" s="24" t="str">
        <f t="shared" si="26"/>
        <v>库存为147</v>
      </c>
      <c r="AV1613" s="31" t="str">
        <f>IFERROR(时间!$B$4+AU1613,"上周无销量")</f>
        <v>上周无销量</v>
      </c>
    </row>
    <row r="1614" spans="1:48">
      <c r="A1614" s="16" t="s">
        <v>2711</v>
      </c>
      <c r="B1614" t="s">
        <v>1579</v>
      </c>
      <c r="C1614" t="s">
        <v>2707</v>
      </c>
      <c r="D1614" s="24">
        <v>0</v>
      </c>
      <c r="E1614" s="24">
        <v>0</v>
      </c>
      <c r="F1614" s="24">
        <v>0</v>
      </c>
      <c r="G1614" s="24">
        <v>0</v>
      </c>
      <c r="H1614" s="25">
        <v>0</v>
      </c>
      <c r="I1614">
        <v>24</v>
      </c>
      <c r="J1614" s="26">
        <v>0</v>
      </c>
      <c r="K1614" s="26">
        <v>0</v>
      </c>
      <c r="L1614" s="26">
        <v>0</v>
      </c>
      <c r="M1614">
        <v>24</v>
      </c>
      <c r="N1614">
        <v>0</v>
      </c>
      <c r="O1614">
        <v>23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16</v>
      </c>
      <c r="AK1614">
        <v>26</v>
      </c>
      <c r="AL1614">
        <v>23</v>
      </c>
      <c r="AM1614">
        <v>25</v>
      </c>
      <c r="AN1614" s="18">
        <v>0</v>
      </c>
      <c r="AO1614" s="18">
        <v>0</v>
      </c>
      <c r="AP1614" s="18">
        <v>0</v>
      </c>
      <c r="AQ1614" s="18">
        <v>0</v>
      </c>
      <c r="AR1614" s="29">
        <v>0</v>
      </c>
      <c r="AS1614" s="29">
        <v>0</v>
      </c>
      <c r="AT1614" s="29">
        <v>24</v>
      </c>
      <c r="AU1614" s="24" t="str">
        <f t="shared" si="26"/>
        <v>库存为24</v>
      </c>
      <c r="AV1614" s="31" t="str">
        <f>IFERROR(时间!$B$4+AU1614,"上周无销量")</f>
        <v>上周无销量</v>
      </c>
    </row>
    <row r="1615" spans="1:48">
      <c r="A1615" s="16" t="s">
        <v>2712</v>
      </c>
      <c r="B1615" t="s">
        <v>1585</v>
      </c>
      <c r="C1615" t="s">
        <v>2707</v>
      </c>
      <c r="D1615" s="24">
        <v>0</v>
      </c>
      <c r="E1615" s="24">
        <v>0</v>
      </c>
      <c r="F1615" s="24">
        <v>1</v>
      </c>
      <c r="G1615" s="24">
        <v>1</v>
      </c>
      <c r="H1615" s="25">
        <v>22.98</v>
      </c>
      <c r="I1615">
        <v>92</v>
      </c>
      <c r="J1615" s="26">
        <v>0</v>
      </c>
      <c r="K1615" s="26">
        <v>0</v>
      </c>
      <c r="L1615" s="26">
        <v>0</v>
      </c>
      <c r="M1615">
        <v>92</v>
      </c>
      <c r="N1615">
        <v>0</v>
      </c>
      <c r="O1615">
        <v>92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6</v>
      </c>
      <c r="AK1615">
        <v>6</v>
      </c>
      <c r="AL1615">
        <v>3</v>
      </c>
      <c r="AM1615">
        <v>8</v>
      </c>
      <c r="AN1615" s="18">
        <v>0</v>
      </c>
      <c r="AO1615" s="18">
        <v>0</v>
      </c>
      <c r="AP1615" s="18">
        <v>0.333333333333333</v>
      </c>
      <c r="AQ1615" s="18">
        <v>0.125</v>
      </c>
      <c r="AR1615" s="29">
        <v>0</v>
      </c>
      <c r="AS1615" s="29">
        <v>0</v>
      </c>
      <c r="AT1615" s="29">
        <v>92</v>
      </c>
      <c r="AU1615" s="24" t="str">
        <f t="shared" si="26"/>
        <v>库存为92</v>
      </c>
      <c r="AV1615" s="31" t="str">
        <f>IFERROR(时间!$B$4+AU1615,"上周无销量")</f>
        <v>上周无销量</v>
      </c>
    </row>
    <row r="1616" spans="1:48">
      <c r="A1616" s="16" t="s">
        <v>2713</v>
      </c>
      <c r="B1616" t="s">
        <v>1587</v>
      </c>
      <c r="C1616" t="s">
        <v>2707</v>
      </c>
      <c r="D1616" s="24">
        <v>1</v>
      </c>
      <c r="E1616" s="24">
        <v>0</v>
      </c>
      <c r="F1616" s="24">
        <v>0</v>
      </c>
      <c r="G1616" s="24">
        <v>1</v>
      </c>
      <c r="H1616" s="25">
        <v>22.48</v>
      </c>
      <c r="I1616">
        <v>48</v>
      </c>
      <c r="J1616" s="26">
        <v>0</v>
      </c>
      <c r="K1616" s="26">
        <v>0</v>
      </c>
      <c r="L1616" s="26">
        <v>0</v>
      </c>
      <c r="M1616">
        <v>48</v>
      </c>
      <c r="N1616">
        <v>0</v>
      </c>
      <c r="O1616">
        <v>49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4</v>
      </c>
      <c r="AK1616">
        <v>8</v>
      </c>
      <c r="AL1616">
        <v>1</v>
      </c>
      <c r="AM1616">
        <v>4</v>
      </c>
      <c r="AN1616" s="18">
        <v>0.25</v>
      </c>
      <c r="AO1616" s="18">
        <v>0</v>
      </c>
      <c r="AP1616" s="18">
        <v>0</v>
      </c>
      <c r="AQ1616" s="18">
        <v>0.25</v>
      </c>
      <c r="AR1616" s="29">
        <v>0.142857142857143</v>
      </c>
      <c r="AS1616" s="29">
        <v>8.57142857142857</v>
      </c>
      <c r="AT1616" s="29">
        <v>39.4285714285714</v>
      </c>
      <c r="AU1616" s="24">
        <f t="shared" si="26"/>
        <v>336</v>
      </c>
      <c r="AV1616" s="31">
        <f>IFERROR(时间!$B$4+AU1616,"上周无销量")</f>
        <v>43654</v>
      </c>
    </row>
    <row r="1617" spans="1:48">
      <c r="A1617" s="16" t="s">
        <v>2714</v>
      </c>
      <c r="B1617" t="s">
        <v>2102</v>
      </c>
      <c r="C1617" t="s">
        <v>2707</v>
      </c>
      <c r="D1617" s="24">
        <v>2</v>
      </c>
      <c r="E1617" s="24">
        <v>8</v>
      </c>
      <c r="F1617" s="24">
        <v>1</v>
      </c>
      <c r="G1617" s="24">
        <v>4</v>
      </c>
      <c r="H1617" s="25">
        <v>23.98</v>
      </c>
      <c r="I1617">
        <v>13</v>
      </c>
      <c r="J1617" s="26">
        <v>0</v>
      </c>
      <c r="K1617" s="26">
        <v>0</v>
      </c>
      <c r="L1617" s="26">
        <v>1</v>
      </c>
      <c r="M1617">
        <v>14</v>
      </c>
      <c r="N1617">
        <v>0</v>
      </c>
      <c r="O1617">
        <v>12</v>
      </c>
      <c r="P1617">
        <v>64</v>
      </c>
      <c r="Q1617">
        <v>766</v>
      </c>
      <c r="R1617">
        <v>982</v>
      </c>
      <c r="S1617">
        <v>1420</v>
      </c>
      <c r="T1617">
        <v>0</v>
      </c>
      <c r="U1617">
        <v>0</v>
      </c>
      <c r="V1617">
        <v>0</v>
      </c>
      <c r="W1617">
        <v>0</v>
      </c>
      <c r="X1617" s="18">
        <v>0</v>
      </c>
      <c r="Y1617" s="18">
        <v>0</v>
      </c>
      <c r="Z1617" s="18">
        <v>0</v>
      </c>
      <c r="AA1617" s="18">
        <v>0</v>
      </c>
      <c r="AB1617">
        <v>0</v>
      </c>
      <c r="AC1617">
        <v>0</v>
      </c>
      <c r="AD1617">
        <v>0</v>
      </c>
      <c r="AE1617">
        <v>0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11</v>
      </c>
      <c r="AK1617">
        <v>15</v>
      </c>
      <c r="AL1617">
        <v>20</v>
      </c>
      <c r="AM1617">
        <v>19</v>
      </c>
      <c r="AN1617" s="18">
        <v>0.181818181818182</v>
      </c>
      <c r="AO1617" s="18">
        <v>0.533333333333333</v>
      </c>
      <c r="AP1617" s="18">
        <v>0.05</v>
      </c>
      <c r="AQ1617" s="18">
        <v>0.210526315789474</v>
      </c>
      <c r="AR1617" s="29">
        <v>0.285714285714286</v>
      </c>
      <c r="AS1617" s="29">
        <v>17.1428571428571</v>
      </c>
      <c r="AT1617" s="29">
        <v>-3.14285714285714</v>
      </c>
      <c r="AU1617" s="24">
        <f t="shared" si="26"/>
        <v>49</v>
      </c>
      <c r="AV1617" s="31">
        <f>IFERROR(时间!$B$4+AU1617,"上周无销量")</f>
        <v>43367</v>
      </c>
    </row>
    <row r="1618" spans="1:48">
      <c r="A1618" s="16" t="s">
        <v>2715</v>
      </c>
      <c r="B1618" t="s">
        <v>2104</v>
      </c>
      <c r="C1618" t="s">
        <v>2707</v>
      </c>
      <c r="D1618" s="24">
        <v>2</v>
      </c>
      <c r="E1618" s="24">
        <v>1</v>
      </c>
      <c r="F1618" s="24">
        <v>0</v>
      </c>
      <c r="G1618" s="24">
        <v>2</v>
      </c>
      <c r="H1618" s="25">
        <v>23.98</v>
      </c>
      <c r="I1618">
        <v>8</v>
      </c>
      <c r="J1618" s="26">
        <v>0</v>
      </c>
      <c r="K1618" s="26">
        <v>0</v>
      </c>
      <c r="L1618" s="26">
        <v>0</v>
      </c>
      <c r="M1618">
        <v>8</v>
      </c>
      <c r="N1618">
        <v>0</v>
      </c>
      <c r="O1618">
        <v>7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6</v>
      </c>
      <c r="AK1618">
        <v>17</v>
      </c>
      <c r="AL1618">
        <v>13</v>
      </c>
      <c r="AM1618">
        <v>7</v>
      </c>
      <c r="AN1618" s="18">
        <v>0.333333333333333</v>
      </c>
      <c r="AO1618" s="18">
        <v>0.0588235294117647</v>
      </c>
      <c r="AP1618" s="18">
        <v>0</v>
      </c>
      <c r="AQ1618" s="18">
        <v>0.285714285714286</v>
      </c>
      <c r="AR1618" s="29">
        <v>0.285714285714286</v>
      </c>
      <c r="AS1618" s="29">
        <v>17.1428571428571</v>
      </c>
      <c r="AT1618" s="29">
        <v>-9.14285714285714</v>
      </c>
      <c r="AU1618" s="24">
        <f t="shared" si="26"/>
        <v>28</v>
      </c>
      <c r="AV1618" s="31">
        <f>IFERROR(时间!$B$4+AU1618,"上周无销量")</f>
        <v>43346</v>
      </c>
    </row>
    <row r="1619" spans="1:48">
      <c r="A1619" s="16" t="s">
        <v>2716</v>
      </c>
      <c r="B1619" t="s">
        <v>2106</v>
      </c>
      <c r="C1619" t="s">
        <v>2707</v>
      </c>
      <c r="D1619" s="24">
        <v>1</v>
      </c>
      <c r="E1619" s="24">
        <v>2</v>
      </c>
      <c r="F1619" s="24">
        <v>1</v>
      </c>
      <c r="G1619" s="24">
        <v>0</v>
      </c>
      <c r="H1619" s="25">
        <v>23.98</v>
      </c>
      <c r="I1619">
        <v>4</v>
      </c>
      <c r="J1619" s="26">
        <v>0</v>
      </c>
      <c r="K1619" s="26">
        <v>0</v>
      </c>
      <c r="L1619" s="26">
        <v>0</v>
      </c>
      <c r="M1619">
        <v>4</v>
      </c>
      <c r="N1619">
        <v>0</v>
      </c>
      <c r="O1619">
        <v>2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9</v>
      </c>
      <c r="AK1619">
        <v>18</v>
      </c>
      <c r="AL1619">
        <v>18</v>
      </c>
      <c r="AM1619">
        <v>12</v>
      </c>
      <c r="AN1619" s="18">
        <v>0.111111111111111</v>
      </c>
      <c r="AO1619" s="18">
        <v>0.111111111111111</v>
      </c>
      <c r="AP1619" s="18">
        <v>0.0555555555555556</v>
      </c>
      <c r="AQ1619" s="18">
        <v>0</v>
      </c>
      <c r="AR1619" s="29">
        <v>0.142857142857143</v>
      </c>
      <c r="AS1619" s="29">
        <v>8.57142857142857</v>
      </c>
      <c r="AT1619" s="29">
        <v>-4.57142857142857</v>
      </c>
      <c r="AU1619" s="24">
        <f t="shared" si="26"/>
        <v>28</v>
      </c>
      <c r="AV1619" s="31">
        <f>IFERROR(时间!$B$4+AU1619,"上周无销量")</f>
        <v>43346</v>
      </c>
    </row>
    <row r="1620" spans="1:48">
      <c r="A1620" s="16" t="s">
        <v>2717</v>
      </c>
      <c r="B1620" t="s">
        <v>2108</v>
      </c>
      <c r="C1620" t="s">
        <v>2707</v>
      </c>
      <c r="D1620" s="24">
        <v>2</v>
      </c>
      <c r="E1620" s="24">
        <v>5</v>
      </c>
      <c r="F1620" s="24">
        <v>4</v>
      </c>
      <c r="G1620" s="24">
        <v>0</v>
      </c>
      <c r="H1620" s="25">
        <v>23.98</v>
      </c>
      <c r="I1620">
        <v>38</v>
      </c>
      <c r="J1620" s="26">
        <v>0</v>
      </c>
      <c r="K1620" s="26">
        <v>0</v>
      </c>
      <c r="L1620" s="26">
        <v>0</v>
      </c>
      <c r="M1620">
        <v>38</v>
      </c>
      <c r="N1620">
        <v>0</v>
      </c>
      <c r="O1620">
        <v>38</v>
      </c>
      <c r="P1620">
        <v>11348</v>
      </c>
      <c r="Q1620">
        <v>13608</v>
      </c>
      <c r="R1620">
        <v>3289</v>
      </c>
      <c r="S1620">
        <v>2193</v>
      </c>
      <c r="T1620">
        <v>27</v>
      </c>
      <c r="U1620">
        <v>15</v>
      </c>
      <c r="V1620">
        <v>26</v>
      </c>
      <c r="W1620">
        <v>12</v>
      </c>
      <c r="X1620" s="18">
        <v>0.00237927388086006</v>
      </c>
      <c r="Y1620" s="18">
        <v>0.00110229276895944</v>
      </c>
      <c r="Z1620" s="18">
        <v>0.00790513833992095</v>
      </c>
      <c r="AA1620" s="18">
        <v>0.00547195622435021</v>
      </c>
      <c r="AB1620">
        <v>16.79</v>
      </c>
      <c r="AC1620">
        <v>7.85</v>
      </c>
      <c r="AD1620">
        <v>13.39</v>
      </c>
      <c r="AE1620">
        <v>7.51</v>
      </c>
      <c r="AF1620" s="18">
        <v>0.350083402835696</v>
      </c>
      <c r="AG1620" s="18">
        <v>0.0654712260216847</v>
      </c>
      <c r="AH1620" s="18">
        <v>0.139595496246872</v>
      </c>
      <c r="AI1620" s="18" t="s">
        <v>2718</v>
      </c>
      <c r="AJ1620">
        <v>14</v>
      </c>
      <c r="AK1620">
        <v>26</v>
      </c>
      <c r="AL1620">
        <v>18</v>
      </c>
      <c r="AM1620">
        <v>19</v>
      </c>
      <c r="AN1620" s="18">
        <v>0.142857142857143</v>
      </c>
      <c r="AO1620" s="18">
        <v>0.192307692307692</v>
      </c>
      <c r="AP1620" s="18">
        <v>0.222222222222222</v>
      </c>
      <c r="AQ1620" s="18">
        <v>0</v>
      </c>
      <c r="AR1620" s="29">
        <v>0.285714285714286</v>
      </c>
      <c r="AS1620" s="29">
        <v>17.1428571428571</v>
      </c>
      <c r="AT1620" s="29">
        <v>20.8571428571429</v>
      </c>
      <c r="AU1620" s="24">
        <f t="shared" si="26"/>
        <v>133</v>
      </c>
      <c r="AV1620" s="31">
        <f>IFERROR(时间!$B$4+AU1620,"上周无销量")</f>
        <v>43451</v>
      </c>
    </row>
    <row r="1621" spans="1:48">
      <c r="A1621" s="16" t="s">
        <v>2719</v>
      </c>
      <c r="B1621" t="s">
        <v>1595</v>
      </c>
      <c r="C1621" t="s">
        <v>2707</v>
      </c>
      <c r="D1621" s="24">
        <v>2</v>
      </c>
      <c r="E1621" s="24">
        <v>1</v>
      </c>
      <c r="F1621" s="24">
        <v>2</v>
      </c>
      <c r="G1621" s="24">
        <v>4</v>
      </c>
      <c r="H1621" s="25">
        <v>23.98</v>
      </c>
      <c r="I1621">
        <v>21</v>
      </c>
      <c r="J1621" s="26">
        <v>0</v>
      </c>
      <c r="K1621" s="26">
        <v>0</v>
      </c>
      <c r="L1621" s="26">
        <v>0</v>
      </c>
      <c r="M1621">
        <v>21</v>
      </c>
      <c r="N1621">
        <v>0</v>
      </c>
      <c r="O1621">
        <v>17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25</v>
      </c>
      <c r="AK1621">
        <v>19</v>
      </c>
      <c r="AL1621">
        <v>16</v>
      </c>
      <c r="AM1621">
        <v>7</v>
      </c>
      <c r="AN1621" s="18">
        <v>0.08</v>
      </c>
      <c r="AO1621" s="18">
        <v>0.0526315789473684</v>
      </c>
      <c r="AP1621" s="18">
        <v>0.125</v>
      </c>
      <c r="AQ1621" s="18">
        <v>0.571428571428571</v>
      </c>
      <c r="AR1621" s="29">
        <v>0.285714285714286</v>
      </c>
      <c r="AS1621" s="29">
        <v>17.1428571428571</v>
      </c>
      <c r="AT1621" s="29">
        <v>3.85714285714286</v>
      </c>
      <c r="AU1621" s="24">
        <f t="shared" si="26"/>
        <v>73</v>
      </c>
      <c r="AV1621" s="31">
        <f>IFERROR(时间!$B$4+AU1621,"上周无销量")</f>
        <v>43391</v>
      </c>
    </row>
    <row r="1622" spans="1:48">
      <c r="A1622" s="16" t="s">
        <v>2720</v>
      </c>
      <c r="B1622" t="s">
        <v>1597</v>
      </c>
      <c r="C1622" t="s">
        <v>2707</v>
      </c>
      <c r="D1622" s="24">
        <v>1</v>
      </c>
      <c r="E1622" s="24">
        <v>0</v>
      </c>
      <c r="F1622" s="24">
        <v>1</v>
      </c>
      <c r="G1622" s="24">
        <v>0</v>
      </c>
      <c r="H1622" s="25">
        <v>23.98</v>
      </c>
      <c r="I1622">
        <v>32</v>
      </c>
      <c r="J1622" s="26">
        <v>0</v>
      </c>
      <c r="K1622" s="26">
        <v>0</v>
      </c>
      <c r="L1622" s="26">
        <v>0</v>
      </c>
      <c r="M1622">
        <v>32</v>
      </c>
      <c r="N1622">
        <v>0</v>
      </c>
      <c r="O1622">
        <v>17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27</v>
      </c>
      <c r="AK1622">
        <v>48</v>
      </c>
      <c r="AL1622">
        <v>59</v>
      </c>
      <c r="AM1622">
        <v>42</v>
      </c>
      <c r="AN1622" s="18">
        <v>0.037037037037037</v>
      </c>
      <c r="AO1622" s="18">
        <v>0</v>
      </c>
      <c r="AP1622" s="18">
        <v>0.0169491525423729</v>
      </c>
      <c r="AQ1622" s="18">
        <v>0</v>
      </c>
      <c r="AR1622" s="29">
        <v>0.142857142857143</v>
      </c>
      <c r="AS1622" s="29">
        <v>8.57142857142857</v>
      </c>
      <c r="AT1622" s="29">
        <v>23.4285714285714</v>
      </c>
      <c r="AU1622" s="24">
        <f t="shared" si="26"/>
        <v>224</v>
      </c>
      <c r="AV1622" s="31">
        <f>IFERROR(时间!$B$4+AU1622,"上周无销量")</f>
        <v>43542</v>
      </c>
    </row>
    <row r="1623" spans="1:48">
      <c r="A1623" s="16" t="s">
        <v>2721</v>
      </c>
      <c r="B1623" t="s">
        <v>2114</v>
      </c>
      <c r="C1623" t="s">
        <v>2707</v>
      </c>
      <c r="D1623" s="24">
        <v>0</v>
      </c>
      <c r="E1623" s="24">
        <v>0</v>
      </c>
      <c r="F1623" s="24">
        <v>0</v>
      </c>
      <c r="G1623" s="24">
        <v>0</v>
      </c>
      <c r="H1623" s="25">
        <v>0</v>
      </c>
      <c r="I1623">
        <v>10</v>
      </c>
      <c r="J1623" s="26">
        <v>0</v>
      </c>
      <c r="K1623" s="26">
        <v>0</v>
      </c>
      <c r="L1623" s="26">
        <v>0</v>
      </c>
      <c r="M1623">
        <v>10</v>
      </c>
      <c r="N1623">
        <v>0</v>
      </c>
      <c r="O1623">
        <v>10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5</v>
      </c>
      <c r="AK1623">
        <v>2</v>
      </c>
      <c r="AL1623">
        <v>4</v>
      </c>
      <c r="AM1623">
        <v>4</v>
      </c>
      <c r="AN1623" s="18">
        <v>0</v>
      </c>
      <c r="AO1623" s="18">
        <v>0</v>
      </c>
      <c r="AP1623" s="18">
        <v>0</v>
      </c>
      <c r="AQ1623" s="18">
        <v>0</v>
      </c>
      <c r="AR1623" s="29">
        <v>0</v>
      </c>
      <c r="AS1623" s="29">
        <v>0</v>
      </c>
      <c r="AT1623" s="29">
        <v>10</v>
      </c>
      <c r="AU1623" s="24" t="str">
        <f t="shared" si="26"/>
        <v>库存为10</v>
      </c>
      <c r="AV1623" s="31" t="str">
        <f>IFERROR(时间!$B$4+AU1623,"上周无销量")</f>
        <v>上周无销量</v>
      </c>
    </row>
    <row r="1624" spans="1:48">
      <c r="A1624" s="16" t="s">
        <v>2722</v>
      </c>
      <c r="B1624" t="s">
        <v>1601</v>
      </c>
      <c r="C1624" t="s">
        <v>2707</v>
      </c>
      <c r="D1624" s="24">
        <v>0</v>
      </c>
      <c r="E1624" s="24">
        <v>6</v>
      </c>
      <c r="F1624" s="24">
        <v>4</v>
      </c>
      <c r="G1624" s="24">
        <v>2</v>
      </c>
      <c r="H1624" s="25">
        <v>23.98</v>
      </c>
      <c r="I1624">
        <v>28</v>
      </c>
      <c r="J1624" s="26">
        <v>0</v>
      </c>
      <c r="K1624" s="26">
        <v>0</v>
      </c>
      <c r="L1624" s="26">
        <v>0</v>
      </c>
      <c r="M1624">
        <v>28</v>
      </c>
      <c r="N1624">
        <v>0</v>
      </c>
      <c r="O1624">
        <v>27</v>
      </c>
      <c r="P1624">
        <v>954</v>
      </c>
      <c r="Q1624">
        <v>172</v>
      </c>
      <c r="R1624">
        <v>108</v>
      </c>
      <c r="S1624">
        <v>156</v>
      </c>
      <c r="T1624">
        <v>2</v>
      </c>
      <c r="U1624">
        <v>3</v>
      </c>
      <c r="V1624">
        <v>0</v>
      </c>
      <c r="W1624">
        <v>1</v>
      </c>
      <c r="X1624" s="18">
        <v>0.00209643605870021</v>
      </c>
      <c r="Y1624" s="18">
        <v>0.0174418604651163</v>
      </c>
      <c r="Z1624" s="18">
        <v>0</v>
      </c>
      <c r="AA1624" s="18">
        <v>0.00641025641025641</v>
      </c>
      <c r="AB1624">
        <v>1.14</v>
      </c>
      <c r="AC1624">
        <v>0.74</v>
      </c>
      <c r="AD1624">
        <v>0</v>
      </c>
      <c r="AE1624">
        <v>0.02</v>
      </c>
      <c r="AF1624" s="18" t="s">
        <v>2723</v>
      </c>
      <c r="AG1624" s="18">
        <v>0.00514317486794551</v>
      </c>
      <c r="AH1624" s="18" t="s">
        <v>52</v>
      </c>
      <c r="AI1624" s="18">
        <v>0.000417014178482068</v>
      </c>
      <c r="AJ1624">
        <v>12</v>
      </c>
      <c r="AK1624">
        <v>13</v>
      </c>
      <c r="AL1624">
        <v>16</v>
      </c>
      <c r="AM1624">
        <v>13</v>
      </c>
      <c r="AN1624" s="18">
        <v>0</v>
      </c>
      <c r="AO1624" s="18">
        <v>0.461538461538462</v>
      </c>
      <c r="AP1624" s="18">
        <v>0.25</v>
      </c>
      <c r="AQ1624" s="18">
        <v>0.153846153846154</v>
      </c>
      <c r="AR1624" s="29">
        <v>0</v>
      </c>
      <c r="AS1624" s="29">
        <v>0</v>
      </c>
      <c r="AT1624" s="29">
        <v>28</v>
      </c>
      <c r="AU1624" s="24" t="str">
        <f t="shared" si="26"/>
        <v>库存为28</v>
      </c>
      <c r="AV1624" s="31" t="str">
        <f>IFERROR(时间!$B$4+AU1624,"上周无销量")</f>
        <v>上周无销量</v>
      </c>
    </row>
    <row r="1625" spans="1:48">
      <c r="A1625" s="16" t="s">
        <v>2724</v>
      </c>
      <c r="B1625" t="s">
        <v>1603</v>
      </c>
      <c r="C1625" t="s">
        <v>2707</v>
      </c>
      <c r="D1625" s="24">
        <v>12</v>
      </c>
      <c r="E1625" s="24">
        <v>0</v>
      </c>
      <c r="F1625" s="24">
        <v>2</v>
      </c>
      <c r="G1625" s="24">
        <v>2</v>
      </c>
      <c r="H1625" s="25">
        <v>23.98</v>
      </c>
      <c r="I1625">
        <v>13</v>
      </c>
      <c r="J1625" s="26">
        <v>0</v>
      </c>
      <c r="K1625" s="26">
        <v>0</v>
      </c>
      <c r="L1625" s="26">
        <v>0</v>
      </c>
      <c r="M1625">
        <v>13</v>
      </c>
      <c r="N1625">
        <v>0</v>
      </c>
      <c r="O1625">
        <v>13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23</v>
      </c>
      <c r="AK1625">
        <v>23</v>
      </c>
      <c r="AL1625">
        <v>6</v>
      </c>
      <c r="AM1625">
        <v>28</v>
      </c>
      <c r="AN1625" s="18">
        <v>0.521739130434783</v>
      </c>
      <c r="AO1625" s="18">
        <v>0</v>
      </c>
      <c r="AP1625" s="18">
        <v>0.333333333333333</v>
      </c>
      <c r="AQ1625" s="18">
        <v>0.0714285714285714</v>
      </c>
      <c r="AR1625" s="29">
        <v>1.71428571428571</v>
      </c>
      <c r="AS1625" s="29">
        <v>102.857142857143</v>
      </c>
      <c r="AT1625" s="29">
        <v>-89.8571428571428</v>
      </c>
      <c r="AU1625" s="24">
        <f t="shared" si="26"/>
        <v>7</v>
      </c>
      <c r="AV1625" s="31">
        <f>IFERROR(时间!$B$4+AU1625,"上周无销量")</f>
        <v>43325</v>
      </c>
    </row>
    <row r="1626" spans="1:48">
      <c r="A1626" s="16" t="s">
        <v>2725</v>
      </c>
      <c r="B1626" t="s">
        <v>1605</v>
      </c>
      <c r="C1626" t="s">
        <v>2707</v>
      </c>
      <c r="D1626" s="24">
        <v>2</v>
      </c>
      <c r="E1626" s="24">
        <v>3</v>
      </c>
      <c r="F1626" s="24">
        <v>4</v>
      </c>
      <c r="G1626" s="24">
        <v>4</v>
      </c>
      <c r="H1626" s="25">
        <v>23.98</v>
      </c>
      <c r="I1626">
        <v>59</v>
      </c>
      <c r="J1626" s="26">
        <v>0</v>
      </c>
      <c r="K1626" s="26">
        <v>0</v>
      </c>
      <c r="L1626" s="26">
        <v>1</v>
      </c>
      <c r="M1626">
        <v>60</v>
      </c>
      <c r="N1626">
        <v>0</v>
      </c>
      <c r="O1626">
        <v>60</v>
      </c>
      <c r="P1626">
        <v>2583</v>
      </c>
      <c r="Q1626">
        <v>4301</v>
      </c>
      <c r="R1626">
        <v>5785</v>
      </c>
      <c r="S1626">
        <v>1469</v>
      </c>
      <c r="T1626">
        <v>13</v>
      </c>
      <c r="U1626">
        <v>6</v>
      </c>
      <c r="V1626">
        <v>13</v>
      </c>
      <c r="W1626">
        <v>2</v>
      </c>
      <c r="X1626" s="18">
        <v>0.00503290747193186</v>
      </c>
      <c r="Y1626" s="18">
        <v>0.00139502441292723</v>
      </c>
      <c r="Z1626" s="18">
        <v>0.00224719101123596</v>
      </c>
      <c r="AA1626" s="18">
        <v>0.00136147038801906</v>
      </c>
      <c r="AB1626">
        <v>7.18</v>
      </c>
      <c r="AC1626">
        <v>7</v>
      </c>
      <c r="AD1626">
        <v>10.16</v>
      </c>
      <c r="AE1626">
        <v>2.36</v>
      </c>
      <c r="AF1626" s="18">
        <v>0.149708090075063</v>
      </c>
      <c r="AG1626" s="18">
        <v>0.0973033083124826</v>
      </c>
      <c r="AH1626" s="18">
        <v>0.105921601334445</v>
      </c>
      <c r="AI1626" s="18">
        <v>0.024603836530442</v>
      </c>
      <c r="AJ1626">
        <v>18</v>
      </c>
      <c r="AK1626">
        <v>18</v>
      </c>
      <c r="AL1626">
        <v>75</v>
      </c>
      <c r="AM1626">
        <v>35</v>
      </c>
      <c r="AN1626" s="18">
        <v>0.111111111111111</v>
      </c>
      <c r="AO1626" s="18">
        <v>0.166666666666667</v>
      </c>
      <c r="AP1626" s="18">
        <v>0.0533333333333333</v>
      </c>
      <c r="AQ1626" s="18">
        <v>0.114285714285714</v>
      </c>
      <c r="AR1626" s="29">
        <v>0.285714285714286</v>
      </c>
      <c r="AS1626" s="29">
        <v>17.1428571428571</v>
      </c>
      <c r="AT1626" s="29">
        <v>42.8571428571429</v>
      </c>
      <c r="AU1626" s="24">
        <f t="shared" si="26"/>
        <v>210</v>
      </c>
      <c r="AV1626" s="31">
        <f>IFERROR(时间!$B$4+AU1626,"上周无销量")</f>
        <v>43528</v>
      </c>
    </row>
    <row r="1627" spans="1:48">
      <c r="A1627" s="16" t="s">
        <v>2726</v>
      </c>
      <c r="B1627" t="s">
        <v>1607</v>
      </c>
      <c r="C1627" t="s">
        <v>2707</v>
      </c>
      <c r="D1627" s="24">
        <v>2</v>
      </c>
      <c r="E1627" s="24">
        <v>5</v>
      </c>
      <c r="F1627" s="24">
        <v>8</v>
      </c>
      <c r="G1627" s="24">
        <v>2</v>
      </c>
      <c r="H1627" s="25">
        <v>23.98</v>
      </c>
      <c r="I1627">
        <v>1</v>
      </c>
      <c r="J1627" s="26">
        <v>0</v>
      </c>
      <c r="K1627" s="26">
        <v>0</v>
      </c>
      <c r="L1627" s="26">
        <v>1</v>
      </c>
      <c r="M1627">
        <v>2</v>
      </c>
      <c r="N1627">
        <v>1</v>
      </c>
      <c r="O1627">
        <v>0</v>
      </c>
      <c r="P1627">
        <v>9080</v>
      </c>
      <c r="Q1627">
        <v>18304</v>
      </c>
      <c r="R1627">
        <v>0</v>
      </c>
      <c r="S1627">
        <v>0</v>
      </c>
      <c r="T1627">
        <v>14</v>
      </c>
      <c r="U1627">
        <v>24</v>
      </c>
      <c r="V1627">
        <v>0</v>
      </c>
      <c r="W1627">
        <v>0</v>
      </c>
      <c r="X1627" s="18">
        <v>0.00154185022026432</v>
      </c>
      <c r="Y1627" s="18">
        <v>0.00131118881118881</v>
      </c>
      <c r="Z1627" s="18" t="s">
        <v>52</v>
      </c>
      <c r="AA1627" s="18" t="s">
        <v>52</v>
      </c>
      <c r="AB1627">
        <v>9.79</v>
      </c>
      <c r="AC1627">
        <v>14.37</v>
      </c>
      <c r="AD1627">
        <v>0</v>
      </c>
      <c r="AE1627">
        <v>0</v>
      </c>
      <c r="AF1627" s="18">
        <v>0.204128440366972</v>
      </c>
      <c r="AG1627" s="18">
        <v>0.119849874895746</v>
      </c>
      <c r="AH1627" s="18" t="s">
        <v>52</v>
      </c>
      <c r="AI1627" s="18" t="s">
        <v>52</v>
      </c>
      <c r="AJ1627">
        <v>16</v>
      </c>
      <c r="AK1627">
        <v>30</v>
      </c>
      <c r="AL1627">
        <v>71</v>
      </c>
      <c r="AM1627">
        <v>43</v>
      </c>
      <c r="AN1627" s="18">
        <v>0.125</v>
      </c>
      <c r="AO1627" s="18">
        <v>0.166666666666667</v>
      </c>
      <c r="AP1627" s="18">
        <v>0.112676056338028</v>
      </c>
      <c r="AQ1627" s="18">
        <v>0.0465116279069767</v>
      </c>
      <c r="AR1627" s="29">
        <v>0.285714285714286</v>
      </c>
      <c r="AS1627" s="29">
        <v>17.1428571428571</v>
      </c>
      <c r="AT1627" s="29">
        <v>-15.1428571428571</v>
      </c>
      <c r="AU1627" s="24">
        <f t="shared" si="26"/>
        <v>7</v>
      </c>
      <c r="AV1627" s="31">
        <f>IFERROR(时间!$B$4+AU1627,"上周无销量")</f>
        <v>43325</v>
      </c>
    </row>
    <row r="1628" spans="1:48">
      <c r="A1628" s="16" t="s">
        <v>2727</v>
      </c>
      <c r="B1628" t="s">
        <v>2728</v>
      </c>
      <c r="C1628" t="s">
        <v>2707</v>
      </c>
      <c r="D1628" s="24">
        <v>0</v>
      </c>
      <c r="E1628" s="24">
        <v>0</v>
      </c>
      <c r="F1628" s="24">
        <v>0</v>
      </c>
      <c r="G1628" s="24">
        <v>0</v>
      </c>
      <c r="H1628" s="25">
        <v>0</v>
      </c>
      <c r="I1628">
        <v>0</v>
      </c>
      <c r="J1628" s="26">
        <v>0</v>
      </c>
      <c r="K1628" s="26">
        <v>0</v>
      </c>
      <c r="L1628" s="26">
        <v>0</v>
      </c>
      <c r="M1628">
        <v>0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0</v>
      </c>
      <c r="AK1628">
        <v>0</v>
      </c>
      <c r="AL1628">
        <v>0</v>
      </c>
      <c r="AM1628">
        <v>0</v>
      </c>
      <c r="AN1628" s="18" t="s">
        <v>52</v>
      </c>
      <c r="AO1628" s="18" t="s">
        <v>52</v>
      </c>
      <c r="AP1628" s="18" t="s">
        <v>52</v>
      </c>
      <c r="AQ1628" s="18" t="s">
        <v>52</v>
      </c>
      <c r="AR1628" s="29">
        <v>0</v>
      </c>
      <c r="AS1628" s="29">
        <v>0</v>
      </c>
      <c r="AT1628" s="29">
        <v>0</v>
      </c>
      <c r="AU1628" s="24" t="str">
        <f t="shared" si="26"/>
        <v>库存为0</v>
      </c>
      <c r="AV1628" s="31" t="str">
        <f>IFERROR(时间!$B$4+AU1628,"上周无销量")</f>
        <v>上周无销量</v>
      </c>
    </row>
    <row r="1629" spans="1:48">
      <c r="A1629" s="16" t="s">
        <v>2729</v>
      </c>
      <c r="B1629" t="s">
        <v>1612</v>
      </c>
      <c r="C1629" t="s">
        <v>2707</v>
      </c>
      <c r="D1629" s="24">
        <v>4</v>
      </c>
      <c r="E1629" s="24">
        <v>2</v>
      </c>
      <c r="F1629" s="24">
        <v>2</v>
      </c>
      <c r="G1629" s="24">
        <v>7</v>
      </c>
      <c r="H1629" s="25">
        <v>23.98</v>
      </c>
      <c r="I1629">
        <v>9</v>
      </c>
      <c r="J1629" s="26">
        <v>0</v>
      </c>
      <c r="K1629" s="26">
        <v>0</v>
      </c>
      <c r="L1629" s="26">
        <v>1</v>
      </c>
      <c r="M1629">
        <v>10</v>
      </c>
      <c r="N1629">
        <v>1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16</v>
      </c>
      <c r="AK1629">
        <v>12</v>
      </c>
      <c r="AL1629">
        <v>27</v>
      </c>
      <c r="AM1629">
        <v>25</v>
      </c>
      <c r="AN1629" s="18">
        <v>0.25</v>
      </c>
      <c r="AO1629" s="18">
        <v>0.166666666666667</v>
      </c>
      <c r="AP1629" s="18">
        <v>0.0740740740740741</v>
      </c>
      <c r="AQ1629" s="18">
        <v>0.28</v>
      </c>
      <c r="AR1629" s="29">
        <v>0.571428571428571</v>
      </c>
      <c r="AS1629" s="29">
        <v>34.2857142857143</v>
      </c>
      <c r="AT1629" s="29">
        <v>-24.2857142857143</v>
      </c>
      <c r="AU1629" s="24">
        <f t="shared" si="26"/>
        <v>17</v>
      </c>
      <c r="AV1629" s="31">
        <f>IFERROR(时间!$B$4+AU1629,"上周无销量")</f>
        <v>43335</v>
      </c>
    </row>
    <row r="1630" spans="1:48">
      <c r="A1630" s="16" t="s">
        <v>2730</v>
      </c>
      <c r="B1630" t="s">
        <v>2126</v>
      </c>
      <c r="C1630" t="s">
        <v>2731</v>
      </c>
      <c r="D1630" s="24">
        <v>3</v>
      </c>
      <c r="E1630" s="24">
        <v>2</v>
      </c>
      <c r="F1630" s="24">
        <v>3</v>
      </c>
      <c r="G1630" s="24">
        <v>3</v>
      </c>
      <c r="H1630" s="25">
        <v>22.98</v>
      </c>
      <c r="I1630">
        <v>8</v>
      </c>
      <c r="J1630" s="26">
        <v>0</v>
      </c>
      <c r="K1630" s="26">
        <v>0</v>
      </c>
      <c r="L1630" s="26">
        <v>0</v>
      </c>
      <c r="M1630">
        <v>8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16</v>
      </c>
      <c r="AK1630">
        <v>30</v>
      </c>
      <c r="AL1630">
        <v>2</v>
      </c>
      <c r="AM1630">
        <v>23</v>
      </c>
      <c r="AN1630" s="18">
        <v>0.1875</v>
      </c>
      <c r="AO1630" s="18">
        <v>0.0666666666666667</v>
      </c>
      <c r="AP1630" s="18">
        <v>1.5</v>
      </c>
      <c r="AQ1630" s="18">
        <v>0.130434782608696</v>
      </c>
      <c r="AR1630" s="29">
        <v>0.428571428571429</v>
      </c>
      <c r="AS1630" s="29">
        <v>25.7142857142857</v>
      </c>
      <c r="AT1630" s="29">
        <v>-17.7142857142857</v>
      </c>
      <c r="AU1630" s="24">
        <f t="shared" si="26"/>
        <v>18</v>
      </c>
      <c r="AV1630" s="31">
        <f>IFERROR(时间!$B$4+AU1630,"上周无销量")</f>
        <v>43336</v>
      </c>
    </row>
    <row r="1631" spans="1:48">
      <c r="A1631" s="16" t="s">
        <v>2732</v>
      </c>
      <c r="B1631" t="s">
        <v>2129</v>
      </c>
      <c r="C1631" t="s">
        <v>2731</v>
      </c>
      <c r="D1631" s="24">
        <v>0</v>
      </c>
      <c r="E1631" s="24">
        <v>1</v>
      </c>
      <c r="F1631" s="24">
        <v>1</v>
      </c>
      <c r="G1631" s="24">
        <v>0</v>
      </c>
      <c r="H1631" s="25">
        <v>31.48</v>
      </c>
      <c r="I1631">
        <v>23</v>
      </c>
      <c r="J1631" s="26">
        <v>0</v>
      </c>
      <c r="K1631" s="26">
        <v>0</v>
      </c>
      <c r="L1631" s="26">
        <v>0</v>
      </c>
      <c r="M1631">
        <v>23</v>
      </c>
      <c r="N1631">
        <v>0</v>
      </c>
      <c r="O1631">
        <v>7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10</v>
      </c>
      <c r="AK1631">
        <v>16</v>
      </c>
      <c r="AL1631">
        <v>1</v>
      </c>
      <c r="AM1631">
        <v>1</v>
      </c>
      <c r="AN1631" s="18">
        <v>0</v>
      </c>
      <c r="AO1631" s="18">
        <v>0.0625</v>
      </c>
      <c r="AP1631" s="18">
        <v>1</v>
      </c>
      <c r="AQ1631" s="18">
        <v>0</v>
      </c>
      <c r="AR1631" s="29">
        <v>0</v>
      </c>
      <c r="AS1631" s="29">
        <v>0</v>
      </c>
      <c r="AT1631" s="29">
        <v>23</v>
      </c>
      <c r="AU1631" s="24" t="str">
        <f t="shared" si="26"/>
        <v>库存为23</v>
      </c>
      <c r="AV1631" s="31" t="str">
        <f>IFERROR(时间!$B$4+AU1631,"上周无销量")</f>
        <v>上周无销量</v>
      </c>
    </row>
    <row r="1632" spans="1:48">
      <c r="A1632" s="16" t="s">
        <v>2733</v>
      </c>
      <c r="B1632" t="s">
        <v>2133</v>
      </c>
      <c r="C1632" t="s">
        <v>2731</v>
      </c>
      <c r="D1632" s="24">
        <v>0</v>
      </c>
      <c r="E1632" s="24">
        <v>1</v>
      </c>
      <c r="F1632" s="24">
        <v>0</v>
      </c>
      <c r="G1632" s="24">
        <v>2</v>
      </c>
      <c r="H1632" s="25">
        <v>23.98</v>
      </c>
      <c r="I1632">
        <v>27</v>
      </c>
      <c r="J1632" s="26">
        <v>0</v>
      </c>
      <c r="K1632" s="26">
        <v>0</v>
      </c>
      <c r="L1632" s="26">
        <v>0</v>
      </c>
      <c r="M1632">
        <v>27</v>
      </c>
      <c r="N1632">
        <v>0</v>
      </c>
      <c r="O1632">
        <v>27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10</v>
      </c>
      <c r="AK1632">
        <v>14</v>
      </c>
      <c r="AL1632">
        <v>7</v>
      </c>
      <c r="AM1632">
        <v>20</v>
      </c>
      <c r="AN1632" s="18">
        <v>0</v>
      </c>
      <c r="AO1632" s="18">
        <v>0.0714285714285714</v>
      </c>
      <c r="AP1632" s="18">
        <v>0</v>
      </c>
      <c r="AQ1632" s="18">
        <v>0.1</v>
      </c>
      <c r="AR1632" s="29">
        <v>0</v>
      </c>
      <c r="AS1632" s="29">
        <v>0</v>
      </c>
      <c r="AT1632" s="29">
        <v>27</v>
      </c>
      <c r="AU1632" s="24" t="str">
        <f t="shared" si="26"/>
        <v>库存为27</v>
      </c>
      <c r="AV1632" s="31" t="str">
        <f>IFERROR(时间!$B$4+AU1632,"上周无销量")</f>
        <v>上周无销量</v>
      </c>
    </row>
    <row r="1633" spans="1:48">
      <c r="A1633" s="16" t="s">
        <v>2734</v>
      </c>
      <c r="B1633" t="s">
        <v>2135</v>
      </c>
      <c r="C1633" t="s">
        <v>2731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22</v>
      </c>
      <c r="J1633" s="26">
        <v>0</v>
      </c>
      <c r="K1633" s="26">
        <v>0</v>
      </c>
      <c r="L1633" s="26">
        <v>0</v>
      </c>
      <c r="M1633">
        <v>22</v>
      </c>
      <c r="N1633">
        <v>0</v>
      </c>
      <c r="O1633">
        <v>12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1</v>
      </c>
      <c r="AK1633">
        <v>2</v>
      </c>
      <c r="AL1633">
        <v>4</v>
      </c>
      <c r="AM1633">
        <v>2</v>
      </c>
      <c r="AN1633" s="18">
        <v>0</v>
      </c>
      <c r="AO1633" s="18">
        <v>0</v>
      </c>
      <c r="AP1633" s="18">
        <v>0</v>
      </c>
      <c r="AQ1633" s="18">
        <v>0</v>
      </c>
      <c r="AR1633" s="29">
        <v>0</v>
      </c>
      <c r="AS1633" s="29">
        <v>0</v>
      </c>
      <c r="AT1633" s="29">
        <v>22</v>
      </c>
      <c r="AU1633" s="24" t="str">
        <f t="shared" si="26"/>
        <v>库存为22</v>
      </c>
      <c r="AV1633" s="31" t="str">
        <f>IFERROR(时间!$B$4+AU1633,"上周无销量")</f>
        <v>上周无销量</v>
      </c>
    </row>
    <row r="1634" spans="1:48">
      <c r="A1634" s="16" t="s">
        <v>2735</v>
      </c>
      <c r="B1634" t="s">
        <v>2145</v>
      </c>
      <c r="C1634" t="s">
        <v>2731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8</v>
      </c>
      <c r="J1634" s="26">
        <v>0</v>
      </c>
      <c r="K1634" s="26">
        <v>0</v>
      </c>
      <c r="L1634" s="26">
        <v>0</v>
      </c>
      <c r="M1634">
        <v>8</v>
      </c>
      <c r="N1634">
        <v>0</v>
      </c>
      <c r="O1634">
        <v>8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1</v>
      </c>
      <c r="AK1634">
        <v>0</v>
      </c>
      <c r="AL1634">
        <v>2</v>
      </c>
      <c r="AM1634">
        <v>3</v>
      </c>
      <c r="AN1634" s="18">
        <v>0</v>
      </c>
      <c r="AO1634" s="18" t="s">
        <v>52</v>
      </c>
      <c r="AP1634" s="18">
        <v>0</v>
      </c>
      <c r="AQ1634" s="18">
        <v>0</v>
      </c>
      <c r="AR1634" s="29">
        <v>0</v>
      </c>
      <c r="AS1634" s="29">
        <v>0</v>
      </c>
      <c r="AT1634" s="29">
        <v>8</v>
      </c>
      <c r="AU1634" s="24" t="str">
        <f t="shared" si="26"/>
        <v>库存为8</v>
      </c>
      <c r="AV1634" s="31" t="str">
        <f>IFERROR(时间!$B$4+AU1634,"上周无销量")</f>
        <v>上周无销量</v>
      </c>
    </row>
    <row r="1635" spans="1:48">
      <c r="A1635" s="16" t="s">
        <v>2736</v>
      </c>
      <c r="B1635" t="s">
        <v>2147</v>
      </c>
      <c r="C1635" t="s">
        <v>2731</v>
      </c>
      <c r="D1635" s="24">
        <v>7</v>
      </c>
      <c r="E1635" s="24">
        <v>2</v>
      </c>
      <c r="F1635" s="24">
        <v>8</v>
      </c>
      <c r="G1635" s="24">
        <v>4</v>
      </c>
      <c r="H1635" s="25">
        <v>23.98</v>
      </c>
      <c r="I1635">
        <v>30</v>
      </c>
      <c r="J1635" s="26">
        <v>0</v>
      </c>
      <c r="K1635" s="26">
        <v>0</v>
      </c>
      <c r="L1635" s="26">
        <v>1</v>
      </c>
      <c r="M1635">
        <v>31</v>
      </c>
      <c r="N1635">
        <v>0</v>
      </c>
      <c r="O1635">
        <v>24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35</v>
      </c>
      <c r="AK1635">
        <v>31</v>
      </c>
      <c r="AL1635">
        <v>35</v>
      </c>
      <c r="AM1635">
        <v>17</v>
      </c>
      <c r="AN1635" s="18">
        <v>0.2</v>
      </c>
      <c r="AO1635" s="18">
        <v>0.0645161290322581</v>
      </c>
      <c r="AP1635" s="18">
        <v>0.228571428571429</v>
      </c>
      <c r="AQ1635" s="18">
        <v>0.235294117647059</v>
      </c>
      <c r="AR1635" s="29">
        <v>1</v>
      </c>
      <c r="AS1635" s="29">
        <v>60</v>
      </c>
      <c r="AT1635" s="29">
        <v>-29</v>
      </c>
      <c r="AU1635" s="24">
        <f t="shared" si="26"/>
        <v>31</v>
      </c>
      <c r="AV1635" s="31">
        <f>IFERROR(时间!$B$4+AU1635,"上周无销量")</f>
        <v>43349</v>
      </c>
    </row>
    <row r="1636" spans="1:48">
      <c r="A1636" s="16" t="s">
        <v>2737</v>
      </c>
      <c r="B1636" t="s">
        <v>2151</v>
      </c>
      <c r="C1636" t="s">
        <v>2731</v>
      </c>
      <c r="D1636" s="24">
        <v>4</v>
      </c>
      <c r="E1636" s="24">
        <v>1</v>
      </c>
      <c r="F1636" s="24">
        <v>2</v>
      </c>
      <c r="G1636" s="24">
        <v>1</v>
      </c>
      <c r="H1636" s="25">
        <v>23.98</v>
      </c>
      <c r="I1636">
        <v>5</v>
      </c>
      <c r="J1636" s="26">
        <v>0</v>
      </c>
      <c r="K1636" s="26">
        <v>0</v>
      </c>
      <c r="L1636" s="26">
        <v>0</v>
      </c>
      <c r="M1636">
        <v>5</v>
      </c>
      <c r="N1636">
        <v>0</v>
      </c>
      <c r="O1636">
        <v>0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24</v>
      </c>
      <c r="AK1636">
        <v>19</v>
      </c>
      <c r="AL1636">
        <v>13</v>
      </c>
      <c r="AM1636">
        <v>9</v>
      </c>
      <c r="AN1636" s="18">
        <v>0.166666666666667</v>
      </c>
      <c r="AO1636" s="18">
        <v>0.0526315789473684</v>
      </c>
      <c r="AP1636" s="18">
        <v>0.153846153846154</v>
      </c>
      <c r="AQ1636" s="18">
        <v>0.111111111111111</v>
      </c>
      <c r="AR1636" s="29">
        <v>0.571428571428571</v>
      </c>
      <c r="AS1636" s="29">
        <v>34.2857142857143</v>
      </c>
      <c r="AT1636" s="29">
        <v>-29.2857142857143</v>
      </c>
      <c r="AU1636" s="24">
        <f t="shared" si="26"/>
        <v>8</v>
      </c>
      <c r="AV1636" s="31">
        <f>IFERROR(时间!$B$4+AU1636,"上周无销量")</f>
        <v>43326</v>
      </c>
    </row>
    <row r="1637" spans="1:48">
      <c r="A1637" s="16" t="s">
        <v>2738</v>
      </c>
      <c r="B1637" t="s">
        <v>2153</v>
      </c>
      <c r="C1637" t="s">
        <v>2731</v>
      </c>
      <c r="D1637" s="24">
        <v>3</v>
      </c>
      <c r="E1637" s="24">
        <v>0</v>
      </c>
      <c r="F1637" s="24">
        <v>1</v>
      </c>
      <c r="G1637" s="24">
        <v>2</v>
      </c>
      <c r="H1637" s="25">
        <v>23.98</v>
      </c>
      <c r="I1637">
        <v>20</v>
      </c>
      <c r="J1637" s="26">
        <v>0</v>
      </c>
      <c r="K1637" s="26">
        <v>0</v>
      </c>
      <c r="L1637" s="26">
        <v>0</v>
      </c>
      <c r="M1637">
        <v>20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14</v>
      </c>
      <c r="AK1637">
        <v>11</v>
      </c>
      <c r="AL1637">
        <v>1</v>
      </c>
      <c r="AM1637">
        <v>8</v>
      </c>
      <c r="AN1637" s="18">
        <v>0.214285714285714</v>
      </c>
      <c r="AO1637" s="18">
        <v>0</v>
      </c>
      <c r="AP1637" s="18">
        <v>1</v>
      </c>
      <c r="AQ1637" s="18">
        <v>0.25</v>
      </c>
      <c r="AR1637" s="29">
        <v>0.428571428571429</v>
      </c>
      <c r="AS1637" s="29">
        <v>25.7142857142857</v>
      </c>
      <c r="AT1637" s="29">
        <v>-5.71428571428571</v>
      </c>
      <c r="AU1637" s="24">
        <f t="shared" si="26"/>
        <v>46</v>
      </c>
      <c r="AV1637" s="31">
        <f>IFERROR(时间!$B$4+AU1637,"上周无销量")</f>
        <v>43364</v>
      </c>
    </row>
    <row r="1638" spans="1:48">
      <c r="A1638" s="16" t="s">
        <v>2739</v>
      </c>
      <c r="B1638" t="s">
        <v>2155</v>
      </c>
      <c r="C1638" t="s">
        <v>2731</v>
      </c>
      <c r="D1638" s="24">
        <v>0</v>
      </c>
      <c r="E1638" s="24">
        <v>0</v>
      </c>
      <c r="F1638" s="24">
        <v>0</v>
      </c>
      <c r="G1638" s="24">
        <v>0</v>
      </c>
      <c r="H1638" s="25">
        <v>0</v>
      </c>
      <c r="I1638">
        <v>1</v>
      </c>
      <c r="J1638" s="26">
        <v>0</v>
      </c>
      <c r="K1638" s="26">
        <v>0</v>
      </c>
      <c r="L1638" s="26">
        <v>0</v>
      </c>
      <c r="M1638">
        <v>1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1</v>
      </c>
      <c r="AK1638">
        <v>0</v>
      </c>
      <c r="AL1638">
        <v>0</v>
      </c>
      <c r="AM1638">
        <v>0</v>
      </c>
      <c r="AN1638" s="18">
        <v>0</v>
      </c>
      <c r="AO1638" s="18" t="s">
        <v>52</v>
      </c>
      <c r="AP1638" s="18" t="s">
        <v>52</v>
      </c>
      <c r="AQ1638" s="18" t="s">
        <v>52</v>
      </c>
      <c r="AR1638" s="29">
        <v>0</v>
      </c>
      <c r="AS1638" s="29">
        <v>0</v>
      </c>
      <c r="AT1638" s="29">
        <v>1</v>
      </c>
      <c r="AU1638" s="24" t="str">
        <f t="shared" si="26"/>
        <v>库存为1</v>
      </c>
      <c r="AV1638" s="31" t="str">
        <f>IFERROR(时间!$B$4+AU1638,"上周无销量")</f>
        <v>上周无销量</v>
      </c>
    </row>
    <row r="1639" spans="1:48">
      <c r="A1639" s="16" t="s">
        <v>2740</v>
      </c>
      <c r="B1639" t="s">
        <v>2169</v>
      </c>
      <c r="C1639" t="s">
        <v>2731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8</v>
      </c>
      <c r="J1639" s="26">
        <v>0</v>
      </c>
      <c r="K1639" s="26">
        <v>0</v>
      </c>
      <c r="L1639" s="26">
        <v>0</v>
      </c>
      <c r="M1639">
        <v>8</v>
      </c>
      <c r="N1639">
        <v>0</v>
      </c>
      <c r="O1639">
        <v>8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0</v>
      </c>
      <c r="AK1639">
        <v>3</v>
      </c>
      <c r="AL1639">
        <v>3</v>
      </c>
      <c r="AM1639">
        <v>1</v>
      </c>
      <c r="AN1639" s="18" t="s">
        <v>52</v>
      </c>
      <c r="AO1639" s="18">
        <v>0</v>
      </c>
      <c r="AP1639" s="18">
        <v>0</v>
      </c>
      <c r="AQ1639" s="18">
        <v>0</v>
      </c>
      <c r="AR1639" s="29">
        <v>0</v>
      </c>
      <c r="AS1639" s="29">
        <v>0</v>
      </c>
      <c r="AT1639" s="29">
        <v>8</v>
      </c>
      <c r="AU1639" s="24" t="str">
        <f t="shared" si="26"/>
        <v>库存为8</v>
      </c>
      <c r="AV1639" s="31" t="str">
        <f>IFERROR(时间!$B$4+AU1639,"上周无销量")</f>
        <v>上周无销量</v>
      </c>
    </row>
    <row r="1640" spans="1:48">
      <c r="A1640" s="16" t="s">
        <v>2741</v>
      </c>
      <c r="B1640" t="s">
        <v>2742</v>
      </c>
      <c r="C1640" t="s">
        <v>2731</v>
      </c>
      <c r="D1640" s="24">
        <v>1</v>
      </c>
      <c r="E1640" s="24">
        <v>0</v>
      </c>
      <c r="F1640" s="24">
        <v>0</v>
      </c>
      <c r="G1640" s="24">
        <v>0</v>
      </c>
      <c r="H1640" s="25">
        <v>19.98</v>
      </c>
      <c r="I1640">
        <v>48</v>
      </c>
      <c r="J1640" s="26">
        <v>0</v>
      </c>
      <c r="K1640" s="26">
        <v>0</v>
      </c>
      <c r="L1640" s="26">
        <v>0</v>
      </c>
      <c r="M1640">
        <v>48</v>
      </c>
      <c r="N1640">
        <v>0</v>
      </c>
      <c r="O1640">
        <v>0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0</v>
      </c>
      <c r="AK1640">
        <v>1</v>
      </c>
      <c r="AL1640">
        <v>2</v>
      </c>
      <c r="AM1640">
        <v>2</v>
      </c>
      <c r="AN1640" s="18" t="s">
        <v>52</v>
      </c>
      <c r="AO1640" s="18">
        <v>0</v>
      </c>
      <c r="AP1640" s="18">
        <v>0</v>
      </c>
      <c r="AQ1640" s="18">
        <v>0</v>
      </c>
      <c r="AR1640" s="29">
        <v>0.142857142857143</v>
      </c>
      <c r="AS1640" s="29">
        <v>8.57142857142857</v>
      </c>
      <c r="AT1640" s="29">
        <v>39.4285714285714</v>
      </c>
      <c r="AU1640" s="24">
        <f t="shared" si="26"/>
        <v>336</v>
      </c>
      <c r="AV1640" s="31">
        <f>IFERROR(时间!$B$4+AU1640,"上周无销量")</f>
        <v>43654</v>
      </c>
    </row>
    <row r="1641" spans="1:48">
      <c r="A1641" s="16" t="s">
        <v>2743</v>
      </c>
      <c r="B1641" t="s">
        <v>2744</v>
      </c>
      <c r="C1641" t="s">
        <v>2731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30</v>
      </c>
      <c r="J1641" s="26">
        <v>0</v>
      </c>
      <c r="K1641" s="26">
        <v>0</v>
      </c>
      <c r="L1641" s="26">
        <v>0</v>
      </c>
      <c r="M1641">
        <v>30</v>
      </c>
      <c r="N1641">
        <v>0</v>
      </c>
      <c r="O1641">
        <v>0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1</v>
      </c>
      <c r="AK1641">
        <v>6</v>
      </c>
      <c r="AL1641">
        <v>2</v>
      </c>
      <c r="AM1641">
        <v>2</v>
      </c>
      <c r="AN1641" s="18">
        <v>0</v>
      </c>
      <c r="AO1641" s="18">
        <v>0</v>
      </c>
      <c r="AP1641" s="18">
        <v>0</v>
      </c>
      <c r="AQ1641" s="18">
        <v>0</v>
      </c>
      <c r="AR1641" s="29">
        <v>0</v>
      </c>
      <c r="AS1641" s="29">
        <v>0</v>
      </c>
      <c r="AT1641" s="29">
        <v>30</v>
      </c>
      <c r="AU1641" s="24" t="str">
        <f t="shared" si="26"/>
        <v>库存为30</v>
      </c>
      <c r="AV1641" s="31" t="str">
        <f>IFERROR(时间!$B$4+AU1641,"上周无销量")</f>
        <v>上周无销量</v>
      </c>
    </row>
    <row r="1642" spans="1:48">
      <c r="A1642" s="16" t="s">
        <v>2745</v>
      </c>
      <c r="B1642" t="s">
        <v>2174</v>
      </c>
      <c r="C1642" t="s">
        <v>2731</v>
      </c>
      <c r="D1642" s="24">
        <v>4</v>
      </c>
      <c r="E1642" s="24">
        <v>1</v>
      </c>
      <c r="F1642" s="24">
        <v>2</v>
      </c>
      <c r="G1642" s="24">
        <v>0</v>
      </c>
      <c r="H1642" s="25">
        <v>23.98</v>
      </c>
      <c r="I1642">
        <v>3</v>
      </c>
      <c r="J1642" s="26">
        <v>0</v>
      </c>
      <c r="K1642" s="26">
        <v>0</v>
      </c>
      <c r="L1642" s="26">
        <v>0</v>
      </c>
      <c r="M1642">
        <v>3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8</v>
      </c>
      <c r="AK1642">
        <v>6</v>
      </c>
      <c r="AL1642">
        <v>6</v>
      </c>
      <c r="AM1642">
        <v>1</v>
      </c>
      <c r="AN1642" s="18">
        <v>0.5</v>
      </c>
      <c r="AO1642" s="18">
        <v>0.166666666666667</v>
      </c>
      <c r="AP1642" s="18">
        <v>0.333333333333333</v>
      </c>
      <c r="AQ1642" s="18">
        <v>0</v>
      </c>
      <c r="AR1642" s="29">
        <v>0.571428571428571</v>
      </c>
      <c r="AS1642" s="29">
        <v>34.2857142857143</v>
      </c>
      <c r="AT1642" s="29">
        <v>-31.2857142857143</v>
      </c>
      <c r="AU1642" s="24">
        <f t="shared" si="26"/>
        <v>5</v>
      </c>
      <c r="AV1642" s="31">
        <f>IFERROR(时间!$B$4+AU1642,"上周无销量")</f>
        <v>43323</v>
      </c>
    </row>
    <row r="1643" spans="1:48">
      <c r="A1643" s="16" t="s">
        <v>2746</v>
      </c>
      <c r="B1643" t="s">
        <v>1665</v>
      </c>
      <c r="C1643" t="s">
        <v>2731</v>
      </c>
      <c r="D1643" s="24">
        <v>1</v>
      </c>
      <c r="E1643" s="24">
        <v>2</v>
      </c>
      <c r="F1643" s="24">
        <v>2</v>
      </c>
      <c r="G1643" s="24">
        <v>3</v>
      </c>
      <c r="H1643" s="25">
        <v>23.98</v>
      </c>
      <c r="I1643">
        <v>18</v>
      </c>
      <c r="J1643" s="26">
        <v>0</v>
      </c>
      <c r="K1643" s="26">
        <v>0</v>
      </c>
      <c r="L1643" s="26">
        <v>1</v>
      </c>
      <c r="M1643">
        <v>19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14</v>
      </c>
      <c r="AK1643">
        <v>20</v>
      </c>
      <c r="AL1643">
        <v>4</v>
      </c>
      <c r="AM1643">
        <v>13</v>
      </c>
      <c r="AN1643" s="18">
        <v>0.0714285714285714</v>
      </c>
      <c r="AO1643" s="18">
        <v>0.1</v>
      </c>
      <c r="AP1643" s="18">
        <v>0.5</v>
      </c>
      <c r="AQ1643" s="18">
        <v>0.230769230769231</v>
      </c>
      <c r="AR1643" s="29">
        <v>0.142857142857143</v>
      </c>
      <c r="AS1643" s="29">
        <v>8.57142857142857</v>
      </c>
      <c r="AT1643" s="29">
        <v>10.4285714285714</v>
      </c>
      <c r="AU1643" s="24">
        <f t="shared" si="26"/>
        <v>133</v>
      </c>
      <c r="AV1643" s="31">
        <f>IFERROR(时间!$B$4+AU1643,"上周无销量")</f>
        <v>43451</v>
      </c>
    </row>
    <row r="1644" spans="1:48">
      <c r="A1644" s="16" t="s">
        <v>2747</v>
      </c>
      <c r="B1644" t="s">
        <v>1667</v>
      </c>
      <c r="C1644" t="s">
        <v>2731</v>
      </c>
      <c r="D1644" s="24">
        <v>4</v>
      </c>
      <c r="E1644" s="24">
        <v>2</v>
      </c>
      <c r="F1644" s="24">
        <v>2</v>
      </c>
      <c r="G1644" s="24">
        <v>3</v>
      </c>
      <c r="H1644" s="25">
        <v>23.98</v>
      </c>
      <c r="I1644">
        <v>0</v>
      </c>
      <c r="J1644" s="26">
        <v>6</v>
      </c>
      <c r="K1644" s="26">
        <v>0</v>
      </c>
      <c r="L1644" s="26">
        <v>0</v>
      </c>
      <c r="M1644">
        <v>6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11</v>
      </c>
      <c r="AK1644">
        <v>24</v>
      </c>
      <c r="AL1644">
        <v>14</v>
      </c>
      <c r="AM1644">
        <v>21</v>
      </c>
      <c r="AN1644" s="18">
        <v>0.363636363636364</v>
      </c>
      <c r="AO1644" s="18">
        <v>0.0833333333333333</v>
      </c>
      <c r="AP1644" s="18">
        <v>0.142857142857143</v>
      </c>
      <c r="AQ1644" s="18">
        <v>0.142857142857143</v>
      </c>
      <c r="AR1644" s="29">
        <v>0.571428571428571</v>
      </c>
      <c r="AS1644" s="29">
        <v>34.2857142857143</v>
      </c>
      <c r="AT1644" s="29">
        <v>-28.2857142857143</v>
      </c>
      <c r="AU1644" s="24">
        <f t="shared" si="26"/>
        <v>10</v>
      </c>
      <c r="AV1644" s="31">
        <f>IFERROR(时间!$B$4+AU1644,"上周无销量")</f>
        <v>43328</v>
      </c>
    </row>
    <row r="1645" spans="1:48">
      <c r="A1645" s="16" t="s">
        <v>2748</v>
      </c>
      <c r="B1645" t="s">
        <v>1669</v>
      </c>
      <c r="C1645" t="s">
        <v>2731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0</v>
      </c>
      <c r="AK1645">
        <v>0</v>
      </c>
      <c r="AL1645">
        <v>0</v>
      </c>
      <c r="AM1645">
        <v>0</v>
      </c>
      <c r="AN1645" s="18" t="s">
        <v>52</v>
      </c>
      <c r="AO1645" s="18" t="s">
        <v>52</v>
      </c>
      <c r="AP1645" s="18" t="s">
        <v>52</v>
      </c>
      <c r="AQ1645" s="18" t="s">
        <v>52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2749</v>
      </c>
      <c r="B1646" t="s">
        <v>1671</v>
      </c>
      <c r="C1646" t="s">
        <v>2731</v>
      </c>
      <c r="D1646" s="24">
        <v>3</v>
      </c>
      <c r="E1646" s="24">
        <v>0</v>
      </c>
      <c r="F1646" s="24">
        <v>2</v>
      </c>
      <c r="G1646" s="24">
        <v>2</v>
      </c>
      <c r="H1646" s="25">
        <v>23.98</v>
      </c>
      <c r="I1646">
        <v>11</v>
      </c>
      <c r="J1646" s="26">
        <v>0</v>
      </c>
      <c r="K1646" s="26">
        <v>0</v>
      </c>
      <c r="L1646" s="26">
        <v>0</v>
      </c>
      <c r="M1646">
        <v>11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5</v>
      </c>
      <c r="AK1646">
        <v>14</v>
      </c>
      <c r="AL1646">
        <v>1</v>
      </c>
      <c r="AM1646">
        <v>18</v>
      </c>
      <c r="AN1646" s="18">
        <v>0.6</v>
      </c>
      <c r="AO1646" s="18">
        <v>0</v>
      </c>
      <c r="AP1646" s="18">
        <v>2</v>
      </c>
      <c r="AQ1646" s="18">
        <v>0.111111111111111</v>
      </c>
      <c r="AR1646" s="29">
        <v>0.428571428571429</v>
      </c>
      <c r="AS1646" s="29">
        <v>25.7142857142857</v>
      </c>
      <c r="AT1646" s="29">
        <v>-14.7142857142857</v>
      </c>
      <c r="AU1646" s="24">
        <f t="shared" si="26"/>
        <v>25</v>
      </c>
      <c r="AV1646" s="31">
        <f>IFERROR(时间!$B$4+AU1646,"上周无销量")</f>
        <v>43343</v>
      </c>
    </row>
    <row r="1647" spans="1:48">
      <c r="A1647" s="16" t="s">
        <v>2750</v>
      </c>
      <c r="B1647" t="s">
        <v>1673</v>
      </c>
      <c r="C1647" t="s">
        <v>2731</v>
      </c>
      <c r="D1647" s="24">
        <v>1</v>
      </c>
      <c r="E1647" s="24">
        <v>1</v>
      </c>
      <c r="F1647" s="24">
        <v>0</v>
      </c>
      <c r="G1647" s="24">
        <v>1</v>
      </c>
      <c r="H1647" s="25">
        <v>23.98</v>
      </c>
      <c r="I1647">
        <v>10</v>
      </c>
      <c r="J1647" s="26">
        <v>0</v>
      </c>
      <c r="K1647" s="26">
        <v>0</v>
      </c>
      <c r="L1647" s="26">
        <v>0</v>
      </c>
      <c r="M1647">
        <v>10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14</v>
      </c>
      <c r="AK1647">
        <v>13</v>
      </c>
      <c r="AL1647">
        <v>2</v>
      </c>
      <c r="AM1647">
        <v>14</v>
      </c>
      <c r="AN1647" s="18">
        <v>0.0714285714285714</v>
      </c>
      <c r="AO1647" s="18">
        <v>0.0769230769230769</v>
      </c>
      <c r="AP1647" s="18">
        <v>0</v>
      </c>
      <c r="AQ1647" s="18">
        <v>0.0714285714285714</v>
      </c>
      <c r="AR1647" s="29">
        <v>0.142857142857143</v>
      </c>
      <c r="AS1647" s="29">
        <v>8.57142857142857</v>
      </c>
      <c r="AT1647" s="29">
        <v>1.42857142857143</v>
      </c>
      <c r="AU1647" s="24">
        <f t="shared" si="26"/>
        <v>70</v>
      </c>
      <c r="AV1647" s="31">
        <f>IFERROR(时间!$B$4+AU1647,"上周无销量")</f>
        <v>43388</v>
      </c>
    </row>
    <row r="1648" spans="1:48">
      <c r="A1648" s="16" t="s">
        <v>2751</v>
      </c>
      <c r="B1648" t="s">
        <v>1685</v>
      </c>
      <c r="C1648" t="s">
        <v>2731</v>
      </c>
      <c r="D1648" s="24">
        <v>2</v>
      </c>
      <c r="E1648" s="24">
        <v>1</v>
      </c>
      <c r="F1648" s="24">
        <v>0</v>
      </c>
      <c r="G1648" s="24">
        <v>0</v>
      </c>
      <c r="H1648" s="25">
        <v>23.99</v>
      </c>
      <c r="I1648">
        <v>37</v>
      </c>
      <c r="J1648" s="26">
        <v>0</v>
      </c>
      <c r="K1648" s="26">
        <v>0</v>
      </c>
      <c r="L1648" s="26">
        <v>0</v>
      </c>
      <c r="M1648">
        <v>37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9</v>
      </c>
      <c r="AK1648">
        <v>13</v>
      </c>
      <c r="AL1648">
        <v>5</v>
      </c>
      <c r="AM1648">
        <v>4</v>
      </c>
      <c r="AN1648" s="18">
        <v>0.222222222222222</v>
      </c>
      <c r="AO1648" s="18">
        <v>0.0769230769230769</v>
      </c>
      <c r="AP1648" s="18">
        <v>0</v>
      </c>
      <c r="AQ1648" s="18">
        <v>0</v>
      </c>
      <c r="AR1648" s="29">
        <v>0.285714285714286</v>
      </c>
      <c r="AS1648" s="29">
        <v>17.1428571428571</v>
      </c>
      <c r="AT1648" s="29">
        <v>19.8571428571429</v>
      </c>
      <c r="AU1648" s="24">
        <f t="shared" si="26"/>
        <v>129</v>
      </c>
      <c r="AV1648" s="31">
        <f>IFERROR(时间!$B$4+AU1648,"上周无销量")</f>
        <v>43447</v>
      </c>
    </row>
    <row r="1649" spans="1:48">
      <c r="A1649" s="16" t="s">
        <v>2752</v>
      </c>
      <c r="B1649" t="s">
        <v>2753</v>
      </c>
      <c r="C1649" t="s">
        <v>2731</v>
      </c>
      <c r="D1649" s="24">
        <v>0</v>
      </c>
      <c r="E1649" s="24">
        <v>0</v>
      </c>
      <c r="F1649" s="24">
        <v>0</v>
      </c>
      <c r="G1649" s="24">
        <v>0</v>
      </c>
      <c r="H1649" s="25">
        <v>0</v>
      </c>
      <c r="I1649">
        <v>0</v>
      </c>
      <c r="J1649" s="26">
        <v>0</v>
      </c>
      <c r="K1649" s="26">
        <v>0</v>
      </c>
      <c r="L1649" s="26">
        <v>0</v>
      </c>
      <c r="M1649">
        <v>0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0</v>
      </c>
      <c r="AK1649">
        <v>0</v>
      </c>
      <c r="AL1649">
        <v>0</v>
      </c>
      <c r="AM1649">
        <v>0</v>
      </c>
      <c r="AN1649" s="18" t="s">
        <v>52</v>
      </c>
      <c r="AO1649" s="18" t="s">
        <v>52</v>
      </c>
      <c r="AP1649" s="18" t="s">
        <v>52</v>
      </c>
      <c r="AQ1649" s="18" t="s">
        <v>52</v>
      </c>
      <c r="AR1649" s="29">
        <v>0</v>
      </c>
      <c r="AS1649" s="29">
        <v>0</v>
      </c>
      <c r="AT1649" s="29">
        <v>0</v>
      </c>
      <c r="AU1649" s="24" t="str">
        <f t="shared" si="26"/>
        <v>库存为0</v>
      </c>
      <c r="AV1649" s="31" t="str">
        <f>IFERROR(时间!$B$4+AU1649,"上周无销量")</f>
        <v>上周无销量</v>
      </c>
    </row>
    <row r="1650" spans="1:48">
      <c r="A1650" s="16" t="s">
        <v>2754</v>
      </c>
      <c r="B1650" t="s">
        <v>1691</v>
      </c>
      <c r="C1650" t="s">
        <v>2731</v>
      </c>
      <c r="D1650" s="24">
        <v>1</v>
      </c>
      <c r="E1650" s="24">
        <v>1</v>
      </c>
      <c r="F1650" s="24">
        <v>0</v>
      </c>
      <c r="G1650" s="24">
        <v>2</v>
      </c>
      <c r="H1650" s="25">
        <v>23.98</v>
      </c>
      <c r="I1650">
        <v>0</v>
      </c>
      <c r="J1650" s="26">
        <v>31</v>
      </c>
      <c r="K1650" s="26">
        <v>0</v>
      </c>
      <c r="L1650" s="26">
        <v>0</v>
      </c>
      <c r="M1650">
        <v>31</v>
      </c>
      <c r="N1650">
        <v>1</v>
      </c>
      <c r="O1650">
        <v>0</v>
      </c>
      <c r="P1650">
        <v>0</v>
      </c>
      <c r="Q1650">
        <v>0</v>
      </c>
      <c r="R1650">
        <v>36890</v>
      </c>
      <c r="S1650">
        <v>0</v>
      </c>
      <c r="T1650">
        <v>0</v>
      </c>
      <c r="U1650">
        <v>0</v>
      </c>
      <c r="V1650">
        <v>86</v>
      </c>
      <c r="W1650">
        <v>0</v>
      </c>
      <c r="X1650" s="18" t="s">
        <v>52</v>
      </c>
      <c r="Y1650" s="18" t="s">
        <v>52</v>
      </c>
      <c r="Z1650" s="18">
        <v>0.00233125508267823</v>
      </c>
      <c r="AA1650" s="18" t="s">
        <v>52</v>
      </c>
      <c r="AB1650">
        <v>0</v>
      </c>
      <c r="AC1650">
        <v>0</v>
      </c>
      <c r="AD1650">
        <v>61.19</v>
      </c>
      <c r="AE1650">
        <v>0</v>
      </c>
      <c r="AF1650" s="18" t="s">
        <v>52</v>
      </c>
      <c r="AG1650" s="18" t="s">
        <v>52</v>
      </c>
      <c r="AH1650" s="18" t="s">
        <v>2755</v>
      </c>
      <c r="AI1650" s="18" t="s">
        <v>52</v>
      </c>
      <c r="AJ1650">
        <v>5</v>
      </c>
      <c r="AK1650">
        <v>24</v>
      </c>
      <c r="AL1650">
        <v>0</v>
      </c>
      <c r="AM1650">
        <v>58</v>
      </c>
      <c r="AN1650" s="18">
        <v>0.2</v>
      </c>
      <c r="AO1650" s="18">
        <v>0.0416666666666667</v>
      </c>
      <c r="AP1650" s="18" t="s">
        <v>52</v>
      </c>
      <c r="AQ1650" s="18">
        <v>0.0344827586206897</v>
      </c>
      <c r="AR1650" s="29">
        <v>0.142857142857143</v>
      </c>
      <c r="AS1650" s="29">
        <v>8.57142857142857</v>
      </c>
      <c r="AT1650" s="29">
        <v>22.4285714285714</v>
      </c>
      <c r="AU1650" s="24">
        <f t="shared" si="26"/>
        <v>217</v>
      </c>
      <c r="AV1650" s="31">
        <f>IFERROR(时间!$B$4+AU1650,"上周无销量")</f>
        <v>43535</v>
      </c>
    </row>
    <row r="1651" spans="1:48">
      <c r="A1651" s="16" t="s">
        <v>2756</v>
      </c>
      <c r="B1651" t="s">
        <v>1693</v>
      </c>
      <c r="C1651" t="s">
        <v>2731</v>
      </c>
      <c r="D1651" s="24">
        <v>0</v>
      </c>
      <c r="E1651" s="24">
        <v>0</v>
      </c>
      <c r="F1651" s="24">
        <v>0</v>
      </c>
      <c r="G1651" s="24">
        <v>1</v>
      </c>
      <c r="H1651" s="25">
        <v>23.98</v>
      </c>
      <c r="I1651">
        <v>0</v>
      </c>
      <c r="J1651" s="26">
        <v>0</v>
      </c>
      <c r="K1651" s="26">
        <v>0</v>
      </c>
      <c r="L1651" s="26">
        <v>0</v>
      </c>
      <c r="M1651">
        <v>0</v>
      </c>
      <c r="N1651">
        <v>0</v>
      </c>
      <c r="O1651">
        <v>0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0</v>
      </c>
      <c r="AK1651">
        <v>0</v>
      </c>
      <c r="AL1651">
        <v>0</v>
      </c>
      <c r="AM1651">
        <v>0</v>
      </c>
      <c r="AN1651" s="18" t="s">
        <v>52</v>
      </c>
      <c r="AO1651" s="18" t="s">
        <v>52</v>
      </c>
      <c r="AP1651" s="18" t="s">
        <v>52</v>
      </c>
      <c r="AQ1651" s="18" t="s">
        <v>52</v>
      </c>
      <c r="AR1651" s="29">
        <v>0</v>
      </c>
      <c r="AS1651" s="29">
        <v>0</v>
      </c>
      <c r="AT1651" s="29">
        <v>0</v>
      </c>
      <c r="AU1651" s="24" t="str">
        <f t="shared" si="26"/>
        <v>库存为0</v>
      </c>
      <c r="AV1651" s="31" t="str">
        <f>IFERROR(时间!$B$4+AU1651,"上周无销量")</f>
        <v>上周无销量</v>
      </c>
    </row>
    <row r="1652" spans="1:48">
      <c r="A1652" s="16" t="s">
        <v>2757</v>
      </c>
      <c r="B1652" t="s">
        <v>2758</v>
      </c>
      <c r="C1652" t="s">
        <v>2759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0</v>
      </c>
      <c r="J1652" s="26">
        <v>0</v>
      </c>
      <c r="K1652" s="26">
        <v>0</v>
      </c>
      <c r="L1652" s="26">
        <v>0</v>
      </c>
      <c r="M1652">
        <v>0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0</v>
      </c>
      <c r="AK1652">
        <v>0</v>
      </c>
      <c r="AL1652">
        <v>0</v>
      </c>
      <c r="AM1652">
        <v>0</v>
      </c>
      <c r="AN1652" s="18" t="s">
        <v>52</v>
      </c>
      <c r="AO1652" s="18" t="s">
        <v>52</v>
      </c>
      <c r="AP1652" s="18" t="s">
        <v>52</v>
      </c>
      <c r="AQ1652" s="18" t="s">
        <v>52</v>
      </c>
      <c r="AR1652" s="29">
        <v>0</v>
      </c>
      <c r="AS1652" s="29">
        <v>0</v>
      </c>
      <c r="AT1652" s="29">
        <v>0</v>
      </c>
      <c r="AU1652" s="24" t="str">
        <f t="shared" si="26"/>
        <v>库存为0</v>
      </c>
      <c r="AV1652" s="31" t="str">
        <f>IFERROR(时间!$B$4+AU1652,"上周无销量")</f>
        <v>上周无销量</v>
      </c>
    </row>
    <row r="1653" spans="1:48">
      <c r="A1653" s="16" t="s">
        <v>2760</v>
      </c>
      <c r="B1653" t="s">
        <v>2761</v>
      </c>
      <c r="C1653" t="s">
        <v>2759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0</v>
      </c>
      <c r="J1653" s="26">
        <v>0</v>
      </c>
      <c r="K1653" s="26">
        <v>0</v>
      </c>
      <c r="L1653" s="26">
        <v>0</v>
      </c>
      <c r="M1653">
        <v>0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0</v>
      </c>
      <c r="AK1653">
        <v>0</v>
      </c>
      <c r="AL1653">
        <v>0</v>
      </c>
      <c r="AM1653">
        <v>0</v>
      </c>
      <c r="AN1653" s="18" t="s">
        <v>52</v>
      </c>
      <c r="AO1653" s="18" t="s">
        <v>52</v>
      </c>
      <c r="AP1653" s="18" t="s">
        <v>52</v>
      </c>
      <c r="AQ1653" s="18" t="s">
        <v>52</v>
      </c>
      <c r="AR1653" s="29">
        <v>0</v>
      </c>
      <c r="AS1653" s="29">
        <v>0</v>
      </c>
      <c r="AT1653" s="29">
        <v>0</v>
      </c>
      <c r="AU1653" s="24" t="str">
        <f t="shared" si="26"/>
        <v>库存为0</v>
      </c>
      <c r="AV1653" s="31" t="str">
        <f>IFERROR(时间!$B$4+AU1653,"上周无销量")</f>
        <v>上周无销量</v>
      </c>
    </row>
    <row r="1654" spans="1:48">
      <c r="A1654" s="16" t="s">
        <v>2762</v>
      </c>
      <c r="B1654" t="s">
        <v>2763</v>
      </c>
      <c r="C1654" t="s">
        <v>2759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0</v>
      </c>
      <c r="J1654" s="26">
        <v>0</v>
      </c>
      <c r="K1654" s="26">
        <v>0</v>
      </c>
      <c r="L1654" s="26">
        <v>0</v>
      </c>
      <c r="M1654">
        <v>0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0</v>
      </c>
      <c r="AL1654">
        <v>0</v>
      </c>
      <c r="AM1654">
        <v>0</v>
      </c>
      <c r="AN1654" s="18" t="s">
        <v>52</v>
      </c>
      <c r="AO1654" s="18" t="s">
        <v>52</v>
      </c>
      <c r="AP1654" s="18" t="s">
        <v>52</v>
      </c>
      <c r="AQ1654" s="18" t="s">
        <v>52</v>
      </c>
      <c r="AR1654" s="29">
        <v>0</v>
      </c>
      <c r="AS1654" s="29">
        <v>0</v>
      </c>
      <c r="AT1654" s="29">
        <v>0</v>
      </c>
      <c r="AU1654" s="24" t="str">
        <f t="shared" si="26"/>
        <v>库存为0</v>
      </c>
      <c r="AV1654" s="31" t="str">
        <f>IFERROR(时间!$B$4+AU1654,"上周无销量")</f>
        <v>上周无销量</v>
      </c>
    </row>
    <row r="1655" spans="1:48">
      <c r="A1655" s="16" t="s">
        <v>2764</v>
      </c>
      <c r="B1655" t="s">
        <v>2765</v>
      </c>
      <c r="C1655" t="s">
        <v>2759</v>
      </c>
      <c r="D1655" s="24">
        <v>0</v>
      </c>
      <c r="E1655" s="24">
        <v>0</v>
      </c>
      <c r="F1655" s="24">
        <v>0</v>
      </c>
      <c r="G1655" s="24">
        <v>0</v>
      </c>
      <c r="H1655" s="25">
        <v>0</v>
      </c>
      <c r="I1655">
        <v>0</v>
      </c>
      <c r="J1655" s="26">
        <v>0</v>
      </c>
      <c r="K1655" s="26">
        <v>0</v>
      </c>
      <c r="L1655" s="26">
        <v>0</v>
      </c>
      <c r="M1655">
        <v>0</v>
      </c>
      <c r="N1655">
        <v>0</v>
      </c>
      <c r="O1655">
        <v>0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0</v>
      </c>
      <c r="AK1655">
        <v>0</v>
      </c>
      <c r="AL1655">
        <v>0</v>
      </c>
      <c r="AM1655">
        <v>0</v>
      </c>
      <c r="AN1655" s="18" t="s">
        <v>52</v>
      </c>
      <c r="AO1655" s="18" t="s">
        <v>52</v>
      </c>
      <c r="AP1655" s="18" t="s">
        <v>52</v>
      </c>
      <c r="AQ1655" s="18" t="s">
        <v>52</v>
      </c>
      <c r="AR1655" s="29">
        <v>0</v>
      </c>
      <c r="AS1655" s="29">
        <v>0</v>
      </c>
      <c r="AT1655" s="29">
        <v>0</v>
      </c>
      <c r="AU1655" s="24" t="str">
        <f t="shared" si="26"/>
        <v>库存为0</v>
      </c>
      <c r="AV1655" s="31" t="str">
        <f>IFERROR(时间!$B$4+AU1655,"上周无销量")</f>
        <v>上周无销量</v>
      </c>
    </row>
    <row r="1656" spans="1:48">
      <c r="A1656" s="16" t="s">
        <v>2766</v>
      </c>
      <c r="B1656" t="s">
        <v>2767</v>
      </c>
      <c r="C1656" t="s">
        <v>2759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0</v>
      </c>
      <c r="J1656" s="26">
        <v>0</v>
      </c>
      <c r="K1656" s="26">
        <v>0</v>
      </c>
      <c r="L1656" s="26">
        <v>0</v>
      </c>
      <c r="M1656">
        <v>0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0</v>
      </c>
      <c r="AK1656">
        <v>0</v>
      </c>
      <c r="AL1656">
        <v>0</v>
      </c>
      <c r="AM1656">
        <v>0</v>
      </c>
      <c r="AN1656" s="18" t="s">
        <v>52</v>
      </c>
      <c r="AO1656" s="18" t="s">
        <v>52</v>
      </c>
      <c r="AP1656" s="18" t="s">
        <v>52</v>
      </c>
      <c r="AQ1656" s="18" t="s">
        <v>52</v>
      </c>
      <c r="AR1656" s="29">
        <v>0</v>
      </c>
      <c r="AS1656" s="29">
        <v>0</v>
      </c>
      <c r="AT1656" s="29">
        <v>0</v>
      </c>
      <c r="AU1656" s="24" t="str">
        <f t="shared" si="26"/>
        <v>库存为0</v>
      </c>
      <c r="AV1656" s="31" t="str">
        <f>IFERROR(时间!$B$4+AU1656,"上周无销量")</f>
        <v>上周无销量</v>
      </c>
    </row>
    <row r="1657" spans="1:48">
      <c r="A1657" s="16" t="s">
        <v>2768</v>
      </c>
      <c r="B1657" t="s">
        <v>2769</v>
      </c>
      <c r="C1657" t="s">
        <v>2759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0</v>
      </c>
      <c r="J1657" s="26">
        <v>0</v>
      </c>
      <c r="K1657" s="26">
        <v>0</v>
      </c>
      <c r="L1657" s="26">
        <v>0</v>
      </c>
      <c r="M1657">
        <v>0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0</v>
      </c>
      <c r="AK1657">
        <v>0</v>
      </c>
      <c r="AL1657">
        <v>0</v>
      </c>
      <c r="AM1657">
        <v>0</v>
      </c>
      <c r="AN1657" s="18" t="s">
        <v>52</v>
      </c>
      <c r="AO1657" s="18" t="s">
        <v>52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0</v>
      </c>
      <c r="AU1657" s="24" t="str">
        <f t="shared" si="26"/>
        <v>库存为0</v>
      </c>
      <c r="AV1657" s="31" t="str">
        <f>IFERROR(时间!$B$4+AU1657,"上周无销量")</f>
        <v>上周无销量</v>
      </c>
    </row>
    <row r="1658" spans="1:48">
      <c r="A1658" s="16" t="s">
        <v>2770</v>
      </c>
      <c r="B1658" t="s">
        <v>2771</v>
      </c>
      <c r="C1658" t="s">
        <v>2759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0</v>
      </c>
      <c r="J1658" s="26">
        <v>0</v>
      </c>
      <c r="K1658" s="26">
        <v>0</v>
      </c>
      <c r="L1658" s="26">
        <v>0</v>
      </c>
      <c r="M1658">
        <v>0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0</v>
      </c>
      <c r="AK1658">
        <v>0</v>
      </c>
      <c r="AL1658">
        <v>0</v>
      </c>
      <c r="AM1658">
        <v>0</v>
      </c>
      <c r="AN1658" s="18" t="s">
        <v>52</v>
      </c>
      <c r="AO1658" s="18" t="s">
        <v>52</v>
      </c>
      <c r="AP1658" s="18" t="s">
        <v>52</v>
      </c>
      <c r="AQ1658" s="18" t="s">
        <v>52</v>
      </c>
      <c r="AR1658" s="29">
        <v>0</v>
      </c>
      <c r="AS1658" s="29">
        <v>0</v>
      </c>
      <c r="AT1658" s="29">
        <v>0</v>
      </c>
      <c r="AU1658" s="24" t="str">
        <f t="shared" si="26"/>
        <v>库存为0</v>
      </c>
      <c r="AV1658" s="31" t="str">
        <f>IFERROR(时间!$B$4+AU1658,"上周无销量")</f>
        <v>上周无销量</v>
      </c>
    </row>
    <row r="1659" spans="1:48">
      <c r="A1659" s="16" t="s">
        <v>2772</v>
      </c>
      <c r="B1659" t="s">
        <v>2773</v>
      </c>
      <c r="C1659" t="s">
        <v>2759</v>
      </c>
      <c r="D1659" s="24">
        <v>0</v>
      </c>
      <c r="E1659" s="24">
        <v>0</v>
      </c>
      <c r="F1659" s="24">
        <v>0</v>
      </c>
      <c r="G1659" s="24">
        <v>0</v>
      </c>
      <c r="H1659" s="25">
        <v>0</v>
      </c>
      <c r="I1659">
        <v>0</v>
      </c>
      <c r="J1659" s="26">
        <v>0</v>
      </c>
      <c r="K1659" s="26">
        <v>0</v>
      </c>
      <c r="L1659" s="26">
        <v>0</v>
      </c>
      <c r="M1659">
        <v>0</v>
      </c>
      <c r="N1659">
        <v>0</v>
      </c>
      <c r="O1659">
        <v>0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0</v>
      </c>
      <c r="AK1659">
        <v>0</v>
      </c>
      <c r="AL1659">
        <v>0</v>
      </c>
      <c r="AM1659">
        <v>0</v>
      </c>
      <c r="AN1659" s="18" t="s">
        <v>52</v>
      </c>
      <c r="AO1659" s="18" t="s">
        <v>52</v>
      </c>
      <c r="AP1659" s="18" t="s">
        <v>52</v>
      </c>
      <c r="AQ1659" s="18" t="s">
        <v>52</v>
      </c>
      <c r="AR1659" s="29">
        <v>0</v>
      </c>
      <c r="AS1659" s="29">
        <v>0</v>
      </c>
      <c r="AT1659" s="29">
        <v>0</v>
      </c>
      <c r="AU1659" s="24" t="str">
        <f t="shared" si="26"/>
        <v>库存为0</v>
      </c>
      <c r="AV1659" s="31" t="str">
        <f>IFERROR(时间!$B$4+AU1659,"上周无销量")</f>
        <v>上周无销量</v>
      </c>
    </row>
    <row r="1660" spans="1:48">
      <c r="A1660" s="16" t="s">
        <v>2774</v>
      </c>
      <c r="B1660" t="s">
        <v>2775</v>
      </c>
      <c r="C1660" t="s">
        <v>2759</v>
      </c>
      <c r="D1660" s="24">
        <v>0</v>
      </c>
      <c r="E1660" s="24">
        <v>0</v>
      </c>
      <c r="F1660" s="24">
        <v>0</v>
      </c>
      <c r="G1660" s="24">
        <v>0</v>
      </c>
      <c r="H1660" s="25">
        <v>0</v>
      </c>
      <c r="I1660">
        <v>0</v>
      </c>
      <c r="J1660" s="26">
        <v>0</v>
      </c>
      <c r="K1660" s="26">
        <v>0</v>
      </c>
      <c r="L1660" s="26">
        <v>0</v>
      </c>
      <c r="M1660">
        <v>0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0</v>
      </c>
      <c r="AK1660">
        <v>0</v>
      </c>
      <c r="AL1660">
        <v>0</v>
      </c>
      <c r="AM1660">
        <v>0</v>
      </c>
      <c r="AN1660" s="18" t="s">
        <v>52</v>
      </c>
      <c r="AO1660" s="18" t="s">
        <v>52</v>
      </c>
      <c r="AP1660" s="18" t="s">
        <v>52</v>
      </c>
      <c r="AQ1660" s="18" t="s">
        <v>52</v>
      </c>
      <c r="AR1660" s="29">
        <v>0</v>
      </c>
      <c r="AS1660" s="29">
        <v>0</v>
      </c>
      <c r="AT1660" s="29">
        <v>0</v>
      </c>
      <c r="AU1660" s="24" t="str">
        <f t="shared" si="26"/>
        <v>库存为0</v>
      </c>
      <c r="AV1660" s="31" t="str">
        <f>IFERROR(时间!$B$4+AU1660,"上周无销量")</f>
        <v>上周无销量</v>
      </c>
    </row>
    <row r="1661" spans="1:48">
      <c r="A1661" s="16" t="s">
        <v>2776</v>
      </c>
      <c r="B1661" t="s">
        <v>2777</v>
      </c>
      <c r="C1661" t="s">
        <v>2759</v>
      </c>
      <c r="D1661" s="24">
        <v>0</v>
      </c>
      <c r="E1661" s="24">
        <v>0</v>
      </c>
      <c r="F1661" s="24">
        <v>0</v>
      </c>
      <c r="G1661" s="24">
        <v>0</v>
      </c>
      <c r="H1661" s="25">
        <v>0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0</v>
      </c>
      <c r="AM1661">
        <v>0</v>
      </c>
      <c r="AN1661" s="18" t="s">
        <v>52</v>
      </c>
      <c r="AO1661" s="18" t="s">
        <v>52</v>
      </c>
      <c r="AP1661" s="18" t="s">
        <v>52</v>
      </c>
      <c r="AQ1661" s="18" t="s">
        <v>52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2778</v>
      </c>
      <c r="B1662" t="s">
        <v>2779</v>
      </c>
      <c r="C1662" t="s">
        <v>2759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0</v>
      </c>
      <c r="J1662" s="26">
        <v>0</v>
      </c>
      <c r="K1662" s="26">
        <v>0</v>
      </c>
      <c r="L1662" s="26">
        <v>0</v>
      </c>
      <c r="M1662">
        <v>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0</v>
      </c>
      <c r="AK1662">
        <v>0</v>
      </c>
      <c r="AL1662">
        <v>0</v>
      </c>
      <c r="AM1662">
        <v>0</v>
      </c>
      <c r="AN1662" s="18" t="s">
        <v>52</v>
      </c>
      <c r="AO1662" s="18" t="s">
        <v>52</v>
      </c>
      <c r="AP1662" s="18" t="s">
        <v>52</v>
      </c>
      <c r="AQ1662" s="18" t="s">
        <v>52</v>
      </c>
      <c r="AR1662" s="29">
        <v>0</v>
      </c>
      <c r="AS1662" s="29">
        <v>0</v>
      </c>
      <c r="AT1662" s="29">
        <v>0</v>
      </c>
      <c r="AU1662" s="24" t="str">
        <f t="shared" si="26"/>
        <v>库存为0</v>
      </c>
      <c r="AV1662" s="31" t="str">
        <f>IFERROR(时间!$B$4+AU1662,"上周无销量")</f>
        <v>上周无销量</v>
      </c>
    </row>
    <row r="1663" spans="1:48">
      <c r="A1663" s="16" t="s">
        <v>2780</v>
      </c>
      <c r="B1663" t="s">
        <v>2781</v>
      </c>
      <c r="C1663" t="s">
        <v>2759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2782</v>
      </c>
      <c r="B1664" t="s">
        <v>2783</v>
      </c>
      <c r="C1664" t="s">
        <v>2759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0</v>
      </c>
      <c r="J1664" s="26">
        <v>0</v>
      </c>
      <c r="K1664" s="26">
        <v>0</v>
      </c>
      <c r="L1664" s="26">
        <v>0</v>
      </c>
      <c r="M1664">
        <v>0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0</v>
      </c>
      <c r="AK1664">
        <v>0</v>
      </c>
      <c r="AL1664">
        <v>0</v>
      </c>
      <c r="AM1664">
        <v>0</v>
      </c>
      <c r="AN1664" s="18" t="s">
        <v>52</v>
      </c>
      <c r="AO1664" s="18" t="s">
        <v>52</v>
      </c>
      <c r="AP1664" s="18" t="s">
        <v>52</v>
      </c>
      <c r="AQ1664" s="18" t="s">
        <v>52</v>
      </c>
      <c r="AR1664" s="29">
        <v>0</v>
      </c>
      <c r="AS1664" s="29">
        <v>0</v>
      </c>
      <c r="AT1664" s="29">
        <v>0</v>
      </c>
      <c r="AU1664" s="24" t="str">
        <f t="shared" si="26"/>
        <v>库存为0</v>
      </c>
      <c r="AV1664" s="31" t="str">
        <f>IFERROR(时间!$B$4+AU1664,"上周无销量")</f>
        <v>上周无销量</v>
      </c>
    </row>
    <row r="1665" spans="1:48">
      <c r="A1665" s="16" t="s">
        <v>2784</v>
      </c>
      <c r="B1665" t="s">
        <v>2785</v>
      </c>
      <c r="C1665" t="s">
        <v>2759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0</v>
      </c>
      <c r="J1665" s="26">
        <v>0</v>
      </c>
      <c r="K1665" s="26">
        <v>0</v>
      </c>
      <c r="L1665" s="26">
        <v>0</v>
      </c>
      <c r="M1665">
        <v>0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0</v>
      </c>
      <c r="AK1665">
        <v>0</v>
      </c>
      <c r="AL1665">
        <v>0</v>
      </c>
      <c r="AM1665">
        <v>0</v>
      </c>
      <c r="AN1665" s="18" t="s">
        <v>52</v>
      </c>
      <c r="AO1665" s="18" t="s">
        <v>52</v>
      </c>
      <c r="AP1665" s="18" t="s">
        <v>52</v>
      </c>
      <c r="AQ1665" s="18" t="s">
        <v>52</v>
      </c>
      <c r="AR1665" s="29">
        <v>0</v>
      </c>
      <c r="AS1665" s="29">
        <v>0</v>
      </c>
      <c r="AT1665" s="29">
        <v>0</v>
      </c>
      <c r="AU1665" s="24" t="str">
        <f t="shared" si="26"/>
        <v>库存为0</v>
      </c>
      <c r="AV1665" s="31" t="str">
        <f>IFERROR(时间!$B$4+AU1665,"上周无销量")</f>
        <v>上周无销量</v>
      </c>
    </row>
    <row r="1666" spans="1:48">
      <c r="A1666" s="16" t="s">
        <v>2786</v>
      </c>
      <c r="B1666" t="s">
        <v>2787</v>
      </c>
      <c r="C1666" t="s">
        <v>2759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0</v>
      </c>
      <c r="J1666" s="26">
        <v>0</v>
      </c>
      <c r="K1666" s="26">
        <v>0</v>
      </c>
      <c r="L1666" s="26">
        <v>0</v>
      </c>
      <c r="M1666">
        <v>0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0</v>
      </c>
      <c r="AK1666">
        <v>0</v>
      </c>
      <c r="AL1666">
        <v>0</v>
      </c>
      <c r="AM1666">
        <v>0</v>
      </c>
      <c r="AN1666" s="18" t="s">
        <v>52</v>
      </c>
      <c r="AO1666" s="18" t="s">
        <v>52</v>
      </c>
      <c r="AP1666" s="18" t="s">
        <v>52</v>
      </c>
      <c r="AQ1666" s="18" t="s">
        <v>52</v>
      </c>
      <c r="AR1666" s="29">
        <v>0</v>
      </c>
      <c r="AS1666" s="29">
        <v>0</v>
      </c>
      <c r="AT1666" s="29">
        <v>0</v>
      </c>
      <c r="AU1666" s="24" t="str">
        <f t="shared" si="26"/>
        <v>库存为0</v>
      </c>
      <c r="AV1666" s="31" t="str">
        <f>IFERROR(时间!$B$4+AU1666,"上周无销量")</f>
        <v>上周无销量</v>
      </c>
    </row>
    <row r="1667" spans="1:48">
      <c r="A1667" s="16" t="s">
        <v>2788</v>
      </c>
      <c r="B1667" t="s">
        <v>2789</v>
      </c>
      <c r="C1667" t="s">
        <v>2759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2790</v>
      </c>
      <c r="B1668" t="s">
        <v>2791</v>
      </c>
      <c r="C1668" t="s">
        <v>2759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0</v>
      </c>
      <c r="J1668" s="26">
        <v>0</v>
      </c>
      <c r="K1668" s="26">
        <v>0</v>
      </c>
      <c r="L1668" s="26">
        <v>0</v>
      </c>
      <c r="M1668">
        <v>0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0</v>
      </c>
      <c r="AK1668">
        <v>0</v>
      </c>
      <c r="AL1668">
        <v>0</v>
      </c>
      <c r="AM1668">
        <v>0</v>
      </c>
      <c r="AN1668" s="18" t="s">
        <v>52</v>
      </c>
      <c r="AO1668" s="18" t="s">
        <v>52</v>
      </c>
      <c r="AP1668" s="18" t="s">
        <v>52</v>
      </c>
      <c r="AQ1668" s="18" t="s">
        <v>52</v>
      </c>
      <c r="AR1668" s="29">
        <v>0</v>
      </c>
      <c r="AS1668" s="29">
        <v>0</v>
      </c>
      <c r="AT1668" s="29">
        <v>0</v>
      </c>
      <c r="AU1668" s="24" t="str">
        <f t="shared" si="26"/>
        <v>库存为0</v>
      </c>
      <c r="AV1668" s="31" t="str">
        <f>IFERROR(时间!$B$4+AU1668,"上周无销量")</f>
        <v>上周无销量</v>
      </c>
    </row>
    <row r="1669" spans="1:48">
      <c r="A1669" s="16" t="s">
        <v>2792</v>
      </c>
      <c r="B1669" t="s">
        <v>2793</v>
      </c>
      <c r="C1669" t="s">
        <v>2759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2794</v>
      </c>
      <c r="B1670" t="s">
        <v>2795</v>
      </c>
      <c r="C1670" t="s">
        <v>2759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0</v>
      </c>
      <c r="J1670" s="26">
        <v>0</v>
      </c>
      <c r="K1670" s="26">
        <v>0</v>
      </c>
      <c r="L1670" s="26">
        <v>0</v>
      </c>
      <c r="M1670">
        <v>0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0</v>
      </c>
      <c r="AK1670">
        <v>0</v>
      </c>
      <c r="AL1670">
        <v>0</v>
      </c>
      <c r="AM1670">
        <v>0</v>
      </c>
      <c r="AN1670" s="18" t="s">
        <v>52</v>
      </c>
      <c r="AO1670" s="18" t="s">
        <v>52</v>
      </c>
      <c r="AP1670" s="18" t="s">
        <v>52</v>
      </c>
      <c r="AQ1670" s="18" t="s">
        <v>52</v>
      </c>
      <c r="AR1670" s="29">
        <v>0</v>
      </c>
      <c r="AS1670" s="29">
        <v>0</v>
      </c>
      <c r="AT1670" s="29">
        <v>0</v>
      </c>
      <c r="AU1670" s="24" t="str">
        <f t="shared" ref="AU1670:AU1733" si="27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2796</v>
      </c>
      <c r="B1671" t="s">
        <v>2797</v>
      </c>
      <c r="C1671" t="s">
        <v>2759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2798</v>
      </c>
      <c r="B1672" t="s">
        <v>2799</v>
      </c>
      <c r="C1672" t="s">
        <v>2759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0</v>
      </c>
      <c r="J1672" s="26">
        <v>0</v>
      </c>
      <c r="K1672" s="26">
        <v>0</v>
      </c>
      <c r="L1672" s="26">
        <v>0</v>
      </c>
      <c r="M1672">
        <v>0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0</v>
      </c>
      <c r="AK1672">
        <v>0</v>
      </c>
      <c r="AL1672">
        <v>0</v>
      </c>
      <c r="AM1672">
        <v>0</v>
      </c>
      <c r="AN1672" s="18" t="s">
        <v>52</v>
      </c>
      <c r="AO1672" s="18" t="s">
        <v>52</v>
      </c>
      <c r="AP1672" s="18" t="s">
        <v>52</v>
      </c>
      <c r="AQ1672" s="18" t="s">
        <v>52</v>
      </c>
      <c r="AR1672" s="29">
        <v>0</v>
      </c>
      <c r="AS1672" s="29">
        <v>0</v>
      </c>
      <c r="AT1672" s="29">
        <v>0</v>
      </c>
      <c r="AU1672" s="24" t="str">
        <f t="shared" si="27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2800</v>
      </c>
      <c r="B1673" t="s">
        <v>2801</v>
      </c>
      <c r="C1673" t="s">
        <v>2759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0</v>
      </c>
      <c r="J1673" s="26">
        <v>0</v>
      </c>
      <c r="K1673" s="26">
        <v>0</v>
      </c>
      <c r="L1673" s="26">
        <v>0</v>
      </c>
      <c r="M1673">
        <v>0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0</v>
      </c>
      <c r="AM1673">
        <v>0</v>
      </c>
      <c r="AN1673" s="18" t="s">
        <v>52</v>
      </c>
      <c r="AO1673" s="18" t="s">
        <v>52</v>
      </c>
      <c r="AP1673" s="18" t="s">
        <v>52</v>
      </c>
      <c r="AQ1673" s="18" t="s">
        <v>52</v>
      </c>
      <c r="AR1673" s="29">
        <v>0</v>
      </c>
      <c r="AS1673" s="29">
        <v>0</v>
      </c>
      <c r="AT1673" s="29">
        <v>0</v>
      </c>
      <c r="AU1673" s="24" t="str">
        <f t="shared" si="27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2802</v>
      </c>
      <c r="B1674" t="s">
        <v>2803</v>
      </c>
      <c r="C1674" t="s">
        <v>2804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0</v>
      </c>
      <c r="J1674" s="26">
        <v>0</v>
      </c>
      <c r="K1674" s="26">
        <v>0</v>
      </c>
      <c r="L1674" s="26">
        <v>0</v>
      </c>
      <c r="M1674">
        <v>0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0</v>
      </c>
      <c r="AK1674">
        <v>0</v>
      </c>
      <c r="AL1674">
        <v>0</v>
      </c>
      <c r="AM1674">
        <v>0</v>
      </c>
      <c r="AN1674" s="18" t="s">
        <v>52</v>
      </c>
      <c r="AO1674" s="18" t="s">
        <v>52</v>
      </c>
      <c r="AP1674" s="18" t="s">
        <v>52</v>
      </c>
      <c r="AQ1674" s="18" t="s">
        <v>52</v>
      </c>
      <c r="AR1674" s="29">
        <v>0</v>
      </c>
      <c r="AS1674" s="29">
        <v>0</v>
      </c>
      <c r="AT1674" s="29">
        <v>0</v>
      </c>
      <c r="AU1674" s="24" t="str">
        <f t="shared" si="27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2805</v>
      </c>
      <c r="B1675" t="s">
        <v>2806</v>
      </c>
      <c r="C1675" t="s">
        <v>2804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>
        <v>0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2807</v>
      </c>
      <c r="B1676" t="s">
        <v>2808</v>
      </c>
      <c r="C1676" t="s">
        <v>2804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>
        <v>0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2809</v>
      </c>
      <c r="B1677" t="s">
        <v>2810</v>
      </c>
      <c r="C1677" t="s">
        <v>2804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>
        <v>0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2811</v>
      </c>
      <c r="B1678" t="s">
        <v>2812</v>
      </c>
      <c r="C1678" t="s">
        <v>2804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>
        <v>0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2813</v>
      </c>
      <c r="B1679" t="s">
        <v>2814</v>
      </c>
      <c r="C1679" t="s">
        <v>2804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>
        <v>0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2815</v>
      </c>
      <c r="B1680" t="s">
        <v>2816</v>
      </c>
      <c r="C1680" t="s">
        <v>2804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>
        <v>0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2817</v>
      </c>
      <c r="B1681" t="s">
        <v>2818</v>
      </c>
      <c r="C1681" t="s">
        <v>2804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0</v>
      </c>
      <c r="J1681" s="26">
        <v>0</v>
      </c>
      <c r="K1681" s="26">
        <v>0</v>
      </c>
      <c r="L1681" s="26">
        <v>0</v>
      </c>
      <c r="M1681">
        <v>0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0</v>
      </c>
      <c r="AK1681">
        <v>0</v>
      </c>
      <c r="AL1681">
        <v>0</v>
      </c>
      <c r="AM1681">
        <v>0</v>
      </c>
      <c r="AN1681" s="18" t="s">
        <v>52</v>
      </c>
      <c r="AO1681" s="18" t="s">
        <v>52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0</v>
      </c>
      <c r="AU1681" s="24" t="str">
        <f t="shared" si="27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2819</v>
      </c>
      <c r="B1682" t="s">
        <v>2820</v>
      </c>
      <c r="C1682" t="s">
        <v>2804</v>
      </c>
      <c r="D1682" s="24">
        <v>0</v>
      </c>
      <c r="E1682" s="24">
        <v>0</v>
      </c>
      <c r="F1682" s="24">
        <v>0</v>
      </c>
      <c r="G1682" s="24">
        <v>0</v>
      </c>
      <c r="H1682" s="25">
        <v>0</v>
      </c>
      <c r="I1682">
        <v>0</v>
      </c>
      <c r="J1682" s="26">
        <v>0</v>
      </c>
      <c r="K1682" s="26">
        <v>0</v>
      </c>
      <c r="L1682" s="26">
        <v>0</v>
      </c>
      <c r="M1682">
        <v>0</v>
      </c>
      <c r="N1682">
        <v>0</v>
      </c>
      <c r="O1682">
        <v>0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0</v>
      </c>
      <c r="AK1682">
        <v>0</v>
      </c>
      <c r="AL1682">
        <v>0</v>
      </c>
      <c r="AM1682">
        <v>0</v>
      </c>
      <c r="AN1682" s="18" t="s">
        <v>52</v>
      </c>
      <c r="AO1682" s="18" t="s">
        <v>52</v>
      </c>
      <c r="AP1682" s="18" t="s">
        <v>52</v>
      </c>
      <c r="AQ1682" s="18" t="s">
        <v>52</v>
      </c>
      <c r="AR1682" s="29">
        <v>0</v>
      </c>
      <c r="AS1682" s="29">
        <v>0</v>
      </c>
      <c r="AT1682" s="29">
        <v>0</v>
      </c>
      <c r="AU1682" s="24" t="str">
        <f t="shared" si="27"/>
        <v>库存为0</v>
      </c>
      <c r="AV1682" s="31" t="str">
        <f>IFERROR(时间!$B$4+AU1682,"上周无销量")</f>
        <v>上周无销量</v>
      </c>
      <c r="AW1682" s="31"/>
    </row>
    <row r="1683" spans="1:49">
      <c r="A1683" s="16" t="s">
        <v>2821</v>
      </c>
      <c r="B1683" t="s">
        <v>2822</v>
      </c>
      <c r="C1683" t="s">
        <v>2804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0</v>
      </c>
      <c r="J1683" s="26">
        <v>0</v>
      </c>
      <c r="K1683" s="26">
        <v>0</v>
      </c>
      <c r="L1683" s="26">
        <v>0</v>
      </c>
      <c r="M1683">
        <v>0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0</v>
      </c>
      <c r="AM1683">
        <v>0</v>
      </c>
      <c r="AN1683" s="18" t="s">
        <v>52</v>
      </c>
      <c r="AO1683" s="18" t="s">
        <v>52</v>
      </c>
      <c r="AP1683" s="18" t="s">
        <v>52</v>
      </c>
      <c r="AQ1683" s="18" t="s">
        <v>52</v>
      </c>
      <c r="AR1683" s="29">
        <v>0</v>
      </c>
      <c r="AS1683" s="29">
        <v>0</v>
      </c>
      <c r="AT1683" s="29">
        <v>0</v>
      </c>
      <c r="AU1683" s="24" t="str">
        <f t="shared" si="27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2823</v>
      </c>
      <c r="B1684" t="s">
        <v>2824</v>
      </c>
      <c r="C1684" t="s">
        <v>2804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0</v>
      </c>
      <c r="J1684" s="26">
        <v>0</v>
      </c>
      <c r="K1684" s="26">
        <v>0</v>
      </c>
      <c r="L1684" s="26">
        <v>0</v>
      </c>
      <c r="M1684">
        <v>0</v>
      </c>
      <c r="N1684">
        <v>0</v>
      </c>
      <c r="O1684">
        <v>0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0</v>
      </c>
      <c r="AK1684">
        <v>0</v>
      </c>
      <c r="AL1684">
        <v>0</v>
      </c>
      <c r="AM1684">
        <v>0</v>
      </c>
      <c r="AN1684" s="18" t="s">
        <v>52</v>
      </c>
      <c r="AO1684" s="18" t="s">
        <v>52</v>
      </c>
      <c r="AP1684" s="18" t="s">
        <v>52</v>
      </c>
      <c r="AQ1684" s="18" t="s">
        <v>52</v>
      </c>
      <c r="AR1684" s="29">
        <v>0</v>
      </c>
      <c r="AS1684" s="29">
        <v>0</v>
      </c>
      <c r="AT1684" s="29">
        <v>0</v>
      </c>
      <c r="AU1684" s="24" t="str">
        <f t="shared" si="27"/>
        <v>库存为0</v>
      </c>
      <c r="AV1684" s="31" t="str">
        <f>IFERROR(时间!$B$4+AU1684,"上周无销量")</f>
        <v>上周无销量</v>
      </c>
      <c r="AW1684" s="31"/>
    </row>
    <row r="1685" spans="1:49">
      <c r="A1685" s="16" t="s">
        <v>2825</v>
      </c>
      <c r="B1685" t="s">
        <v>2826</v>
      </c>
      <c r="C1685" t="s">
        <v>2804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0</v>
      </c>
      <c r="J1685" s="26">
        <v>0</v>
      </c>
      <c r="K1685" s="26">
        <v>0</v>
      </c>
      <c r="L1685" s="26">
        <v>0</v>
      </c>
      <c r="M1685">
        <v>0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0</v>
      </c>
      <c r="AK1685">
        <v>0</v>
      </c>
      <c r="AL1685">
        <v>0</v>
      </c>
      <c r="AM1685">
        <v>0</v>
      </c>
      <c r="AN1685" s="18" t="s">
        <v>52</v>
      </c>
      <c r="AO1685" s="18" t="s">
        <v>52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0</v>
      </c>
      <c r="AU1685" s="24" t="str">
        <f t="shared" si="27"/>
        <v>库存为0</v>
      </c>
      <c r="AV1685" s="31" t="str">
        <f>IFERROR(时间!$B$4+AU1685,"上周无销量")</f>
        <v>上周无销量</v>
      </c>
      <c r="AW1685" s="31"/>
    </row>
    <row r="1686" spans="1:49">
      <c r="A1686" s="16" t="s">
        <v>2827</v>
      </c>
      <c r="B1686" t="s">
        <v>2828</v>
      </c>
      <c r="C1686" t="s">
        <v>2804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0</v>
      </c>
      <c r="J1686" s="26">
        <v>0</v>
      </c>
      <c r="K1686" s="26">
        <v>0</v>
      </c>
      <c r="L1686" s="26">
        <v>0</v>
      </c>
      <c r="M1686">
        <v>0</v>
      </c>
      <c r="N1686">
        <v>0</v>
      </c>
      <c r="O1686">
        <v>0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0</v>
      </c>
      <c r="AK1686">
        <v>0</v>
      </c>
      <c r="AL1686">
        <v>0</v>
      </c>
      <c r="AM1686">
        <v>0</v>
      </c>
      <c r="AN1686" s="18" t="s">
        <v>52</v>
      </c>
      <c r="AO1686" s="18" t="s">
        <v>52</v>
      </c>
      <c r="AP1686" s="18" t="s">
        <v>52</v>
      </c>
      <c r="AQ1686" s="18" t="s">
        <v>52</v>
      </c>
      <c r="AR1686" s="29">
        <v>0</v>
      </c>
      <c r="AS1686" s="29">
        <v>0</v>
      </c>
      <c r="AT1686" s="29">
        <v>0</v>
      </c>
      <c r="AU1686" s="24" t="str">
        <f t="shared" si="27"/>
        <v>库存为0</v>
      </c>
      <c r="AV1686" s="31" t="str">
        <f>IFERROR(时间!$B$4+AU1686,"上周无销量")</f>
        <v>上周无销量</v>
      </c>
      <c r="AW1686" s="31"/>
    </row>
    <row r="1687" spans="1:49">
      <c r="A1687" s="16" t="s">
        <v>2829</v>
      </c>
      <c r="B1687" t="s">
        <v>2830</v>
      </c>
      <c r="C1687" t="s">
        <v>2804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0</v>
      </c>
      <c r="J1687" s="26">
        <v>0</v>
      </c>
      <c r="K1687" s="26">
        <v>0</v>
      </c>
      <c r="L1687" s="26">
        <v>0</v>
      </c>
      <c r="M1687">
        <v>0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0</v>
      </c>
      <c r="AK1687">
        <v>0</v>
      </c>
      <c r="AL1687">
        <v>0</v>
      </c>
      <c r="AM1687">
        <v>0</v>
      </c>
      <c r="AN1687" s="18" t="s">
        <v>52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0</v>
      </c>
      <c r="AU1687" s="24" t="str">
        <f t="shared" si="27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2831</v>
      </c>
      <c r="B1688" t="s">
        <v>2832</v>
      </c>
      <c r="C1688" t="s">
        <v>2804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0</v>
      </c>
      <c r="J1688" s="26">
        <v>0</v>
      </c>
      <c r="K1688" s="26">
        <v>0</v>
      </c>
      <c r="L1688" s="26">
        <v>0</v>
      </c>
      <c r="M1688">
        <v>0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0</v>
      </c>
      <c r="AK1688">
        <v>0</v>
      </c>
      <c r="AL1688">
        <v>0</v>
      </c>
      <c r="AM1688">
        <v>0</v>
      </c>
      <c r="AN1688" s="18" t="s">
        <v>52</v>
      </c>
      <c r="AO1688" s="18" t="s">
        <v>52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0</v>
      </c>
      <c r="AU1688" s="24" t="str">
        <f t="shared" si="27"/>
        <v>库存为0</v>
      </c>
      <c r="AV1688" s="31" t="str">
        <f>IFERROR(时间!$B$4+AU1688,"上周无销量")</f>
        <v>上周无销量</v>
      </c>
      <c r="AW1688" s="31"/>
    </row>
    <row r="1689" spans="1:49">
      <c r="A1689" s="16" t="s">
        <v>2833</v>
      </c>
      <c r="B1689" t="s">
        <v>2834</v>
      </c>
      <c r="C1689" t="s">
        <v>2804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0</v>
      </c>
      <c r="J1689" s="26">
        <v>0</v>
      </c>
      <c r="K1689" s="26">
        <v>0</v>
      </c>
      <c r="L1689" s="26">
        <v>0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0</v>
      </c>
      <c r="AL1689">
        <v>0</v>
      </c>
      <c r="AM1689">
        <v>0</v>
      </c>
      <c r="AN1689" s="18" t="s">
        <v>52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0</v>
      </c>
      <c r="AU1689" s="24" t="str">
        <f t="shared" si="27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2835</v>
      </c>
      <c r="B1690" t="s">
        <v>2836</v>
      </c>
      <c r="C1690" t="s">
        <v>2804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0</v>
      </c>
      <c r="J1690" s="26">
        <v>0</v>
      </c>
      <c r="K1690" s="26">
        <v>0</v>
      </c>
      <c r="L1690" s="26">
        <v>0</v>
      </c>
      <c r="M1690">
        <v>0</v>
      </c>
      <c r="N1690">
        <v>0</v>
      </c>
      <c r="O1690">
        <v>0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0</v>
      </c>
      <c r="AK1690">
        <v>0</v>
      </c>
      <c r="AL1690">
        <v>0</v>
      </c>
      <c r="AM1690">
        <v>0</v>
      </c>
      <c r="AN1690" s="18" t="s">
        <v>52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0</v>
      </c>
      <c r="AU1690" s="24" t="str">
        <f t="shared" si="27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2837</v>
      </c>
      <c r="B1691" t="s">
        <v>2838</v>
      </c>
      <c r="C1691" t="s">
        <v>2804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0</v>
      </c>
      <c r="J1691" s="26">
        <v>0</v>
      </c>
      <c r="K1691" s="26">
        <v>0</v>
      </c>
      <c r="L1691" s="26">
        <v>0</v>
      </c>
      <c r="M1691">
        <v>0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0</v>
      </c>
      <c r="AN1691" s="18" t="s">
        <v>52</v>
      </c>
      <c r="AO1691" s="18" t="s">
        <v>52</v>
      </c>
      <c r="AP1691" s="18" t="s">
        <v>52</v>
      </c>
      <c r="AQ1691" s="18" t="s">
        <v>52</v>
      </c>
      <c r="AR1691" s="29">
        <v>0</v>
      </c>
      <c r="AS1691" s="29">
        <v>0</v>
      </c>
      <c r="AT1691" s="29">
        <v>0</v>
      </c>
      <c r="AU1691" s="24" t="str">
        <f t="shared" si="27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2839</v>
      </c>
      <c r="B1692" t="s">
        <v>2840</v>
      </c>
      <c r="C1692" t="s">
        <v>2804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0</v>
      </c>
      <c r="J1692" s="26">
        <v>0</v>
      </c>
      <c r="K1692" s="26">
        <v>0</v>
      </c>
      <c r="L1692" s="26">
        <v>0</v>
      </c>
      <c r="M1692">
        <v>0</v>
      </c>
      <c r="N1692">
        <v>0</v>
      </c>
      <c r="O1692">
        <v>0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0</v>
      </c>
      <c r="AK1692">
        <v>0</v>
      </c>
      <c r="AL1692">
        <v>0</v>
      </c>
      <c r="AM1692">
        <v>0</v>
      </c>
      <c r="AN1692" s="18" t="s">
        <v>52</v>
      </c>
      <c r="AO1692" s="18" t="s">
        <v>52</v>
      </c>
      <c r="AP1692" s="18" t="s">
        <v>52</v>
      </c>
      <c r="AQ1692" s="18" t="s">
        <v>52</v>
      </c>
      <c r="AR1692" s="29">
        <v>0</v>
      </c>
      <c r="AS1692" s="29">
        <v>0</v>
      </c>
      <c r="AT1692" s="29">
        <v>0</v>
      </c>
      <c r="AU1692" s="24" t="str">
        <f t="shared" si="27"/>
        <v>库存为0</v>
      </c>
      <c r="AV1692" s="31" t="str">
        <f>IFERROR(时间!$B$4+AU1692,"上周无销量")</f>
        <v>上周无销量</v>
      </c>
      <c r="AW1692" s="31"/>
    </row>
    <row r="1693" spans="1:49">
      <c r="A1693" s="16" t="s">
        <v>2841</v>
      </c>
      <c r="B1693" t="s">
        <v>2842</v>
      </c>
      <c r="C1693" t="s">
        <v>2804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0</v>
      </c>
      <c r="J1693" s="26">
        <v>0</v>
      </c>
      <c r="K1693" s="26">
        <v>0</v>
      </c>
      <c r="L1693" s="26">
        <v>0</v>
      </c>
      <c r="M1693">
        <v>0</v>
      </c>
      <c r="N1693">
        <v>0</v>
      </c>
      <c r="O1693">
        <v>0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0</v>
      </c>
      <c r="AK1693">
        <v>0</v>
      </c>
      <c r="AL1693">
        <v>0</v>
      </c>
      <c r="AM1693">
        <v>0</v>
      </c>
      <c r="AN1693" s="18" t="s">
        <v>52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0</v>
      </c>
      <c r="AU1693" s="24" t="str">
        <f t="shared" si="27"/>
        <v>库存为0</v>
      </c>
      <c r="AV1693" s="31" t="str">
        <f>IFERROR(时间!$B$4+AU1693,"上周无销量")</f>
        <v>上周无销量</v>
      </c>
      <c r="AW1693" s="31"/>
    </row>
    <row r="1694" spans="1:49">
      <c r="A1694" s="16" t="s">
        <v>2843</v>
      </c>
      <c r="B1694" t="s">
        <v>2844</v>
      </c>
      <c r="C1694" t="s">
        <v>2804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0</v>
      </c>
      <c r="J1694" s="26">
        <v>0</v>
      </c>
      <c r="K1694" s="26">
        <v>0</v>
      </c>
      <c r="L1694" s="26">
        <v>0</v>
      </c>
      <c r="M1694">
        <v>0</v>
      </c>
      <c r="N1694">
        <v>0</v>
      </c>
      <c r="O1694">
        <v>0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0</v>
      </c>
      <c r="AK1694">
        <v>0</v>
      </c>
      <c r="AL1694">
        <v>0</v>
      </c>
      <c r="AM1694">
        <v>0</v>
      </c>
      <c r="AN1694" s="18" t="s">
        <v>52</v>
      </c>
      <c r="AO1694" s="18" t="s">
        <v>52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0</v>
      </c>
      <c r="AU1694" s="24" t="str">
        <f t="shared" si="27"/>
        <v>库存为0</v>
      </c>
      <c r="AV1694" s="31" t="str">
        <f>IFERROR(时间!$B$4+AU1694,"上周无销量")</f>
        <v>上周无销量</v>
      </c>
      <c r="AW1694" s="31"/>
    </row>
    <row r="1695" spans="1:49">
      <c r="A1695" s="16" t="s">
        <v>2845</v>
      </c>
      <c r="B1695" t="s">
        <v>2846</v>
      </c>
      <c r="C1695" t="s">
        <v>2804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0</v>
      </c>
      <c r="J1695" s="26">
        <v>0</v>
      </c>
      <c r="K1695" s="26">
        <v>0</v>
      </c>
      <c r="L1695" s="26">
        <v>0</v>
      </c>
      <c r="M1695">
        <v>0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0</v>
      </c>
      <c r="AK1695">
        <v>0</v>
      </c>
      <c r="AL1695">
        <v>0</v>
      </c>
      <c r="AM1695">
        <v>0</v>
      </c>
      <c r="AN1695" s="18" t="s">
        <v>52</v>
      </c>
      <c r="AO1695" s="18" t="s">
        <v>52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0</v>
      </c>
      <c r="AU1695" s="24" t="str">
        <f t="shared" si="27"/>
        <v>库存为0</v>
      </c>
      <c r="AV1695" s="31" t="str">
        <f>IFERROR(时间!$B$4+AU1695,"上周无销量")</f>
        <v>上周无销量</v>
      </c>
      <c r="AW1695" s="31"/>
    </row>
    <row r="1696" spans="1:49">
      <c r="A1696" s="16" t="s">
        <v>2847</v>
      </c>
      <c r="B1696" t="s">
        <v>2848</v>
      </c>
      <c r="C1696" t="s">
        <v>2804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0</v>
      </c>
      <c r="J1696" s="26">
        <v>0</v>
      </c>
      <c r="K1696" s="26">
        <v>0</v>
      </c>
      <c r="L1696" s="26">
        <v>0</v>
      </c>
      <c r="M1696">
        <v>0</v>
      </c>
      <c r="N1696">
        <v>0</v>
      </c>
      <c r="O1696">
        <v>0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0</v>
      </c>
      <c r="AK1696">
        <v>0</v>
      </c>
      <c r="AL1696">
        <v>0</v>
      </c>
      <c r="AM1696">
        <v>0</v>
      </c>
      <c r="AN1696" s="18" t="s">
        <v>52</v>
      </c>
      <c r="AO1696" s="18" t="s">
        <v>52</v>
      </c>
      <c r="AP1696" s="18" t="s">
        <v>52</v>
      </c>
      <c r="AQ1696" s="18" t="s">
        <v>52</v>
      </c>
      <c r="AR1696" s="29">
        <v>0</v>
      </c>
      <c r="AS1696" s="29">
        <v>0</v>
      </c>
      <c r="AT1696" s="29">
        <v>0</v>
      </c>
      <c r="AU1696" s="24" t="str">
        <f t="shared" si="27"/>
        <v>库存为0</v>
      </c>
      <c r="AV1696" s="31" t="str">
        <f>IFERROR(时间!$B$4+AU1696,"上周无销量")</f>
        <v>上周无销量</v>
      </c>
      <c r="AW1696" s="31"/>
    </row>
    <row r="1697" spans="1:49">
      <c r="A1697" s="16" t="s">
        <v>2849</v>
      </c>
      <c r="B1697" t="s">
        <v>2850</v>
      </c>
      <c r="C1697" t="s">
        <v>2804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0</v>
      </c>
      <c r="J1697" s="26">
        <v>0</v>
      </c>
      <c r="K1697" s="26">
        <v>0</v>
      </c>
      <c r="L1697" s="26">
        <v>0</v>
      </c>
      <c r="M1697">
        <v>0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0</v>
      </c>
      <c r="AU1697" s="24" t="str">
        <f t="shared" si="27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2851</v>
      </c>
      <c r="B1698" t="s">
        <v>2852</v>
      </c>
      <c r="C1698" t="s">
        <v>2804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0</v>
      </c>
      <c r="J1698" s="26">
        <v>0</v>
      </c>
      <c r="K1698" s="26">
        <v>0</v>
      </c>
      <c r="L1698" s="26">
        <v>0</v>
      </c>
      <c r="M1698">
        <v>0</v>
      </c>
      <c r="N1698">
        <v>0</v>
      </c>
      <c r="O1698">
        <v>0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0</v>
      </c>
      <c r="AK1698">
        <v>0</v>
      </c>
      <c r="AL1698">
        <v>0</v>
      </c>
      <c r="AM1698">
        <v>0</v>
      </c>
      <c r="AN1698" s="18" t="s">
        <v>52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0</v>
      </c>
      <c r="AU1698" s="24" t="str">
        <f t="shared" si="27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2853</v>
      </c>
      <c r="B1699" t="s">
        <v>2854</v>
      </c>
      <c r="C1699" t="s">
        <v>2804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2855</v>
      </c>
      <c r="B1700" t="s">
        <v>2856</v>
      </c>
      <c r="C1700" t="s">
        <v>2804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0</v>
      </c>
      <c r="J1700" s="26">
        <v>0</v>
      </c>
      <c r="K1700" s="26">
        <v>0</v>
      </c>
      <c r="L1700" s="26">
        <v>0</v>
      </c>
      <c r="M1700">
        <v>0</v>
      </c>
      <c r="N1700">
        <v>0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0</v>
      </c>
      <c r="AK1700">
        <v>0</v>
      </c>
      <c r="AL1700">
        <v>0</v>
      </c>
      <c r="AM1700">
        <v>0</v>
      </c>
      <c r="AN1700" s="18" t="s">
        <v>52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0</v>
      </c>
      <c r="AU1700" s="24" t="str">
        <f t="shared" si="27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2857</v>
      </c>
      <c r="B1701" t="s">
        <v>2858</v>
      </c>
      <c r="C1701" t="s">
        <v>2859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2860</v>
      </c>
      <c r="B1702" t="s">
        <v>2861</v>
      </c>
      <c r="C1702" t="s">
        <v>2859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0</v>
      </c>
      <c r="K1702" s="26">
        <v>0</v>
      </c>
      <c r="L1702" s="26">
        <v>0</v>
      </c>
      <c r="M1702">
        <v>0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0</v>
      </c>
      <c r="AL1702">
        <v>0</v>
      </c>
      <c r="AM1702">
        <v>0</v>
      </c>
      <c r="AN1702" s="18" t="s">
        <v>52</v>
      </c>
      <c r="AO1702" s="18" t="s">
        <v>52</v>
      </c>
      <c r="AP1702" s="18" t="s">
        <v>52</v>
      </c>
      <c r="AQ1702" s="18" t="s">
        <v>52</v>
      </c>
      <c r="AR1702" s="29">
        <v>0</v>
      </c>
      <c r="AS1702" s="29">
        <v>0</v>
      </c>
      <c r="AT1702" s="29">
        <v>0</v>
      </c>
      <c r="AU1702" s="24" t="str">
        <f t="shared" si="27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2862</v>
      </c>
      <c r="B1703" t="s">
        <v>2863</v>
      </c>
      <c r="C1703" t="s">
        <v>2859</v>
      </c>
      <c r="D1703" s="24">
        <v>1</v>
      </c>
      <c r="E1703" s="24">
        <v>0</v>
      </c>
      <c r="F1703" s="24">
        <v>0</v>
      </c>
      <c r="G1703" s="24">
        <v>0</v>
      </c>
      <c r="H1703" s="25">
        <v>10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0</v>
      </c>
      <c r="AK1703">
        <v>1</v>
      </c>
      <c r="AL1703">
        <v>4</v>
      </c>
      <c r="AM1703">
        <v>0</v>
      </c>
      <c r="AN1703" s="18" t="s">
        <v>52</v>
      </c>
      <c r="AO1703" s="18">
        <v>0</v>
      </c>
      <c r="AP1703" s="18">
        <v>0</v>
      </c>
      <c r="AQ1703" s="18" t="s">
        <v>52</v>
      </c>
      <c r="AR1703" s="29">
        <v>0.142857142857143</v>
      </c>
      <c r="AS1703" s="29">
        <v>8.57142857142857</v>
      </c>
      <c r="AT1703" s="29">
        <v>-8.57142857142857</v>
      </c>
      <c r="AU1703" s="24">
        <f t="shared" si="27"/>
        <v>0</v>
      </c>
      <c r="AV1703" s="31">
        <f>IFERROR(时间!$B$4+AU1703,"上周无销量")</f>
        <v>43318</v>
      </c>
      <c r="AW1703" s="31"/>
    </row>
    <row r="1704" spans="1:49">
      <c r="A1704" s="16" t="s">
        <v>2864</v>
      </c>
      <c r="B1704" t="s">
        <v>2865</v>
      </c>
      <c r="C1704" t="s">
        <v>2859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3</v>
      </c>
      <c r="J1704" s="26">
        <v>0</v>
      </c>
      <c r="K1704" s="26">
        <v>0</v>
      </c>
      <c r="L1704" s="26">
        <v>0</v>
      </c>
      <c r="M1704">
        <v>3</v>
      </c>
      <c r="N1704">
        <v>0</v>
      </c>
      <c r="O1704">
        <v>2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8</v>
      </c>
      <c r="AK1704">
        <v>4</v>
      </c>
      <c r="AL1704">
        <v>0</v>
      </c>
      <c r="AM1704">
        <v>4</v>
      </c>
      <c r="AN1704" s="18">
        <v>0</v>
      </c>
      <c r="AO1704" s="18">
        <v>0</v>
      </c>
      <c r="AP1704" s="18" t="s">
        <v>52</v>
      </c>
      <c r="AQ1704" s="18">
        <v>0</v>
      </c>
      <c r="AR1704" s="29">
        <v>0</v>
      </c>
      <c r="AS1704" s="29">
        <v>0</v>
      </c>
      <c r="AT1704" s="29">
        <v>3</v>
      </c>
      <c r="AU1704" s="24" t="str">
        <f t="shared" si="27"/>
        <v>库存为3</v>
      </c>
      <c r="AV1704" s="31" t="str">
        <f>IFERROR(时间!$B$4+AU1704,"上周无销量")</f>
        <v>上周无销量</v>
      </c>
      <c r="AW1704" s="31"/>
    </row>
    <row r="1705" spans="1:49">
      <c r="A1705" s="16" t="s">
        <v>2866</v>
      </c>
      <c r="B1705" t="s">
        <v>2867</v>
      </c>
      <c r="C1705" t="s">
        <v>2859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2868</v>
      </c>
      <c r="B1706" t="s">
        <v>2869</v>
      </c>
      <c r="C1706" t="s">
        <v>2859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0</v>
      </c>
      <c r="J1706" s="26">
        <v>0</v>
      </c>
      <c r="K1706" s="26">
        <v>0</v>
      </c>
      <c r="L1706" s="26">
        <v>0</v>
      </c>
      <c r="M1706">
        <v>0</v>
      </c>
      <c r="N1706">
        <v>0</v>
      </c>
      <c r="O1706">
        <v>0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0</v>
      </c>
      <c r="AK1706">
        <v>0</v>
      </c>
      <c r="AL1706">
        <v>0</v>
      </c>
      <c r="AM1706">
        <v>0</v>
      </c>
      <c r="AN1706" s="18" t="s">
        <v>52</v>
      </c>
      <c r="AO1706" s="18" t="s">
        <v>52</v>
      </c>
      <c r="AP1706" s="18" t="s">
        <v>52</v>
      </c>
      <c r="AQ1706" s="18" t="s">
        <v>52</v>
      </c>
      <c r="AR1706" s="29">
        <v>0</v>
      </c>
      <c r="AS1706" s="29">
        <v>0</v>
      </c>
      <c r="AT1706" s="29">
        <v>0</v>
      </c>
      <c r="AU1706" s="24" t="str">
        <f t="shared" si="27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2870</v>
      </c>
      <c r="B1707" t="s">
        <v>2871</v>
      </c>
      <c r="C1707" t="s">
        <v>2859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0</v>
      </c>
      <c r="J1707" s="26">
        <v>0</v>
      </c>
      <c r="K1707" s="26">
        <v>0</v>
      </c>
      <c r="L1707" s="26">
        <v>0</v>
      </c>
      <c r="M1707">
        <v>0</v>
      </c>
      <c r="N1707">
        <v>0</v>
      </c>
      <c r="O1707">
        <v>0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0</v>
      </c>
      <c r="AK1707">
        <v>0</v>
      </c>
      <c r="AL1707">
        <v>0</v>
      </c>
      <c r="AM1707">
        <v>0</v>
      </c>
      <c r="AN1707" s="18" t="s">
        <v>52</v>
      </c>
      <c r="AO1707" s="18" t="s">
        <v>52</v>
      </c>
      <c r="AP1707" s="18" t="s">
        <v>52</v>
      </c>
      <c r="AQ1707" s="18" t="s">
        <v>52</v>
      </c>
      <c r="AR1707" s="29">
        <v>0</v>
      </c>
      <c r="AS1707" s="29">
        <v>0</v>
      </c>
      <c r="AT1707" s="29">
        <v>0</v>
      </c>
      <c r="AU1707" s="24" t="str">
        <f t="shared" si="27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2872</v>
      </c>
      <c r="B1708" t="s">
        <v>2873</v>
      </c>
      <c r="C1708" t="s">
        <v>2859</v>
      </c>
      <c r="D1708" s="24">
        <v>0</v>
      </c>
      <c r="E1708" s="24">
        <v>0</v>
      </c>
      <c r="F1708" s="24">
        <v>1</v>
      </c>
      <c r="G1708" s="24">
        <v>0</v>
      </c>
      <c r="H1708" s="25">
        <v>10</v>
      </c>
      <c r="I1708">
        <v>1</v>
      </c>
      <c r="J1708" s="26">
        <v>0</v>
      </c>
      <c r="K1708" s="26">
        <v>0</v>
      </c>
      <c r="L1708" s="26">
        <v>0</v>
      </c>
      <c r="M1708">
        <v>1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2</v>
      </c>
      <c r="AK1708">
        <v>4</v>
      </c>
      <c r="AL1708">
        <v>4</v>
      </c>
      <c r="AM1708">
        <v>11</v>
      </c>
      <c r="AN1708" s="18">
        <v>0</v>
      </c>
      <c r="AO1708" s="18">
        <v>0</v>
      </c>
      <c r="AP1708" s="18">
        <v>0.25</v>
      </c>
      <c r="AQ1708" s="18">
        <v>0</v>
      </c>
      <c r="AR1708" s="29">
        <v>0</v>
      </c>
      <c r="AS1708" s="29">
        <v>0</v>
      </c>
      <c r="AT1708" s="29">
        <v>1</v>
      </c>
      <c r="AU1708" s="24" t="str">
        <f t="shared" si="27"/>
        <v>库存为1</v>
      </c>
      <c r="AV1708" s="31" t="str">
        <f>IFERROR(时间!$B$4+AU1708,"上周无销量")</f>
        <v>上周无销量</v>
      </c>
      <c r="AW1708" s="31"/>
    </row>
    <row r="1709" spans="1:49">
      <c r="A1709" s="16" t="s">
        <v>2874</v>
      </c>
      <c r="B1709" t="s">
        <v>2875</v>
      </c>
      <c r="C1709" t="s">
        <v>2859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0</v>
      </c>
      <c r="AK1709">
        <v>0</v>
      </c>
      <c r="AL1709">
        <v>0</v>
      </c>
      <c r="AM1709">
        <v>0</v>
      </c>
      <c r="AN1709" s="18" t="s">
        <v>52</v>
      </c>
      <c r="AO1709" s="18" t="s">
        <v>52</v>
      </c>
      <c r="AP1709" s="18" t="s">
        <v>52</v>
      </c>
      <c r="AQ1709" s="18" t="s">
        <v>52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2876</v>
      </c>
      <c r="B1710" t="s">
        <v>2877</v>
      </c>
      <c r="C1710" t="s">
        <v>2859</v>
      </c>
      <c r="D1710" s="24">
        <v>0</v>
      </c>
      <c r="E1710" s="24">
        <v>0</v>
      </c>
      <c r="F1710" s="24">
        <v>0</v>
      </c>
      <c r="G1710" s="24">
        <v>1</v>
      </c>
      <c r="H1710" s="25">
        <v>10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0</v>
      </c>
      <c r="AK1710">
        <v>0</v>
      </c>
      <c r="AL1710">
        <v>0</v>
      </c>
      <c r="AM1710">
        <v>1</v>
      </c>
      <c r="AN1710" s="18" t="s">
        <v>52</v>
      </c>
      <c r="AO1710" s="18" t="s">
        <v>52</v>
      </c>
      <c r="AP1710" s="18" t="s">
        <v>52</v>
      </c>
      <c r="AQ1710" s="18">
        <v>1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2878</v>
      </c>
      <c r="B1711" t="s">
        <v>2879</v>
      </c>
      <c r="C1711" t="s">
        <v>2859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1</v>
      </c>
      <c r="J1711" s="26">
        <v>0</v>
      </c>
      <c r="K1711" s="26">
        <v>0</v>
      </c>
      <c r="L1711" s="26">
        <v>0</v>
      </c>
      <c r="M1711">
        <v>1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3</v>
      </c>
      <c r="AK1711">
        <v>1</v>
      </c>
      <c r="AL1711">
        <v>2</v>
      </c>
      <c r="AM1711">
        <v>2</v>
      </c>
      <c r="AN1711" s="18">
        <v>0</v>
      </c>
      <c r="AO1711" s="18">
        <v>0</v>
      </c>
      <c r="AP1711" s="18">
        <v>0</v>
      </c>
      <c r="AQ1711" s="18">
        <v>0</v>
      </c>
      <c r="AR1711" s="29">
        <v>0</v>
      </c>
      <c r="AS1711" s="29">
        <v>0</v>
      </c>
      <c r="AT1711" s="29">
        <v>1</v>
      </c>
      <c r="AU1711" s="24" t="str">
        <f t="shared" si="27"/>
        <v>库存为1</v>
      </c>
      <c r="AV1711" s="31" t="str">
        <f>IFERROR(时间!$B$4+AU1711,"上周无销量")</f>
        <v>上周无销量</v>
      </c>
    </row>
    <row r="1712" spans="1:48">
      <c r="A1712" s="16" t="s">
        <v>2880</v>
      </c>
      <c r="B1712" t="s">
        <v>2881</v>
      </c>
      <c r="C1712" t="s">
        <v>2882</v>
      </c>
      <c r="D1712" s="24">
        <v>3</v>
      </c>
      <c r="E1712" s="24">
        <v>0</v>
      </c>
      <c r="F1712" s="24">
        <v>1</v>
      </c>
      <c r="G1712" s="24">
        <v>0</v>
      </c>
      <c r="H1712" s="25">
        <v>12.23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3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1</v>
      </c>
      <c r="AK1712">
        <v>2</v>
      </c>
      <c r="AL1712">
        <v>4</v>
      </c>
      <c r="AM1712">
        <v>5</v>
      </c>
      <c r="AN1712" s="18">
        <v>3</v>
      </c>
      <c r="AO1712" s="18">
        <v>0</v>
      </c>
      <c r="AP1712" s="18">
        <v>0.25</v>
      </c>
      <c r="AQ1712" s="18">
        <v>0</v>
      </c>
      <c r="AR1712" s="29">
        <v>0.428571428571429</v>
      </c>
      <c r="AS1712" s="29">
        <v>25.7142857142857</v>
      </c>
      <c r="AT1712" s="29">
        <v>-25.7142857142857</v>
      </c>
      <c r="AU1712" s="24">
        <f t="shared" si="27"/>
        <v>0</v>
      </c>
      <c r="AV1712" s="31">
        <f>IFERROR(时间!$B$4+AU1712,"上周无销量")</f>
        <v>43318</v>
      </c>
    </row>
    <row r="1713" spans="1:48">
      <c r="A1713" s="16" t="s">
        <v>2883</v>
      </c>
      <c r="B1713" t="s">
        <v>2884</v>
      </c>
      <c r="C1713" t="s">
        <v>2882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5</v>
      </c>
      <c r="J1713" s="26">
        <v>0</v>
      </c>
      <c r="K1713" s="26">
        <v>0</v>
      </c>
      <c r="L1713" s="26">
        <v>0</v>
      </c>
      <c r="M1713">
        <v>5</v>
      </c>
      <c r="N1713">
        <v>0</v>
      </c>
      <c r="O1713">
        <v>5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3</v>
      </c>
      <c r="AK1713">
        <v>2</v>
      </c>
      <c r="AL1713">
        <v>0</v>
      </c>
      <c r="AM1713">
        <v>5</v>
      </c>
      <c r="AN1713" s="18">
        <v>0</v>
      </c>
      <c r="AO1713" s="18">
        <v>0</v>
      </c>
      <c r="AP1713" s="18" t="s">
        <v>52</v>
      </c>
      <c r="AQ1713" s="18">
        <v>0</v>
      </c>
      <c r="AR1713" s="29">
        <v>0</v>
      </c>
      <c r="AS1713" s="29">
        <v>0</v>
      </c>
      <c r="AT1713" s="29">
        <v>5</v>
      </c>
      <c r="AU1713" s="24" t="str">
        <f t="shared" si="27"/>
        <v>库存为5</v>
      </c>
      <c r="AV1713" s="31" t="str">
        <f>IFERROR(时间!$B$4+AU1713,"上周无销量")</f>
        <v>上周无销量</v>
      </c>
    </row>
    <row r="1714" spans="1:49">
      <c r="A1714" s="16" t="s">
        <v>2885</v>
      </c>
      <c r="B1714" t="s">
        <v>2886</v>
      </c>
      <c r="C1714" t="s">
        <v>2882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0</v>
      </c>
      <c r="J1714" s="26">
        <v>0</v>
      </c>
      <c r="K1714" s="26">
        <v>0</v>
      </c>
      <c r="L1714" s="26">
        <v>0</v>
      </c>
      <c r="M1714">
        <v>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0</v>
      </c>
      <c r="AK1714">
        <v>0</v>
      </c>
      <c r="AL1714">
        <v>0</v>
      </c>
      <c r="AM1714">
        <v>0</v>
      </c>
      <c r="AN1714" s="18" t="s">
        <v>52</v>
      </c>
      <c r="AO1714" s="18" t="s">
        <v>52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0</v>
      </c>
      <c r="AU1714" s="24" t="str">
        <f t="shared" si="27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2887</v>
      </c>
      <c r="B1715" t="s">
        <v>2888</v>
      </c>
      <c r="C1715" t="s">
        <v>2882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0</v>
      </c>
      <c r="K1715" s="26">
        <v>0</v>
      </c>
      <c r="L1715" s="26">
        <v>0</v>
      </c>
      <c r="M1715">
        <v>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0</v>
      </c>
      <c r="AK1715">
        <v>0</v>
      </c>
      <c r="AL1715">
        <v>0</v>
      </c>
      <c r="AM1715">
        <v>0</v>
      </c>
      <c r="AN1715" s="18" t="s">
        <v>52</v>
      </c>
      <c r="AO1715" s="18" t="s">
        <v>52</v>
      </c>
      <c r="AP1715" s="18" t="s">
        <v>52</v>
      </c>
      <c r="AQ1715" s="18" t="s">
        <v>52</v>
      </c>
      <c r="AR1715" s="29">
        <v>0</v>
      </c>
      <c r="AS1715" s="29">
        <v>0</v>
      </c>
      <c r="AT1715" s="29">
        <v>0</v>
      </c>
      <c r="AU1715" s="24" t="str">
        <f t="shared" si="27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2889</v>
      </c>
      <c r="B1716" t="s">
        <v>2890</v>
      </c>
      <c r="C1716" t="s">
        <v>2882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0</v>
      </c>
      <c r="J1716" s="26">
        <v>0</v>
      </c>
      <c r="K1716" s="26">
        <v>0</v>
      </c>
      <c r="L1716" s="26">
        <v>0</v>
      </c>
      <c r="M1716">
        <v>0</v>
      </c>
      <c r="N1716">
        <v>0</v>
      </c>
      <c r="O1716">
        <v>0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0</v>
      </c>
      <c r="AK1716">
        <v>0</v>
      </c>
      <c r="AL1716">
        <v>0</v>
      </c>
      <c r="AM1716">
        <v>0</v>
      </c>
      <c r="AN1716" s="18" t="s">
        <v>52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0</v>
      </c>
      <c r="AU1716" s="24" t="str">
        <f t="shared" si="27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2891</v>
      </c>
      <c r="B1717" t="s">
        <v>2892</v>
      </c>
      <c r="C1717" t="s">
        <v>2882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0</v>
      </c>
      <c r="AM1717">
        <v>0</v>
      </c>
      <c r="AN1717" s="18" t="s">
        <v>52</v>
      </c>
      <c r="AO1717" s="18" t="s">
        <v>52</v>
      </c>
      <c r="AP1717" s="18" t="s">
        <v>52</v>
      </c>
      <c r="AQ1717" s="18" t="s">
        <v>52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2893</v>
      </c>
      <c r="B1718" t="s">
        <v>2894</v>
      </c>
      <c r="C1718" t="s">
        <v>2882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4</v>
      </c>
      <c r="J1718" s="26">
        <v>0</v>
      </c>
      <c r="K1718" s="26">
        <v>0</v>
      </c>
      <c r="L1718" s="26">
        <v>0</v>
      </c>
      <c r="M1718">
        <v>4</v>
      </c>
      <c r="N1718">
        <v>0</v>
      </c>
      <c r="O1718">
        <v>3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3</v>
      </c>
      <c r="AK1718">
        <v>4</v>
      </c>
      <c r="AL1718">
        <v>4</v>
      </c>
      <c r="AM1718">
        <v>4</v>
      </c>
      <c r="AN1718" s="18">
        <v>0</v>
      </c>
      <c r="AO1718" s="18">
        <v>0</v>
      </c>
      <c r="AP1718" s="18">
        <v>0</v>
      </c>
      <c r="AQ1718" s="18">
        <v>0</v>
      </c>
      <c r="AR1718" s="29">
        <v>0</v>
      </c>
      <c r="AS1718" s="29">
        <v>0</v>
      </c>
      <c r="AT1718" s="29">
        <v>4</v>
      </c>
      <c r="AU1718" s="24" t="str">
        <f t="shared" si="27"/>
        <v>库存为4</v>
      </c>
      <c r="AV1718" s="31" t="str">
        <f>IFERROR(时间!$B$4+AU1718,"上周无销量")</f>
        <v>上周无销量</v>
      </c>
      <c r="AW1718" s="31"/>
    </row>
    <row r="1719" spans="1:49">
      <c r="A1719" s="16" t="s">
        <v>2895</v>
      </c>
      <c r="B1719" t="s">
        <v>2896</v>
      </c>
      <c r="C1719" t="s">
        <v>2882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0</v>
      </c>
      <c r="AL1719">
        <v>0</v>
      </c>
      <c r="AM1719">
        <v>0</v>
      </c>
      <c r="AN1719" s="18" t="s">
        <v>52</v>
      </c>
      <c r="AO1719" s="18" t="s">
        <v>52</v>
      </c>
      <c r="AP1719" s="18" t="s">
        <v>52</v>
      </c>
      <c r="AQ1719" s="18" t="s">
        <v>52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2897</v>
      </c>
      <c r="B1720" t="s">
        <v>2898</v>
      </c>
      <c r="C1720" t="s">
        <v>2882</v>
      </c>
      <c r="D1720" s="24">
        <v>1</v>
      </c>
      <c r="E1720" s="24">
        <v>0</v>
      </c>
      <c r="F1720" s="24">
        <v>0</v>
      </c>
      <c r="G1720" s="24">
        <v>0</v>
      </c>
      <c r="H1720" s="25">
        <v>10.98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3</v>
      </c>
      <c r="AK1720">
        <v>6</v>
      </c>
      <c r="AL1720">
        <v>9</v>
      </c>
      <c r="AM1720">
        <v>8</v>
      </c>
      <c r="AN1720" s="18">
        <v>0.333333333333333</v>
      </c>
      <c r="AO1720" s="18">
        <v>0</v>
      </c>
      <c r="AP1720" s="18">
        <v>0</v>
      </c>
      <c r="AQ1720" s="18">
        <v>0</v>
      </c>
      <c r="AR1720" s="29">
        <v>0.142857142857143</v>
      </c>
      <c r="AS1720" s="29">
        <v>8.57142857142857</v>
      </c>
      <c r="AT1720" s="29">
        <v>-8.57142857142857</v>
      </c>
      <c r="AU1720" s="24">
        <f t="shared" si="27"/>
        <v>0</v>
      </c>
      <c r="AV1720" s="31">
        <f>IFERROR(时间!$B$4+AU1720,"上周无销量")</f>
        <v>43318</v>
      </c>
      <c r="AW1720" s="31"/>
    </row>
    <row r="1721" spans="1:49">
      <c r="A1721" s="16" t="s">
        <v>2899</v>
      </c>
      <c r="B1721" t="s">
        <v>2900</v>
      </c>
      <c r="C1721" t="s">
        <v>2882</v>
      </c>
      <c r="D1721" s="24">
        <v>0</v>
      </c>
      <c r="E1721" s="24">
        <v>0</v>
      </c>
      <c r="F1721" s="24">
        <v>1</v>
      </c>
      <c r="G1721" s="24">
        <v>0</v>
      </c>
      <c r="H1721" s="25">
        <v>10.98</v>
      </c>
      <c r="I1721">
        <v>0</v>
      </c>
      <c r="J1721" s="26">
        <v>0</v>
      </c>
      <c r="K1721" s="26">
        <v>0</v>
      </c>
      <c r="L1721" s="26">
        <v>0</v>
      </c>
      <c r="M1721">
        <v>0</v>
      </c>
      <c r="N1721">
        <v>0</v>
      </c>
      <c r="O1721">
        <v>0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0</v>
      </c>
      <c r="AK1721">
        <v>0</v>
      </c>
      <c r="AL1721">
        <v>1</v>
      </c>
      <c r="AM1721">
        <v>5</v>
      </c>
      <c r="AN1721" s="18" t="s">
        <v>52</v>
      </c>
      <c r="AO1721" s="18" t="s">
        <v>52</v>
      </c>
      <c r="AP1721" s="18">
        <v>1</v>
      </c>
      <c r="AQ1721" s="18">
        <v>0</v>
      </c>
      <c r="AR1721" s="29">
        <v>0</v>
      </c>
      <c r="AS1721" s="29">
        <v>0</v>
      </c>
      <c r="AT1721" s="29">
        <v>0</v>
      </c>
      <c r="AU1721" s="24" t="str">
        <f t="shared" si="27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2901</v>
      </c>
      <c r="B1722" t="s">
        <v>2902</v>
      </c>
      <c r="C1722" t="s">
        <v>2882</v>
      </c>
      <c r="D1722" s="24">
        <v>1</v>
      </c>
      <c r="E1722" s="24">
        <v>0</v>
      </c>
      <c r="F1722" s="24">
        <v>0</v>
      </c>
      <c r="G1722" s="24">
        <v>0</v>
      </c>
      <c r="H1722" s="25">
        <v>10.98</v>
      </c>
      <c r="I1722">
        <v>0</v>
      </c>
      <c r="J1722" s="26">
        <v>0</v>
      </c>
      <c r="K1722" s="26">
        <v>0</v>
      </c>
      <c r="L1722" s="26">
        <v>0</v>
      </c>
      <c r="M1722">
        <v>0</v>
      </c>
      <c r="N1722">
        <v>0</v>
      </c>
      <c r="O1722">
        <v>0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0</v>
      </c>
      <c r="AK1722">
        <v>2</v>
      </c>
      <c r="AL1722">
        <v>2</v>
      </c>
      <c r="AM1722">
        <v>4</v>
      </c>
      <c r="AN1722" s="18" t="s">
        <v>52</v>
      </c>
      <c r="AO1722" s="18">
        <v>0</v>
      </c>
      <c r="AP1722" s="18">
        <v>0</v>
      </c>
      <c r="AQ1722" s="18">
        <v>0</v>
      </c>
      <c r="AR1722" s="29">
        <v>0.142857142857143</v>
      </c>
      <c r="AS1722" s="29">
        <v>8.57142857142857</v>
      </c>
      <c r="AT1722" s="29">
        <v>-8.57142857142857</v>
      </c>
      <c r="AU1722" s="24">
        <f t="shared" si="27"/>
        <v>0</v>
      </c>
      <c r="AV1722" s="31">
        <f>IFERROR(时间!$B$4+AU1722,"上周无销量")</f>
        <v>43318</v>
      </c>
      <c r="AW1722" s="31"/>
    </row>
    <row r="1723" spans="1:49">
      <c r="A1723" s="16" t="s">
        <v>2903</v>
      </c>
      <c r="B1723" t="s">
        <v>2904</v>
      </c>
      <c r="C1723" t="s">
        <v>2882</v>
      </c>
      <c r="D1723" s="24">
        <v>0</v>
      </c>
      <c r="E1723" s="24">
        <v>2</v>
      </c>
      <c r="F1723" s="24">
        <v>0</v>
      </c>
      <c r="G1723" s="24">
        <v>0</v>
      </c>
      <c r="H1723" s="25">
        <v>10.98</v>
      </c>
      <c r="I1723">
        <v>3</v>
      </c>
      <c r="J1723" s="26">
        <v>0</v>
      </c>
      <c r="K1723" s="26">
        <v>0</v>
      </c>
      <c r="L1723" s="26">
        <v>0</v>
      </c>
      <c r="M1723">
        <v>3</v>
      </c>
      <c r="N1723">
        <v>0</v>
      </c>
      <c r="O1723">
        <v>1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16</v>
      </c>
      <c r="AK1723">
        <v>2</v>
      </c>
      <c r="AL1723">
        <v>1</v>
      </c>
      <c r="AM1723">
        <v>3</v>
      </c>
      <c r="AN1723" s="18">
        <v>0</v>
      </c>
      <c r="AO1723" s="18">
        <v>1</v>
      </c>
      <c r="AP1723" s="18">
        <v>0</v>
      </c>
      <c r="AQ1723" s="18">
        <v>0</v>
      </c>
      <c r="AR1723" s="29">
        <v>0</v>
      </c>
      <c r="AS1723" s="29">
        <v>0</v>
      </c>
      <c r="AT1723" s="29">
        <v>3</v>
      </c>
      <c r="AU1723" s="24" t="str">
        <f t="shared" si="27"/>
        <v>库存为3</v>
      </c>
      <c r="AV1723" s="31" t="str">
        <f>IFERROR(时间!$B$4+AU1723,"上周无销量")</f>
        <v>上周无销量</v>
      </c>
      <c r="AW1723" s="31"/>
    </row>
    <row r="1724" spans="1:49">
      <c r="A1724" s="16" t="s">
        <v>2905</v>
      </c>
      <c r="B1724" t="s">
        <v>2906</v>
      </c>
      <c r="C1724" t="s">
        <v>2882</v>
      </c>
      <c r="D1724" s="24">
        <v>0</v>
      </c>
      <c r="E1724" s="24">
        <v>4</v>
      </c>
      <c r="F1724" s="24">
        <v>0</v>
      </c>
      <c r="G1724" s="24">
        <v>0</v>
      </c>
      <c r="H1724" s="25">
        <v>10.98</v>
      </c>
      <c r="I1724">
        <v>1</v>
      </c>
      <c r="J1724" s="26">
        <v>0</v>
      </c>
      <c r="K1724" s="26">
        <v>0</v>
      </c>
      <c r="L1724" s="26">
        <v>0</v>
      </c>
      <c r="M1724">
        <v>1</v>
      </c>
      <c r="N1724">
        <v>0</v>
      </c>
      <c r="O1724">
        <v>1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1</v>
      </c>
      <c r="AK1724">
        <v>1</v>
      </c>
      <c r="AL1724">
        <v>0</v>
      </c>
      <c r="AM1724">
        <v>3</v>
      </c>
      <c r="AN1724" s="18">
        <v>0</v>
      </c>
      <c r="AO1724" s="18">
        <v>4</v>
      </c>
      <c r="AP1724" s="18" t="s">
        <v>52</v>
      </c>
      <c r="AQ1724" s="18">
        <v>0</v>
      </c>
      <c r="AR1724" s="29">
        <v>0</v>
      </c>
      <c r="AS1724" s="29">
        <v>0</v>
      </c>
      <c r="AT1724" s="29">
        <v>1</v>
      </c>
      <c r="AU1724" s="24" t="str">
        <f t="shared" si="27"/>
        <v>库存为1</v>
      </c>
      <c r="AV1724" s="31" t="str">
        <f>IFERROR(时间!$B$4+AU1724,"上周无销量")</f>
        <v>上周无销量</v>
      </c>
      <c r="AW1724" s="31"/>
    </row>
    <row r="1725" spans="1:49">
      <c r="A1725" s="16" t="s">
        <v>2907</v>
      </c>
      <c r="B1725" t="s">
        <v>2908</v>
      </c>
      <c r="C1725" t="s">
        <v>2882</v>
      </c>
      <c r="D1725" s="24">
        <v>0</v>
      </c>
      <c r="E1725" s="24">
        <v>0</v>
      </c>
      <c r="F1725" s="24">
        <v>1</v>
      </c>
      <c r="G1725" s="24">
        <v>0</v>
      </c>
      <c r="H1725" s="25">
        <v>10.98</v>
      </c>
      <c r="I1725">
        <v>1</v>
      </c>
      <c r="J1725" s="26">
        <v>0</v>
      </c>
      <c r="K1725" s="26">
        <v>0</v>
      </c>
      <c r="L1725" s="26">
        <v>0</v>
      </c>
      <c r="M1725">
        <v>1</v>
      </c>
      <c r="N1725">
        <v>0</v>
      </c>
      <c r="O1725">
        <v>1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3</v>
      </c>
      <c r="AK1725">
        <v>2</v>
      </c>
      <c r="AL1725">
        <v>3</v>
      </c>
      <c r="AM1725">
        <v>3</v>
      </c>
      <c r="AN1725" s="18">
        <v>0</v>
      </c>
      <c r="AO1725" s="18">
        <v>0</v>
      </c>
      <c r="AP1725" s="18">
        <v>0.333333333333333</v>
      </c>
      <c r="AQ1725" s="18">
        <v>0</v>
      </c>
      <c r="AR1725" s="29">
        <v>0</v>
      </c>
      <c r="AS1725" s="29">
        <v>0</v>
      </c>
      <c r="AT1725" s="29">
        <v>1</v>
      </c>
      <c r="AU1725" s="24" t="str">
        <f t="shared" si="27"/>
        <v>库存为1</v>
      </c>
      <c r="AV1725" s="31" t="str">
        <f>IFERROR(时间!$B$4+AU1725,"上周无销量")</f>
        <v>上周无销量</v>
      </c>
      <c r="AW1725" s="31"/>
    </row>
    <row r="1726" spans="1:49">
      <c r="A1726" s="16" t="s">
        <v>2909</v>
      </c>
      <c r="B1726" t="s">
        <v>2910</v>
      </c>
      <c r="C1726" t="s">
        <v>2882</v>
      </c>
      <c r="D1726" s="24">
        <v>0</v>
      </c>
      <c r="E1726" s="24">
        <v>1</v>
      </c>
      <c r="F1726" s="24">
        <v>0</v>
      </c>
      <c r="G1726" s="24">
        <v>0</v>
      </c>
      <c r="H1726" s="25">
        <v>10.98</v>
      </c>
      <c r="I1726">
        <v>0</v>
      </c>
      <c r="J1726" s="26">
        <v>0</v>
      </c>
      <c r="K1726" s="26">
        <v>0</v>
      </c>
      <c r="L1726" s="26">
        <v>0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0</v>
      </c>
      <c r="AK1726">
        <v>2</v>
      </c>
      <c r="AL1726">
        <v>1</v>
      </c>
      <c r="AM1726">
        <v>0</v>
      </c>
      <c r="AN1726" s="18" t="s">
        <v>52</v>
      </c>
      <c r="AO1726" s="18">
        <v>0.5</v>
      </c>
      <c r="AP1726" s="18">
        <v>0</v>
      </c>
      <c r="AQ1726" s="18" t="s">
        <v>52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2911</v>
      </c>
      <c r="B1727" t="s">
        <v>2912</v>
      </c>
      <c r="C1727" t="s">
        <v>2913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3</v>
      </c>
      <c r="J1727" s="26">
        <v>0</v>
      </c>
      <c r="K1727" s="26">
        <v>0</v>
      </c>
      <c r="L1727" s="26">
        <v>0</v>
      </c>
      <c r="M1727">
        <v>3</v>
      </c>
      <c r="N1727">
        <v>0</v>
      </c>
      <c r="O1727">
        <v>3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7</v>
      </c>
      <c r="AK1727">
        <v>5</v>
      </c>
      <c r="AL1727">
        <v>8</v>
      </c>
      <c r="AM1727">
        <v>7</v>
      </c>
      <c r="AN1727" s="18">
        <v>0</v>
      </c>
      <c r="AO1727" s="18">
        <v>0</v>
      </c>
      <c r="AP1727" s="18">
        <v>0</v>
      </c>
      <c r="AQ1727" s="18">
        <v>0</v>
      </c>
      <c r="AR1727" s="29">
        <v>0</v>
      </c>
      <c r="AS1727" s="29">
        <v>0</v>
      </c>
      <c r="AT1727" s="29">
        <v>3</v>
      </c>
      <c r="AU1727" s="24" t="str">
        <f t="shared" si="27"/>
        <v>库存为3</v>
      </c>
      <c r="AV1727" s="31" t="str">
        <f>IFERROR(时间!$B$4+AU1727,"上周无销量")</f>
        <v>上周无销量</v>
      </c>
      <c r="AW1727" s="31"/>
    </row>
    <row r="1728" spans="1:49">
      <c r="A1728" s="16" t="s">
        <v>2914</v>
      </c>
      <c r="B1728" t="s">
        <v>2915</v>
      </c>
      <c r="C1728" t="s">
        <v>2913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4</v>
      </c>
      <c r="J1728" s="26">
        <v>0</v>
      </c>
      <c r="K1728" s="26">
        <v>0</v>
      </c>
      <c r="L1728" s="26">
        <v>0</v>
      </c>
      <c r="M1728">
        <v>4</v>
      </c>
      <c r="N1728">
        <v>0</v>
      </c>
      <c r="O1728">
        <v>4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7</v>
      </c>
      <c r="AK1728">
        <v>4</v>
      </c>
      <c r="AL1728">
        <v>4</v>
      </c>
      <c r="AM1728">
        <v>6</v>
      </c>
      <c r="AN1728" s="18">
        <v>0</v>
      </c>
      <c r="AO1728" s="18">
        <v>0</v>
      </c>
      <c r="AP1728" s="18">
        <v>0</v>
      </c>
      <c r="AQ1728" s="18">
        <v>0</v>
      </c>
      <c r="AR1728" s="29">
        <v>0</v>
      </c>
      <c r="AS1728" s="29">
        <v>0</v>
      </c>
      <c r="AT1728" s="29">
        <v>4</v>
      </c>
      <c r="AU1728" s="24" t="str">
        <f t="shared" si="27"/>
        <v>库存为4</v>
      </c>
      <c r="AV1728" s="31" t="str">
        <f>IFERROR(时间!$B$4+AU1728,"上周无销量")</f>
        <v>上周无销量</v>
      </c>
      <c r="AW1728" s="31"/>
    </row>
    <row r="1729" spans="1:49">
      <c r="A1729" s="16" t="s">
        <v>2916</v>
      </c>
      <c r="B1729" t="s">
        <v>2917</v>
      </c>
      <c r="C1729" t="s">
        <v>2918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0</v>
      </c>
      <c r="J1729" s="26">
        <v>0</v>
      </c>
      <c r="K1729" s="26">
        <v>0</v>
      </c>
      <c r="L1729" s="26">
        <v>0</v>
      </c>
      <c r="M1729">
        <v>0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0</v>
      </c>
      <c r="AK1729">
        <v>0</v>
      </c>
      <c r="AL1729">
        <v>0</v>
      </c>
      <c r="AM1729">
        <v>0</v>
      </c>
      <c r="AN1729" s="18" t="s">
        <v>52</v>
      </c>
      <c r="AO1729" s="18" t="s">
        <v>52</v>
      </c>
      <c r="AP1729" s="18" t="s">
        <v>52</v>
      </c>
      <c r="AQ1729" s="18" t="s">
        <v>52</v>
      </c>
      <c r="AR1729" s="29">
        <v>0</v>
      </c>
      <c r="AS1729" s="29">
        <v>0</v>
      </c>
      <c r="AT1729" s="29">
        <v>0</v>
      </c>
      <c r="AU1729" s="24" t="str">
        <f t="shared" si="27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2919</v>
      </c>
      <c r="B1730" t="s">
        <v>2917</v>
      </c>
      <c r="C1730" t="s">
        <v>2920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0</v>
      </c>
      <c r="J1730" s="26">
        <v>0</v>
      </c>
      <c r="K1730" s="26">
        <v>0</v>
      </c>
      <c r="L1730" s="26">
        <v>0</v>
      </c>
      <c r="M1730">
        <v>0</v>
      </c>
      <c r="N1730">
        <v>0</v>
      </c>
      <c r="O1730">
        <v>0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0</v>
      </c>
      <c r="AK1730">
        <v>0</v>
      </c>
      <c r="AL1730">
        <v>0</v>
      </c>
      <c r="AM1730">
        <v>0</v>
      </c>
      <c r="AN1730" s="18" t="s">
        <v>52</v>
      </c>
      <c r="AO1730" s="18" t="s">
        <v>52</v>
      </c>
      <c r="AP1730" s="18" t="s">
        <v>52</v>
      </c>
      <c r="AQ1730" s="18" t="s">
        <v>52</v>
      </c>
      <c r="AR1730" s="29">
        <v>0</v>
      </c>
      <c r="AS1730" s="29">
        <v>0</v>
      </c>
      <c r="AT1730" s="29">
        <v>0</v>
      </c>
      <c r="AU1730" s="24" t="str">
        <f t="shared" si="27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2921</v>
      </c>
      <c r="B1731" t="s">
        <v>2922</v>
      </c>
      <c r="C1731" t="s">
        <v>2923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0</v>
      </c>
      <c r="J1731" s="26">
        <v>0</v>
      </c>
      <c r="K1731" s="26">
        <v>0</v>
      </c>
      <c r="L1731" s="26">
        <v>0</v>
      </c>
      <c r="M1731">
        <v>0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0</v>
      </c>
      <c r="AK1731">
        <v>0</v>
      </c>
      <c r="AL1731">
        <v>0</v>
      </c>
      <c r="AM1731">
        <v>0</v>
      </c>
      <c r="AN1731" s="18" t="s">
        <v>52</v>
      </c>
      <c r="AO1731" s="18" t="s">
        <v>52</v>
      </c>
      <c r="AP1731" s="18" t="s">
        <v>52</v>
      </c>
      <c r="AQ1731" s="18" t="s">
        <v>52</v>
      </c>
      <c r="AR1731" s="29">
        <v>0</v>
      </c>
      <c r="AS1731" s="29">
        <v>0</v>
      </c>
      <c r="AT1731" s="29">
        <v>0</v>
      </c>
      <c r="AU1731" s="24" t="str">
        <f t="shared" si="27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2924</v>
      </c>
      <c r="B1732" t="s">
        <v>2925</v>
      </c>
      <c r="C1732" t="s">
        <v>2923</v>
      </c>
      <c r="D1732" s="24">
        <v>10</v>
      </c>
      <c r="E1732" s="24">
        <v>6</v>
      </c>
      <c r="F1732" s="24">
        <v>6</v>
      </c>
      <c r="G1732" s="24">
        <v>3</v>
      </c>
      <c r="H1732" s="25">
        <v>22.98</v>
      </c>
      <c r="I1732">
        <v>11</v>
      </c>
      <c r="J1732" s="26">
        <v>30</v>
      </c>
      <c r="K1732" s="26">
        <v>0</v>
      </c>
      <c r="L1732" s="26">
        <v>1</v>
      </c>
      <c r="M1732">
        <v>42</v>
      </c>
      <c r="N1732">
        <v>1</v>
      </c>
      <c r="O1732">
        <v>0</v>
      </c>
      <c r="P1732">
        <v>9789</v>
      </c>
      <c r="Q1732">
        <v>6503</v>
      </c>
      <c r="R1732">
        <v>755</v>
      </c>
      <c r="S1732">
        <v>0</v>
      </c>
      <c r="T1732">
        <v>64</v>
      </c>
      <c r="U1732">
        <v>34</v>
      </c>
      <c r="V1732">
        <v>9</v>
      </c>
      <c r="W1732">
        <v>0</v>
      </c>
      <c r="X1732" s="18">
        <v>0.00653795076105833</v>
      </c>
      <c r="Y1732" s="18">
        <v>0.00522835614331847</v>
      </c>
      <c r="Z1732" s="18">
        <v>0.0119205298013245</v>
      </c>
      <c r="AA1732" s="18" t="s">
        <v>52</v>
      </c>
      <c r="AB1732">
        <v>36.21</v>
      </c>
      <c r="AC1732">
        <v>12.87</v>
      </c>
      <c r="AD1732">
        <v>3.8</v>
      </c>
      <c r="AE1732">
        <v>0</v>
      </c>
      <c r="AF1732" s="18">
        <v>0.15757180156658</v>
      </c>
      <c r="AG1732" s="18">
        <v>0.0933420365535248</v>
      </c>
      <c r="AH1732" s="18">
        <v>0.027560197272991</v>
      </c>
      <c r="AI1732" s="18" t="s">
        <v>52</v>
      </c>
      <c r="AJ1732">
        <v>77</v>
      </c>
      <c r="AK1732">
        <v>80</v>
      </c>
      <c r="AL1732">
        <v>84</v>
      </c>
      <c r="AM1732">
        <v>54</v>
      </c>
      <c r="AN1732" s="18">
        <v>0.12987012987013</v>
      </c>
      <c r="AO1732" s="18">
        <v>0.075</v>
      </c>
      <c r="AP1732" s="18">
        <v>0.0714285714285714</v>
      </c>
      <c r="AQ1732" s="18">
        <v>0.0555555555555556</v>
      </c>
      <c r="AR1732" s="29">
        <v>1.42857142857143</v>
      </c>
      <c r="AS1732" s="29">
        <v>85.7142857142857</v>
      </c>
      <c r="AT1732" s="29">
        <v>-43.7142857142857</v>
      </c>
      <c r="AU1732" s="24">
        <f t="shared" si="27"/>
        <v>29</v>
      </c>
      <c r="AV1732" s="31">
        <f>IFERROR(时间!$B$4+AU1732,"上周无销量")</f>
        <v>43347</v>
      </c>
      <c r="AW1732" s="31"/>
    </row>
    <row r="1733" spans="1:49">
      <c r="A1733" s="16" t="s">
        <v>2926</v>
      </c>
      <c r="B1733" t="s">
        <v>2927</v>
      </c>
      <c r="C1733" t="s">
        <v>2923</v>
      </c>
      <c r="D1733" s="24">
        <v>6</v>
      </c>
      <c r="E1733" s="24">
        <v>9</v>
      </c>
      <c r="F1733" s="24">
        <v>11</v>
      </c>
      <c r="G1733" s="24">
        <v>11</v>
      </c>
      <c r="H1733" s="25">
        <v>25.98</v>
      </c>
      <c r="I1733">
        <v>24</v>
      </c>
      <c r="J1733" s="26">
        <v>20</v>
      </c>
      <c r="K1733" s="26">
        <v>0</v>
      </c>
      <c r="L1733" s="26">
        <v>1</v>
      </c>
      <c r="M1733">
        <v>45</v>
      </c>
      <c r="N1733">
        <v>5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49</v>
      </c>
      <c r="AK1733">
        <v>43</v>
      </c>
      <c r="AL1733">
        <v>53</v>
      </c>
      <c r="AM1733">
        <v>61</v>
      </c>
      <c r="AN1733" s="18">
        <v>0.122448979591837</v>
      </c>
      <c r="AO1733" s="18">
        <v>0.209302325581395</v>
      </c>
      <c r="AP1733" s="18">
        <v>0.207547169811321</v>
      </c>
      <c r="AQ1733" s="18">
        <v>0.180327868852459</v>
      </c>
      <c r="AR1733" s="29">
        <v>0.857142857142857</v>
      </c>
      <c r="AS1733" s="29">
        <v>51.4285714285714</v>
      </c>
      <c r="AT1733" s="29">
        <v>-6.42857142857142</v>
      </c>
      <c r="AU1733" s="24">
        <f t="shared" si="27"/>
        <v>52</v>
      </c>
      <c r="AV1733" s="31">
        <f>IFERROR(时间!$B$4+AU1733,"上周无销量")</f>
        <v>43370</v>
      </c>
      <c r="AW1733" s="31"/>
    </row>
    <row r="1734" spans="1:49">
      <c r="A1734" s="16" t="s">
        <v>2928</v>
      </c>
      <c r="B1734" t="s">
        <v>2929</v>
      </c>
      <c r="C1734" t="s">
        <v>2923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0</v>
      </c>
      <c r="J1734" s="26">
        <v>0</v>
      </c>
      <c r="K1734" s="26">
        <v>0</v>
      </c>
      <c r="L1734" s="26">
        <v>0</v>
      </c>
      <c r="M1734">
        <v>0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0</v>
      </c>
      <c r="AK1734">
        <v>0</v>
      </c>
      <c r="AL1734">
        <v>0</v>
      </c>
      <c r="AM1734">
        <v>0</v>
      </c>
      <c r="AN1734" s="18" t="s">
        <v>52</v>
      </c>
      <c r="AO1734" s="18" t="s">
        <v>52</v>
      </c>
      <c r="AP1734" s="18" t="s">
        <v>52</v>
      </c>
      <c r="AQ1734" s="18" t="s">
        <v>52</v>
      </c>
      <c r="AR1734" s="29">
        <v>0</v>
      </c>
      <c r="AS1734" s="29">
        <v>0</v>
      </c>
      <c r="AT1734" s="29">
        <v>0</v>
      </c>
      <c r="AU1734" s="24" t="str">
        <f t="shared" ref="AU1734:AU1797" si="28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2930</v>
      </c>
      <c r="B1735" t="s">
        <v>2931</v>
      </c>
      <c r="C1735" t="s">
        <v>2923</v>
      </c>
      <c r="D1735" s="24">
        <v>3</v>
      </c>
      <c r="E1735" s="24">
        <v>5</v>
      </c>
      <c r="F1735" s="24">
        <v>6</v>
      </c>
      <c r="G1735" s="24">
        <v>5</v>
      </c>
      <c r="H1735" s="25">
        <v>23.98</v>
      </c>
      <c r="I1735">
        <v>12</v>
      </c>
      <c r="J1735" s="26">
        <v>12</v>
      </c>
      <c r="K1735" s="26">
        <v>0</v>
      </c>
      <c r="L1735" s="26">
        <v>2</v>
      </c>
      <c r="M1735">
        <v>26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69</v>
      </c>
      <c r="AK1735">
        <v>44</v>
      </c>
      <c r="AL1735">
        <v>35</v>
      </c>
      <c r="AM1735">
        <v>46</v>
      </c>
      <c r="AN1735" s="18">
        <v>0.0434782608695652</v>
      </c>
      <c r="AO1735" s="18">
        <v>0.113636363636364</v>
      </c>
      <c r="AP1735" s="18">
        <v>0.171428571428571</v>
      </c>
      <c r="AQ1735" s="18">
        <v>0.108695652173913</v>
      </c>
      <c r="AR1735" s="29">
        <v>0.428571428571429</v>
      </c>
      <c r="AS1735" s="29">
        <v>25.7142857142857</v>
      </c>
      <c r="AT1735" s="29">
        <v>0.285714285714288</v>
      </c>
      <c r="AU1735" s="24">
        <f t="shared" si="28"/>
        <v>60</v>
      </c>
      <c r="AV1735" s="31">
        <f>IFERROR(时间!$B$4+AU1735,"上周无销量")</f>
        <v>43378</v>
      </c>
      <c r="AW1735" s="31"/>
    </row>
    <row r="1736" spans="1:49">
      <c r="A1736" s="16" t="s">
        <v>2932</v>
      </c>
      <c r="B1736" t="s">
        <v>2933</v>
      </c>
      <c r="C1736" t="s">
        <v>2923</v>
      </c>
      <c r="D1736" s="24">
        <v>5</v>
      </c>
      <c r="E1736" s="24">
        <v>5</v>
      </c>
      <c r="F1736" s="24">
        <v>4</v>
      </c>
      <c r="G1736" s="24">
        <v>7</v>
      </c>
      <c r="H1736" s="25">
        <v>25.98</v>
      </c>
      <c r="I1736">
        <v>22</v>
      </c>
      <c r="J1736" s="26">
        <v>20</v>
      </c>
      <c r="K1736" s="26">
        <v>0</v>
      </c>
      <c r="L1736" s="26">
        <v>0</v>
      </c>
      <c r="M1736">
        <v>42</v>
      </c>
      <c r="N1736">
        <v>2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44</v>
      </c>
      <c r="AK1736">
        <v>42</v>
      </c>
      <c r="AL1736">
        <v>47</v>
      </c>
      <c r="AM1736">
        <v>57</v>
      </c>
      <c r="AN1736" s="18">
        <v>0.113636363636364</v>
      </c>
      <c r="AO1736" s="18">
        <v>0.119047619047619</v>
      </c>
      <c r="AP1736" s="18">
        <v>0.0851063829787234</v>
      </c>
      <c r="AQ1736" s="18">
        <v>0.12280701754386</v>
      </c>
      <c r="AR1736" s="29">
        <v>0.714285714285714</v>
      </c>
      <c r="AS1736" s="29">
        <v>42.8571428571429</v>
      </c>
      <c r="AT1736" s="29">
        <v>-0.857142857142861</v>
      </c>
      <c r="AU1736" s="24">
        <f t="shared" si="28"/>
        <v>58</v>
      </c>
      <c r="AV1736" s="31">
        <f>IFERROR(时间!$B$4+AU1736,"上周无销量")</f>
        <v>43376</v>
      </c>
      <c r="AW1736" s="31"/>
    </row>
    <row r="1737" spans="1:48">
      <c r="A1737" s="16" t="s">
        <v>2934</v>
      </c>
      <c r="B1737" t="s">
        <v>2935</v>
      </c>
      <c r="C1737" t="s">
        <v>2923</v>
      </c>
      <c r="D1737" s="24">
        <v>4</v>
      </c>
      <c r="E1737" s="24">
        <v>2</v>
      </c>
      <c r="F1737" s="24">
        <v>1</v>
      </c>
      <c r="G1737" s="24">
        <v>0</v>
      </c>
      <c r="H1737" s="25">
        <v>24.98</v>
      </c>
      <c r="I1737">
        <v>23</v>
      </c>
      <c r="J1737" s="26">
        <v>0</v>
      </c>
      <c r="K1737" s="26">
        <v>0</v>
      </c>
      <c r="L1737" s="26">
        <v>0</v>
      </c>
      <c r="M1737">
        <v>23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26</v>
      </c>
      <c r="AK1737">
        <v>16</v>
      </c>
      <c r="AL1737">
        <v>9</v>
      </c>
      <c r="AM1737">
        <v>0</v>
      </c>
      <c r="AN1737" s="18">
        <v>0.153846153846154</v>
      </c>
      <c r="AO1737" s="18">
        <v>0.125</v>
      </c>
      <c r="AP1737" s="18">
        <v>0.111111111111111</v>
      </c>
      <c r="AQ1737" s="18" t="s">
        <v>52</v>
      </c>
      <c r="AR1737" s="29">
        <v>0.571428571428571</v>
      </c>
      <c r="AS1737" s="29">
        <v>34.2857142857143</v>
      </c>
      <c r="AT1737" s="29">
        <v>-11.2857142857143</v>
      </c>
      <c r="AU1737" s="24">
        <f t="shared" si="28"/>
        <v>40</v>
      </c>
      <c r="AV1737" s="31">
        <f>IFERROR(时间!$B$4+AU1737,"上周无销量")</f>
        <v>43358</v>
      </c>
    </row>
    <row r="1738" spans="1:48">
      <c r="A1738" s="16" t="s">
        <v>2936</v>
      </c>
      <c r="B1738" t="s">
        <v>2937</v>
      </c>
      <c r="C1738" t="s">
        <v>2923</v>
      </c>
      <c r="D1738" s="24">
        <v>2</v>
      </c>
      <c r="E1738" s="24">
        <v>3</v>
      </c>
      <c r="F1738" s="24">
        <v>0</v>
      </c>
      <c r="G1738" s="24">
        <v>1</v>
      </c>
      <c r="H1738" s="25">
        <v>23.98</v>
      </c>
      <c r="I1738">
        <v>7</v>
      </c>
      <c r="J1738" s="26">
        <v>0</v>
      </c>
      <c r="K1738" s="26">
        <v>0</v>
      </c>
      <c r="L1738" s="26">
        <v>1</v>
      </c>
      <c r="M1738">
        <v>8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31</v>
      </c>
      <c r="AK1738">
        <v>30</v>
      </c>
      <c r="AL1738">
        <v>13</v>
      </c>
      <c r="AM1738">
        <v>0</v>
      </c>
      <c r="AN1738" s="18">
        <v>0.0645161290322581</v>
      </c>
      <c r="AO1738" s="18">
        <v>0.1</v>
      </c>
      <c r="AP1738" s="18">
        <v>0</v>
      </c>
      <c r="AQ1738" s="18" t="s">
        <v>52</v>
      </c>
      <c r="AR1738" s="29">
        <v>0.285714285714286</v>
      </c>
      <c r="AS1738" s="29">
        <v>17.1428571428571</v>
      </c>
      <c r="AT1738" s="29">
        <v>-9.14285714285714</v>
      </c>
      <c r="AU1738" s="24">
        <f t="shared" si="28"/>
        <v>28</v>
      </c>
      <c r="AV1738" s="31">
        <f>IFERROR(时间!$B$4+AU1738,"上周无销量")</f>
        <v>43346</v>
      </c>
    </row>
    <row r="1739" spans="1:48">
      <c r="A1739" s="16" t="s">
        <v>2938</v>
      </c>
      <c r="B1739" t="s">
        <v>2939</v>
      </c>
      <c r="C1739" t="s">
        <v>2923</v>
      </c>
      <c r="D1739" s="24">
        <v>1</v>
      </c>
      <c r="E1739" s="24">
        <v>4</v>
      </c>
      <c r="F1739" s="24">
        <v>1</v>
      </c>
      <c r="G1739" s="24">
        <v>0</v>
      </c>
      <c r="H1739" s="25">
        <v>25.98</v>
      </c>
      <c r="I1739">
        <v>22</v>
      </c>
      <c r="J1739" s="26">
        <v>0</v>
      </c>
      <c r="K1739" s="26">
        <v>0</v>
      </c>
      <c r="L1739" s="26">
        <v>0</v>
      </c>
      <c r="M1739">
        <v>22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32</v>
      </c>
      <c r="AK1739">
        <v>31</v>
      </c>
      <c r="AL1739">
        <v>14</v>
      </c>
      <c r="AM1739">
        <v>0</v>
      </c>
      <c r="AN1739" s="18">
        <v>0.03125</v>
      </c>
      <c r="AO1739" s="18">
        <v>0.129032258064516</v>
      </c>
      <c r="AP1739" s="18">
        <v>0.0714285714285714</v>
      </c>
      <c r="AQ1739" s="18" t="s">
        <v>52</v>
      </c>
      <c r="AR1739" s="29">
        <v>0.142857142857143</v>
      </c>
      <c r="AS1739" s="29">
        <v>8.57142857142857</v>
      </c>
      <c r="AT1739" s="29">
        <v>13.4285714285714</v>
      </c>
      <c r="AU1739" s="24">
        <f t="shared" si="28"/>
        <v>154</v>
      </c>
      <c r="AV1739" s="31">
        <f>IFERROR(时间!$B$4+AU1739,"上周无销量")</f>
        <v>43472</v>
      </c>
    </row>
    <row r="1740" spans="1:48">
      <c r="A1740" s="16" t="s">
        <v>2940</v>
      </c>
      <c r="B1740" t="s">
        <v>2941</v>
      </c>
      <c r="C1740" t="s">
        <v>2923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0</v>
      </c>
      <c r="J1740" s="26">
        <v>0</v>
      </c>
      <c r="K1740" s="26">
        <v>0</v>
      </c>
      <c r="L1740" s="26">
        <v>0</v>
      </c>
      <c r="M1740">
        <v>0</v>
      </c>
      <c r="N1740">
        <v>0</v>
      </c>
      <c r="O1740">
        <v>0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0</v>
      </c>
      <c r="AK1740">
        <v>0</v>
      </c>
      <c r="AL1740">
        <v>0</v>
      </c>
      <c r="AM1740">
        <v>0</v>
      </c>
      <c r="AN1740" s="18" t="s">
        <v>52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0</v>
      </c>
      <c r="AU1740" s="24" t="str">
        <f t="shared" si="28"/>
        <v>库存为0</v>
      </c>
      <c r="AV1740" s="31" t="str">
        <f>IFERROR(时间!$B$4+AU1740,"上周无销量")</f>
        <v>上周无销量</v>
      </c>
    </row>
    <row r="1741" spans="1:48">
      <c r="A1741" s="16" t="s">
        <v>2942</v>
      </c>
      <c r="B1741" t="s">
        <v>2943</v>
      </c>
      <c r="C1741" t="s">
        <v>2923</v>
      </c>
      <c r="D1741" s="24">
        <v>2</v>
      </c>
      <c r="E1741" s="24">
        <v>5</v>
      </c>
      <c r="F1741" s="24">
        <v>3</v>
      </c>
      <c r="G1741" s="24">
        <v>1</v>
      </c>
      <c r="H1741" s="25">
        <v>23.98</v>
      </c>
      <c r="I1741">
        <v>12</v>
      </c>
      <c r="J1741" s="26">
        <v>24</v>
      </c>
      <c r="K1741" s="26">
        <v>0</v>
      </c>
      <c r="L1741" s="26">
        <v>2</v>
      </c>
      <c r="M1741">
        <v>38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42</v>
      </c>
      <c r="AK1741">
        <v>30</v>
      </c>
      <c r="AL1741">
        <v>22</v>
      </c>
      <c r="AM1741">
        <v>10</v>
      </c>
      <c r="AN1741" s="18">
        <v>0.0476190476190476</v>
      </c>
      <c r="AO1741" s="18">
        <v>0.166666666666667</v>
      </c>
      <c r="AP1741" s="18">
        <v>0.136363636363636</v>
      </c>
      <c r="AQ1741" s="18">
        <v>0.1</v>
      </c>
      <c r="AR1741" s="29">
        <v>0.285714285714286</v>
      </c>
      <c r="AS1741" s="29">
        <v>17.1428571428571</v>
      </c>
      <c r="AT1741" s="29">
        <v>20.8571428571429</v>
      </c>
      <c r="AU1741" s="24">
        <f t="shared" si="28"/>
        <v>133</v>
      </c>
      <c r="AV1741" s="31">
        <f>IFERROR(时间!$B$4+AU1741,"上周无销量")</f>
        <v>43451</v>
      </c>
    </row>
    <row r="1742" spans="1:48">
      <c r="A1742" s="16" t="s">
        <v>2944</v>
      </c>
      <c r="B1742" t="s">
        <v>2945</v>
      </c>
      <c r="C1742" t="s">
        <v>2923</v>
      </c>
      <c r="D1742" s="24">
        <v>6</v>
      </c>
      <c r="E1742" s="24">
        <v>6</v>
      </c>
      <c r="F1742" s="24">
        <v>1</v>
      </c>
      <c r="G1742" s="24">
        <v>0</v>
      </c>
      <c r="H1742" s="25">
        <v>22.98</v>
      </c>
      <c r="I1742">
        <v>8</v>
      </c>
      <c r="J1742" s="26">
        <v>30</v>
      </c>
      <c r="K1742" s="26">
        <v>0</v>
      </c>
      <c r="L1742" s="26">
        <v>1</v>
      </c>
      <c r="M1742">
        <v>39</v>
      </c>
      <c r="N1742">
        <v>0</v>
      </c>
      <c r="O1742">
        <v>0</v>
      </c>
      <c r="P1742">
        <v>9469</v>
      </c>
      <c r="Q1742">
        <v>0</v>
      </c>
      <c r="R1742">
        <v>0</v>
      </c>
      <c r="S1742">
        <v>0</v>
      </c>
      <c r="T1742">
        <v>64</v>
      </c>
      <c r="U1742">
        <v>0</v>
      </c>
      <c r="V1742">
        <v>0</v>
      </c>
      <c r="W1742">
        <v>0</v>
      </c>
      <c r="X1742" s="18">
        <v>0.00675889745485268</v>
      </c>
      <c r="Y1742" s="18" t="s">
        <v>52</v>
      </c>
      <c r="Z1742" s="18" t="s">
        <v>52</v>
      </c>
      <c r="AA1742" s="18" t="s">
        <v>52</v>
      </c>
      <c r="AB1742">
        <v>38.98</v>
      </c>
      <c r="AC1742">
        <v>0</v>
      </c>
      <c r="AD1742">
        <v>0</v>
      </c>
      <c r="AE1742">
        <v>0</v>
      </c>
      <c r="AF1742" s="18">
        <v>0.282709602552945</v>
      </c>
      <c r="AG1742" s="18" t="s">
        <v>52</v>
      </c>
      <c r="AH1742" s="18" t="s">
        <v>52</v>
      </c>
      <c r="AI1742" s="18" t="s">
        <v>52</v>
      </c>
      <c r="AJ1742">
        <v>45</v>
      </c>
      <c r="AK1742">
        <v>54</v>
      </c>
      <c r="AL1742">
        <v>12</v>
      </c>
      <c r="AM1742">
        <v>0</v>
      </c>
      <c r="AN1742" s="18">
        <v>0.133333333333333</v>
      </c>
      <c r="AO1742" s="18">
        <v>0.111111111111111</v>
      </c>
      <c r="AP1742" s="18">
        <v>0.0833333333333333</v>
      </c>
      <c r="AQ1742" s="18" t="s">
        <v>52</v>
      </c>
      <c r="AR1742" s="29">
        <v>0.857142857142857</v>
      </c>
      <c r="AS1742" s="29">
        <v>51.4285714285714</v>
      </c>
      <c r="AT1742" s="29">
        <v>-12.4285714285714</v>
      </c>
      <c r="AU1742" s="24">
        <f t="shared" si="28"/>
        <v>45</v>
      </c>
      <c r="AV1742" s="31">
        <f>IFERROR(时间!$B$4+AU1742,"上周无销量")</f>
        <v>43363</v>
      </c>
    </row>
    <row r="1743" spans="1:48">
      <c r="A1743" s="16" t="s">
        <v>2946</v>
      </c>
      <c r="B1743" t="s">
        <v>2947</v>
      </c>
      <c r="C1743" t="s">
        <v>2923</v>
      </c>
      <c r="D1743" s="24">
        <v>2</v>
      </c>
      <c r="E1743" s="24">
        <v>1</v>
      </c>
      <c r="F1743" s="24">
        <v>1</v>
      </c>
      <c r="G1743" s="24">
        <v>0</v>
      </c>
      <c r="H1743" s="25">
        <v>24.98</v>
      </c>
      <c r="I1743">
        <v>23</v>
      </c>
      <c r="J1743" s="26">
        <v>0</v>
      </c>
      <c r="K1743" s="26">
        <v>0</v>
      </c>
      <c r="L1743" s="26">
        <v>0</v>
      </c>
      <c r="M1743">
        <v>23</v>
      </c>
      <c r="N1743">
        <v>1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39</v>
      </c>
      <c r="AK1743">
        <v>20</v>
      </c>
      <c r="AL1743">
        <v>9</v>
      </c>
      <c r="AM1743">
        <v>0</v>
      </c>
      <c r="AN1743" s="18">
        <v>0.0512820512820513</v>
      </c>
      <c r="AO1743" s="18">
        <v>0.05</v>
      </c>
      <c r="AP1743" s="18">
        <v>0.111111111111111</v>
      </c>
      <c r="AQ1743" s="18" t="s">
        <v>52</v>
      </c>
      <c r="AR1743" s="29">
        <v>0.285714285714286</v>
      </c>
      <c r="AS1743" s="29">
        <v>17.1428571428571</v>
      </c>
      <c r="AT1743" s="29">
        <v>5.85714285714286</v>
      </c>
      <c r="AU1743" s="24">
        <f t="shared" si="28"/>
        <v>80</v>
      </c>
      <c r="AV1743" s="31">
        <f>IFERROR(时间!$B$4+AU1743,"上周无销量")</f>
        <v>43398</v>
      </c>
    </row>
    <row r="1744" spans="1:48">
      <c r="A1744" s="16" t="s">
        <v>2948</v>
      </c>
      <c r="B1744" t="s">
        <v>2949</v>
      </c>
      <c r="C1744" t="s">
        <v>2923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22</v>
      </c>
      <c r="J1744" s="26">
        <v>0</v>
      </c>
      <c r="K1744" s="26">
        <v>0</v>
      </c>
      <c r="L1744" s="26">
        <v>0</v>
      </c>
      <c r="M1744">
        <v>22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37</v>
      </c>
      <c r="AK1744">
        <v>27</v>
      </c>
      <c r="AL1744">
        <v>36</v>
      </c>
      <c r="AM1744">
        <v>62</v>
      </c>
      <c r="AN1744" s="18">
        <v>0</v>
      </c>
      <c r="AO1744" s="18">
        <v>0</v>
      </c>
      <c r="AP1744" s="18">
        <v>0</v>
      </c>
      <c r="AQ1744" s="18">
        <v>0</v>
      </c>
      <c r="AR1744" s="29">
        <v>0</v>
      </c>
      <c r="AS1744" s="29">
        <v>0</v>
      </c>
      <c r="AT1744" s="29">
        <v>22</v>
      </c>
      <c r="AU1744" s="24" t="str">
        <f t="shared" si="28"/>
        <v>库存为22</v>
      </c>
      <c r="AV1744" s="31" t="str">
        <f>IFERROR(时间!$B$4+AU1744,"上周无销量")</f>
        <v>上周无销量</v>
      </c>
    </row>
    <row r="1745" spans="1:48">
      <c r="A1745" s="16" t="s">
        <v>2950</v>
      </c>
      <c r="B1745" t="s">
        <v>2951</v>
      </c>
      <c r="C1745" t="s">
        <v>2923</v>
      </c>
      <c r="D1745" s="24">
        <v>0</v>
      </c>
      <c r="E1745" s="24">
        <v>1</v>
      </c>
      <c r="F1745" s="24">
        <v>2</v>
      </c>
      <c r="G1745" s="24">
        <v>0</v>
      </c>
      <c r="H1745" s="25">
        <v>25.98</v>
      </c>
      <c r="I1745">
        <v>25</v>
      </c>
      <c r="J1745" s="26">
        <v>0</v>
      </c>
      <c r="K1745" s="26">
        <v>0</v>
      </c>
      <c r="L1745" s="26">
        <v>0</v>
      </c>
      <c r="M1745">
        <v>25</v>
      </c>
      <c r="N1745">
        <v>0</v>
      </c>
      <c r="O1745">
        <v>0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13</v>
      </c>
      <c r="AK1745">
        <v>19</v>
      </c>
      <c r="AL1745">
        <v>11</v>
      </c>
      <c r="AM1745">
        <v>0</v>
      </c>
      <c r="AN1745" s="18">
        <v>0</v>
      </c>
      <c r="AO1745" s="18">
        <v>0.0526315789473684</v>
      </c>
      <c r="AP1745" s="18">
        <v>0.181818181818182</v>
      </c>
      <c r="AQ1745" s="18" t="s">
        <v>52</v>
      </c>
      <c r="AR1745" s="29">
        <v>0</v>
      </c>
      <c r="AS1745" s="29">
        <v>0</v>
      </c>
      <c r="AT1745" s="29">
        <v>25</v>
      </c>
      <c r="AU1745" s="24" t="str">
        <f t="shared" si="28"/>
        <v>库存为25</v>
      </c>
      <c r="AV1745" s="31" t="str">
        <f>IFERROR(时间!$B$4+AU1745,"上周无销量")</f>
        <v>上周无销量</v>
      </c>
    </row>
    <row r="1746" spans="1:48">
      <c r="A1746" s="16" t="s">
        <v>2952</v>
      </c>
      <c r="B1746" t="s">
        <v>2953</v>
      </c>
      <c r="C1746" t="s">
        <v>2954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0</v>
      </c>
      <c r="J1746" s="26">
        <v>0</v>
      </c>
      <c r="K1746" s="26">
        <v>0</v>
      </c>
      <c r="L1746" s="26">
        <v>0</v>
      </c>
      <c r="M1746">
        <v>0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0</v>
      </c>
      <c r="AK1746">
        <v>0</v>
      </c>
      <c r="AL1746">
        <v>0</v>
      </c>
      <c r="AM1746">
        <v>0</v>
      </c>
      <c r="AN1746" s="18" t="s">
        <v>52</v>
      </c>
      <c r="AO1746" s="18" t="s">
        <v>52</v>
      </c>
      <c r="AP1746" s="18" t="s">
        <v>52</v>
      </c>
      <c r="AQ1746" s="18" t="s">
        <v>52</v>
      </c>
      <c r="AR1746" s="29">
        <v>0</v>
      </c>
      <c r="AS1746" s="29">
        <v>0</v>
      </c>
      <c r="AT1746" s="29">
        <v>0</v>
      </c>
      <c r="AU1746" s="24" t="str">
        <f t="shared" si="28"/>
        <v>库存为0</v>
      </c>
      <c r="AV1746" s="31" t="str">
        <f>IFERROR(时间!$B$4+AU1746,"上周无销量")</f>
        <v>上周无销量</v>
      </c>
    </row>
    <row r="1747" spans="1:48">
      <c r="A1747" s="16" t="s">
        <v>2955</v>
      </c>
      <c r="B1747" t="s">
        <v>2956</v>
      </c>
      <c r="C1747" t="s">
        <v>2954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0</v>
      </c>
      <c r="J1747" s="26">
        <v>0</v>
      </c>
      <c r="K1747" s="26">
        <v>0</v>
      </c>
      <c r="L1747" s="26">
        <v>0</v>
      </c>
      <c r="M1747">
        <v>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0</v>
      </c>
      <c r="AK1747">
        <v>0</v>
      </c>
      <c r="AL1747">
        <v>0</v>
      </c>
      <c r="AM1747">
        <v>0</v>
      </c>
      <c r="AN1747" s="18" t="s">
        <v>52</v>
      </c>
      <c r="AO1747" s="18" t="s">
        <v>52</v>
      </c>
      <c r="AP1747" s="18" t="s">
        <v>52</v>
      </c>
      <c r="AQ1747" s="18" t="s">
        <v>52</v>
      </c>
      <c r="AR1747" s="29">
        <v>0</v>
      </c>
      <c r="AS1747" s="29">
        <v>0</v>
      </c>
      <c r="AT1747" s="29">
        <v>0</v>
      </c>
      <c r="AU1747" s="24" t="str">
        <f t="shared" si="28"/>
        <v>库存为0</v>
      </c>
      <c r="AV1747" s="31" t="str">
        <f>IFERROR(时间!$B$4+AU1747,"上周无销量")</f>
        <v>上周无销量</v>
      </c>
    </row>
    <row r="1748" spans="1:48">
      <c r="A1748" s="16" t="s">
        <v>2957</v>
      </c>
      <c r="B1748" t="s">
        <v>2958</v>
      </c>
      <c r="C1748" t="s">
        <v>2954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0</v>
      </c>
      <c r="J1748" s="26">
        <v>0</v>
      </c>
      <c r="K1748" s="26">
        <v>0</v>
      </c>
      <c r="L1748" s="26">
        <v>0</v>
      </c>
      <c r="M1748">
        <v>0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0</v>
      </c>
      <c r="AK1748">
        <v>0</v>
      </c>
      <c r="AL1748">
        <v>0</v>
      </c>
      <c r="AM1748">
        <v>0</v>
      </c>
      <c r="AN1748" s="18" t="s">
        <v>52</v>
      </c>
      <c r="AO1748" s="18" t="s">
        <v>52</v>
      </c>
      <c r="AP1748" s="18" t="s">
        <v>52</v>
      </c>
      <c r="AQ1748" s="18" t="s">
        <v>52</v>
      </c>
      <c r="AR1748" s="29">
        <v>0</v>
      </c>
      <c r="AS1748" s="29">
        <v>0</v>
      </c>
      <c r="AT1748" s="29">
        <v>0</v>
      </c>
      <c r="AU1748" s="24" t="str">
        <f t="shared" si="28"/>
        <v>库存为0</v>
      </c>
      <c r="AV1748" s="31" t="str">
        <f>IFERROR(时间!$B$4+AU1748,"上周无销量")</f>
        <v>上周无销量</v>
      </c>
    </row>
    <row r="1749" spans="1:48">
      <c r="A1749" s="16" t="s">
        <v>2959</v>
      </c>
      <c r="B1749" t="s">
        <v>2960</v>
      </c>
      <c r="C1749" t="s">
        <v>2954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0</v>
      </c>
      <c r="J1749" s="26">
        <v>0</v>
      </c>
      <c r="K1749" s="26">
        <v>0</v>
      </c>
      <c r="L1749" s="26">
        <v>0</v>
      </c>
      <c r="M1749">
        <v>0</v>
      </c>
      <c r="N1749">
        <v>0</v>
      </c>
      <c r="O1749">
        <v>0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0</v>
      </c>
      <c r="AK1749">
        <v>0</v>
      </c>
      <c r="AL1749">
        <v>0</v>
      </c>
      <c r="AM1749">
        <v>0</v>
      </c>
      <c r="AN1749" s="18" t="s">
        <v>52</v>
      </c>
      <c r="AO1749" s="18" t="s">
        <v>52</v>
      </c>
      <c r="AP1749" s="18" t="s">
        <v>52</v>
      </c>
      <c r="AQ1749" s="18" t="s">
        <v>52</v>
      </c>
      <c r="AR1749" s="29">
        <v>0</v>
      </c>
      <c r="AS1749" s="29">
        <v>0</v>
      </c>
      <c r="AT1749" s="29">
        <v>0</v>
      </c>
      <c r="AU1749" s="24" t="str">
        <f t="shared" si="28"/>
        <v>库存为0</v>
      </c>
      <c r="AV1749" s="31" t="str">
        <f>IFERROR(时间!$B$4+AU1749,"上周无销量")</f>
        <v>上周无销量</v>
      </c>
    </row>
    <row r="1750" spans="1:48">
      <c r="A1750" s="16" t="s">
        <v>2961</v>
      </c>
      <c r="B1750" t="s">
        <v>2962</v>
      </c>
      <c r="C1750" t="s">
        <v>2954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0</v>
      </c>
      <c r="J1750" s="26">
        <v>0</v>
      </c>
      <c r="K1750" s="26">
        <v>0</v>
      </c>
      <c r="L1750" s="26">
        <v>0</v>
      </c>
      <c r="M1750">
        <v>0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0</v>
      </c>
      <c r="AK1750">
        <v>0</v>
      </c>
      <c r="AL1750">
        <v>0</v>
      </c>
      <c r="AM1750">
        <v>0</v>
      </c>
      <c r="AN1750" s="18" t="s">
        <v>52</v>
      </c>
      <c r="AO1750" s="18" t="s">
        <v>52</v>
      </c>
      <c r="AP1750" s="18" t="s">
        <v>52</v>
      </c>
      <c r="AQ1750" s="18" t="s">
        <v>52</v>
      </c>
      <c r="AR1750" s="29">
        <v>0</v>
      </c>
      <c r="AS1750" s="29">
        <v>0</v>
      </c>
      <c r="AT1750" s="29">
        <v>0</v>
      </c>
      <c r="AU1750" s="24" t="str">
        <f t="shared" si="28"/>
        <v>库存为0</v>
      </c>
      <c r="AV1750" s="31" t="str">
        <f>IFERROR(时间!$B$4+AU1750,"上周无销量")</f>
        <v>上周无销量</v>
      </c>
    </row>
    <row r="1751" spans="1:48">
      <c r="A1751" s="16" t="s">
        <v>2963</v>
      </c>
      <c r="B1751" t="s">
        <v>2964</v>
      </c>
      <c r="C1751" t="s">
        <v>2954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0</v>
      </c>
      <c r="J1751" s="26">
        <v>0</v>
      </c>
      <c r="K1751" s="26">
        <v>0</v>
      </c>
      <c r="L1751" s="26">
        <v>0</v>
      </c>
      <c r="M1751">
        <v>0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0</v>
      </c>
      <c r="AK1751">
        <v>0</v>
      </c>
      <c r="AL1751">
        <v>0</v>
      </c>
      <c r="AM1751">
        <v>0</v>
      </c>
      <c r="AN1751" s="18" t="s">
        <v>52</v>
      </c>
      <c r="AO1751" s="18" t="s">
        <v>52</v>
      </c>
      <c r="AP1751" s="18" t="s">
        <v>52</v>
      </c>
      <c r="AQ1751" s="18" t="s">
        <v>52</v>
      </c>
      <c r="AR1751" s="29">
        <v>0</v>
      </c>
      <c r="AS1751" s="29">
        <v>0</v>
      </c>
      <c r="AT1751" s="29">
        <v>0</v>
      </c>
      <c r="AU1751" s="24" t="str">
        <f t="shared" si="28"/>
        <v>库存为0</v>
      </c>
      <c r="AV1751" s="31" t="str">
        <f>IFERROR(时间!$B$4+AU1751,"上周无销量")</f>
        <v>上周无销量</v>
      </c>
    </row>
    <row r="1752" spans="1:48">
      <c r="A1752" s="16" t="s">
        <v>2965</v>
      </c>
      <c r="B1752" t="s">
        <v>2966</v>
      </c>
      <c r="C1752" t="s">
        <v>2954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0</v>
      </c>
      <c r="J1752" s="26">
        <v>0</v>
      </c>
      <c r="K1752" s="26">
        <v>0</v>
      </c>
      <c r="L1752" s="26">
        <v>0</v>
      </c>
      <c r="M1752">
        <v>0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0</v>
      </c>
      <c r="AL1752">
        <v>0</v>
      </c>
      <c r="AM1752">
        <v>0</v>
      </c>
      <c r="AN1752" s="18" t="s">
        <v>52</v>
      </c>
      <c r="AO1752" s="18" t="s">
        <v>52</v>
      </c>
      <c r="AP1752" s="18" t="s">
        <v>52</v>
      </c>
      <c r="AQ1752" s="18" t="s">
        <v>52</v>
      </c>
      <c r="AR1752" s="29">
        <v>0</v>
      </c>
      <c r="AS1752" s="29">
        <v>0</v>
      </c>
      <c r="AT1752" s="29">
        <v>0</v>
      </c>
      <c r="AU1752" s="24" t="str">
        <f t="shared" si="28"/>
        <v>库存为0</v>
      </c>
      <c r="AV1752" s="31" t="str">
        <f>IFERROR(时间!$B$4+AU1752,"上周无销量")</f>
        <v>上周无销量</v>
      </c>
    </row>
    <row r="1753" spans="1:48">
      <c r="A1753" s="16" t="s">
        <v>2967</v>
      </c>
      <c r="B1753" t="s">
        <v>2968</v>
      </c>
      <c r="C1753" t="s">
        <v>2954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0</v>
      </c>
      <c r="AK1753">
        <v>0</v>
      </c>
      <c r="AL1753">
        <v>0</v>
      </c>
      <c r="AM1753">
        <v>0</v>
      </c>
      <c r="AN1753" s="18" t="s">
        <v>52</v>
      </c>
      <c r="AO1753" s="18" t="s">
        <v>52</v>
      </c>
      <c r="AP1753" s="18" t="s">
        <v>52</v>
      </c>
      <c r="AQ1753" s="18" t="s">
        <v>52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2969</v>
      </c>
      <c r="B1754" t="s">
        <v>2970</v>
      </c>
      <c r="C1754" t="s">
        <v>2954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0</v>
      </c>
      <c r="AL1754">
        <v>0</v>
      </c>
      <c r="AM1754">
        <v>0</v>
      </c>
      <c r="AN1754" s="18" t="s">
        <v>52</v>
      </c>
      <c r="AO1754" s="18" t="s">
        <v>52</v>
      </c>
      <c r="AP1754" s="18" t="s">
        <v>52</v>
      </c>
      <c r="AQ1754" s="18" t="s">
        <v>52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2971</v>
      </c>
      <c r="B1755" t="s">
        <v>2972</v>
      </c>
      <c r="C1755" t="s">
        <v>2954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2973</v>
      </c>
      <c r="B1756" t="s">
        <v>2974</v>
      </c>
      <c r="C1756" t="s">
        <v>2954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2975</v>
      </c>
      <c r="B1757" t="s">
        <v>2976</v>
      </c>
      <c r="C1757" t="s">
        <v>2954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2977</v>
      </c>
      <c r="B1758" t="s">
        <v>2978</v>
      </c>
      <c r="C1758" t="s">
        <v>2954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0</v>
      </c>
      <c r="J1758" s="26">
        <v>0</v>
      </c>
      <c r="K1758" s="26">
        <v>0</v>
      </c>
      <c r="L1758" s="26">
        <v>0</v>
      </c>
      <c r="M1758">
        <v>0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0</v>
      </c>
      <c r="AK1758">
        <v>0</v>
      </c>
      <c r="AL1758">
        <v>0</v>
      </c>
      <c r="AM1758">
        <v>0</v>
      </c>
      <c r="AN1758" s="18" t="s">
        <v>52</v>
      </c>
      <c r="AO1758" s="18" t="s">
        <v>52</v>
      </c>
      <c r="AP1758" s="18" t="s">
        <v>52</v>
      </c>
      <c r="AQ1758" s="18" t="s">
        <v>52</v>
      </c>
      <c r="AR1758" s="29">
        <v>0</v>
      </c>
      <c r="AS1758" s="29">
        <v>0</v>
      </c>
      <c r="AT1758" s="29">
        <v>0</v>
      </c>
      <c r="AU1758" s="24" t="str">
        <f t="shared" si="28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2979</v>
      </c>
      <c r="B1759" t="s">
        <v>2980</v>
      </c>
      <c r="C1759" t="s">
        <v>2981</v>
      </c>
      <c r="D1759" s="24">
        <v>10</v>
      </c>
      <c r="E1759" s="24">
        <v>3</v>
      </c>
      <c r="F1759" s="24">
        <v>9</v>
      </c>
      <c r="G1759" s="24">
        <v>9</v>
      </c>
      <c r="H1759" s="25">
        <v>24.98</v>
      </c>
      <c r="I1759">
        <v>21</v>
      </c>
      <c r="J1759" s="26">
        <v>24</v>
      </c>
      <c r="K1759" s="26">
        <v>0</v>
      </c>
      <c r="L1759" s="26">
        <v>1</v>
      </c>
      <c r="M1759">
        <v>46</v>
      </c>
      <c r="N1759">
        <v>1</v>
      </c>
      <c r="O1759">
        <v>0</v>
      </c>
      <c r="P1759">
        <v>60170</v>
      </c>
      <c r="Q1759">
        <v>20699</v>
      </c>
      <c r="R1759">
        <v>11957</v>
      </c>
      <c r="S1759">
        <v>3022</v>
      </c>
      <c r="T1759">
        <v>249</v>
      </c>
      <c r="U1759">
        <v>135</v>
      </c>
      <c r="V1759">
        <v>79</v>
      </c>
      <c r="W1759">
        <v>15</v>
      </c>
      <c r="X1759" s="18">
        <v>0.00413827488781785</v>
      </c>
      <c r="Y1759" s="18">
        <v>0.00652205420551717</v>
      </c>
      <c r="Z1759" s="18">
        <v>0.00660700844693485</v>
      </c>
      <c r="AA1759" s="18">
        <v>0.00496360026472535</v>
      </c>
      <c r="AB1759">
        <v>108.29</v>
      </c>
      <c r="AC1759">
        <v>50.43</v>
      </c>
      <c r="AD1759">
        <v>30</v>
      </c>
      <c r="AE1759">
        <v>5.34</v>
      </c>
      <c r="AF1759" s="18">
        <v>0.433506805444355</v>
      </c>
      <c r="AG1759" s="18">
        <v>0.672938350680544</v>
      </c>
      <c r="AH1759" s="18">
        <v>0.133440085401655</v>
      </c>
      <c r="AI1759" s="18">
        <v>0.0237523352014945</v>
      </c>
      <c r="AJ1759">
        <v>154</v>
      </c>
      <c r="AK1759">
        <v>127</v>
      </c>
      <c r="AL1759">
        <v>96</v>
      </c>
      <c r="AM1759">
        <v>82</v>
      </c>
      <c r="AN1759" s="18">
        <v>0.0649350649350649</v>
      </c>
      <c r="AO1759" s="18">
        <v>0.0236220472440945</v>
      </c>
      <c r="AP1759" s="18">
        <v>0.09375</v>
      </c>
      <c r="AQ1759" s="18">
        <v>0.109756097560976</v>
      </c>
      <c r="AR1759" s="29">
        <v>1.42857142857143</v>
      </c>
      <c r="AS1759" s="29">
        <v>85.7142857142857</v>
      </c>
      <c r="AT1759" s="29">
        <v>-39.7142857142857</v>
      </c>
      <c r="AU1759" s="24">
        <f t="shared" si="28"/>
        <v>32</v>
      </c>
      <c r="AV1759" s="31">
        <f>IFERROR(时间!$B$4+AU1759,"上周无销量")</f>
        <v>43350</v>
      </c>
      <c r="AW1759" s="31"/>
    </row>
    <row r="1760" spans="1:49">
      <c r="A1760" s="16" t="s">
        <v>2982</v>
      </c>
      <c r="B1760" t="s">
        <v>2983</v>
      </c>
      <c r="C1760" t="s">
        <v>2981</v>
      </c>
      <c r="D1760" s="24">
        <v>4</v>
      </c>
      <c r="E1760" s="24">
        <v>6</v>
      </c>
      <c r="F1760" s="24">
        <v>4</v>
      </c>
      <c r="G1760" s="24">
        <v>5</v>
      </c>
      <c r="H1760" s="25">
        <v>24.98</v>
      </c>
      <c r="I1760">
        <v>21</v>
      </c>
      <c r="J1760" s="26">
        <v>21</v>
      </c>
      <c r="K1760" s="26">
        <v>0</v>
      </c>
      <c r="L1760" s="26">
        <v>0</v>
      </c>
      <c r="M1760">
        <v>42</v>
      </c>
      <c r="N1760">
        <v>3</v>
      </c>
      <c r="O1760">
        <v>0</v>
      </c>
      <c r="P1760">
        <v>19618</v>
      </c>
      <c r="Q1760">
        <v>55737</v>
      </c>
      <c r="R1760">
        <v>72850</v>
      </c>
      <c r="S1760">
        <v>11985</v>
      </c>
      <c r="T1760">
        <v>48</v>
      </c>
      <c r="U1760">
        <v>159</v>
      </c>
      <c r="V1760">
        <v>305</v>
      </c>
      <c r="W1760">
        <v>77</v>
      </c>
      <c r="X1760" s="18">
        <v>0.00244673259251708</v>
      </c>
      <c r="Y1760" s="18">
        <v>0.00285268313687497</v>
      </c>
      <c r="Z1760" s="18">
        <v>0.00418668496911462</v>
      </c>
      <c r="AA1760" s="18">
        <v>0.0064246975385899</v>
      </c>
      <c r="AB1760">
        <v>23.64</v>
      </c>
      <c r="AC1760">
        <v>76.14</v>
      </c>
      <c r="AD1760">
        <v>144.49</v>
      </c>
      <c r="AE1760">
        <v>38.04</v>
      </c>
      <c r="AF1760" s="18">
        <v>0.236589271417134</v>
      </c>
      <c r="AG1760" s="18">
        <v>0.508006405124099</v>
      </c>
      <c r="AH1760" s="18">
        <v>1.44605684547638</v>
      </c>
      <c r="AI1760" s="18">
        <v>0.304563650920737</v>
      </c>
      <c r="AJ1760">
        <v>39</v>
      </c>
      <c r="AK1760">
        <v>58</v>
      </c>
      <c r="AL1760">
        <v>92</v>
      </c>
      <c r="AM1760">
        <v>178</v>
      </c>
      <c r="AN1760" s="18">
        <v>0.102564102564103</v>
      </c>
      <c r="AO1760" s="18">
        <v>0.103448275862069</v>
      </c>
      <c r="AP1760" s="18">
        <v>0.0434782608695652</v>
      </c>
      <c r="AQ1760" s="18">
        <v>0.0280898876404494</v>
      </c>
      <c r="AR1760" s="29">
        <v>0.571428571428571</v>
      </c>
      <c r="AS1760" s="29">
        <v>34.2857142857143</v>
      </c>
      <c r="AT1760" s="29">
        <v>7.71428571428572</v>
      </c>
      <c r="AU1760" s="24">
        <f t="shared" si="28"/>
        <v>73</v>
      </c>
      <c r="AV1760" s="31">
        <f>IFERROR(时间!$B$4+AU1760,"上周无销量")</f>
        <v>43391</v>
      </c>
      <c r="AW1760" s="31"/>
    </row>
    <row r="1761" spans="1:49">
      <c r="A1761" s="16" t="s">
        <v>2984</v>
      </c>
      <c r="B1761" t="s">
        <v>2985</v>
      </c>
      <c r="C1761" t="s">
        <v>2981</v>
      </c>
      <c r="D1761" s="24">
        <v>6</v>
      </c>
      <c r="E1761" s="24">
        <v>3</v>
      </c>
      <c r="F1761" s="24">
        <v>0</v>
      </c>
      <c r="G1761" s="24">
        <v>0</v>
      </c>
      <c r="H1761" s="25">
        <v>22.98</v>
      </c>
      <c r="I1761">
        <v>13</v>
      </c>
      <c r="J1761" s="26">
        <v>35</v>
      </c>
      <c r="K1761" s="26">
        <v>0</v>
      </c>
      <c r="L1761" s="26">
        <v>1</v>
      </c>
      <c r="M1761">
        <v>49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54</v>
      </c>
      <c r="AK1761">
        <v>36</v>
      </c>
      <c r="AL1761">
        <v>10</v>
      </c>
      <c r="AM1761">
        <v>0</v>
      </c>
      <c r="AN1761" s="18">
        <v>0.111111111111111</v>
      </c>
      <c r="AO1761" s="18">
        <v>0.0833333333333333</v>
      </c>
      <c r="AP1761" s="18">
        <v>0</v>
      </c>
      <c r="AQ1761" s="18" t="s">
        <v>52</v>
      </c>
      <c r="AR1761" s="29">
        <v>0.857142857142857</v>
      </c>
      <c r="AS1761" s="29">
        <v>51.4285714285714</v>
      </c>
      <c r="AT1761" s="29">
        <v>-2.42857142857142</v>
      </c>
      <c r="AU1761" s="24">
        <f t="shared" si="28"/>
        <v>57</v>
      </c>
      <c r="AV1761" s="31">
        <f>IFERROR(时间!$B$4+AU1761,"上周无销量")</f>
        <v>43375</v>
      </c>
      <c r="AW1761" s="31"/>
    </row>
    <row r="1762" spans="1:49">
      <c r="A1762" s="16" t="s">
        <v>2986</v>
      </c>
      <c r="B1762" t="s">
        <v>2987</v>
      </c>
      <c r="C1762" t="s">
        <v>2988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0</v>
      </c>
      <c r="J1762" s="26">
        <v>0</v>
      </c>
      <c r="K1762" s="26">
        <v>0</v>
      </c>
      <c r="L1762" s="26">
        <v>0</v>
      </c>
      <c r="M1762">
        <v>0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0</v>
      </c>
      <c r="AK1762">
        <v>0</v>
      </c>
      <c r="AL1762">
        <v>0</v>
      </c>
      <c r="AM1762">
        <v>0</v>
      </c>
      <c r="AN1762" s="18" t="s">
        <v>52</v>
      </c>
      <c r="AO1762" s="18" t="s">
        <v>52</v>
      </c>
      <c r="AP1762" s="18" t="s">
        <v>52</v>
      </c>
      <c r="AQ1762" s="18" t="s">
        <v>52</v>
      </c>
      <c r="AR1762" s="29">
        <v>0</v>
      </c>
      <c r="AS1762" s="29">
        <v>0</v>
      </c>
      <c r="AT1762" s="29">
        <v>0</v>
      </c>
      <c r="AU1762" s="24" t="str">
        <f t="shared" si="28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2989</v>
      </c>
      <c r="B1763" t="s">
        <v>2990</v>
      </c>
      <c r="C1763" t="s">
        <v>2988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0</v>
      </c>
      <c r="AK1763">
        <v>0</v>
      </c>
      <c r="AL1763">
        <v>0</v>
      </c>
      <c r="AM1763">
        <v>0</v>
      </c>
      <c r="AN1763" s="18" t="s">
        <v>52</v>
      </c>
      <c r="AO1763" s="18" t="s">
        <v>52</v>
      </c>
      <c r="AP1763" s="18" t="s">
        <v>52</v>
      </c>
      <c r="AQ1763" s="18" t="s">
        <v>52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2991</v>
      </c>
      <c r="B1764" t="s">
        <v>2992</v>
      </c>
      <c r="C1764" t="s">
        <v>2988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0</v>
      </c>
      <c r="AK1764">
        <v>0</v>
      </c>
      <c r="AL1764">
        <v>0</v>
      </c>
      <c r="AM1764">
        <v>0</v>
      </c>
      <c r="AN1764" s="18" t="s">
        <v>52</v>
      </c>
      <c r="AO1764" s="18" t="s">
        <v>52</v>
      </c>
      <c r="AP1764" s="18" t="s">
        <v>52</v>
      </c>
      <c r="AQ1764" s="18" t="s">
        <v>52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2993</v>
      </c>
      <c r="B1765" t="s">
        <v>2994</v>
      </c>
      <c r="C1765" t="s">
        <v>2988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2995</v>
      </c>
      <c r="B1766" t="s">
        <v>2996</v>
      </c>
      <c r="C1766" t="s">
        <v>2988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0</v>
      </c>
      <c r="AK1766">
        <v>0</v>
      </c>
      <c r="AL1766">
        <v>0</v>
      </c>
      <c r="AM1766">
        <v>0</v>
      </c>
      <c r="AN1766" s="18" t="s">
        <v>52</v>
      </c>
      <c r="AO1766" s="18" t="s">
        <v>52</v>
      </c>
      <c r="AP1766" s="18" t="s">
        <v>52</v>
      </c>
      <c r="AQ1766" s="18" t="s">
        <v>52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2997</v>
      </c>
      <c r="B1767" t="s">
        <v>2998</v>
      </c>
      <c r="C1767" t="s">
        <v>2988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0</v>
      </c>
      <c r="AK1767">
        <v>0</v>
      </c>
      <c r="AL1767">
        <v>0</v>
      </c>
      <c r="AM1767">
        <v>0</v>
      </c>
      <c r="AN1767" s="18" t="s">
        <v>52</v>
      </c>
      <c r="AO1767" s="18" t="s">
        <v>52</v>
      </c>
      <c r="AP1767" s="18" t="s">
        <v>52</v>
      </c>
      <c r="AQ1767" s="18" t="s">
        <v>52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2999</v>
      </c>
      <c r="B1768" t="s">
        <v>3000</v>
      </c>
      <c r="C1768" t="s">
        <v>2988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0</v>
      </c>
      <c r="AK1768">
        <v>0</v>
      </c>
      <c r="AL1768">
        <v>0</v>
      </c>
      <c r="AM1768">
        <v>0</v>
      </c>
      <c r="AN1768" s="18" t="s">
        <v>52</v>
      </c>
      <c r="AO1768" s="18" t="s">
        <v>52</v>
      </c>
      <c r="AP1768" s="18" t="s">
        <v>52</v>
      </c>
      <c r="AQ1768" s="18" t="s">
        <v>52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3001</v>
      </c>
      <c r="B1769" t="s">
        <v>3002</v>
      </c>
      <c r="C1769" t="s">
        <v>2988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0</v>
      </c>
      <c r="J1769" s="26">
        <v>0</v>
      </c>
      <c r="K1769" s="26">
        <v>0</v>
      </c>
      <c r="L1769" s="26">
        <v>0</v>
      </c>
      <c r="M1769">
        <v>0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0</v>
      </c>
      <c r="AK1769">
        <v>0</v>
      </c>
      <c r="AL1769">
        <v>0</v>
      </c>
      <c r="AM1769">
        <v>0</v>
      </c>
      <c r="AN1769" s="18" t="s">
        <v>52</v>
      </c>
      <c r="AO1769" s="18" t="s">
        <v>52</v>
      </c>
      <c r="AP1769" s="18" t="s">
        <v>52</v>
      </c>
      <c r="AQ1769" s="18" t="s">
        <v>52</v>
      </c>
      <c r="AR1769" s="29">
        <v>0</v>
      </c>
      <c r="AS1769" s="29">
        <v>0</v>
      </c>
      <c r="AT1769" s="29">
        <v>0</v>
      </c>
      <c r="AU1769" s="24" t="str">
        <f t="shared" si="28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3003</v>
      </c>
      <c r="B1770" t="s">
        <v>3004</v>
      </c>
      <c r="C1770" t="s">
        <v>3005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5</v>
      </c>
      <c r="J1770" s="26">
        <v>0</v>
      </c>
      <c r="K1770" s="26">
        <v>0</v>
      </c>
      <c r="L1770" s="26">
        <v>0</v>
      </c>
      <c r="M1770">
        <v>5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7</v>
      </c>
      <c r="AK1770">
        <v>1</v>
      </c>
      <c r="AL1770">
        <v>0</v>
      </c>
      <c r="AM1770">
        <v>0</v>
      </c>
      <c r="AN1770" s="18">
        <v>0</v>
      </c>
      <c r="AO1770" s="18">
        <v>0</v>
      </c>
      <c r="AP1770" s="18" t="s">
        <v>52</v>
      </c>
      <c r="AQ1770" s="18" t="s">
        <v>52</v>
      </c>
      <c r="AR1770" s="29">
        <v>0</v>
      </c>
      <c r="AS1770" s="29">
        <v>0</v>
      </c>
      <c r="AT1770" s="29">
        <v>5</v>
      </c>
      <c r="AU1770" s="24" t="str">
        <f t="shared" si="28"/>
        <v>库存为5</v>
      </c>
      <c r="AV1770" s="31" t="str">
        <f>IFERROR(时间!$B$4+AU1770,"上周无销量")</f>
        <v>上周无销量</v>
      </c>
      <c r="AW1770" s="31"/>
    </row>
    <row r="1771" spans="1:49">
      <c r="A1771" s="16" t="s">
        <v>3006</v>
      </c>
      <c r="B1771" t="s">
        <v>3007</v>
      </c>
      <c r="C1771" t="s">
        <v>3005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5</v>
      </c>
      <c r="J1771" s="26">
        <v>0</v>
      </c>
      <c r="K1771" s="26">
        <v>0</v>
      </c>
      <c r="L1771" s="26">
        <v>0</v>
      </c>
      <c r="M1771">
        <v>5</v>
      </c>
      <c r="N1771">
        <v>0</v>
      </c>
      <c r="O1771">
        <v>0</v>
      </c>
      <c r="P1771">
        <v>127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 s="18">
        <v>0</v>
      </c>
      <c r="Y1771" s="18" t="s">
        <v>52</v>
      </c>
      <c r="Z1771" s="18" t="s">
        <v>52</v>
      </c>
      <c r="AA1771" s="18" t="s">
        <v>52</v>
      </c>
      <c r="AB1771">
        <v>0</v>
      </c>
      <c r="AC1771">
        <v>0</v>
      </c>
      <c r="AD1771">
        <v>0</v>
      </c>
      <c r="AE1771">
        <v>0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10</v>
      </c>
      <c r="AK1771">
        <v>1</v>
      </c>
      <c r="AL1771">
        <v>0</v>
      </c>
      <c r="AM1771">
        <v>0</v>
      </c>
      <c r="AN1771" s="18">
        <v>0</v>
      </c>
      <c r="AO1771" s="18">
        <v>0</v>
      </c>
      <c r="AP1771" s="18" t="s">
        <v>52</v>
      </c>
      <c r="AQ1771" s="18" t="s">
        <v>52</v>
      </c>
      <c r="AR1771" s="29">
        <v>0</v>
      </c>
      <c r="AS1771" s="29">
        <v>0</v>
      </c>
      <c r="AT1771" s="29">
        <v>5</v>
      </c>
      <c r="AU1771" s="24" t="str">
        <f t="shared" si="28"/>
        <v>库存为5</v>
      </c>
      <c r="AV1771" s="31" t="str">
        <f>IFERROR(时间!$B$4+AU1771,"上周无销量")</f>
        <v>上周无销量</v>
      </c>
      <c r="AW1771" s="31"/>
    </row>
    <row r="1772" spans="1:49">
      <c r="A1772" s="16" t="s">
        <v>3008</v>
      </c>
      <c r="B1772" t="s">
        <v>3009</v>
      </c>
      <c r="C1772" t="s">
        <v>3005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5</v>
      </c>
      <c r="J1772" s="26">
        <v>0</v>
      </c>
      <c r="K1772" s="26">
        <v>0</v>
      </c>
      <c r="L1772" s="26">
        <v>0</v>
      </c>
      <c r="M1772">
        <v>5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11</v>
      </c>
      <c r="AK1772">
        <v>1</v>
      </c>
      <c r="AL1772">
        <v>0</v>
      </c>
      <c r="AM1772">
        <v>0</v>
      </c>
      <c r="AN1772" s="18">
        <v>0</v>
      </c>
      <c r="AO1772" s="18">
        <v>0</v>
      </c>
      <c r="AP1772" s="18" t="s">
        <v>52</v>
      </c>
      <c r="AQ1772" s="18" t="s">
        <v>52</v>
      </c>
      <c r="AR1772" s="29">
        <v>0</v>
      </c>
      <c r="AS1772" s="29">
        <v>0</v>
      </c>
      <c r="AT1772" s="29">
        <v>5</v>
      </c>
      <c r="AU1772" s="24" t="str">
        <f t="shared" si="28"/>
        <v>库存为5</v>
      </c>
      <c r="AV1772" s="31" t="str">
        <f>IFERROR(时间!$B$4+AU1772,"上周无销量")</f>
        <v>上周无销量</v>
      </c>
      <c r="AW1772" s="31"/>
    </row>
    <row r="1773" spans="1:49">
      <c r="A1773" s="16" t="s">
        <v>3010</v>
      </c>
      <c r="B1773" t="s">
        <v>3011</v>
      </c>
      <c r="C1773" t="s">
        <v>3005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5</v>
      </c>
      <c r="J1773" s="26">
        <v>0</v>
      </c>
      <c r="K1773" s="26">
        <v>0</v>
      </c>
      <c r="L1773" s="26">
        <v>0</v>
      </c>
      <c r="M1773">
        <v>5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3</v>
      </c>
      <c r="AK1773">
        <v>0</v>
      </c>
      <c r="AL1773">
        <v>0</v>
      </c>
      <c r="AM1773">
        <v>0</v>
      </c>
      <c r="AN1773" s="18">
        <v>0</v>
      </c>
      <c r="AO1773" s="18" t="s">
        <v>52</v>
      </c>
      <c r="AP1773" s="18" t="s">
        <v>52</v>
      </c>
      <c r="AQ1773" s="18" t="s">
        <v>52</v>
      </c>
      <c r="AR1773" s="29">
        <v>0</v>
      </c>
      <c r="AS1773" s="29">
        <v>0</v>
      </c>
      <c r="AT1773" s="29">
        <v>5</v>
      </c>
      <c r="AU1773" s="24" t="str">
        <f t="shared" si="28"/>
        <v>库存为5</v>
      </c>
      <c r="AV1773" s="31" t="str">
        <f>IFERROR(时间!$B$4+AU1773,"上周无销量")</f>
        <v>上周无销量</v>
      </c>
      <c r="AW1773" s="31"/>
    </row>
    <row r="1774" spans="1:49">
      <c r="A1774" s="16" t="s">
        <v>3012</v>
      </c>
      <c r="B1774" t="s">
        <v>3013</v>
      </c>
      <c r="C1774" t="s">
        <v>3005</v>
      </c>
      <c r="D1774" s="24">
        <v>0</v>
      </c>
      <c r="E1774" s="24">
        <v>0</v>
      </c>
      <c r="F1774" s="24">
        <v>0</v>
      </c>
      <c r="G1774" s="24">
        <v>0</v>
      </c>
      <c r="H1774" s="25">
        <v>0</v>
      </c>
      <c r="I1774">
        <v>5</v>
      </c>
      <c r="J1774" s="26">
        <v>0</v>
      </c>
      <c r="K1774" s="26">
        <v>0</v>
      </c>
      <c r="L1774" s="26">
        <v>0</v>
      </c>
      <c r="M1774">
        <v>5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5</v>
      </c>
      <c r="AK1774">
        <v>1</v>
      </c>
      <c r="AL1774">
        <v>0</v>
      </c>
      <c r="AM1774">
        <v>0</v>
      </c>
      <c r="AN1774" s="18">
        <v>0</v>
      </c>
      <c r="AO1774" s="18">
        <v>0</v>
      </c>
      <c r="AP1774" s="18" t="s">
        <v>52</v>
      </c>
      <c r="AQ1774" s="18" t="s">
        <v>52</v>
      </c>
      <c r="AR1774" s="29">
        <v>0</v>
      </c>
      <c r="AS1774" s="29">
        <v>0</v>
      </c>
      <c r="AT1774" s="29">
        <v>5</v>
      </c>
      <c r="AU1774" s="24" t="str">
        <f t="shared" si="28"/>
        <v>库存为5</v>
      </c>
      <c r="AV1774" s="31" t="str">
        <f>IFERROR(时间!$B$4+AU1774,"上周无销量")</f>
        <v>上周无销量</v>
      </c>
      <c r="AW1774" s="31"/>
    </row>
    <row r="1775" spans="1:49">
      <c r="A1775" s="16" t="s">
        <v>3014</v>
      </c>
      <c r="B1775" t="s">
        <v>3015</v>
      </c>
      <c r="C1775" t="s">
        <v>3005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5</v>
      </c>
      <c r="J1775" s="26">
        <v>0</v>
      </c>
      <c r="K1775" s="26">
        <v>0</v>
      </c>
      <c r="L1775" s="26">
        <v>0</v>
      </c>
      <c r="M1775">
        <v>5</v>
      </c>
      <c r="N1775">
        <v>0</v>
      </c>
      <c r="O1775">
        <v>0</v>
      </c>
      <c r="P1775">
        <v>145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 s="18">
        <v>0</v>
      </c>
      <c r="Y1775" s="18" t="s">
        <v>52</v>
      </c>
      <c r="Z1775" s="18" t="s">
        <v>52</v>
      </c>
      <c r="AA1775" s="18" t="s">
        <v>52</v>
      </c>
      <c r="AB1775">
        <v>0</v>
      </c>
      <c r="AC1775">
        <v>0</v>
      </c>
      <c r="AD1775">
        <v>0</v>
      </c>
      <c r="AE1775">
        <v>0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10</v>
      </c>
      <c r="AK1775">
        <v>4</v>
      </c>
      <c r="AL1775">
        <v>0</v>
      </c>
      <c r="AM1775">
        <v>0</v>
      </c>
      <c r="AN1775" s="18">
        <v>0</v>
      </c>
      <c r="AO1775" s="18">
        <v>0</v>
      </c>
      <c r="AP1775" s="18" t="s">
        <v>52</v>
      </c>
      <c r="AQ1775" s="18" t="s">
        <v>52</v>
      </c>
      <c r="AR1775" s="29">
        <v>0</v>
      </c>
      <c r="AS1775" s="29">
        <v>0</v>
      </c>
      <c r="AT1775" s="29">
        <v>5</v>
      </c>
      <c r="AU1775" s="24" t="str">
        <f t="shared" si="28"/>
        <v>库存为5</v>
      </c>
      <c r="AV1775" s="31" t="str">
        <f>IFERROR(时间!$B$4+AU1775,"上周无销量")</f>
        <v>上周无销量</v>
      </c>
      <c r="AW1775" s="31"/>
    </row>
    <row r="1776" spans="1:49">
      <c r="A1776" s="16" t="s">
        <v>3016</v>
      </c>
      <c r="B1776" t="s">
        <v>3017</v>
      </c>
      <c r="C1776" t="s">
        <v>3018</v>
      </c>
      <c r="D1776" s="24">
        <v>2</v>
      </c>
      <c r="E1776" s="24">
        <v>0</v>
      </c>
      <c r="F1776" s="24">
        <v>0</v>
      </c>
      <c r="G1776" s="24">
        <v>0</v>
      </c>
      <c r="H1776" s="25">
        <v>17.99</v>
      </c>
      <c r="I1776">
        <v>1</v>
      </c>
      <c r="J1776" s="26">
        <v>0</v>
      </c>
      <c r="K1776" s="26">
        <v>0</v>
      </c>
      <c r="L1776" s="26">
        <v>0</v>
      </c>
      <c r="M1776">
        <v>1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15</v>
      </c>
      <c r="AK1776">
        <v>0</v>
      </c>
      <c r="AL1776">
        <v>0</v>
      </c>
      <c r="AM1776">
        <v>0</v>
      </c>
      <c r="AN1776" s="18">
        <v>0.133333333333333</v>
      </c>
      <c r="AO1776" s="18" t="s">
        <v>52</v>
      </c>
      <c r="AP1776" s="18" t="s">
        <v>52</v>
      </c>
      <c r="AQ1776" s="18" t="s">
        <v>52</v>
      </c>
      <c r="AR1776" s="29">
        <v>0.285714285714286</v>
      </c>
      <c r="AS1776" s="29">
        <v>17.1428571428571</v>
      </c>
      <c r="AT1776" s="29">
        <v>-16.1428571428571</v>
      </c>
      <c r="AU1776" s="24">
        <f t="shared" si="28"/>
        <v>3</v>
      </c>
      <c r="AV1776" s="31">
        <f>IFERROR(时间!$B$4+AU1776,"上周无销量")</f>
        <v>43321</v>
      </c>
      <c r="AW1776" s="31"/>
    </row>
    <row r="1777" spans="1:49">
      <c r="A1777" s="16" t="s">
        <v>3019</v>
      </c>
      <c r="B1777" t="s">
        <v>3020</v>
      </c>
      <c r="C1777" t="s">
        <v>3018</v>
      </c>
      <c r="D1777" s="24">
        <v>2</v>
      </c>
      <c r="E1777" s="24">
        <v>0</v>
      </c>
      <c r="F1777" s="24">
        <v>0</v>
      </c>
      <c r="G1777" s="24">
        <v>0</v>
      </c>
      <c r="H1777" s="25">
        <v>17.99</v>
      </c>
      <c r="I1777">
        <v>2</v>
      </c>
      <c r="J1777" s="26">
        <v>0</v>
      </c>
      <c r="K1777" s="26">
        <v>0</v>
      </c>
      <c r="L1777" s="26">
        <v>0</v>
      </c>
      <c r="M1777">
        <v>2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13</v>
      </c>
      <c r="AK1777">
        <v>0</v>
      </c>
      <c r="AL1777">
        <v>0</v>
      </c>
      <c r="AM1777">
        <v>0</v>
      </c>
      <c r="AN1777" s="18">
        <v>0.153846153846154</v>
      </c>
      <c r="AO1777" s="18" t="s">
        <v>52</v>
      </c>
      <c r="AP1777" s="18" t="s">
        <v>52</v>
      </c>
      <c r="AQ1777" s="18" t="s">
        <v>52</v>
      </c>
      <c r="AR1777" s="29">
        <v>0.285714285714286</v>
      </c>
      <c r="AS1777" s="29">
        <v>17.1428571428571</v>
      </c>
      <c r="AT1777" s="29">
        <v>-15.1428571428571</v>
      </c>
      <c r="AU1777" s="24">
        <f t="shared" si="28"/>
        <v>7</v>
      </c>
      <c r="AV1777" s="31">
        <f>IFERROR(时间!$B$4+AU1777,"上周无销量")</f>
        <v>43325</v>
      </c>
      <c r="AW1777" s="31"/>
    </row>
    <row r="1778" spans="1:49">
      <c r="A1778" s="16" t="s">
        <v>3021</v>
      </c>
      <c r="B1778" t="s">
        <v>3022</v>
      </c>
      <c r="C1778" t="s">
        <v>3018</v>
      </c>
      <c r="D1778" s="24">
        <v>4</v>
      </c>
      <c r="E1778" s="24">
        <v>0</v>
      </c>
      <c r="F1778" s="24">
        <v>0</v>
      </c>
      <c r="G1778" s="24">
        <v>0</v>
      </c>
      <c r="H1778" s="25">
        <v>17.99</v>
      </c>
      <c r="I1778">
        <v>1</v>
      </c>
      <c r="J1778" s="26">
        <v>0</v>
      </c>
      <c r="K1778" s="26">
        <v>0</v>
      </c>
      <c r="L1778" s="26">
        <v>0</v>
      </c>
      <c r="M1778">
        <v>1</v>
      </c>
      <c r="N1778">
        <v>0</v>
      </c>
      <c r="O1778">
        <v>0</v>
      </c>
      <c r="P1778">
        <v>2857</v>
      </c>
      <c r="Q1778">
        <v>0</v>
      </c>
      <c r="R1778">
        <v>0</v>
      </c>
      <c r="S1778">
        <v>0</v>
      </c>
      <c r="T1778">
        <v>5</v>
      </c>
      <c r="U1778">
        <v>0</v>
      </c>
      <c r="V1778">
        <v>0</v>
      </c>
      <c r="W1778">
        <v>0</v>
      </c>
      <c r="X1778" s="18">
        <v>0.00175008750437522</v>
      </c>
      <c r="Y1778" s="18" t="s">
        <v>52</v>
      </c>
      <c r="Z1778" s="18" t="s">
        <v>52</v>
      </c>
      <c r="AA1778" s="18" t="s">
        <v>52</v>
      </c>
      <c r="AB1778">
        <v>3.82</v>
      </c>
      <c r="AC1778">
        <v>0</v>
      </c>
      <c r="AD1778">
        <v>0</v>
      </c>
      <c r="AE1778">
        <v>0</v>
      </c>
      <c r="AF1778" s="18">
        <v>0.0530850472484714</v>
      </c>
      <c r="AG1778" s="18" t="s">
        <v>52</v>
      </c>
      <c r="AH1778" s="18" t="s">
        <v>52</v>
      </c>
      <c r="AI1778" s="18" t="s">
        <v>52</v>
      </c>
      <c r="AJ1778">
        <v>40</v>
      </c>
      <c r="AK1778">
        <v>7</v>
      </c>
      <c r="AL1778">
        <v>0</v>
      </c>
      <c r="AM1778">
        <v>0</v>
      </c>
      <c r="AN1778" s="18">
        <v>0.1</v>
      </c>
      <c r="AO1778" s="18">
        <v>0</v>
      </c>
      <c r="AP1778" s="18" t="s">
        <v>52</v>
      </c>
      <c r="AQ1778" s="18" t="s">
        <v>52</v>
      </c>
      <c r="AR1778" s="29">
        <v>0.571428571428571</v>
      </c>
      <c r="AS1778" s="29">
        <v>34.2857142857143</v>
      </c>
      <c r="AT1778" s="29">
        <v>-33.2857142857143</v>
      </c>
      <c r="AU1778" s="24">
        <f t="shared" si="28"/>
        <v>1</v>
      </c>
      <c r="AV1778" s="31">
        <f>IFERROR(时间!$B$4+AU1778,"上周无销量")</f>
        <v>43319</v>
      </c>
      <c r="AW1778" s="31"/>
    </row>
    <row r="1779" spans="1:49">
      <c r="A1779" s="16" t="s">
        <v>3023</v>
      </c>
      <c r="B1779" t="s">
        <v>3024</v>
      </c>
      <c r="C1779" t="s">
        <v>3018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5</v>
      </c>
      <c r="J1779" s="26">
        <v>0</v>
      </c>
      <c r="K1779" s="26">
        <v>0</v>
      </c>
      <c r="L1779" s="26">
        <v>0</v>
      </c>
      <c r="M1779">
        <v>5</v>
      </c>
      <c r="N1779">
        <v>0</v>
      </c>
      <c r="O1779">
        <v>0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12</v>
      </c>
      <c r="AK1779">
        <v>0</v>
      </c>
      <c r="AL1779">
        <v>0</v>
      </c>
      <c r="AM1779">
        <v>0</v>
      </c>
      <c r="AN1779" s="18">
        <v>0</v>
      </c>
      <c r="AO1779" s="18" t="s">
        <v>52</v>
      </c>
      <c r="AP1779" s="18" t="s">
        <v>52</v>
      </c>
      <c r="AQ1779" s="18" t="s">
        <v>52</v>
      </c>
      <c r="AR1779" s="29">
        <v>0</v>
      </c>
      <c r="AS1779" s="29">
        <v>0</v>
      </c>
      <c r="AT1779" s="29">
        <v>5</v>
      </c>
      <c r="AU1779" s="24" t="str">
        <f t="shared" si="28"/>
        <v>库存为5</v>
      </c>
      <c r="AV1779" s="31" t="str">
        <f>IFERROR(时间!$B$4+AU1779,"上周无销量")</f>
        <v>上周无销量</v>
      </c>
      <c r="AW1779" s="31"/>
    </row>
    <row r="1780" spans="1:49">
      <c r="A1780" s="16" t="s">
        <v>3025</v>
      </c>
      <c r="B1780" t="s">
        <v>3026</v>
      </c>
      <c r="C1780" t="s">
        <v>3018</v>
      </c>
      <c r="D1780" s="24">
        <v>2</v>
      </c>
      <c r="E1780" s="24">
        <v>0</v>
      </c>
      <c r="F1780" s="24">
        <v>0</v>
      </c>
      <c r="G1780" s="24">
        <v>0</v>
      </c>
      <c r="H1780" s="25">
        <v>17.99</v>
      </c>
      <c r="I1780">
        <v>3</v>
      </c>
      <c r="J1780" s="26">
        <v>0</v>
      </c>
      <c r="K1780" s="26">
        <v>0</v>
      </c>
      <c r="L1780" s="26">
        <v>0</v>
      </c>
      <c r="M1780">
        <v>3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14</v>
      </c>
      <c r="AK1780">
        <v>0</v>
      </c>
      <c r="AL1780">
        <v>0</v>
      </c>
      <c r="AM1780">
        <v>0</v>
      </c>
      <c r="AN1780" s="18">
        <v>0.142857142857143</v>
      </c>
      <c r="AO1780" s="18" t="s">
        <v>52</v>
      </c>
      <c r="AP1780" s="18" t="s">
        <v>52</v>
      </c>
      <c r="AQ1780" s="18" t="s">
        <v>52</v>
      </c>
      <c r="AR1780" s="29">
        <v>0.285714285714286</v>
      </c>
      <c r="AS1780" s="29">
        <v>17.1428571428571</v>
      </c>
      <c r="AT1780" s="29">
        <v>-14.1428571428571</v>
      </c>
      <c r="AU1780" s="24">
        <f t="shared" si="28"/>
        <v>10</v>
      </c>
      <c r="AV1780" s="31">
        <f>IFERROR(时间!$B$4+AU1780,"上周无销量")</f>
        <v>43328</v>
      </c>
      <c r="AW1780" s="31"/>
    </row>
    <row r="1781" spans="1:49">
      <c r="A1781" s="16" t="s">
        <v>3027</v>
      </c>
      <c r="B1781" t="s">
        <v>3028</v>
      </c>
      <c r="C1781" t="s">
        <v>3018</v>
      </c>
      <c r="D1781" s="24">
        <v>2</v>
      </c>
      <c r="E1781" s="24">
        <v>0</v>
      </c>
      <c r="F1781" s="24">
        <v>0</v>
      </c>
      <c r="G1781" s="24">
        <v>0</v>
      </c>
      <c r="H1781" s="25">
        <v>17.99</v>
      </c>
      <c r="I1781">
        <v>2</v>
      </c>
      <c r="J1781" s="26">
        <v>0</v>
      </c>
      <c r="K1781" s="26">
        <v>0</v>
      </c>
      <c r="L1781" s="26">
        <v>0</v>
      </c>
      <c r="M1781">
        <v>2</v>
      </c>
      <c r="N1781">
        <v>0</v>
      </c>
      <c r="O1781">
        <v>0</v>
      </c>
      <c r="P1781">
        <v>718</v>
      </c>
      <c r="Q1781">
        <v>0</v>
      </c>
      <c r="R1781">
        <v>0</v>
      </c>
      <c r="S1781">
        <v>0</v>
      </c>
      <c r="T1781">
        <v>2</v>
      </c>
      <c r="U1781">
        <v>0</v>
      </c>
      <c r="V1781">
        <v>0</v>
      </c>
      <c r="W1781">
        <v>0</v>
      </c>
      <c r="X1781" s="18">
        <v>0.00278551532033426</v>
      </c>
      <c r="Y1781" s="18" t="s">
        <v>52</v>
      </c>
      <c r="Z1781" s="18" t="s">
        <v>52</v>
      </c>
      <c r="AA1781" s="18" t="s">
        <v>52</v>
      </c>
      <c r="AB1781">
        <v>1.96</v>
      </c>
      <c r="AC1781">
        <v>0</v>
      </c>
      <c r="AD1781">
        <v>0</v>
      </c>
      <c r="AE1781">
        <v>0</v>
      </c>
      <c r="AF1781" s="18">
        <v>0.0544747081712062</v>
      </c>
      <c r="AG1781" s="18" t="s">
        <v>52</v>
      </c>
      <c r="AH1781" s="18" t="s">
        <v>52</v>
      </c>
      <c r="AI1781" s="18" t="s">
        <v>52</v>
      </c>
      <c r="AJ1781">
        <v>50</v>
      </c>
      <c r="AK1781">
        <v>3</v>
      </c>
      <c r="AL1781">
        <v>0</v>
      </c>
      <c r="AM1781">
        <v>0</v>
      </c>
      <c r="AN1781" s="18">
        <v>0.04</v>
      </c>
      <c r="AO1781" s="18">
        <v>0</v>
      </c>
      <c r="AP1781" s="18" t="s">
        <v>52</v>
      </c>
      <c r="AQ1781" s="18" t="s">
        <v>52</v>
      </c>
      <c r="AR1781" s="29">
        <v>0.285714285714286</v>
      </c>
      <c r="AS1781" s="29">
        <v>17.1428571428571</v>
      </c>
      <c r="AT1781" s="29">
        <v>-15.1428571428571</v>
      </c>
      <c r="AU1781" s="24">
        <f t="shared" si="28"/>
        <v>7</v>
      </c>
      <c r="AV1781" s="31">
        <f>IFERROR(时间!$B$4+AU1781,"上周无销量")</f>
        <v>43325</v>
      </c>
      <c r="AW1781" s="31"/>
    </row>
    <row r="1782" spans="1:49">
      <c r="A1782" s="16" t="s">
        <v>3029</v>
      </c>
      <c r="B1782" t="s">
        <v>3030</v>
      </c>
      <c r="C1782" t="s">
        <v>3031</v>
      </c>
      <c r="D1782" s="24">
        <v>1</v>
      </c>
      <c r="E1782" s="24">
        <v>0</v>
      </c>
      <c r="F1782" s="24">
        <v>0</v>
      </c>
      <c r="G1782" s="24">
        <v>0</v>
      </c>
      <c r="H1782" s="25">
        <v>16.99</v>
      </c>
      <c r="I1782">
        <v>4</v>
      </c>
      <c r="J1782" s="26">
        <v>0</v>
      </c>
      <c r="K1782" s="26">
        <v>0</v>
      </c>
      <c r="L1782" s="26">
        <v>0</v>
      </c>
      <c r="M1782">
        <v>4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6</v>
      </c>
      <c r="AK1782">
        <v>0</v>
      </c>
      <c r="AL1782">
        <v>0</v>
      </c>
      <c r="AM1782">
        <v>0</v>
      </c>
      <c r="AN1782" s="18">
        <v>0.166666666666667</v>
      </c>
      <c r="AO1782" s="18" t="s">
        <v>52</v>
      </c>
      <c r="AP1782" s="18" t="s">
        <v>52</v>
      </c>
      <c r="AQ1782" s="18" t="s">
        <v>52</v>
      </c>
      <c r="AR1782" s="29">
        <v>0.142857142857143</v>
      </c>
      <c r="AS1782" s="29">
        <v>8.57142857142857</v>
      </c>
      <c r="AT1782" s="29">
        <v>-4.57142857142857</v>
      </c>
      <c r="AU1782" s="24">
        <f t="shared" si="28"/>
        <v>28</v>
      </c>
      <c r="AV1782" s="31">
        <f>IFERROR(时间!$B$4+AU1782,"上周无销量")</f>
        <v>43346</v>
      </c>
      <c r="AW1782" s="31"/>
    </row>
    <row r="1783" spans="1:49">
      <c r="A1783" s="16" t="s">
        <v>3032</v>
      </c>
      <c r="B1783" t="s">
        <v>3033</v>
      </c>
      <c r="C1783" t="s">
        <v>3031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5</v>
      </c>
      <c r="J1783" s="26">
        <v>0</v>
      </c>
      <c r="K1783" s="26">
        <v>0</v>
      </c>
      <c r="L1783" s="26">
        <v>0</v>
      </c>
      <c r="M1783">
        <v>5</v>
      </c>
      <c r="N1783">
        <v>0</v>
      </c>
      <c r="O1783">
        <v>0</v>
      </c>
      <c r="P1783">
        <v>126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 s="18">
        <v>0</v>
      </c>
      <c r="Y1783" s="18" t="s">
        <v>52</v>
      </c>
      <c r="Z1783" s="18" t="s">
        <v>52</v>
      </c>
      <c r="AA1783" s="18" t="s">
        <v>52</v>
      </c>
      <c r="AB1783">
        <v>0</v>
      </c>
      <c r="AC1783">
        <v>0</v>
      </c>
      <c r="AD1783">
        <v>0</v>
      </c>
      <c r="AE1783">
        <v>0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10</v>
      </c>
      <c r="AK1783">
        <v>2</v>
      </c>
      <c r="AL1783">
        <v>0</v>
      </c>
      <c r="AM1783">
        <v>0</v>
      </c>
      <c r="AN1783" s="18">
        <v>0</v>
      </c>
      <c r="AO1783" s="18">
        <v>0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5</v>
      </c>
      <c r="AU1783" s="24" t="str">
        <f t="shared" si="28"/>
        <v>库存为5</v>
      </c>
      <c r="AV1783" s="31" t="str">
        <f>IFERROR(时间!$B$4+AU1783,"上周无销量")</f>
        <v>上周无销量</v>
      </c>
      <c r="AW1783" s="31"/>
    </row>
    <row r="1784" spans="1:49">
      <c r="A1784" s="16" t="s">
        <v>3034</v>
      </c>
      <c r="B1784" t="s">
        <v>3035</v>
      </c>
      <c r="C1784" t="s">
        <v>3031</v>
      </c>
      <c r="D1784" s="24">
        <v>1</v>
      </c>
      <c r="E1784" s="24">
        <v>0</v>
      </c>
      <c r="F1784" s="24">
        <v>0</v>
      </c>
      <c r="G1784" s="24">
        <v>0</v>
      </c>
      <c r="H1784" s="25">
        <v>16.99</v>
      </c>
      <c r="I1784">
        <v>4</v>
      </c>
      <c r="J1784" s="26">
        <v>0</v>
      </c>
      <c r="K1784" s="26">
        <v>0</v>
      </c>
      <c r="L1784" s="26">
        <v>0</v>
      </c>
      <c r="M1784">
        <v>4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13</v>
      </c>
      <c r="AK1784">
        <v>0</v>
      </c>
      <c r="AL1784">
        <v>0</v>
      </c>
      <c r="AM1784">
        <v>0</v>
      </c>
      <c r="AN1784" s="18">
        <v>0.0769230769230769</v>
      </c>
      <c r="AO1784" s="18" t="s">
        <v>52</v>
      </c>
      <c r="AP1784" s="18" t="s">
        <v>52</v>
      </c>
      <c r="AQ1784" s="18" t="s">
        <v>52</v>
      </c>
      <c r="AR1784" s="29">
        <v>0.142857142857143</v>
      </c>
      <c r="AS1784" s="29">
        <v>8.57142857142857</v>
      </c>
      <c r="AT1784" s="29">
        <v>-4.57142857142857</v>
      </c>
      <c r="AU1784" s="24">
        <f t="shared" si="28"/>
        <v>28</v>
      </c>
      <c r="AV1784" s="31">
        <f>IFERROR(时间!$B$4+AU1784,"上周无销量")</f>
        <v>43346</v>
      </c>
      <c r="AW1784" s="31"/>
    </row>
    <row r="1785" spans="1:49">
      <c r="A1785" s="16" t="s">
        <v>3036</v>
      </c>
      <c r="B1785" t="s">
        <v>3037</v>
      </c>
      <c r="C1785" t="s">
        <v>3031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5</v>
      </c>
      <c r="J1785" s="26">
        <v>0</v>
      </c>
      <c r="K1785" s="26">
        <v>0</v>
      </c>
      <c r="L1785" s="26">
        <v>0</v>
      </c>
      <c r="M1785">
        <v>5</v>
      </c>
      <c r="N1785">
        <v>0</v>
      </c>
      <c r="O1785">
        <v>0</v>
      </c>
      <c r="P1785">
        <v>150</v>
      </c>
      <c r="Q1785">
        <v>0</v>
      </c>
      <c r="R1785">
        <v>0</v>
      </c>
      <c r="S1785">
        <v>0</v>
      </c>
      <c r="T1785">
        <v>1</v>
      </c>
      <c r="U1785">
        <v>0</v>
      </c>
      <c r="V1785">
        <v>0</v>
      </c>
      <c r="W1785">
        <v>0</v>
      </c>
      <c r="X1785" s="18">
        <v>0.00666666666666667</v>
      </c>
      <c r="Y1785" s="18" t="s">
        <v>52</v>
      </c>
      <c r="Z1785" s="18" t="s">
        <v>52</v>
      </c>
      <c r="AA1785" s="18" t="s">
        <v>52</v>
      </c>
      <c r="AB1785">
        <v>0.58</v>
      </c>
      <c r="AC1785">
        <v>0</v>
      </c>
      <c r="AD1785">
        <v>0</v>
      </c>
      <c r="AE1785">
        <v>0</v>
      </c>
      <c r="AF1785" s="18" t="s">
        <v>2366</v>
      </c>
      <c r="AG1785" s="18" t="s">
        <v>52</v>
      </c>
      <c r="AH1785" s="18" t="s">
        <v>52</v>
      </c>
      <c r="AI1785" s="18" t="s">
        <v>52</v>
      </c>
      <c r="AJ1785">
        <v>20</v>
      </c>
      <c r="AK1785">
        <v>2</v>
      </c>
      <c r="AL1785">
        <v>0</v>
      </c>
      <c r="AM1785">
        <v>0</v>
      </c>
      <c r="AN1785" s="18">
        <v>0</v>
      </c>
      <c r="AO1785" s="18">
        <v>0</v>
      </c>
      <c r="AP1785" s="18" t="s">
        <v>52</v>
      </c>
      <c r="AQ1785" s="18" t="s">
        <v>52</v>
      </c>
      <c r="AR1785" s="29">
        <v>0</v>
      </c>
      <c r="AS1785" s="29">
        <v>0</v>
      </c>
      <c r="AT1785" s="29">
        <v>5</v>
      </c>
      <c r="AU1785" s="24" t="str">
        <f t="shared" si="28"/>
        <v>库存为5</v>
      </c>
      <c r="AV1785" s="31" t="str">
        <f>IFERROR(时间!$B$4+AU1785,"上周无销量")</f>
        <v>上周无销量</v>
      </c>
      <c r="AW1785" s="31"/>
    </row>
    <row r="1786" spans="1:49">
      <c r="A1786" s="16" t="s">
        <v>3038</v>
      </c>
      <c r="B1786" t="s">
        <v>3039</v>
      </c>
      <c r="C1786" t="s">
        <v>3040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0</v>
      </c>
      <c r="J1786" s="26">
        <v>0</v>
      </c>
      <c r="K1786" s="26">
        <v>0</v>
      </c>
      <c r="L1786" s="26">
        <v>0</v>
      </c>
      <c r="M1786">
        <v>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0</v>
      </c>
      <c r="AK1786">
        <v>0</v>
      </c>
      <c r="AL1786">
        <v>0</v>
      </c>
      <c r="AM1786">
        <v>0</v>
      </c>
      <c r="AN1786" s="18" t="s">
        <v>52</v>
      </c>
      <c r="AO1786" s="18" t="s">
        <v>52</v>
      </c>
      <c r="AP1786" s="18" t="s">
        <v>52</v>
      </c>
      <c r="AQ1786" s="18" t="s">
        <v>52</v>
      </c>
      <c r="AR1786" s="29">
        <v>0</v>
      </c>
      <c r="AS1786" s="29">
        <v>0</v>
      </c>
      <c r="AT1786" s="29">
        <v>0</v>
      </c>
      <c r="AU1786" s="24" t="str">
        <f t="shared" si="28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3041</v>
      </c>
      <c r="B1787" t="s">
        <v>3042</v>
      </c>
      <c r="C1787" t="s">
        <v>3040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>
        <v>0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0</v>
      </c>
      <c r="AK1787">
        <v>0</v>
      </c>
      <c r="AL1787">
        <v>0</v>
      </c>
      <c r="AM1787">
        <v>0</v>
      </c>
      <c r="AN1787" s="18" t="s">
        <v>52</v>
      </c>
      <c r="AO1787" s="18" t="s">
        <v>52</v>
      </c>
      <c r="AP1787" s="18" t="s">
        <v>52</v>
      </c>
      <c r="AQ1787" s="18" t="s">
        <v>52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3043</v>
      </c>
      <c r="B1788" t="s">
        <v>3044</v>
      </c>
      <c r="C1788" t="s">
        <v>3040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0</v>
      </c>
      <c r="AK1788">
        <v>0</v>
      </c>
      <c r="AL1788">
        <v>0</v>
      </c>
      <c r="AM1788">
        <v>0</v>
      </c>
      <c r="AN1788" s="18" t="s">
        <v>52</v>
      </c>
      <c r="AO1788" s="18" t="s">
        <v>52</v>
      </c>
      <c r="AP1788" s="18" t="s">
        <v>52</v>
      </c>
      <c r="AQ1788" s="18" t="s">
        <v>52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3045</v>
      </c>
      <c r="B1789" t="s">
        <v>3046</v>
      </c>
      <c r="C1789" t="s">
        <v>3040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>
        <v>0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0</v>
      </c>
      <c r="AK1789">
        <v>0</v>
      </c>
      <c r="AL1789">
        <v>0</v>
      </c>
      <c r="AM1789">
        <v>0</v>
      </c>
      <c r="AN1789" s="18" t="s">
        <v>52</v>
      </c>
      <c r="AO1789" s="18" t="s">
        <v>52</v>
      </c>
      <c r="AP1789" s="18" t="s">
        <v>52</v>
      </c>
      <c r="AQ1789" s="18" t="s">
        <v>52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3047</v>
      </c>
      <c r="B1790" t="s">
        <v>3048</v>
      </c>
      <c r="C1790" t="s">
        <v>3040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0</v>
      </c>
      <c r="J1790" s="26">
        <v>0</v>
      </c>
      <c r="K1790" s="26">
        <v>0</v>
      </c>
      <c r="L1790" s="26">
        <v>0</v>
      </c>
      <c r="M1790">
        <v>0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0</v>
      </c>
      <c r="AL1790">
        <v>0</v>
      </c>
      <c r="AM1790">
        <v>0</v>
      </c>
      <c r="AN1790" s="18" t="s">
        <v>52</v>
      </c>
      <c r="AO1790" s="18" t="s">
        <v>52</v>
      </c>
      <c r="AP1790" s="18" t="s">
        <v>52</v>
      </c>
      <c r="AQ1790" s="18" t="s">
        <v>52</v>
      </c>
      <c r="AR1790" s="29">
        <v>0</v>
      </c>
      <c r="AS1790" s="29">
        <v>0</v>
      </c>
      <c r="AT1790" s="29">
        <v>0</v>
      </c>
      <c r="AU1790" s="24" t="str">
        <f t="shared" si="28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3049</v>
      </c>
      <c r="B1791" t="s">
        <v>3050</v>
      </c>
      <c r="C1791" t="s">
        <v>3040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>
        <v>0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0</v>
      </c>
      <c r="AL1791">
        <v>0</v>
      </c>
      <c r="AM1791">
        <v>0</v>
      </c>
      <c r="AN1791" s="18" t="s">
        <v>52</v>
      </c>
      <c r="AO1791" s="18" t="s">
        <v>52</v>
      </c>
      <c r="AP1791" s="18" t="s">
        <v>52</v>
      </c>
      <c r="AQ1791" s="18" t="s">
        <v>52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3051</v>
      </c>
      <c r="B1792" t="s">
        <v>3052</v>
      </c>
      <c r="C1792" t="s">
        <v>3053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>
        <v>0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0</v>
      </c>
      <c r="AK1792">
        <v>0</v>
      </c>
      <c r="AL1792">
        <v>0</v>
      </c>
      <c r="AM1792">
        <v>0</v>
      </c>
      <c r="AN1792" s="18" t="s">
        <v>52</v>
      </c>
      <c r="AO1792" s="18" t="s">
        <v>52</v>
      </c>
      <c r="AP1792" s="18" t="s">
        <v>52</v>
      </c>
      <c r="AQ1792" s="18" t="s">
        <v>52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3054</v>
      </c>
      <c r="B1793" t="s">
        <v>3055</v>
      </c>
      <c r="C1793" t="s">
        <v>3053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>
        <v>0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0</v>
      </c>
      <c r="AK1793">
        <v>0</v>
      </c>
      <c r="AL1793">
        <v>0</v>
      </c>
      <c r="AM1793">
        <v>0</v>
      </c>
      <c r="AN1793" s="18" t="s">
        <v>52</v>
      </c>
      <c r="AO1793" s="18" t="s">
        <v>52</v>
      </c>
      <c r="AP1793" s="18" t="s">
        <v>52</v>
      </c>
      <c r="AQ1793" s="18" t="s">
        <v>52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3056</v>
      </c>
      <c r="B1794" t="s">
        <v>3057</v>
      </c>
      <c r="C1794" t="s">
        <v>3053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>
        <v>0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0</v>
      </c>
      <c r="AK1794">
        <v>0</v>
      </c>
      <c r="AL1794">
        <v>0</v>
      </c>
      <c r="AM1794">
        <v>0</v>
      </c>
      <c r="AN1794" s="18" t="s">
        <v>52</v>
      </c>
      <c r="AO1794" s="18" t="s">
        <v>52</v>
      </c>
      <c r="AP1794" s="18" t="s">
        <v>52</v>
      </c>
      <c r="AQ1794" s="18" t="s">
        <v>52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3058</v>
      </c>
      <c r="B1795" t="s">
        <v>3059</v>
      </c>
      <c r="C1795" t="s">
        <v>3053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>
        <v>0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0</v>
      </c>
      <c r="AK1795">
        <v>0</v>
      </c>
      <c r="AL1795">
        <v>0</v>
      </c>
      <c r="AM1795">
        <v>0</v>
      </c>
      <c r="AN1795" s="18" t="s">
        <v>52</v>
      </c>
      <c r="AO1795" s="18" t="s">
        <v>52</v>
      </c>
      <c r="AP1795" s="18" t="s">
        <v>52</v>
      </c>
      <c r="AQ1795" s="18" t="s">
        <v>52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3060</v>
      </c>
      <c r="B1796" t="s">
        <v>3061</v>
      </c>
      <c r="C1796" t="s">
        <v>3053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0</v>
      </c>
      <c r="J1796" s="26">
        <v>0</v>
      </c>
      <c r="K1796" s="26">
        <v>0</v>
      </c>
      <c r="L1796" s="26">
        <v>0</v>
      </c>
      <c r="M1796">
        <v>0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0</v>
      </c>
      <c r="AK1796">
        <v>0</v>
      </c>
      <c r="AL1796">
        <v>0</v>
      </c>
      <c r="AM1796">
        <v>0</v>
      </c>
      <c r="AN1796" s="18" t="s">
        <v>52</v>
      </c>
      <c r="AO1796" s="18" t="s">
        <v>52</v>
      </c>
      <c r="AP1796" s="18" t="s">
        <v>52</v>
      </c>
      <c r="AQ1796" s="18" t="s">
        <v>52</v>
      </c>
      <c r="AR1796" s="29">
        <v>0</v>
      </c>
      <c r="AS1796" s="29">
        <v>0</v>
      </c>
      <c r="AT1796" s="29">
        <v>0</v>
      </c>
      <c r="AU1796" s="24" t="str">
        <f t="shared" si="28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3062</v>
      </c>
      <c r="B1797" t="s">
        <v>3063</v>
      </c>
      <c r="C1797" t="s">
        <v>3053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>
        <v>0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0</v>
      </c>
      <c r="AK1797">
        <v>0</v>
      </c>
      <c r="AL1797">
        <v>0</v>
      </c>
      <c r="AM1797">
        <v>0</v>
      </c>
      <c r="AN1797" s="18" t="s">
        <v>52</v>
      </c>
      <c r="AO1797" s="18" t="s">
        <v>52</v>
      </c>
      <c r="AP1797" s="18" t="s">
        <v>52</v>
      </c>
      <c r="AQ1797" s="18" t="s">
        <v>52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3064</v>
      </c>
      <c r="B1798" t="s">
        <v>3065</v>
      </c>
      <c r="C1798" t="s">
        <v>3066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>
        <v>0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0</v>
      </c>
      <c r="AK1798">
        <v>0</v>
      </c>
      <c r="AL1798">
        <v>0</v>
      </c>
      <c r="AM1798">
        <v>0</v>
      </c>
      <c r="AN1798" s="18" t="s">
        <v>52</v>
      </c>
      <c r="AO1798" s="18" t="s">
        <v>52</v>
      </c>
      <c r="AP1798" s="18" t="s">
        <v>52</v>
      </c>
      <c r="AQ1798" s="18" t="s">
        <v>52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3067</v>
      </c>
      <c r="B1799" t="s">
        <v>3068</v>
      </c>
      <c r="C1799" t="s">
        <v>3066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>
        <v>0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0</v>
      </c>
      <c r="AK1799">
        <v>0</v>
      </c>
      <c r="AL1799">
        <v>0</v>
      </c>
      <c r="AM1799">
        <v>0</v>
      </c>
      <c r="AN1799" s="18" t="s">
        <v>52</v>
      </c>
      <c r="AO1799" s="18" t="s">
        <v>52</v>
      </c>
      <c r="AP1799" s="18" t="s">
        <v>52</v>
      </c>
      <c r="AQ1799" s="18" t="s">
        <v>52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3069</v>
      </c>
      <c r="B1800" t="s">
        <v>3070</v>
      </c>
      <c r="C1800" t="s">
        <v>3066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0</v>
      </c>
      <c r="J1800" s="26">
        <v>0</v>
      </c>
      <c r="K1800" s="26">
        <v>0</v>
      </c>
      <c r="L1800" s="26">
        <v>0</v>
      </c>
      <c r="M1800">
        <v>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0</v>
      </c>
      <c r="AK1800">
        <v>0</v>
      </c>
      <c r="AL1800">
        <v>0</v>
      </c>
      <c r="AM1800">
        <v>0</v>
      </c>
      <c r="AN1800" s="18" t="s">
        <v>52</v>
      </c>
      <c r="AO1800" s="18" t="s">
        <v>52</v>
      </c>
      <c r="AP1800" s="18" t="s">
        <v>52</v>
      </c>
      <c r="AQ1800" s="18" t="s">
        <v>52</v>
      </c>
      <c r="AR1800" s="29">
        <v>0</v>
      </c>
      <c r="AS1800" s="29">
        <v>0</v>
      </c>
      <c r="AT1800" s="29">
        <v>0</v>
      </c>
      <c r="AU1800" s="24" t="str">
        <f t="shared" si="29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3071</v>
      </c>
      <c r="B1801" t="s">
        <v>3072</v>
      </c>
      <c r="C1801" t="s">
        <v>3066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>
        <v>0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0</v>
      </c>
      <c r="AK1801">
        <v>0</v>
      </c>
      <c r="AL1801">
        <v>0</v>
      </c>
      <c r="AM1801">
        <v>0</v>
      </c>
      <c r="AN1801" s="18" t="s">
        <v>52</v>
      </c>
      <c r="AO1801" s="18" t="s">
        <v>52</v>
      </c>
      <c r="AP1801" s="18" t="s">
        <v>52</v>
      </c>
      <c r="AQ1801" s="18" t="s">
        <v>52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3073</v>
      </c>
      <c r="B1802" t="s">
        <v>3074</v>
      </c>
      <c r="C1802" t="s">
        <v>3066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0</v>
      </c>
      <c r="J1802" s="26">
        <v>0</v>
      </c>
      <c r="K1802" s="26">
        <v>0</v>
      </c>
      <c r="L1802" s="26">
        <v>0</v>
      </c>
      <c r="M1802">
        <v>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0</v>
      </c>
      <c r="AK1802">
        <v>0</v>
      </c>
      <c r="AL1802">
        <v>0</v>
      </c>
      <c r="AM1802">
        <v>0</v>
      </c>
      <c r="AN1802" s="18" t="s">
        <v>52</v>
      </c>
      <c r="AO1802" s="18" t="s">
        <v>52</v>
      </c>
      <c r="AP1802" s="18" t="s">
        <v>52</v>
      </c>
      <c r="AQ1802" s="18" t="s">
        <v>52</v>
      </c>
      <c r="AR1802" s="29">
        <v>0</v>
      </c>
      <c r="AS1802" s="29">
        <v>0</v>
      </c>
      <c r="AT1802" s="29">
        <v>0</v>
      </c>
      <c r="AU1802" s="24" t="str">
        <f t="shared" si="29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3075</v>
      </c>
      <c r="B1803" t="s">
        <v>3076</v>
      </c>
      <c r="C1803" t="s">
        <v>3066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0</v>
      </c>
      <c r="AK1803">
        <v>0</v>
      </c>
      <c r="AL1803">
        <v>0</v>
      </c>
      <c r="AM1803">
        <v>0</v>
      </c>
      <c r="AN1803" s="18" t="s">
        <v>52</v>
      </c>
      <c r="AO1803" s="18" t="s">
        <v>52</v>
      </c>
      <c r="AP1803" s="18" t="s">
        <v>52</v>
      </c>
      <c r="AQ1803" s="18" t="s">
        <v>52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3077</v>
      </c>
      <c r="B1804" t="s">
        <v>3078</v>
      </c>
      <c r="C1804" t="s">
        <v>3079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26</v>
      </c>
      <c r="J1804" s="26">
        <v>0</v>
      </c>
      <c r="K1804" s="26">
        <v>0</v>
      </c>
      <c r="L1804" s="26">
        <v>0</v>
      </c>
      <c r="M1804">
        <v>26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7</v>
      </c>
      <c r="AK1804">
        <v>10</v>
      </c>
      <c r="AL1804">
        <v>5</v>
      </c>
      <c r="AM1804">
        <v>7</v>
      </c>
      <c r="AN1804" s="18">
        <v>0</v>
      </c>
      <c r="AO1804" s="18">
        <v>0</v>
      </c>
      <c r="AP1804" s="18">
        <v>0</v>
      </c>
      <c r="AQ1804" s="18">
        <v>0</v>
      </c>
      <c r="AR1804" s="29">
        <v>0</v>
      </c>
      <c r="AS1804" s="29">
        <v>0</v>
      </c>
      <c r="AT1804" s="29">
        <v>26</v>
      </c>
      <c r="AU1804" s="24" t="str">
        <f t="shared" si="29"/>
        <v>库存为26</v>
      </c>
      <c r="AV1804" s="31" t="str">
        <f>IFERROR(时间!$B$4+AU1804,"上周无销量")</f>
        <v>上周无销量</v>
      </c>
      <c r="AW1804" s="31"/>
    </row>
    <row r="1805" spans="1:49">
      <c r="A1805" s="16" t="s">
        <v>3080</v>
      </c>
      <c r="B1805" t="s">
        <v>3081</v>
      </c>
      <c r="C1805" t="s">
        <v>3082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30</v>
      </c>
      <c r="K1805" s="26">
        <v>0</v>
      </c>
      <c r="L1805" s="26">
        <v>0</v>
      </c>
      <c r="M1805">
        <v>30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2</v>
      </c>
      <c r="AK1805">
        <v>0</v>
      </c>
      <c r="AL1805">
        <v>4</v>
      </c>
      <c r="AM1805">
        <v>6</v>
      </c>
      <c r="AN1805" s="18">
        <v>0</v>
      </c>
      <c r="AO1805" s="18" t="s">
        <v>52</v>
      </c>
      <c r="AP1805" s="18">
        <v>0</v>
      </c>
      <c r="AQ1805" s="18">
        <v>0</v>
      </c>
      <c r="AR1805" s="29">
        <v>0</v>
      </c>
      <c r="AS1805" s="29">
        <v>0</v>
      </c>
      <c r="AT1805" s="29">
        <v>30</v>
      </c>
      <c r="AU1805" s="24" t="str">
        <f t="shared" si="29"/>
        <v>库存为30</v>
      </c>
      <c r="AV1805" s="31" t="str">
        <f>IFERROR(时间!$B$4+AU1805,"上周无销量")</f>
        <v>上周无销量</v>
      </c>
      <c r="AW1805" s="31"/>
    </row>
    <row r="1806" spans="1:49">
      <c r="A1806" s="16" t="s">
        <v>3083</v>
      </c>
      <c r="B1806" t="s">
        <v>3084</v>
      </c>
      <c r="C1806" t="s">
        <v>3082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0</v>
      </c>
      <c r="J1806" s="26">
        <v>20</v>
      </c>
      <c r="K1806" s="26">
        <v>0</v>
      </c>
      <c r="L1806" s="26">
        <v>0</v>
      </c>
      <c r="M1806">
        <v>20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3</v>
      </c>
      <c r="AK1806">
        <v>5</v>
      </c>
      <c r="AL1806">
        <v>4</v>
      </c>
      <c r="AM1806">
        <v>12</v>
      </c>
      <c r="AN1806" s="18">
        <v>0</v>
      </c>
      <c r="AO1806" s="18">
        <v>0</v>
      </c>
      <c r="AP1806" s="18">
        <v>0</v>
      </c>
      <c r="AQ1806" s="18">
        <v>0</v>
      </c>
      <c r="AR1806" s="29">
        <v>0</v>
      </c>
      <c r="AS1806" s="29">
        <v>0</v>
      </c>
      <c r="AT1806" s="29">
        <v>20</v>
      </c>
      <c r="AU1806" s="24" t="str">
        <f t="shared" si="29"/>
        <v>库存为20</v>
      </c>
      <c r="AV1806" s="31" t="str">
        <f>IFERROR(时间!$B$4+AU1806,"上周无销量")</f>
        <v>上周无销量</v>
      </c>
      <c r="AW1806" s="31"/>
    </row>
    <row r="1807" spans="1:49">
      <c r="A1807" s="16" t="s">
        <v>3085</v>
      </c>
      <c r="B1807" t="s">
        <v>3086</v>
      </c>
      <c r="C1807" t="s">
        <v>3082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15</v>
      </c>
      <c r="K1807" s="26">
        <v>0</v>
      </c>
      <c r="L1807" s="26">
        <v>0</v>
      </c>
      <c r="M1807">
        <v>15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0</v>
      </c>
      <c r="AN1807" s="18" t="s">
        <v>52</v>
      </c>
      <c r="AO1807" s="18" t="s">
        <v>52</v>
      </c>
      <c r="AP1807" s="18" t="s">
        <v>52</v>
      </c>
      <c r="AQ1807" s="18" t="s">
        <v>52</v>
      </c>
      <c r="AR1807" s="29">
        <v>0</v>
      </c>
      <c r="AS1807" s="29">
        <v>0</v>
      </c>
      <c r="AT1807" s="29">
        <v>15</v>
      </c>
      <c r="AU1807" s="24" t="str">
        <f t="shared" si="29"/>
        <v>库存为15</v>
      </c>
      <c r="AV1807" s="31" t="str">
        <f>IFERROR(时间!$B$4+AU1807,"上周无销量")</f>
        <v>上周无销量</v>
      </c>
      <c r="AW1807" s="31"/>
    </row>
    <row r="1808" spans="1:49">
      <c r="A1808" s="16" t="s">
        <v>3087</v>
      </c>
      <c r="B1808" t="s">
        <v>3088</v>
      </c>
      <c r="C1808" t="s">
        <v>3082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25</v>
      </c>
      <c r="K1808" s="26">
        <v>0</v>
      </c>
      <c r="L1808" s="26">
        <v>0</v>
      </c>
      <c r="M1808">
        <v>25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0</v>
      </c>
      <c r="AK1808">
        <v>0</v>
      </c>
      <c r="AL1808">
        <v>0</v>
      </c>
      <c r="AM1808">
        <v>0</v>
      </c>
      <c r="AN1808" s="18" t="s">
        <v>52</v>
      </c>
      <c r="AO1808" s="18" t="s">
        <v>52</v>
      </c>
      <c r="AP1808" s="18" t="s">
        <v>52</v>
      </c>
      <c r="AQ1808" s="18" t="s">
        <v>52</v>
      </c>
      <c r="AR1808" s="29">
        <v>0</v>
      </c>
      <c r="AS1808" s="29">
        <v>0</v>
      </c>
      <c r="AT1808" s="29">
        <v>25</v>
      </c>
      <c r="AU1808" s="24" t="str">
        <f t="shared" si="29"/>
        <v>库存为25</v>
      </c>
      <c r="AV1808" s="31" t="str">
        <f>IFERROR(时间!$B$4+AU1808,"上周无销量")</f>
        <v>上周无销量</v>
      </c>
      <c r="AW1808" s="31"/>
    </row>
    <row r="1809" spans="1:49">
      <c r="A1809" s="16" t="s">
        <v>3089</v>
      </c>
      <c r="B1809" t="s">
        <v>3090</v>
      </c>
      <c r="C1809" t="s">
        <v>3082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0</v>
      </c>
      <c r="J1809" s="26">
        <v>0</v>
      </c>
      <c r="K1809" s="26">
        <v>0</v>
      </c>
      <c r="L1809" s="26">
        <v>0</v>
      </c>
      <c r="M1809">
        <v>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0</v>
      </c>
      <c r="AK1809">
        <v>0</v>
      </c>
      <c r="AL1809">
        <v>0</v>
      </c>
      <c r="AM1809">
        <v>0</v>
      </c>
      <c r="AN1809" s="18" t="s">
        <v>52</v>
      </c>
      <c r="AO1809" s="18" t="s">
        <v>52</v>
      </c>
      <c r="AP1809" s="18" t="s">
        <v>52</v>
      </c>
      <c r="AQ1809" s="18" t="s">
        <v>52</v>
      </c>
      <c r="AR1809" s="29">
        <v>0</v>
      </c>
      <c r="AS1809" s="29">
        <v>0</v>
      </c>
      <c r="AT1809" s="29">
        <v>0</v>
      </c>
      <c r="AU1809" s="24" t="str">
        <f t="shared" si="29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3091</v>
      </c>
      <c r="B1810" t="s">
        <v>3092</v>
      </c>
      <c r="C1810" t="s">
        <v>3082</v>
      </c>
      <c r="D1810" s="24">
        <v>0</v>
      </c>
      <c r="E1810" s="24">
        <v>0</v>
      </c>
      <c r="F1810" s="24">
        <v>0</v>
      </c>
      <c r="G1810" s="24">
        <v>0</v>
      </c>
      <c r="H1810" s="25">
        <v>0</v>
      </c>
      <c r="I1810">
        <v>0</v>
      </c>
      <c r="J1810" s="26">
        <v>0</v>
      </c>
      <c r="K1810" s="26">
        <v>0</v>
      </c>
      <c r="L1810" s="26">
        <v>0</v>
      </c>
      <c r="M1810">
        <v>0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1</v>
      </c>
      <c r="AK1810">
        <v>6</v>
      </c>
      <c r="AL1810">
        <v>3</v>
      </c>
      <c r="AM1810">
        <v>10</v>
      </c>
      <c r="AN1810" s="18">
        <v>0</v>
      </c>
      <c r="AO1810" s="18">
        <v>0</v>
      </c>
      <c r="AP1810" s="18">
        <v>0</v>
      </c>
      <c r="AQ1810" s="18">
        <v>0</v>
      </c>
      <c r="AR1810" s="29">
        <v>0</v>
      </c>
      <c r="AS1810" s="29">
        <v>0</v>
      </c>
      <c r="AT1810" s="29">
        <v>0</v>
      </c>
      <c r="AU1810" s="24" t="str">
        <f t="shared" si="29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3093</v>
      </c>
      <c r="B1811" t="s">
        <v>3094</v>
      </c>
      <c r="C1811" t="s">
        <v>3082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>
        <v>0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7</v>
      </c>
      <c r="AK1811">
        <v>4</v>
      </c>
      <c r="AL1811">
        <v>7</v>
      </c>
      <c r="AM1811">
        <v>5</v>
      </c>
      <c r="AN1811" s="18">
        <v>0</v>
      </c>
      <c r="AO1811" s="18">
        <v>0</v>
      </c>
      <c r="AP1811" s="18">
        <v>0</v>
      </c>
      <c r="AQ1811" s="18">
        <v>0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3095</v>
      </c>
      <c r="B1812" t="s">
        <v>3096</v>
      </c>
      <c r="C1812" t="s">
        <v>3082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>
        <v>0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1</v>
      </c>
      <c r="AK1812">
        <v>3</v>
      </c>
      <c r="AL1812">
        <v>4</v>
      </c>
      <c r="AM1812">
        <v>2</v>
      </c>
      <c r="AN1812" s="18">
        <v>0</v>
      </c>
      <c r="AO1812" s="18">
        <v>0</v>
      </c>
      <c r="AP1812" s="18">
        <v>0</v>
      </c>
      <c r="AQ1812" s="18">
        <v>0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3097</v>
      </c>
      <c r="B1813" t="s">
        <v>3098</v>
      </c>
      <c r="C1813" t="s">
        <v>3082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>
        <v>0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2</v>
      </c>
      <c r="AK1813">
        <v>4</v>
      </c>
      <c r="AL1813">
        <v>4</v>
      </c>
      <c r="AM1813">
        <v>2</v>
      </c>
      <c r="AN1813" s="18">
        <v>0</v>
      </c>
      <c r="AO1813" s="18">
        <v>0</v>
      </c>
      <c r="AP1813" s="18">
        <v>0</v>
      </c>
      <c r="AQ1813" s="18">
        <v>0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3099</v>
      </c>
      <c r="B1814" t="s">
        <v>3100</v>
      </c>
      <c r="C1814" t="s">
        <v>3082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>
        <v>0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2</v>
      </c>
      <c r="AK1814">
        <v>7</v>
      </c>
      <c r="AL1814">
        <v>5</v>
      </c>
      <c r="AM1814">
        <v>7</v>
      </c>
      <c r="AN1814" s="18">
        <v>0</v>
      </c>
      <c r="AO1814" s="18">
        <v>0</v>
      </c>
      <c r="AP1814" s="18">
        <v>0</v>
      </c>
      <c r="AQ1814" s="18">
        <v>0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3101</v>
      </c>
      <c r="B1815" t="s">
        <v>3102</v>
      </c>
      <c r="C1815" t="s">
        <v>3082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>
        <v>0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1</v>
      </c>
      <c r="AK1815">
        <v>4</v>
      </c>
      <c r="AL1815">
        <v>4</v>
      </c>
      <c r="AM1815">
        <v>3</v>
      </c>
      <c r="AN1815" s="18">
        <v>0</v>
      </c>
      <c r="AO1815" s="18">
        <v>0</v>
      </c>
      <c r="AP1815" s="18">
        <v>0</v>
      </c>
      <c r="AQ1815" s="18">
        <v>0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3103</v>
      </c>
      <c r="B1816" t="s">
        <v>3104</v>
      </c>
      <c r="C1816" t="s">
        <v>3082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>
        <v>0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1</v>
      </c>
      <c r="AK1816">
        <v>3</v>
      </c>
      <c r="AL1816">
        <v>4</v>
      </c>
      <c r="AM1816">
        <v>4</v>
      </c>
      <c r="AN1816" s="18">
        <v>0</v>
      </c>
      <c r="AO1816" s="18">
        <v>0</v>
      </c>
      <c r="AP1816" s="18">
        <v>0</v>
      </c>
      <c r="AQ1816" s="18">
        <v>0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3105</v>
      </c>
      <c r="B1817" t="s">
        <v>3106</v>
      </c>
      <c r="C1817" t="s">
        <v>3082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10</v>
      </c>
      <c r="J1817" s="26">
        <v>20</v>
      </c>
      <c r="K1817" s="26">
        <v>0</v>
      </c>
      <c r="L1817" s="26">
        <v>0</v>
      </c>
      <c r="M1817">
        <v>30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4</v>
      </c>
      <c r="AK1817">
        <v>2</v>
      </c>
      <c r="AL1817">
        <v>5</v>
      </c>
      <c r="AM1817">
        <v>9</v>
      </c>
      <c r="AN1817" s="18">
        <v>0</v>
      </c>
      <c r="AO1817" s="18">
        <v>0</v>
      </c>
      <c r="AP1817" s="18">
        <v>0</v>
      </c>
      <c r="AQ1817" s="18">
        <v>0</v>
      </c>
      <c r="AR1817" s="29">
        <v>0</v>
      </c>
      <c r="AS1817" s="29">
        <v>0</v>
      </c>
      <c r="AT1817" s="29">
        <v>30</v>
      </c>
      <c r="AU1817" s="24" t="str">
        <f t="shared" si="29"/>
        <v>库存为30</v>
      </c>
      <c r="AV1817" s="31" t="str">
        <f>IFERROR(时间!$B$4+AU1817,"上周无销量")</f>
        <v>上周无销量</v>
      </c>
      <c r="AW1817" s="31"/>
    </row>
    <row r="1818" spans="1:49">
      <c r="A1818" s="16" t="s">
        <v>3107</v>
      </c>
      <c r="B1818" t="s">
        <v>3108</v>
      </c>
      <c r="C1818" t="s">
        <v>3082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20</v>
      </c>
      <c r="K1818" s="26">
        <v>0</v>
      </c>
      <c r="L1818" s="26">
        <v>0</v>
      </c>
      <c r="M1818">
        <v>20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1</v>
      </c>
      <c r="AK1818">
        <v>4</v>
      </c>
      <c r="AL1818">
        <v>8</v>
      </c>
      <c r="AM1818">
        <v>3</v>
      </c>
      <c r="AN1818" s="18">
        <v>0</v>
      </c>
      <c r="AO1818" s="18">
        <v>0</v>
      </c>
      <c r="AP1818" s="18">
        <v>0</v>
      </c>
      <c r="AQ1818" s="18">
        <v>0</v>
      </c>
      <c r="AR1818" s="29">
        <v>0</v>
      </c>
      <c r="AS1818" s="29">
        <v>0</v>
      </c>
      <c r="AT1818" s="29">
        <v>20</v>
      </c>
      <c r="AU1818" s="24" t="str">
        <f t="shared" si="29"/>
        <v>库存为20</v>
      </c>
      <c r="AV1818" s="31" t="str">
        <f>IFERROR(时间!$B$4+AU1818,"上周无销量")</f>
        <v>上周无销量</v>
      </c>
      <c r="AW1818" s="31"/>
    </row>
    <row r="1819" spans="1:49">
      <c r="A1819" s="16" t="s">
        <v>3109</v>
      </c>
      <c r="B1819" t="s">
        <v>3110</v>
      </c>
      <c r="C1819" t="s">
        <v>3082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15</v>
      </c>
      <c r="K1819" s="26">
        <v>0</v>
      </c>
      <c r="L1819" s="26">
        <v>0</v>
      </c>
      <c r="M1819">
        <v>15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0</v>
      </c>
      <c r="AK1819">
        <v>0</v>
      </c>
      <c r="AL1819">
        <v>0</v>
      </c>
      <c r="AM1819">
        <v>0</v>
      </c>
      <c r="AN1819" s="18" t="s">
        <v>52</v>
      </c>
      <c r="AO1819" s="18" t="s">
        <v>52</v>
      </c>
      <c r="AP1819" s="18" t="s">
        <v>52</v>
      </c>
      <c r="AQ1819" s="18" t="s">
        <v>52</v>
      </c>
      <c r="AR1819" s="29">
        <v>0</v>
      </c>
      <c r="AS1819" s="29">
        <v>0</v>
      </c>
      <c r="AT1819" s="29">
        <v>15</v>
      </c>
      <c r="AU1819" s="24" t="str">
        <f t="shared" si="29"/>
        <v>库存为15</v>
      </c>
      <c r="AV1819" s="31" t="str">
        <f>IFERROR(时间!$B$4+AU1819,"上周无销量")</f>
        <v>上周无销量</v>
      </c>
      <c r="AW1819" s="31"/>
    </row>
    <row r="1820" spans="1:49">
      <c r="A1820" s="16" t="s">
        <v>3111</v>
      </c>
      <c r="B1820" t="s">
        <v>3112</v>
      </c>
      <c r="C1820" t="s">
        <v>3082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20</v>
      </c>
      <c r="K1820" s="26">
        <v>0</v>
      </c>
      <c r="L1820" s="26">
        <v>0</v>
      </c>
      <c r="M1820">
        <v>20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5</v>
      </c>
      <c r="AK1820">
        <v>7</v>
      </c>
      <c r="AL1820">
        <v>16</v>
      </c>
      <c r="AM1820">
        <v>16</v>
      </c>
      <c r="AN1820" s="18">
        <v>0</v>
      </c>
      <c r="AO1820" s="18">
        <v>0</v>
      </c>
      <c r="AP1820" s="18">
        <v>0</v>
      </c>
      <c r="AQ1820" s="18">
        <v>0</v>
      </c>
      <c r="AR1820" s="29">
        <v>0</v>
      </c>
      <c r="AS1820" s="29">
        <v>0</v>
      </c>
      <c r="AT1820" s="29">
        <v>20</v>
      </c>
      <c r="AU1820" s="24" t="str">
        <f t="shared" si="29"/>
        <v>库存为20</v>
      </c>
      <c r="AV1820" s="31" t="str">
        <f>IFERROR(时间!$B$4+AU1820,"上周无销量")</f>
        <v>上周无销量</v>
      </c>
      <c r="AW1820" s="31"/>
    </row>
    <row r="1821" spans="1:49">
      <c r="A1821" s="16" t="s">
        <v>3113</v>
      </c>
      <c r="B1821" t="s">
        <v>3114</v>
      </c>
      <c r="C1821" t="s">
        <v>3082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25</v>
      </c>
      <c r="K1821" s="26">
        <v>0</v>
      </c>
      <c r="L1821" s="26">
        <v>0</v>
      </c>
      <c r="M1821">
        <v>25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3</v>
      </c>
      <c r="AK1821">
        <v>1</v>
      </c>
      <c r="AL1821">
        <v>6</v>
      </c>
      <c r="AM1821">
        <v>3</v>
      </c>
      <c r="AN1821" s="18">
        <v>0</v>
      </c>
      <c r="AO1821" s="18">
        <v>0</v>
      </c>
      <c r="AP1821" s="18">
        <v>0</v>
      </c>
      <c r="AQ1821" s="18">
        <v>0</v>
      </c>
      <c r="AR1821" s="29">
        <v>0</v>
      </c>
      <c r="AS1821" s="29">
        <v>0</v>
      </c>
      <c r="AT1821" s="29">
        <v>25</v>
      </c>
      <c r="AU1821" s="24" t="str">
        <f t="shared" si="29"/>
        <v>库存为25</v>
      </c>
      <c r="AV1821" s="31" t="str">
        <f>IFERROR(时间!$B$4+AU1821,"上周无销量")</f>
        <v>上周无销量</v>
      </c>
      <c r="AW1821" s="31"/>
    </row>
    <row r="1822" spans="1:49">
      <c r="A1822" s="16" t="s">
        <v>3115</v>
      </c>
      <c r="B1822" t="s">
        <v>3116</v>
      </c>
      <c r="C1822" t="s">
        <v>3082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15</v>
      </c>
      <c r="K1822" s="26">
        <v>0</v>
      </c>
      <c r="L1822" s="26">
        <v>0</v>
      </c>
      <c r="M1822">
        <v>15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3</v>
      </c>
      <c r="AK1822">
        <v>3</v>
      </c>
      <c r="AL1822">
        <v>3</v>
      </c>
      <c r="AM1822">
        <v>2</v>
      </c>
      <c r="AN1822" s="18">
        <v>0</v>
      </c>
      <c r="AO1822" s="18">
        <v>0</v>
      </c>
      <c r="AP1822" s="18">
        <v>0</v>
      </c>
      <c r="AQ1822" s="18">
        <v>0</v>
      </c>
      <c r="AR1822" s="29">
        <v>0</v>
      </c>
      <c r="AS1822" s="29">
        <v>0</v>
      </c>
      <c r="AT1822" s="29">
        <v>15</v>
      </c>
      <c r="AU1822" s="24" t="str">
        <f t="shared" si="29"/>
        <v>库存为15</v>
      </c>
      <c r="AV1822" s="31" t="str">
        <f>IFERROR(时间!$B$4+AU1822,"上周无销量")</f>
        <v>上周无销量</v>
      </c>
      <c r="AW1822" s="31"/>
    </row>
    <row r="1823" spans="1:48">
      <c r="A1823" s="16" t="s">
        <v>3117</v>
      </c>
      <c r="B1823" t="s">
        <v>3118</v>
      </c>
      <c r="C1823" t="s">
        <v>3082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10</v>
      </c>
      <c r="K1823" s="26">
        <v>0</v>
      </c>
      <c r="L1823" s="26">
        <v>0</v>
      </c>
      <c r="M1823">
        <v>10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10</v>
      </c>
      <c r="AU1823" s="24" t="str">
        <f t="shared" si="29"/>
        <v>库存为10</v>
      </c>
      <c r="AV1823" s="31" t="str">
        <f>IFERROR(时间!$B$4+AU1823,"上周无销量")</f>
        <v>上周无销量</v>
      </c>
    </row>
    <row r="1824" spans="1:49">
      <c r="A1824" s="16" t="s">
        <v>3119</v>
      </c>
      <c r="B1824" t="s">
        <v>3120</v>
      </c>
      <c r="C1824" t="s">
        <v>3082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20</v>
      </c>
      <c r="K1824" s="26">
        <v>0</v>
      </c>
      <c r="L1824" s="26">
        <v>0</v>
      </c>
      <c r="M1824">
        <v>20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0</v>
      </c>
      <c r="AK1824">
        <v>0</v>
      </c>
      <c r="AL1824">
        <v>7</v>
      </c>
      <c r="AM1824">
        <v>2</v>
      </c>
      <c r="AN1824" s="18" t="s">
        <v>52</v>
      </c>
      <c r="AO1824" s="18" t="s">
        <v>52</v>
      </c>
      <c r="AP1824" s="18">
        <v>0</v>
      </c>
      <c r="AQ1824" s="18">
        <v>0</v>
      </c>
      <c r="AR1824" s="29">
        <v>0</v>
      </c>
      <c r="AS1824" s="29">
        <v>0</v>
      </c>
      <c r="AT1824" s="29">
        <v>20</v>
      </c>
      <c r="AU1824" s="24" t="str">
        <f t="shared" si="29"/>
        <v>库存为20</v>
      </c>
      <c r="AV1824" s="31" t="str">
        <f>IFERROR(时间!$B$4+AU1824,"上周无销量")</f>
        <v>上周无销量</v>
      </c>
      <c r="AW1824" s="31"/>
    </row>
    <row r="1825" spans="1:48">
      <c r="A1825" s="16" t="s">
        <v>3121</v>
      </c>
      <c r="B1825" t="s">
        <v>3122</v>
      </c>
      <c r="C1825" t="s">
        <v>3082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10</v>
      </c>
      <c r="K1825" s="26">
        <v>0</v>
      </c>
      <c r="L1825" s="26">
        <v>0</v>
      </c>
      <c r="M1825">
        <v>10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5</v>
      </c>
      <c r="AK1825">
        <v>9</v>
      </c>
      <c r="AL1825">
        <v>4</v>
      </c>
      <c r="AM1825">
        <v>6</v>
      </c>
      <c r="AN1825" s="18">
        <v>0</v>
      </c>
      <c r="AO1825" s="18">
        <v>0</v>
      </c>
      <c r="AP1825" s="18">
        <v>0</v>
      </c>
      <c r="AQ1825" s="18">
        <v>0</v>
      </c>
      <c r="AR1825" s="29">
        <v>0</v>
      </c>
      <c r="AS1825" s="29">
        <v>0</v>
      </c>
      <c r="AT1825" s="29">
        <v>10</v>
      </c>
      <c r="AU1825" s="24" t="str">
        <f t="shared" si="29"/>
        <v>库存为10</v>
      </c>
      <c r="AV1825" s="31" t="str">
        <f>IFERROR(时间!$B$4+AU1825,"上周无销量")</f>
        <v>上周无销量</v>
      </c>
    </row>
    <row r="1826" spans="1:49">
      <c r="A1826" s="16" t="s">
        <v>3123</v>
      </c>
      <c r="B1826" t="s">
        <v>3124</v>
      </c>
      <c r="C1826" t="s">
        <v>3082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10</v>
      </c>
      <c r="K1826" s="26">
        <v>0</v>
      </c>
      <c r="L1826" s="26">
        <v>0</v>
      </c>
      <c r="M1826">
        <v>10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2</v>
      </c>
      <c r="AK1826">
        <v>1</v>
      </c>
      <c r="AL1826">
        <v>6</v>
      </c>
      <c r="AM1826">
        <v>2</v>
      </c>
      <c r="AN1826" s="18">
        <v>0</v>
      </c>
      <c r="AO1826" s="18">
        <v>0</v>
      </c>
      <c r="AP1826" s="18">
        <v>0</v>
      </c>
      <c r="AQ1826" s="18">
        <v>0</v>
      </c>
      <c r="AR1826" s="29">
        <v>0</v>
      </c>
      <c r="AS1826" s="29">
        <v>0</v>
      </c>
      <c r="AT1826" s="29">
        <v>10</v>
      </c>
      <c r="AU1826" s="24" t="str">
        <f t="shared" si="29"/>
        <v>库存为10</v>
      </c>
      <c r="AV1826" s="31" t="str">
        <f>IFERROR(时间!$B$4+AU1826,"上周无销量")</f>
        <v>上周无销量</v>
      </c>
      <c r="AW1826" s="31"/>
    </row>
    <row r="1827" spans="1:48">
      <c r="A1827" s="16" t="s">
        <v>3125</v>
      </c>
      <c r="B1827" t="s">
        <v>3126</v>
      </c>
      <c r="C1827" t="s">
        <v>3082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5</v>
      </c>
      <c r="AK1827">
        <v>1</v>
      </c>
      <c r="AL1827">
        <v>2</v>
      </c>
      <c r="AM1827">
        <v>5</v>
      </c>
      <c r="AN1827" s="18">
        <v>0</v>
      </c>
      <c r="AO1827" s="18">
        <v>0</v>
      </c>
      <c r="AP1827" s="18">
        <v>0</v>
      </c>
      <c r="AQ1827" s="18">
        <v>0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3127</v>
      </c>
      <c r="B1828" t="s">
        <v>3128</v>
      </c>
      <c r="C1828" t="s">
        <v>3082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5</v>
      </c>
      <c r="AK1828">
        <v>2</v>
      </c>
      <c r="AL1828">
        <v>5</v>
      </c>
      <c r="AM1828">
        <v>4</v>
      </c>
      <c r="AN1828" s="18">
        <v>0</v>
      </c>
      <c r="AO1828" s="18">
        <v>0</v>
      </c>
      <c r="AP1828" s="18">
        <v>0</v>
      </c>
      <c r="AQ1828" s="18">
        <v>0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3129</v>
      </c>
      <c r="B1829" t="s">
        <v>3130</v>
      </c>
      <c r="C1829" t="s">
        <v>3082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30</v>
      </c>
      <c r="K1829" s="26">
        <v>0</v>
      </c>
      <c r="L1829" s="26">
        <v>0</v>
      </c>
      <c r="M1829">
        <v>30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0</v>
      </c>
      <c r="AK1829">
        <v>3</v>
      </c>
      <c r="AL1829">
        <v>7</v>
      </c>
      <c r="AM1829">
        <v>2</v>
      </c>
      <c r="AN1829" s="18" t="s">
        <v>52</v>
      </c>
      <c r="AO1829" s="18">
        <v>0</v>
      </c>
      <c r="AP1829" s="18">
        <v>0</v>
      </c>
      <c r="AQ1829" s="18">
        <v>0</v>
      </c>
      <c r="AR1829" s="29">
        <v>0</v>
      </c>
      <c r="AS1829" s="29">
        <v>0</v>
      </c>
      <c r="AT1829" s="29">
        <v>30</v>
      </c>
      <c r="AU1829" s="24" t="str">
        <f t="shared" si="29"/>
        <v>库存为30</v>
      </c>
      <c r="AV1829" s="31" t="str">
        <f>IFERROR(时间!$B$4+AU1829,"上周无销量")</f>
        <v>上周无销量</v>
      </c>
      <c r="AW1829" s="31"/>
    </row>
    <row r="1830" spans="1:49">
      <c r="A1830" s="16" t="s">
        <v>3131</v>
      </c>
      <c r="B1830" t="s">
        <v>3132</v>
      </c>
      <c r="C1830" t="s">
        <v>3082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20</v>
      </c>
      <c r="K1830" s="26">
        <v>0</v>
      </c>
      <c r="L1830" s="26">
        <v>0</v>
      </c>
      <c r="M1830">
        <v>20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4</v>
      </c>
      <c r="AK1830">
        <v>6</v>
      </c>
      <c r="AL1830">
        <v>4</v>
      </c>
      <c r="AM1830">
        <v>9</v>
      </c>
      <c r="AN1830" s="18">
        <v>0</v>
      </c>
      <c r="AO1830" s="18">
        <v>0</v>
      </c>
      <c r="AP1830" s="18">
        <v>0</v>
      </c>
      <c r="AQ1830" s="18">
        <v>0</v>
      </c>
      <c r="AR1830" s="29">
        <v>0</v>
      </c>
      <c r="AS1830" s="29">
        <v>0</v>
      </c>
      <c r="AT1830" s="29">
        <v>20</v>
      </c>
      <c r="AU1830" s="24" t="str">
        <f t="shared" si="29"/>
        <v>库存为20</v>
      </c>
      <c r="AV1830" s="31" t="str">
        <f>IFERROR(时间!$B$4+AU1830,"上周无销量")</f>
        <v>上周无销量</v>
      </c>
      <c r="AW1830" s="31"/>
    </row>
    <row r="1831" spans="1:49">
      <c r="A1831" s="16" t="s">
        <v>3133</v>
      </c>
      <c r="B1831" t="s">
        <v>3134</v>
      </c>
      <c r="C1831" t="s">
        <v>3082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20</v>
      </c>
      <c r="K1831" s="26">
        <v>0</v>
      </c>
      <c r="L1831" s="26">
        <v>0</v>
      </c>
      <c r="M1831">
        <v>20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0</v>
      </c>
      <c r="AK1831">
        <v>0</v>
      </c>
      <c r="AL1831">
        <v>0</v>
      </c>
      <c r="AM1831">
        <v>0</v>
      </c>
      <c r="AN1831" s="18" t="s">
        <v>52</v>
      </c>
      <c r="AO1831" s="18" t="s">
        <v>52</v>
      </c>
      <c r="AP1831" s="18" t="s">
        <v>52</v>
      </c>
      <c r="AQ1831" s="18" t="s">
        <v>52</v>
      </c>
      <c r="AR1831" s="29">
        <v>0</v>
      </c>
      <c r="AS1831" s="29">
        <v>0</v>
      </c>
      <c r="AT1831" s="29">
        <v>20</v>
      </c>
      <c r="AU1831" s="24" t="str">
        <f t="shared" si="29"/>
        <v>库存为20</v>
      </c>
      <c r="AV1831" s="31" t="str">
        <f>IFERROR(时间!$B$4+AU1831,"上周无销量")</f>
        <v>上周无销量</v>
      </c>
      <c r="AW1831" s="31"/>
    </row>
    <row r="1832" spans="1:49">
      <c r="A1832" s="16" t="s">
        <v>3135</v>
      </c>
      <c r="B1832" t="s">
        <v>3136</v>
      </c>
      <c r="C1832" t="s">
        <v>3082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30</v>
      </c>
      <c r="K1832" s="26">
        <v>0</v>
      </c>
      <c r="L1832" s="26">
        <v>0</v>
      </c>
      <c r="M1832">
        <v>30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0</v>
      </c>
      <c r="AK1832">
        <v>0</v>
      </c>
      <c r="AL1832">
        <v>0</v>
      </c>
      <c r="AM1832">
        <v>0</v>
      </c>
      <c r="AN1832" s="18" t="s">
        <v>52</v>
      </c>
      <c r="AO1832" s="18" t="s">
        <v>52</v>
      </c>
      <c r="AP1832" s="18" t="s">
        <v>52</v>
      </c>
      <c r="AQ1832" s="18" t="s">
        <v>52</v>
      </c>
      <c r="AR1832" s="29">
        <v>0</v>
      </c>
      <c r="AS1832" s="29">
        <v>0</v>
      </c>
      <c r="AT1832" s="29">
        <v>30</v>
      </c>
      <c r="AU1832" s="24" t="str">
        <f t="shared" si="29"/>
        <v>库存为30</v>
      </c>
      <c r="AV1832" s="31" t="str">
        <f>IFERROR(时间!$B$4+AU1832,"上周无销量")</f>
        <v>上周无销量</v>
      </c>
      <c r="AW1832" s="31"/>
    </row>
    <row r="1833" spans="1:49">
      <c r="A1833" s="16" t="s">
        <v>3137</v>
      </c>
      <c r="B1833" t="s">
        <v>3138</v>
      </c>
      <c r="C1833" t="s">
        <v>3082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15</v>
      </c>
      <c r="K1833" s="26">
        <v>0</v>
      </c>
      <c r="L1833" s="26">
        <v>0</v>
      </c>
      <c r="M1833">
        <v>15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1</v>
      </c>
      <c r="AL1833">
        <v>3</v>
      </c>
      <c r="AM1833">
        <v>2</v>
      </c>
      <c r="AN1833" s="18" t="s">
        <v>52</v>
      </c>
      <c r="AO1833" s="18">
        <v>0</v>
      </c>
      <c r="AP1833" s="18">
        <v>0</v>
      </c>
      <c r="AQ1833" s="18">
        <v>0</v>
      </c>
      <c r="AR1833" s="29">
        <v>0</v>
      </c>
      <c r="AS1833" s="29">
        <v>0</v>
      </c>
      <c r="AT1833" s="29">
        <v>15</v>
      </c>
      <c r="AU1833" s="24" t="str">
        <f t="shared" si="29"/>
        <v>库存为15</v>
      </c>
      <c r="AV1833" s="31" t="str">
        <f>IFERROR(时间!$B$4+AU1833,"上周无销量")</f>
        <v>上周无销量</v>
      </c>
      <c r="AW1833" s="31"/>
    </row>
    <row r="1834" spans="1:49">
      <c r="A1834" s="16" t="s">
        <v>3139</v>
      </c>
      <c r="B1834" t="s">
        <v>3140</v>
      </c>
      <c r="C1834" t="s">
        <v>3082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1</v>
      </c>
      <c r="AK1834">
        <v>6</v>
      </c>
      <c r="AL1834">
        <v>3</v>
      </c>
      <c r="AM1834">
        <v>3</v>
      </c>
      <c r="AN1834" s="18">
        <v>0</v>
      </c>
      <c r="AO1834" s="18">
        <v>0</v>
      </c>
      <c r="AP1834" s="18">
        <v>0</v>
      </c>
      <c r="AQ1834" s="18">
        <v>0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3141</v>
      </c>
      <c r="B1835" t="s">
        <v>3142</v>
      </c>
      <c r="C1835" t="s">
        <v>3082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>
        <v>0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6</v>
      </c>
      <c r="AK1835">
        <v>6</v>
      </c>
      <c r="AL1835">
        <v>3</v>
      </c>
      <c r="AM1835">
        <v>9</v>
      </c>
      <c r="AN1835" s="18">
        <v>0</v>
      </c>
      <c r="AO1835" s="18">
        <v>0</v>
      </c>
      <c r="AP1835" s="18">
        <v>0</v>
      </c>
      <c r="AQ1835" s="18">
        <v>0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3143</v>
      </c>
      <c r="B1836" t="s">
        <v>3144</v>
      </c>
      <c r="C1836" t="s">
        <v>3082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15</v>
      </c>
      <c r="K1836" s="26">
        <v>0</v>
      </c>
      <c r="L1836" s="26">
        <v>0</v>
      </c>
      <c r="M1836">
        <v>15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4</v>
      </c>
      <c r="AK1836">
        <v>2</v>
      </c>
      <c r="AL1836">
        <v>2</v>
      </c>
      <c r="AM1836">
        <v>1</v>
      </c>
      <c r="AN1836" s="18">
        <v>0</v>
      </c>
      <c r="AO1836" s="18">
        <v>0</v>
      </c>
      <c r="AP1836" s="18">
        <v>0</v>
      </c>
      <c r="AQ1836" s="18">
        <v>0</v>
      </c>
      <c r="AR1836" s="29">
        <v>0</v>
      </c>
      <c r="AS1836" s="29">
        <v>0</v>
      </c>
      <c r="AT1836" s="29">
        <v>15</v>
      </c>
      <c r="AU1836" s="24" t="str">
        <f t="shared" si="29"/>
        <v>库存为15</v>
      </c>
      <c r="AV1836" s="31" t="str">
        <f>IFERROR(时间!$B$4+AU1836,"上周无销量")</f>
        <v>上周无销量</v>
      </c>
      <c r="AW1836" s="31"/>
    </row>
    <row r="1837" spans="1:49">
      <c r="A1837" s="16" t="s">
        <v>3145</v>
      </c>
      <c r="B1837" t="s">
        <v>3146</v>
      </c>
      <c r="C1837" t="s">
        <v>3082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30</v>
      </c>
      <c r="K1837" s="26">
        <v>0</v>
      </c>
      <c r="L1837" s="26">
        <v>0</v>
      </c>
      <c r="M1837">
        <v>30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0</v>
      </c>
      <c r="AK1837">
        <v>0</v>
      </c>
      <c r="AL1837">
        <v>0</v>
      </c>
      <c r="AM1837">
        <v>0</v>
      </c>
      <c r="AN1837" s="18" t="s">
        <v>52</v>
      </c>
      <c r="AO1837" s="18" t="s">
        <v>52</v>
      </c>
      <c r="AP1837" s="18" t="s">
        <v>52</v>
      </c>
      <c r="AQ1837" s="18" t="s">
        <v>52</v>
      </c>
      <c r="AR1837" s="29">
        <v>0</v>
      </c>
      <c r="AS1837" s="29">
        <v>0</v>
      </c>
      <c r="AT1837" s="29">
        <v>30</v>
      </c>
      <c r="AU1837" s="24" t="str">
        <f t="shared" si="29"/>
        <v>库存为30</v>
      </c>
      <c r="AV1837" s="31" t="str">
        <f>IFERROR(时间!$B$4+AU1837,"上周无销量")</f>
        <v>上周无销量</v>
      </c>
      <c r="AW1837" s="31"/>
    </row>
    <row r="1838" spans="1:49">
      <c r="A1838" s="16" t="s">
        <v>3147</v>
      </c>
      <c r="B1838" t="s">
        <v>3148</v>
      </c>
      <c r="C1838" t="s">
        <v>3082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20</v>
      </c>
      <c r="K1838" s="26">
        <v>0</v>
      </c>
      <c r="L1838" s="26">
        <v>0</v>
      </c>
      <c r="M1838">
        <v>20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11</v>
      </c>
      <c r="AK1838">
        <v>4</v>
      </c>
      <c r="AL1838">
        <v>3</v>
      </c>
      <c r="AM1838">
        <v>6</v>
      </c>
      <c r="AN1838" s="18">
        <v>0</v>
      </c>
      <c r="AO1838" s="18">
        <v>0</v>
      </c>
      <c r="AP1838" s="18">
        <v>0</v>
      </c>
      <c r="AQ1838" s="18">
        <v>0</v>
      </c>
      <c r="AR1838" s="29">
        <v>0</v>
      </c>
      <c r="AS1838" s="29">
        <v>0</v>
      </c>
      <c r="AT1838" s="29">
        <v>20</v>
      </c>
      <c r="AU1838" s="24" t="str">
        <f t="shared" si="29"/>
        <v>库存为20</v>
      </c>
      <c r="AV1838" s="31" t="str">
        <f>IFERROR(时间!$B$4+AU1838,"上周无销量")</f>
        <v>上周无销量</v>
      </c>
      <c r="AW1838" s="31"/>
    </row>
    <row r="1839" spans="1:49">
      <c r="A1839" s="16" t="s">
        <v>3149</v>
      </c>
      <c r="B1839" t="s">
        <v>3150</v>
      </c>
      <c r="C1839" t="s">
        <v>3082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15</v>
      </c>
      <c r="K1839" s="26">
        <v>0</v>
      </c>
      <c r="L1839" s="26">
        <v>0</v>
      </c>
      <c r="M1839">
        <v>15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0</v>
      </c>
      <c r="AK1839">
        <v>0</v>
      </c>
      <c r="AL1839">
        <v>0</v>
      </c>
      <c r="AM1839">
        <v>0</v>
      </c>
      <c r="AN1839" s="18" t="s">
        <v>52</v>
      </c>
      <c r="AO1839" s="18" t="s">
        <v>52</v>
      </c>
      <c r="AP1839" s="18" t="s">
        <v>52</v>
      </c>
      <c r="AQ1839" s="18" t="s">
        <v>52</v>
      </c>
      <c r="AR1839" s="29">
        <v>0</v>
      </c>
      <c r="AS1839" s="29">
        <v>0</v>
      </c>
      <c r="AT1839" s="29">
        <v>15</v>
      </c>
      <c r="AU1839" s="24" t="str">
        <f t="shared" si="29"/>
        <v>库存为15</v>
      </c>
      <c r="AV1839" s="31" t="str">
        <f>IFERROR(时间!$B$4+AU1839,"上周无销量")</f>
        <v>上周无销量</v>
      </c>
      <c r="AW1839" s="31"/>
    </row>
    <row r="1840" spans="1:49">
      <c r="A1840" s="16" t="s">
        <v>3151</v>
      </c>
      <c r="B1840" t="s">
        <v>3152</v>
      </c>
      <c r="C1840" t="s">
        <v>3082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15</v>
      </c>
      <c r="K1840" s="26">
        <v>0</v>
      </c>
      <c r="L1840" s="26">
        <v>0</v>
      </c>
      <c r="M1840">
        <v>15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0</v>
      </c>
      <c r="AK1840">
        <v>5</v>
      </c>
      <c r="AL1840">
        <v>6</v>
      </c>
      <c r="AM1840">
        <v>4</v>
      </c>
      <c r="AN1840" s="18" t="s">
        <v>52</v>
      </c>
      <c r="AO1840" s="18">
        <v>0</v>
      </c>
      <c r="AP1840" s="18">
        <v>0</v>
      </c>
      <c r="AQ1840" s="18">
        <v>0</v>
      </c>
      <c r="AR1840" s="29">
        <v>0</v>
      </c>
      <c r="AS1840" s="29">
        <v>0</v>
      </c>
      <c r="AT1840" s="29">
        <v>15</v>
      </c>
      <c r="AU1840" s="24" t="str">
        <f t="shared" si="29"/>
        <v>库存为15</v>
      </c>
      <c r="AV1840" s="31" t="str">
        <f>IFERROR(时间!$B$4+AU1840,"上周无销量")</f>
        <v>上周无销量</v>
      </c>
      <c r="AW1840" s="31"/>
    </row>
    <row r="1841" spans="1:49">
      <c r="A1841" s="16" t="s">
        <v>3153</v>
      </c>
      <c r="B1841" t="s">
        <v>3154</v>
      </c>
      <c r="C1841" t="s">
        <v>3082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20</v>
      </c>
      <c r="K1841" s="26">
        <v>0</v>
      </c>
      <c r="L1841" s="26">
        <v>0</v>
      </c>
      <c r="M1841">
        <v>20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2</v>
      </c>
      <c r="AK1841">
        <v>3</v>
      </c>
      <c r="AL1841">
        <v>5</v>
      </c>
      <c r="AM1841">
        <v>1</v>
      </c>
      <c r="AN1841" s="18">
        <v>0</v>
      </c>
      <c r="AO1841" s="18">
        <v>0</v>
      </c>
      <c r="AP1841" s="18">
        <v>0</v>
      </c>
      <c r="AQ1841" s="18">
        <v>0</v>
      </c>
      <c r="AR1841" s="29">
        <v>0</v>
      </c>
      <c r="AS1841" s="29">
        <v>0</v>
      </c>
      <c r="AT1841" s="29">
        <v>20</v>
      </c>
      <c r="AU1841" s="24" t="str">
        <f t="shared" si="29"/>
        <v>库存为20</v>
      </c>
      <c r="AV1841" s="31" t="str">
        <f>IFERROR(时间!$B$4+AU1841,"上周无销量")</f>
        <v>上周无销量</v>
      </c>
      <c r="AW1841" s="31"/>
    </row>
    <row r="1842" spans="1:49">
      <c r="A1842" s="16" t="s">
        <v>3155</v>
      </c>
      <c r="B1842" t="s">
        <v>3156</v>
      </c>
      <c r="C1842" t="s">
        <v>3082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15</v>
      </c>
      <c r="K1842" s="26">
        <v>0</v>
      </c>
      <c r="L1842" s="26">
        <v>0</v>
      </c>
      <c r="M1842">
        <v>15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5</v>
      </c>
      <c r="AK1842">
        <v>6</v>
      </c>
      <c r="AL1842">
        <v>6</v>
      </c>
      <c r="AM1842">
        <v>6</v>
      </c>
      <c r="AN1842" s="18">
        <v>0</v>
      </c>
      <c r="AO1842" s="18">
        <v>0</v>
      </c>
      <c r="AP1842" s="18">
        <v>0</v>
      </c>
      <c r="AQ1842" s="18">
        <v>0</v>
      </c>
      <c r="AR1842" s="29">
        <v>0</v>
      </c>
      <c r="AS1842" s="29">
        <v>0</v>
      </c>
      <c r="AT1842" s="29">
        <v>15</v>
      </c>
      <c r="AU1842" s="24" t="str">
        <f t="shared" si="29"/>
        <v>库存为15</v>
      </c>
      <c r="AV1842" s="31" t="str">
        <f>IFERROR(时间!$B$4+AU1842,"上周无销量")</f>
        <v>上周无销量</v>
      </c>
      <c r="AW1842" s="31"/>
    </row>
    <row r="1843" spans="1:49">
      <c r="A1843" s="16" t="s">
        <v>3157</v>
      </c>
      <c r="B1843" t="s">
        <v>3158</v>
      </c>
      <c r="C1843" t="s">
        <v>3082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10</v>
      </c>
      <c r="K1843" s="26">
        <v>0</v>
      </c>
      <c r="L1843" s="26">
        <v>0</v>
      </c>
      <c r="M1843">
        <v>10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0</v>
      </c>
      <c r="AK1843">
        <v>0</v>
      </c>
      <c r="AL1843">
        <v>0</v>
      </c>
      <c r="AM1843">
        <v>0</v>
      </c>
      <c r="AN1843" s="18" t="s">
        <v>52</v>
      </c>
      <c r="AO1843" s="18" t="s">
        <v>52</v>
      </c>
      <c r="AP1843" s="18" t="s">
        <v>52</v>
      </c>
      <c r="AQ1843" s="18" t="s">
        <v>52</v>
      </c>
      <c r="AR1843" s="29">
        <v>0</v>
      </c>
      <c r="AS1843" s="29">
        <v>0</v>
      </c>
      <c r="AT1843" s="29">
        <v>10</v>
      </c>
      <c r="AU1843" s="24" t="str">
        <f t="shared" si="29"/>
        <v>库存为10</v>
      </c>
      <c r="AV1843" s="31" t="str">
        <f>IFERROR(时间!$B$4+AU1843,"上周无销量")</f>
        <v>上周无销量</v>
      </c>
      <c r="AW1843" s="31"/>
    </row>
    <row r="1844" spans="1:49">
      <c r="A1844" s="16" t="s">
        <v>3159</v>
      </c>
      <c r="B1844" t="s">
        <v>3160</v>
      </c>
      <c r="C1844" t="s">
        <v>3082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15</v>
      </c>
      <c r="K1844" s="26">
        <v>0</v>
      </c>
      <c r="L1844" s="26">
        <v>0</v>
      </c>
      <c r="M1844">
        <v>15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1</v>
      </c>
      <c r="AK1844">
        <v>2</v>
      </c>
      <c r="AL1844">
        <v>4</v>
      </c>
      <c r="AM1844">
        <v>0</v>
      </c>
      <c r="AN1844" s="18">
        <v>0</v>
      </c>
      <c r="AO1844" s="18">
        <v>0</v>
      </c>
      <c r="AP1844" s="18">
        <v>0</v>
      </c>
      <c r="AQ1844" s="18" t="s">
        <v>52</v>
      </c>
      <c r="AR1844" s="29">
        <v>0</v>
      </c>
      <c r="AS1844" s="29">
        <v>0</v>
      </c>
      <c r="AT1844" s="29">
        <v>15</v>
      </c>
      <c r="AU1844" s="24" t="str">
        <f t="shared" si="29"/>
        <v>库存为15</v>
      </c>
      <c r="AV1844" s="31" t="str">
        <f>IFERROR(时间!$B$4+AU1844,"上周无销量")</f>
        <v>上周无销量</v>
      </c>
      <c r="AW1844" s="31"/>
    </row>
    <row r="1845" spans="1:49">
      <c r="A1845" s="16" t="s">
        <v>3161</v>
      </c>
      <c r="B1845" t="s">
        <v>3162</v>
      </c>
      <c r="C1845" t="s">
        <v>3082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15</v>
      </c>
      <c r="K1845" s="26">
        <v>0</v>
      </c>
      <c r="L1845" s="26">
        <v>0</v>
      </c>
      <c r="M1845">
        <v>15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2</v>
      </c>
      <c r="AK1845">
        <v>5</v>
      </c>
      <c r="AL1845">
        <v>5</v>
      </c>
      <c r="AM1845">
        <v>3</v>
      </c>
      <c r="AN1845" s="18">
        <v>0</v>
      </c>
      <c r="AO1845" s="18">
        <v>0</v>
      </c>
      <c r="AP1845" s="18">
        <v>0</v>
      </c>
      <c r="AQ1845" s="18">
        <v>0</v>
      </c>
      <c r="AR1845" s="29">
        <v>0</v>
      </c>
      <c r="AS1845" s="29">
        <v>0</v>
      </c>
      <c r="AT1845" s="29">
        <v>15</v>
      </c>
      <c r="AU1845" s="24" t="str">
        <f t="shared" si="29"/>
        <v>库存为15</v>
      </c>
      <c r="AV1845" s="31" t="str">
        <f>IFERROR(时间!$B$4+AU1845,"上周无销量")</f>
        <v>上周无销量</v>
      </c>
      <c r="AW1845" s="31"/>
    </row>
    <row r="1846" spans="1:49">
      <c r="A1846" s="16" t="s">
        <v>3163</v>
      </c>
      <c r="B1846" t="s">
        <v>3164</v>
      </c>
      <c r="C1846" t="s">
        <v>3082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5</v>
      </c>
      <c r="K1846" s="26">
        <v>0</v>
      </c>
      <c r="L1846" s="26">
        <v>0</v>
      </c>
      <c r="M1846">
        <v>5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4</v>
      </c>
      <c r="AK1846">
        <v>6</v>
      </c>
      <c r="AL1846">
        <v>10</v>
      </c>
      <c r="AM1846">
        <v>3</v>
      </c>
      <c r="AN1846" s="18">
        <v>0</v>
      </c>
      <c r="AO1846" s="18">
        <v>0</v>
      </c>
      <c r="AP1846" s="18">
        <v>0</v>
      </c>
      <c r="AQ1846" s="18">
        <v>0</v>
      </c>
      <c r="AR1846" s="29">
        <v>0</v>
      </c>
      <c r="AS1846" s="29">
        <v>0</v>
      </c>
      <c r="AT1846" s="29">
        <v>5</v>
      </c>
      <c r="AU1846" s="24" t="str">
        <f t="shared" si="29"/>
        <v>库存为5</v>
      </c>
      <c r="AV1846" s="31" t="str">
        <f>IFERROR(时间!$B$4+AU1846,"上周无销量")</f>
        <v>上周无销量</v>
      </c>
      <c r="AW1846" s="31"/>
    </row>
    <row r="1847" spans="1:49">
      <c r="A1847" s="16" t="s">
        <v>3165</v>
      </c>
      <c r="B1847" t="s">
        <v>3166</v>
      </c>
      <c r="C1847" t="s">
        <v>3082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5</v>
      </c>
      <c r="K1847" s="26">
        <v>0</v>
      </c>
      <c r="L1847" s="26">
        <v>0</v>
      </c>
      <c r="M1847">
        <v>5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13</v>
      </c>
      <c r="AK1847">
        <v>5</v>
      </c>
      <c r="AL1847">
        <v>15</v>
      </c>
      <c r="AM1847">
        <v>13</v>
      </c>
      <c r="AN1847" s="18">
        <v>0</v>
      </c>
      <c r="AO1847" s="18">
        <v>0</v>
      </c>
      <c r="AP1847" s="18">
        <v>0</v>
      </c>
      <c r="AQ1847" s="18">
        <v>0</v>
      </c>
      <c r="AR1847" s="29">
        <v>0</v>
      </c>
      <c r="AS1847" s="29">
        <v>0</v>
      </c>
      <c r="AT1847" s="29">
        <v>5</v>
      </c>
      <c r="AU1847" s="24" t="str">
        <f t="shared" si="29"/>
        <v>库存为5</v>
      </c>
      <c r="AV1847" s="31" t="str">
        <f>IFERROR(时间!$B$4+AU1847,"上周无销量")</f>
        <v>上周无销量</v>
      </c>
      <c r="AW1847" s="31"/>
    </row>
    <row r="1848" spans="1:49">
      <c r="A1848" s="16" t="s">
        <v>3167</v>
      </c>
      <c r="B1848" t="s">
        <v>3168</v>
      </c>
      <c r="C1848" t="s">
        <v>3082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15</v>
      </c>
      <c r="K1848" s="26">
        <v>0</v>
      </c>
      <c r="L1848" s="26">
        <v>0</v>
      </c>
      <c r="M1848">
        <v>15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3</v>
      </c>
      <c r="AK1848">
        <v>8</v>
      </c>
      <c r="AL1848">
        <v>6</v>
      </c>
      <c r="AM1848">
        <v>4</v>
      </c>
      <c r="AN1848" s="18">
        <v>0</v>
      </c>
      <c r="AO1848" s="18">
        <v>0</v>
      </c>
      <c r="AP1848" s="18">
        <v>0</v>
      </c>
      <c r="AQ1848" s="18">
        <v>0</v>
      </c>
      <c r="AR1848" s="29">
        <v>0</v>
      </c>
      <c r="AS1848" s="29">
        <v>0</v>
      </c>
      <c r="AT1848" s="29">
        <v>15</v>
      </c>
      <c r="AU1848" s="24" t="str">
        <f t="shared" si="29"/>
        <v>库存为15</v>
      </c>
      <c r="AV1848" s="31" t="str">
        <f>IFERROR(时间!$B$4+AU1848,"上周无销量")</f>
        <v>上周无销量</v>
      </c>
      <c r="AW1848" s="31"/>
    </row>
    <row r="1849" spans="1:49">
      <c r="A1849" s="16" t="s">
        <v>3169</v>
      </c>
      <c r="B1849" t="s">
        <v>3170</v>
      </c>
      <c r="C1849" t="s">
        <v>3082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10</v>
      </c>
      <c r="K1849" s="26">
        <v>0</v>
      </c>
      <c r="L1849" s="26">
        <v>0</v>
      </c>
      <c r="M1849">
        <v>10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2</v>
      </c>
      <c r="AK1849">
        <v>4</v>
      </c>
      <c r="AL1849">
        <v>5</v>
      </c>
      <c r="AM1849">
        <v>3</v>
      </c>
      <c r="AN1849" s="18">
        <v>0</v>
      </c>
      <c r="AO1849" s="18">
        <v>0</v>
      </c>
      <c r="AP1849" s="18">
        <v>0</v>
      </c>
      <c r="AQ1849" s="18">
        <v>0</v>
      </c>
      <c r="AR1849" s="29">
        <v>0</v>
      </c>
      <c r="AS1849" s="29">
        <v>0</v>
      </c>
      <c r="AT1849" s="29">
        <v>10</v>
      </c>
      <c r="AU1849" s="24" t="str">
        <f t="shared" si="29"/>
        <v>库存为10</v>
      </c>
      <c r="AV1849" s="31" t="str">
        <f>IFERROR(时间!$B$4+AU1849,"上周无销量")</f>
        <v>上周无销量</v>
      </c>
      <c r="AW1849" s="31"/>
    </row>
    <row r="1850" spans="1:49">
      <c r="A1850" s="16" t="s">
        <v>3171</v>
      </c>
      <c r="B1850" t="s">
        <v>3172</v>
      </c>
      <c r="C1850" t="s">
        <v>3082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10</v>
      </c>
      <c r="K1850" s="26">
        <v>0</v>
      </c>
      <c r="L1850" s="26">
        <v>0</v>
      </c>
      <c r="M1850">
        <v>10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3</v>
      </c>
      <c r="AK1850">
        <v>2</v>
      </c>
      <c r="AL1850">
        <v>2</v>
      </c>
      <c r="AM1850">
        <v>1</v>
      </c>
      <c r="AN1850" s="18">
        <v>0</v>
      </c>
      <c r="AO1850" s="18">
        <v>0</v>
      </c>
      <c r="AP1850" s="18">
        <v>0</v>
      </c>
      <c r="AQ1850" s="18">
        <v>0</v>
      </c>
      <c r="AR1850" s="29">
        <v>0</v>
      </c>
      <c r="AS1850" s="29">
        <v>0</v>
      </c>
      <c r="AT1850" s="29">
        <v>10</v>
      </c>
      <c r="AU1850" s="24" t="str">
        <f t="shared" si="29"/>
        <v>库存为10</v>
      </c>
      <c r="AV1850" s="31" t="str">
        <f>IFERROR(时间!$B$4+AU1850,"上周无销量")</f>
        <v>上周无销量</v>
      </c>
      <c r="AW1850" s="31"/>
    </row>
    <row r="1851" spans="1:49">
      <c r="A1851" s="16" t="s">
        <v>3173</v>
      </c>
      <c r="B1851" t="s">
        <v>3174</v>
      </c>
      <c r="C1851" t="s">
        <v>3082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5</v>
      </c>
      <c r="K1851" s="26">
        <v>0</v>
      </c>
      <c r="L1851" s="26">
        <v>0</v>
      </c>
      <c r="M1851">
        <v>5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3</v>
      </c>
      <c r="AK1851">
        <v>3</v>
      </c>
      <c r="AL1851">
        <v>3</v>
      </c>
      <c r="AM1851">
        <v>0</v>
      </c>
      <c r="AN1851" s="18">
        <v>0</v>
      </c>
      <c r="AO1851" s="18">
        <v>0</v>
      </c>
      <c r="AP1851" s="18">
        <v>0</v>
      </c>
      <c r="AQ1851" s="18" t="s">
        <v>52</v>
      </c>
      <c r="AR1851" s="29">
        <v>0</v>
      </c>
      <c r="AS1851" s="29">
        <v>0</v>
      </c>
      <c r="AT1851" s="29">
        <v>5</v>
      </c>
      <c r="AU1851" s="24" t="str">
        <f t="shared" si="29"/>
        <v>库存为5</v>
      </c>
      <c r="AV1851" s="31" t="str">
        <f>IFERROR(时间!$B$4+AU1851,"上周无销量")</f>
        <v>上周无销量</v>
      </c>
      <c r="AW1851" s="31"/>
    </row>
    <row r="1852" spans="1:49">
      <c r="A1852" s="16" t="s">
        <v>3175</v>
      </c>
      <c r="B1852" t="s">
        <v>3176</v>
      </c>
      <c r="C1852" t="s">
        <v>3082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10</v>
      </c>
      <c r="K1852" s="26">
        <v>0</v>
      </c>
      <c r="L1852" s="26">
        <v>0</v>
      </c>
      <c r="M1852">
        <v>10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2</v>
      </c>
      <c r="AK1852">
        <v>4</v>
      </c>
      <c r="AL1852">
        <v>5</v>
      </c>
      <c r="AM1852">
        <v>3</v>
      </c>
      <c r="AN1852" s="18">
        <v>0</v>
      </c>
      <c r="AO1852" s="18">
        <v>0</v>
      </c>
      <c r="AP1852" s="18">
        <v>0</v>
      </c>
      <c r="AQ1852" s="18">
        <v>0</v>
      </c>
      <c r="AR1852" s="29">
        <v>0</v>
      </c>
      <c r="AS1852" s="29">
        <v>0</v>
      </c>
      <c r="AT1852" s="29">
        <v>10</v>
      </c>
      <c r="AU1852" s="24" t="str">
        <f t="shared" si="29"/>
        <v>库存为10</v>
      </c>
      <c r="AV1852" s="31" t="str">
        <f>IFERROR(时间!$B$4+AU1852,"上周无销量")</f>
        <v>上周无销量</v>
      </c>
      <c r="AW1852" s="31"/>
    </row>
    <row r="1853" spans="1:49">
      <c r="A1853" s="16" t="s">
        <v>3177</v>
      </c>
      <c r="B1853" t="s">
        <v>3178</v>
      </c>
      <c r="C1853" t="s">
        <v>3082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25</v>
      </c>
      <c r="K1853" s="26">
        <v>0</v>
      </c>
      <c r="L1853" s="26">
        <v>0</v>
      </c>
      <c r="M1853">
        <v>25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25</v>
      </c>
      <c r="AU1853" s="24" t="str">
        <f t="shared" si="29"/>
        <v>库存为25</v>
      </c>
      <c r="AV1853" s="31" t="str">
        <f>IFERROR(时间!$B$4+AU1853,"上周无销量")</f>
        <v>上周无销量</v>
      </c>
      <c r="AW1853" s="31"/>
    </row>
    <row r="1854" spans="1:49">
      <c r="A1854" s="16" t="s">
        <v>3179</v>
      </c>
      <c r="B1854" t="s">
        <v>3180</v>
      </c>
      <c r="C1854" t="s">
        <v>3082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10</v>
      </c>
      <c r="K1854" s="26">
        <v>0</v>
      </c>
      <c r="L1854" s="26">
        <v>0</v>
      </c>
      <c r="M1854">
        <v>10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3</v>
      </c>
      <c r="AK1854">
        <v>2</v>
      </c>
      <c r="AL1854">
        <v>3</v>
      </c>
      <c r="AM1854">
        <v>2</v>
      </c>
      <c r="AN1854" s="18">
        <v>0</v>
      </c>
      <c r="AO1854" s="18">
        <v>0</v>
      </c>
      <c r="AP1854" s="18">
        <v>0</v>
      </c>
      <c r="AQ1854" s="18">
        <v>0</v>
      </c>
      <c r="AR1854" s="29">
        <v>0</v>
      </c>
      <c r="AS1854" s="29">
        <v>0</v>
      </c>
      <c r="AT1854" s="29">
        <v>10</v>
      </c>
      <c r="AU1854" s="24" t="str">
        <f t="shared" si="29"/>
        <v>库存为10</v>
      </c>
      <c r="AV1854" s="31" t="str">
        <f>IFERROR(时间!$B$4+AU1854,"上周无销量")</f>
        <v>上周无销量</v>
      </c>
      <c r="AW1854" s="31"/>
    </row>
    <row r="1855" spans="1:49">
      <c r="A1855" s="16" t="s">
        <v>3181</v>
      </c>
      <c r="B1855" t="s">
        <v>3182</v>
      </c>
      <c r="C1855" t="s">
        <v>3082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10</v>
      </c>
      <c r="K1855" s="26">
        <v>0</v>
      </c>
      <c r="L1855" s="26">
        <v>0</v>
      </c>
      <c r="M1855">
        <v>10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0</v>
      </c>
      <c r="AK1855">
        <v>0</v>
      </c>
      <c r="AL1855">
        <v>0</v>
      </c>
      <c r="AM1855">
        <v>0</v>
      </c>
      <c r="AN1855" s="18" t="s">
        <v>52</v>
      </c>
      <c r="AO1855" s="18" t="s">
        <v>52</v>
      </c>
      <c r="AP1855" s="18" t="s">
        <v>52</v>
      </c>
      <c r="AQ1855" s="18" t="s">
        <v>52</v>
      </c>
      <c r="AR1855" s="29">
        <v>0</v>
      </c>
      <c r="AS1855" s="29">
        <v>0</v>
      </c>
      <c r="AT1855" s="29">
        <v>10</v>
      </c>
      <c r="AU1855" s="24" t="str">
        <f t="shared" si="29"/>
        <v>库存为10</v>
      </c>
      <c r="AV1855" s="31" t="str">
        <f>IFERROR(时间!$B$4+AU1855,"上周无销量")</f>
        <v>上周无销量</v>
      </c>
      <c r="AW1855" s="31"/>
    </row>
    <row r="1856" spans="1:49">
      <c r="A1856" s="16" t="s">
        <v>3183</v>
      </c>
      <c r="B1856" t="s">
        <v>3184</v>
      </c>
      <c r="C1856" t="s">
        <v>3082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20</v>
      </c>
      <c r="K1856" s="26">
        <v>0</v>
      </c>
      <c r="L1856" s="26">
        <v>0</v>
      </c>
      <c r="M1856">
        <v>20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0</v>
      </c>
      <c r="AK1856">
        <v>4</v>
      </c>
      <c r="AL1856">
        <v>4</v>
      </c>
      <c r="AM1856">
        <v>1</v>
      </c>
      <c r="AN1856" s="18" t="s">
        <v>52</v>
      </c>
      <c r="AO1856" s="18">
        <v>0</v>
      </c>
      <c r="AP1856" s="18">
        <v>0</v>
      </c>
      <c r="AQ1856" s="18">
        <v>0</v>
      </c>
      <c r="AR1856" s="29">
        <v>0</v>
      </c>
      <c r="AS1856" s="29">
        <v>0</v>
      </c>
      <c r="AT1856" s="29">
        <v>20</v>
      </c>
      <c r="AU1856" s="24" t="str">
        <f t="shared" si="29"/>
        <v>库存为20</v>
      </c>
      <c r="AV1856" s="31" t="str">
        <f>IFERROR(时间!$B$4+AU1856,"上周无销量")</f>
        <v>上周无销量</v>
      </c>
      <c r="AW1856" s="31"/>
    </row>
    <row r="1857" spans="1:49">
      <c r="A1857" s="16" t="s">
        <v>3185</v>
      </c>
      <c r="B1857" t="s">
        <v>3186</v>
      </c>
      <c r="C1857" t="s">
        <v>3082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15</v>
      </c>
      <c r="K1857" s="26">
        <v>0</v>
      </c>
      <c r="L1857" s="26">
        <v>0</v>
      </c>
      <c r="M1857">
        <v>15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2</v>
      </c>
      <c r="AK1857">
        <v>5</v>
      </c>
      <c r="AL1857">
        <v>3</v>
      </c>
      <c r="AM1857">
        <v>0</v>
      </c>
      <c r="AN1857" s="18">
        <v>0</v>
      </c>
      <c r="AO1857" s="18">
        <v>0</v>
      </c>
      <c r="AP1857" s="18">
        <v>0</v>
      </c>
      <c r="AQ1857" s="18" t="s">
        <v>52</v>
      </c>
      <c r="AR1857" s="29">
        <v>0</v>
      </c>
      <c r="AS1857" s="29">
        <v>0</v>
      </c>
      <c r="AT1857" s="29">
        <v>15</v>
      </c>
      <c r="AU1857" s="24" t="str">
        <f t="shared" si="29"/>
        <v>库存为15</v>
      </c>
      <c r="AV1857" s="31" t="str">
        <f>IFERROR(时间!$B$4+AU1857,"上周无销量")</f>
        <v>上周无销量</v>
      </c>
      <c r="AW1857" s="31"/>
    </row>
    <row r="1858" spans="1:49">
      <c r="A1858" s="16" t="s">
        <v>3187</v>
      </c>
      <c r="B1858" t="s">
        <v>3188</v>
      </c>
      <c r="C1858" t="s">
        <v>3082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10</v>
      </c>
      <c r="K1858" s="26">
        <v>0</v>
      </c>
      <c r="L1858" s="26">
        <v>0</v>
      </c>
      <c r="M1858">
        <v>10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2</v>
      </c>
      <c r="AK1858">
        <v>7</v>
      </c>
      <c r="AL1858">
        <v>3</v>
      </c>
      <c r="AM1858">
        <v>1</v>
      </c>
      <c r="AN1858" s="18">
        <v>0</v>
      </c>
      <c r="AO1858" s="18">
        <v>0</v>
      </c>
      <c r="AP1858" s="18">
        <v>0</v>
      </c>
      <c r="AQ1858" s="18">
        <v>0</v>
      </c>
      <c r="AR1858" s="29">
        <v>0</v>
      </c>
      <c r="AS1858" s="29">
        <v>0</v>
      </c>
      <c r="AT1858" s="29">
        <v>10</v>
      </c>
      <c r="AU1858" s="24" t="str">
        <f t="shared" si="29"/>
        <v>库存为10</v>
      </c>
      <c r="AV1858" s="31" t="str">
        <f>IFERROR(时间!$B$4+AU1858,"上周无销量")</f>
        <v>上周无销量</v>
      </c>
      <c r="AW1858" s="31"/>
    </row>
    <row r="1859" spans="1:49">
      <c r="A1859" s="16" t="s">
        <v>3189</v>
      </c>
      <c r="B1859" t="s">
        <v>3190</v>
      </c>
      <c r="C1859" t="s">
        <v>3082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10</v>
      </c>
      <c r="K1859" s="26">
        <v>0</v>
      </c>
      <c r="L1859" s="26">
        <v>0</v>
      </c>
      <c r="M1859">
        <v>10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0</v>
      </c>
      <c r="AK1859">
        <v>0</v>
      </c>
      <c r="AL1859">
        <v>0</v>
      </c>
      <c r="AM1859">
        <v>0</v>
      </c>
      <c r="AN1859" s="18" t="s">
        <v>52</v>
      </c>
      <c r="AO1859" s="18" t="s">
        <v>52</v>
      </c>
      <c r="AP1859" s="18" t="s">
        <v>52</v>
      </c>
      <c r="AQ1859" s="18" t="s">
        <v>52</v>
      </c>
      <c r="AR1859" s="29">
        <v>0</v>
      </c>
      <c r="AS1859" s="29">
        <v>0</v>
      </c>
      <c r="AT1859" s="29">
        <v>10</v>
      </c>
      <c r="AU1859" s="24" t="str">
        <f t="shared" si="29"/>
        <v>库存为10</v>
      </c>
      <c r="AV1859" s="31" t="str">
        <f>IFERROR(时间!$B$4+AU1859,"上周无销量")</f>
        <v>上周无销量</v>
      </c>
      <c r="AW1859" s="31"/>
    </row>
    <row r="1860" spans="1:49">
      <c r="A1860" s="16" t="s">
        <v>3191</v>
      </c>
      <c r="B1860" t="s">
        <v>3192</v>
      </c>
      <c r="C1860" t="s">
        <v>3082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15</v>
      </c>
      <c r="K1860" s="26">
        <v>0</v>
      </c>
      <c r="L1860" s="26">
        <v>0</v>
      </c>
      <c r="M1860">
        <v>15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2</v>
      </c>
      <c r="AK1860">
        <v>3</v>
      </c>
      <c r="AL1860">
        <v>5</v>
      </c>
      <c r="AM1860">
        <v>5</v>
      </c>
      <c r="AN1860" s="18">
        <v>0</v>
      </c>
      <c r="AO1860" s="18">
        <v>0</v>
      </c>
      <c r="AP1860" s="18">
        <v>0</v>
      </c>
      <c r="AQ1860" s="18">
        <v>0</v>
      </c>
      <c r="AR1860" s="29">
        <v>0</v>
      </c>
      <c r="AS1860" s="29">
        <v>0</v>
      </c>
      <c r="AT1860" s="29">
        <v>15</v>
      </c>
      <c r="AU1860" s="24" t="str">
        <f t="shared" si="29"/>
        <v>库存为15</v>
      </c>
      <c r="AV1860" s="31" t="str">
        <f>IFERROR(时间!$B$4+AU1860,"上周无销量")</f>
        <v>上周无销量</v>
      </c>
      <c r="AW1860" s="31"/>
    </row>
    <row r="1861" spans="1:49">
      <c r="A1861" s="16" t="s">
        <v>3193</v>
      </c>
      <c r="B1861" t="s">
        <v>3194</v>
      </c>
      <c r="C1861" t="s">
        <v>3082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15</v>
      </c>
      <c r="K1861" s="26">
        <v>0</v>
      </c>
      <c r="L1861" s="26">
        <v>0</v>
      </c>
      <c r="M1861">
        <v>15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1</v>
      </c>
      <c r="AK1861">
        <v>4</v>
      </c>
      <c r="AL1861">
        <v>6</v>
      </c>
      <c r="AM1861">
        <v>3</v>
      </c>
      <c r="AN1861" s="18">
        <v>0</v>
      </c>
      <c r="AO1861" s="18">
        <v>0</v>
      </c>
      <c r="AP1861" s="18">
        <v>0</v>
      </c>
      <c r="AQ1861" s="18">
        <v>0</v>
      </c>
      <c r="AR1861" s="29">
        <v>0</v>
      </c>
      <c r="AS1861" s="29">
        <v>0</v>
      </c>
      <c r="AT1861" s="29">
        <v>15</v>
      </c>
      <c r="AU1861" s="24" t="str">
        <f t="shared" si="29"/>
        <v>库存为15</v>
      </c>
      <c r="AV1861" s="31" t="str">
        <f>IFERROR(时间!$B$4+AU1861,"上周无销量")</f>
        <v>上周无销量</v>
      </c>
      <c r="AW1861" s="31"/>
    </row>
    <row r="1862" spans="1:49">
      <c r="A1862" s="16" t="s">
        <v>3195</v>
      </c>
      <c r="B1862" t="s">
        <v>3196</v>
      </c>
      <c r="C1862" t="s">
        <v>3082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10</v>
      </c>
      <c r="K1862" s="26">
        <v>0</v>
      </c>
      <c r="L1862" s="26">
        <v>0</v>
      </c>
      <c r="M1862">
        <v>10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5</v>
      </c>
      <c r="AK1862">
        <v>9</v>
      </c>
      <c r="AL1862">
        <v>6</v>
      </c>
      <c r="AM1862">
        <v>6</v>
      </c>
      <c r="AN1862" s="18">
        <v>0</v>
      </c>
      <c r="AO1862" s="18">
        <v>0</v>
      </c>
      <c r="AP1862" s="18">
        <v>0</v>
      </c>
      <c r="AQ1862" s="18">
        <v>0</v>
      </c>
      <c r="AR1862" s="29">
        <v>0</v>
      </c>
      <c r="AS1862" s="29">
        <v>0</v>
      </c>
      <c r="AT1862" s="29">
        <v>10</v>
      </c>
      <c r="AU1862" s="24" t="str">
        <f t="shared" ref="AU1862:AU1925" si="30">IF(AR1862="","库存为"&amp;M1862,IF(AS1862=0,"库存为"&amp;M1862,INT(M1862/AR1862)))</f>
        <v>库存为10</v>
      </c>
      <c r="AV1862" s="31" t="str">
        <f>IFERROR(时间!$B$4+AU1862,"上周无销量")</f>
        <v>上周无销量</v>
      </c>
      <c r="AW1862" s="31"/>
    </row>
    <row r="1863" spans="1:49">
      <c r="A1863" s="16" t="s">
        <v>3197</v>
      </c>
      <c r="B1863" t="s">
        <v>3198</v>
      </c>
      <c r="C1863" t="s">
        <v>3082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5</v>
      </c>
      <c r="K1863" s="26">
        <v>0</v>
      </c>
      <c r="L1863" s="26">
        <v>0</v>
      </c>
      <c r="M1863">
        <v>5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2</v>
      </c>
      <c r="AK1863">
        <v>10</v>
      </c>
      <c r="AL1863">
        <v>4</v>
      </c>
      <c r="AM1863">
        <v>2</v>
      </c>
      <c r="AN1863" s="18">
        <v>0</v>
      </c>
      <c r="AO1863" s="18">
        <v>0</v>
      </c>
      <c r="AP1863" s="18">
        <v>0</v>
      </c>
      <c r="AQ1863" s="18">
        <v>0</v>
      </c>
      <c r="AR1863" s="29">
        <v>0</v>
      </c>
      <c r="AS1863" s="29">
        <v>0</v>
      </c>
      <c r="AT1863" s="29">
        <v>5</v>
      </c>
      <c r="AU1863" s="24" t="str">
        <f t="shared" si="30"/>
        <v>库存为5</v>
      </c>
      <c r="AV1863" s="31" t="str">
        <f>IFERROR(时间!$B$4+AU1863,"上周无销量")</f>
        <v>上周无销量</v>
      </c>
      <c r="AW1863" s="31"/>
    </row>
    <row r="1864" spans="1:49">
      <c r="A1864" s="16" t="s">
        <v>3199</v>
      </c>
      <c r="B1864" t="s">
        <v>3200</v>
      </c>
      <c r="C1864" t="s">
        <v>3082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15</v>
      </c>
      <c r="K1864" s="26">
        <v>0</v>
      </c>
      <c r="L1864" s="26">
        <v>0</v>
      </c>
      <c r="M1864">
        <v>15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1</v>
      </c>
      <c r="AK1864">
        <v>3</v>
      </c>
      <c r="AL1864">
        <v>3</v>
      </c>
      <c r="AM1864">
        <v>2</v>
      </c>
      <c r="AN1864" s="18">
        <v>0</v>
      </c>
      <c r="AO1864" s="18">
        <v>0</v>
      </c>
      <c r="AP1864" s="18">
        <v>0</v>
      </c>
      <c r="AQ1864" s="18">
        <v>0</v>
      </c>
      <c r="AR1864" s="29">
        <v>0</v>
      </c>
      <c r="AS1864" s="29">
        <v>0</v>
      </c>
      <c r="AT1864" s="29">
        <v>15</v>
      </c>
      <c r="AU1864" s="24" t="str">
        <f t="shared" si="30"/>
        <v>库存为15</v>
      </c>
      <c r="AV1864" s="31" t="str">
        <f>IFERROR(时间!$B$4+AU1864,"上周无销量")</f>
        <v>上周无销量</v>
      </c>
      <c r="AW1864" s="31"/>
    </row>
    <row r="1865" spans="1:49">
      <c r="A1865" s="16" t="s">
        <v>3201</v>
      </c>
      <c r="B1865" t="s">
        <v>3202</v>
      </c>
      <c r="C1865" t="s">
        <v>3082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15</v>
      </c>
      <c r="K1865" s="26">
        <v>0</v>
      </c>
      <c r="L1865" s="26">
        <v>0</v>
      </c>
      <c r="M1865">
        <v>15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3</v>
      </c>
      <c r="AK1865">
        <v>4</v>
      </c>
      <c r="AL1865">
        <v>5</v>
      </c>
      <c r="AM1865">
        <v>2</v>
      </c>
      <c r="AN1865" s="18">
        <v>0</v>
      </c>
      <c r="AO1865" s="18">
        <v>0</v>
      </c>
      <c r="AP1865" s="18">
        <v>0</v>
      </c>
      <c r="AQ1865" s="18">
        <v>0</v>
      </c>
      <c r="AR1865" s="29">
        <v>0</v>
      </c>
      <c r="AS1865" s="29">
        <v>0</v>
      </c>
      <c r="AT1865" s="29">
        <v>15</v>
      </c>
      <c r="AU1865" s="24" t="str">
        <f t="shared" si="30"/>
        <v>库存为15</v>
      </c>
      <c r="AV1865" s="31" t="str">
        <f>IFERROR(时间!$B$4+AU1865,"上周无销量")</f>
        <v>上周无销量</v>
      </c>
      <c r="AW1865" s="31"/>
    </row>
    <row r="1866" spans="1:49">
      <c r="A1866" s="16" t="s">
        <v>3203</v>
      </c>
      <c r="B1866" t="s">
        <v>3204</v>
      </c>
      <c r="C1866" t="s">
        <v>3082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10</v>
      </c>
      <c r="K1866" s="26">
        <v>0</v>
      </c>
      <c r="L1866" s="26">
        <v>0</v>
      </c>
      <c r="M1866">
        <v>10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1</v>
      </c>
      <c r="AK1866">
        <v>6</v>
      </c>
      <c r="AL1866">
        <v>5</v>
      </c>
      <c r="AM1866">
        <v>0</v>
      </c>
      <c r="AN1866" s="18">
        <v>0</v>
      </c>
      <c r="AO1866" s="18">
        <v>0</v>
      </c>
      <c r="AP1866" s="18">
        <v>0</v>
      </c>
      <c r="AQ1866" s="18" t="s">
        <v>52</v>
      </c>
      <c r="AR1866" s="29">
        <v>0</v>
      </c>
      <c r="AS1866" s="29">
        <v>0</v>
      </c>
      <c r="AT1866" s="29">
        <v>10</v>
      </c>
      <c r="AU1866" s="24" t="str">
        <f t="shared" si="30"/>
        <v>库存为10</v>
      </c>
      <c r="AV1866" s="31" t="str">
        <f>IFERROR(时间!$B$4+AU1866,"上周无销量")</f>
        <v>上周无销量</v>
      </c>
      <c r="AW1866" s="31"/>
    </row>
    <row r="1867" spans="1:49">
      <c r="A1867" s="16" t="s">
        <v>3205</v>
      </c>
      <c r="B1867" t="s">
        <v>3206</v>
      </c>
      <c r="C1867" t="s">
        <v>3082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10</v>
      </c>
      <c r="K1867" s="26">
        <v>0</v>
      </c>
      <c r="L1867" s="26">
        <v>0</v>
      </c>
      <c r="M1867">
        <v>10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0</v>
      </c>
      <c r="AK1867">
        <v>3</v>
      </c>
      <c r="AL1867">
        <v>4</v>
      </c>
      <c r="AM1867">
        <v>6</v>
      </c>
      <c r="AN1867" s="18" t="s">
        <v>52</v>
      </c>
      <c r="AO1867" s="18">
        <v>0</v>
      </c>
      <c r="AP1867" s="18">
        <v>0</v>
      </c>
      <c r="AQ1867" s="18">
        <v>0</v>
      </c>
      <c r="AR1867" s="29">
        <v>0</v>
      </c>
      <c r="AS1867" s="29">
        <v>0</v>
      </c>
      <c r="AT1867" s="29">
        <v>10</v>
      </c>
      <c r="AU1867" s="24" t="str">
        <f t="shared" si="30"/>
        <v>库存为10</v>
      </c>
      <c r="AV1867" s="31" t="str">
        <f>IFERROR(时间!$B$4+AU1867,"上周无销量")</f>
        <v>上周无销量</v>
      </c>
      <c r="AW1867" s="31"/>
    </row>
    <row r="1868" spans="1:49">
      <c r="A1868" s="16" t="s">
        <v>3207</v>
      </c>
      <c r="B1868" t="s">
        <v>3208</v>
      </c>
      <c r="C1868" t="s">
        <v>3082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15</v>
      </c>
      <c r="K1868" s="26">
        <v>0</v>
      </c>
      <c r="L1868" s="26">
        <v>0</v>
      </c>
      <c r="M1868">
        <v>15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4</v>
      </c>
      <c r="AK1868">
        <v>4</v>
      </c>
      <c r="AL1868">
        <v>3</v>
      </c>
      <c r="AM1868">
        <v>2</v>
      </c>
      <c r="AN1868" s="18">
        <v>0</v>
      </c>
      <c r="AO1868" s="18">
        <v>0</v>
      </c>
      <c r="AP1868" s="18">
        <v>0</v>
      </c>
      <c r="AQ1868" s="18">
        <v>0</v>
      </c>
      <c r="AR1868" s="29">
        <v>0</v>
      </c>
      <c r="AS1868" s="29">
        <v>0</v>
      </c>
      <c r="AT1868" s="29">
        <v>15</v>
      </c>
      <c r="AU1868" s="24" t="str">
        <f t="shared" si="30"/>
        <v>库存为15</v>
      </c>
      <c r="AV1868" s="31" t="str">
        <f>IFERROR(时间!$B$4+AU1868,"上周无销量")</f>
        <v>上周无销量</v>
      </c>
      <c r="AW1868" s="31"/>
    </row>
    <row r="1869" spans="1:49">
      <c r="A1869" s="16" t="s">
        <v>3209</v>
      </c>
      <c r="B1869" t="s">
        <v>3210</v>
      </c>
      <c r="C1869" t="s">
        <v>3082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15</v>
      </c>
      <c r="K1869" s="26">
        <v>0</v>
      </c>
      <c r="L1869" s="26">
        <v>0</v>
      </c>
      <c r="M1869">
        <v>15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2</v>
      </c>
      <c r="AK1869">
        <v>3</v>
      </c>
      <c r="AL1869">
        <v>5</v>
      </c>
      <c r="AM1869">
        <v>2</v>
      </c>
      <c r="AN1869" s="18">
        <v>0</v>
      </c>
      <c r="AO1869" s="18">
        <v>0</v>
      </c>
      <c r="AP1869" s="18">
        <v>0</v>
      </c>
      <c r="AQ1869" s="18">
        <v>0</v>
      </c>
      <c r="AR1869" s="29">
        <v>0</v>
      </c>
      <c r="AS1869" s="29">
        <v>0</v>
      </c>
      <c r="AT1869" s="29">
        <v>15</v>
      </c>
      <c r="AU1869" s="24" t="str">
        <f t="shared" si="30"/>
        <v>库存为15</v>
      </c>
      <c r="AV1869" s="31" t="str">
        <f>IFERROR(时间!$B$4+AU1869,"上周无销量")</f>
        <v>上周无销量</v>
      </c>
      <c r="AW1869" s="31"/>
    </row>
    <row r="1870" spans="1:49">
      <c r="A1870" s="16" t="s">
        <v>3211</v>
      </c>
      <c r="B1870" t="s">
        <v>3212</v>
      </c>
      <c r="C1870" t="s">
        <v>3082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5</v>
      </c>
      <c r="K1870" s="26">
        <v>0</v>
      </c>
      <c r="L1870" s="26">
        <v>0</v>
      </c>
      <c r="M1870">
        <v>5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3</v>
      </c>
      <c r="AK1870">
        <v>5</v>
      </c>
      <c r="AL1870">
        <v>5</v>
      </c>
      <c r="AM1870">
        <v>5</v>
      </c>
      <c r="AN1870" s="18">
        <v>0</v>
      </c>
      <c r="AO1870" s="18">
        <v>0</v>
      </c>
      <c r="AP1870" s="18">
        <v>0</v>
      </c>
      <c r="AQ1870" s="18">
        <v>0</v>
      </c>
      <c r="AR1870" s="29">
        <v>0</v>
      </c>
      <c r="AS1870" s="29">
        <v>0</v>
      </c>
      <c r="AT1870" s="29">
        <v>5</v>
      </c>
      <c r="AU1870" s="24" t="str">
        <f t="shared" si="30"/>
        <v>库存为5</v>
      </c>
      <c r="AV1870" s="31" t="str">
        <f>IFERROR(时间!$B$4+AU1870,"上周无销量")</f>
        <v>上周无销量</v>
      </c>
      <c r="AW1870" s="31"/>
    </row>
    <row r="1871" spans="1:49">
      <c r="A1871" s="16" t="s">
        <v>3213</v>
      </c>
      <c r="B1871" t="s">
        <v>3214</v>
      </c>
      <c r="C1871" t="s">
        <v>3082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5</v>
      </c>
      <c r="K1871" s="26">
        <v>0</v>
      </c>
      <c r="L1871" s="26">
        <v>0</v>
      </c>
      <c r="M1871">
        <v>5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0</v>
      </c>
      <c r="AK1871">
        <v>3</v>
      </c>
      <c r="AL1871">
        <v>6</v>
      </c>
      <c r="AM1871">
        <v>5</v>
      </c>
      <c r="AN1871" s="18" t="s">
        <v>52</v>
      </c>
      <c r="AO1871" s="18">
        <v>0</v>
      </c>
      <c r="AP1871" s="18">
        <v>0</v>
      </c>
      <c r="AQ1871" s="18">
        <v>0</v>
      </c>
      <c r="AR1871" s="29">
        <v>0</v>
      </c>
      <c r="AS1871" s="29">
        <v>0</v>
      </c>
      <c r="AT1871" s="29">
        <v>5</v>
      </c>
      <c r="AU1871" s="24" t="str">
        <f t="shared" si="30"/>
        <v>库存为5</v>
      </c>
      <c r="AV1871" s="31" t="str">
        <f>IFERROR(时间!$B$4+AU1871,"上周无销量")</f>
        <v>上周无销量</v>
      </c>
      <c r="AW1871" s="31"/>
    </row>
    <row r="1872" spans="1:49">
      <c r="A1872" s="16" t="s">
        <v>3215</v>
      </c>
      <c r="B1872" t="s">
        <v>3216</v>
      </c>
      <c r="C1872" t="s">
        <v>3082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15</v>
      </c>
      <c r="K1872" s="26">
        <v>0</v>
      </c>
      <c r="L1872" s="26">
        <v>0</v>
      </c>
      <c r="M1872">
        <v>15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3</v>
      </c>
      <c r="AK1872">
        <v>5</v>
      </c>
      <c r="AL1872">
        <v>5</v>
      </c>
      <c r="AM1872">
        <v>0</v>
      </c>
      <c r="AN1872" s="18">
        <v>0</v>
      </c>
      <c r="AO1872" s="18">
        <v>0</v>
      </c>
      <c r="AP1872" s="18">
        <v>0</v>
      </c>
      <c r="AQ1872" s="18" t="s">
        <v>52</v>
      </c>
      <c r="AR1872" s="29">
        <v>0</v>
      </c>
      <c r="AS1872" s="29">
        <v>0</v>
      </c>
      <c r="AT1872" s="29">
        <v>15</v>
      </c>
      <c r="AU1872" s="24" t="str">
        <f t="shared" si="30"/>
        <v>库存为15</v>
      </c>
      <c r="AV1872" s="31" t="str">
        <f>IFERROR(时间!$B$4+AU1872,"上周无销量")</f>
        <v>上周无销量</v>
      </c>
      <c r="AW1872" s="31"/>
    </row>
    <row r="1873" spans="1:49">
      <c r="A1873" s="16" t="s">
        <v>3217</v>
      </c>
      <c r="B1873" t="s">
        <v>3218</v>
      </c>
      <c r="C1873" t="s">
        <v>3082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0</v>
      </c>
      <c r="AK1873">
        <v>0</v>
      </c>
      <c r="AL1873">
        <v>0</v>
      </c>
      <c r="AM1873">
        <v>0</v>
      </c>
      <c r="AN1873" s="18" t="s">
        <v>52</v>
      </c>
      <c r="AO1873" s="18" t="s">
        <v>52</v>
      </c>
      <c r="AP1873" s="18" t="s">
        <v>52</v>
      </c>
      <c r="AQ1873" s="18" t="s">
        <v>52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3219</v>
      </c>
      <c r="B1874" t="s">
        <v>3220</v>
      </c>
      <c r="C1874" t="s">
        <v>3082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0</v>
      </c>
      <c r="AK1874">
        <v>0</v>
      </c>
      <c r="AL1874">
        <v>0</v>
      </c>
      <c r="AM1874">
        <v>0</v>
      </c>
      <c r="AN1874" s="18" t="s">
        <v>52</v>
      </c>
      <c r="AO1874" s="18" t="s">
        <v>52</v>
      </c>
      <c r="AP1874" s="18" t="s">
        <v>52</v>
      </c>
      <c r="AQ1874" s="18" t="s">
        <v>52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3221</v>
      </c>
      <c r="B1875" t="s">
        <v>3222</v>
      </c>
      <c r="C1875" t="s">
        <v>3082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0</v>
      </c>
      <c r="AK1875">
        <v>0</v>
      </c>
      <c r="AL1875">
        <v>0</v>
      </c>
      <c r="AM1875">
        <v>0</v>
      </c>
      <c r="AN1875" s="18" t="s">
        <v>52</v>
      </c>
      <c r="AO1875" s="18" t="s">
        <v>52</v>
      </c>
      <c r="AP1875" s="18" t="s">
        <v>52</v>
      </c>
      <c r="AQ1875" s="18" t="s">
        <v>52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3223</v>
      </c>
      <c r="B1876" t="s">
        <v>3224</v>
      </c>
      <c r="C1876" t="s">
        <v>3082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0</v>
      </c>
      <c r="K1876" s="26">
        <v>0</v>
      </c>
      <c r="L1876" s="26">
        <v>0</v>
      </c>
      <c r="M1876">
        <v>0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0</v>
      </c>
      <c r="AK1876">
        <v>0</v>
      </c>
      <c r="AL1876">
        <v>0</v>
      </c>
      <c r="AM1876">
        <v>0</v>
      </c>
      <c r="AN1876" s="18" t="s">
        <v>52</v>
      </c>
      <c r="AO1876" s="18" t="s">
        <v>52</v>
      </c>
      <c r="AP1876" s="18" t="s">
        <v>52</v>
      </c>
      <c r="AQ1876" s="18" t="s">
        <v>52</v>
      </c>
      <c r="AR1876" s="29">
        <v>0</v>
      </c>
      <c r="AS1876" s="29">
        <v>0</v>
      </c>
      <c r="AT1876" s="29">
        <v>0</v>
      </c>
      <c r="AU1876" s="24" t="str">
        <f t="shared" si="3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3225</v>
      </c>
      <c r="B1877" t="s">
        <v>3106</v>
      </c>
      <c r="C1877" t="s">
        <v>3226</v>
      </c>
      <c r="D1877" s="24">
        <v>1</v>
      </c>
      <c r="E1877" s="24">
        <v>0</v>
      </c>
      <c r="F1877" s="24">
        <v>0</v>
      </c>
      <c r="G1877" s="24">
        <v>0</v>
      </c>
      <c r="H1877" s="25">
        <v>22.98</v>
      </c>
      <c r="I1877">
        <v>2</v>
      </c>
      <c r="J1877" s="26">
        <v>0</v>
      </c>
      <c r="K1877" s="26">
        <v>0</v>
      </c>
      <c r="L1877" s="26">
        <v>0</v>
      </c>
      <c r="M1877">
        <v>2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4</v>
      </c>
      <c r="AK1877">
        <v>2</v>
      </c>
      <c r="AL1877">
        <v>5</v>
      </c>
      <c r="AM1877">
        <v>9</v>
      </c>
      <c r="AN1877" s="18">
        <v>0.25</v>
      </c>
      <c r="AO1877" s="18">
        <v>0</v>
      </c>
      <c r="AP1877" s="18">
        <v>0</v>
      </c>
      <c r="AQ1877" s="18">
        <v>0</v>
      </c>
      <c r="AR1877" s="29">
        <v>0.142857142857143</v>
      </c>
      <c r="AS1877" s="29">
        <v>8.57142857142857</v>
      </c>
      <c r="AT1877" s="29">
        <v>-6.57142857142857</v>
      </c>
      <c r="AU1877" s="24">
        <f t="shared" si="30"/>
        <v>14</v>
      </c>
      <c r="AV1877" s="31">
        <f>IFERROR(时间!$B$4+AU1877,"上周无销量")</f>
        <v>43332</v>
      </c>
      <c r="AW1877" s="31"/>
    </row>
    <row r="1878" spans="1:49">
      <c r="A1878" s="16" t="s">
        <v>3227</v>
      </c>
      <c r="B1878" t="s">
        <v>3148</v>
      </c>
      <c r="C1878" t="s">
        <v>3226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1</v>
      </c>
      <c r="J1878" s="26">
        <v>0</v>
      </c>
      <c r="K1878" s="26">
        <v>0</v>
      </c>
      <c r="L1878" s="26">
        <v>0</v>
      </c>
      <c r="M1878">
        <v>1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11</v>
      </c>
      <c r="AK1878">
        <v>4</v>
      </c>
      <c r="AL1878">
        <v>3</v>
      </c>
      <c r="AM1878">
        <v>6</v>
      </c>
      <c r="AN1878" s="18">
        <v>0</v>
      </c>
      <c r="AO1878" s="18">
        <v>0</v>
      </c>
      <c r="AP1878" s="18">
        <v>0</v>
      </c>
      <c r="AQ1878" s="18">
        <v>0</v>
      </c>
      <c r="AR1878" s="29">
        <v>0</v>
      </c>
      <c r="AS1878" s="29">
        <v>0</v>
      </c>
      <c r="AT1878" s="29">
        <v>1</v>
      </c>
      <c r="AU1878" s="24" t="str">
        <f t="shared" si="30"/>
        <v>库存为1</v>
      </c>
      <c r="AV1878" s="31" t="str">
        <f>IFERROR(时间!$B$4+AU1878,"上周无销量")</f>
        <v>上周无销量</v>
      </c>
      <c r="AW1878" s="31"/>
    </row>
    <row r="1879" spans="1:49">
      <c r="A1879" s="16" t="s">
        <v>3228</v>
      </c>
      <c r="B1879" t="s">
        <v>3229</v>
      </c>
      <c r="C1879" t="s">
        <v>3230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0</v>
      </c>
      <c r="AK1879">
        <v>0</v>
      </c>
      <c r="AL1879">
        <v>0</v>
      </c>
      <c r="AM1879">
        <v>0</v>
      </c>
      <c r="AN1879" s="18" t="s">
        <v>52</v>
      </c>
      <c r="AO1879" s="18" t="s">
        <v>52</v>
      </c>
      <c r="AP1879" s="18" t="s">
        <v>52</v>
      </c>
      <c r="AQ1879" s="18" t="s">
        <v>52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3231</v>
      </c>
      <c r="B1880" t="s">
        <v>3232</v>
      </c>
      <c r="C1880" t="s">
        <v>3230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1</v>
      </c>
      <c r="AK1880">
        <v>1</v>
      </c>
      <c r="AL1880">
        <v>1</v>
      </c>
      <c r="AM1880">
        <v>1</v>
      </c>
      <c r="AN1880" s="18">
        <v>0</v>
      </c>
      <c r="AO1880" s="18">
        <v>0</v>
      </c>
      <c r="AP1880" s="18">
        <v>0</v>
      </c>
      <c r="AQ1880" s="18">
        <v>0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3233</v>
      </c>
      <c r="B1881" t="s">
        <v>3234</v>
      </c>
      <c r="C1881" t="s">
        <v>3230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0</v>
      </c>
      <c r="AK1881">
        <v>0</v>
      </c>
      <c r="AL1881">
        <v>0</v>
      </c>
      <c r="AM1881">
        <v>0</v>
      </c>
      <c r="AN1881" s="18" t="s">
        <v>52</v>
      </c>
      <c r="AO1881" s="18" t="s">
        <v>52</v>
      </c>
      <c r="AP1881" s="18" t="s">
        <v>52</v>
      </c>
      <c r="AQ1881" s="18" t="s">
        <v>52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3235</v>
      </c>
      <c r="B1882" t="s">
        <v>3236</v>
      </c>
      <c r="C1882" t="s">
        <v>3230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0</v>
      </c>
      <c r="J1882" s="26">
        <v>0</v>
      </c>
      <c r="K1882" s="26">
        <v>0</v>
      </c>
      <c r="L1882" s="26">
        <v>0</v>
      </c>
      <c r="M1882">
        <v>0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4</v>
      </c>
      <c r="AK1882">
        <v>1</v>
      </c>
      <c r="AL1882">
        <v>3</v>
      </c>
      <c r="AM1882">
        <v>2</v>
      </c>
      <c r="AN1882" s="18">
        <v>0</v>
      </c>
      <c r="AO1882" s="18">
        <v>0</v>
      </c>
      <c r="AP1882" s="18">
        <v>0</v>
      </c>
      <c r="AQ1882" s="18">
        <v>0</v>
      </c>
      <c r="AR1882" s="29">
        <v>0</v>
      </c>
      <c r="AS1882" s="29">
        <v>0</v>
      </c>
      <c r="AT1882" s="29">
        <v>0</v>
      </c>
      <c r="AU1882" s="24" t="str">
        <f t="shared" si="3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3237</v>
      </c>
      <c r="B1883" t="s">
        <v>3238</v>
      </c>
      <c r="C1883" t="s">
        <v>3230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0</v>
      </c>
      <c r="AK1883">
        <v>0</v>
      </c>
      <c r="AL1883">
        <v>0</v>
      </c>
      <c r="AM1883">
        <v>0</v>
      </c>
      <c r="AN1883" s="18" t="s">
        <v>52</v>
      </c>
      <c r="AO1883" s="18" t="s">
        <v>52</v>
      </c>
      <c r="AP1883" s="18" t="s">
        <v>52</v>
      </c>
      <c r="AQ1883" s="18" t="s">
        <v>52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3239</v>
      </c>
      <c r="B1884" t="s">
        <v>3240</v>
      </c>
      <c r="C1884" t="s">
        <v>3230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0</v>
      </c>
      <c r="AK1884">
        <v>0</v>
      </c>
      <c r="AL1884">
        <v>0</v>
      </c>
      <c r="AM1884">
        <v>0</v>
      </c>
      <c r="AN1884" s="18" t="s">
        <v>52</v>
      </c>
      <c r="AO1884" s="18" t="s">
        <v>52</v>
      </c>
      <c r="AP1884" s="18" t="s">
        <v>52</v>
      </c>
      <c r="AQ1884" s="18" t="s">
        <v>52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3241</v>
      </c>
      <c r="B1885" t="s">
        <v>3242</v>
      </c>
      <c r="C1885" t="s">
        <v>3230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0</v>
      </c>
      <c r="AK1885">
        <v>0</v>
      </c>
      <c r="AL1885">
        <v>0</v>
      </c>
      <c r="AM1885">
        <v>0</v>
      </c>
      <c r="AN1885" s="18" t="s">
        <v>52</v>
      </c>
      <c r="AO1885" s="18" t="s">
        <v>52</v>
      </c>
      <c r="AP1885" s="18" t="s">
        <v>52</v>
      </c>
      <c r="AQ1885" s="18" t="s">
        <v>52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3243</v>
      </c>
      <c r="B1886" t="s">
        <v>3244</v>
      </c>
      <c r="C1886" t="s">
        <v>3230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0</v>
      </c>
      <c r="K1886" s="26">
        <v>0</v>
      </c>
      <c r="L1886" s="26">
        <v>0</v>
      </c>
      <c r="M1886">
        <v>0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0</v>
      </c>
      <c r="AK1886">
        <v>0</v>
      </c>
      <c r="AL1886">
        <v>0</v>
      </c>
      <c r="AM1886">
        <v>0</v>
      </c>
      <c r="AN1886" s="18" t="s">
        <v>52</v>
      </c>
      <c r="AO1886" s="18" t="s">
        <v>52</v>
      </c>
      <c r="AP1886" s="18" t="s">
        <v>52</v>
      </c>
      <c r="AQ1886" s="18" t="s">
        <v>52</v>
      </c>
      <c r="AR1886" s="29">
        <v>0</v>
      </c>
      <c r="AS1886" s="29">
        <v>0</v>
      </c>
      <c r="AT1886" s="29">
        <v>0</v>
      </c>
      <c r="AU1886" s="24" t="str">
        <f t="shared" si="3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3245</v>
      </c>
      <c r="B1887" t="s">
        <v>3246</v>
      </c>
      <c r="C1887" t="s">
        <v>3230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0</v>
      </c>
      <c r="AK1887">
        <v>0</v>
      </c>
      <c r="AL1887">
        <v>0</v>
      </c>
      <c r="AM1887">
        <v>0</v>
      </c>
      <c r="AN1887" s="18" t="s">
        <v>52</v>
      </c>
      <c r="AO1887" s="18" t="s">
        <v>52</v>
      </c>
      <c r="AP1887" s="18" t="s">
        <v>52</v>
      </c>
      <c r="AQ1887" s="18" t="s">
        <v>52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3247</v>
      </c>
      <c r="B1888" t="s">
        <v>3248</v>
      </c>
      <c r="C1888" t="s">
        <v>3230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0</v>
      </c>
      <c r="J1888" s="26">
        <v>0</v>
      </c>
      <c r="K1888" s="26">
        <v>0</v>
      </c>
      <c r="L1888" s="26">
        <v>0</v>
      </c>
      <c r="M1888">
        <v>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3</v>
      </c>
      <c r="AK1888">
        <v>2</v>
      </c>
      <c r="AL1888">
        <v>4</v>
      </c>
      <c r="AM1888">
        <v>1</v>
      </c>
      <c r="AN1888" s="18">
        <v>0</v>
      </c>
      <c r="AO1888" s="18">
        <v>0</v>
      </c>
      <c r="AP1888" s="18">
        <v>0</v>
      </c>
      <c r="AQ1888" s="18">
        <v>0</v>
      </c>
      <c r="AR1888" s="29">
        <v>0</v>
      </c>
      <c r="AS1888" s="29">
        <v>0</v>
      </c>
      <c r="AT1888" s="29">
        <v>0</v>
      </c>
      <c r="AU1888" s="24" t="str">
        <f t="shared" si="3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3249</v>
      </c>
      <c r="B1889" t="s">
        <v>3250</v>
      </c>
      <c r="C1889" t="s">
        <v>3230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0</v>
      </c>
      <c r="AK1889">
        <v>0</v>
      </c>
      <c r="AL1889">
        <v>0</v>
      </c>
      <c r="AM1889">
        <v>0</v>
      </c>
      <c r="AN1889" s="18" t="s">
        <v>52</v>
      </c>
      <c r="AO1889" s="18" t="s">
        <v>52</v>
      </c>
      <c r="AP1889" s="18" t="s">
        <v>52</v>
      </c>
      <c r="AQ1889" s="18" t="s">
        <v>52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3251</v>
      </c>
      <c r="B1890" t="s">
        <v>3252</v>
      </c>
      <c r="C1890" t="s">
        <v>3230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2</v>
      </c>
      <c r="AK1890">
        <v>3</v>
      </c>
      <c r="AL1890">
        <v>2</v>
      </c>
      <c r="AM1890">
        <v>4</v>
      </c>
      <c r="AN1890" s="18">
        <v>0</v>
      </c>
      <c r="AO1890" s="18">
        <v>0</v>
      </c>
      <c r="AP1890" s="18">
        <v>0</v>
      </c>
      <c r="AQ1890" s="18">
        <v>0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3253</v>
      </c>
      <c r="B1891" t="s">
        <v>3254</v>
      </c>
      <c r="C1891" t="s">
        <v>3230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0</v>
      </c>
      <c r="AK1891">
        <v>2</v>
      </c>
      <c r="AL1891">
        <v>1</v>
      </c>
      <c r="AM1891">
        <v>2</v>
      </c>
      <c r="AN1891" s="18" t="s">
        <v>52</v>
      </c>
      <c r="AO1891" s="18">
        <v>0</v>
      </c>
      <c r="AP1891" s="18">
        <v>0</v>
      </c>
      <c r="AQ1891" s="18">
        <v>0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3255</v>
      </c>
      <c r="B1892" t="s">
        <v>3256</v>
      </c>
      <c r="C1892" t="s">
        <v>3230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0</v>
      </c>
      <c r="J1892" s="26">
        <v>0</v>
      </c>
      <c r="K1892" s="26">
        <v>0</v>
      </c>
      <c r="L1892" s="26">
        <v>0</v>
      </c>
      <c r="M1892">
        <v>0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3</v>
      </c>
      <c r="AK1892">
        <v>2</v>
      </c>
      <c r="AL1892">
        <v>5</v>
      </c>
      <c r="AM1892">
        <v>1</v>
      </c>
      <c r="AN1892" s="18">
        <v>0</v>
      </c>
      <c r="AO1892" s="18">
        <v>0</v>
      </c>
      <c r="AP1892" s="18">
        <v>0</v>
      </c>
      <c r="AQ1892" s="18">
        <v>0</v>
      </c>
      <c r="AR1892" s="29">
        <v>0</v>
      </c>
      <c r="AS1892" s="29">
        <v>0</v>
      </c>
      <c r="AT1892" s="29">
        <v>0</v>
      </c>
      <c r="AU1892" s="24" t="str">
        <f t="shared" si="3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3257</v>
      </c>
      <c r="B1893" t="s">
        <v>3258</v>
      </c>
      <c r="C1893" t="s">
        <v>3230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0</v>
      </c>
      <c r="AK1893">
        <v>0</v>
      </c>
      <c r="AL1893">
        <v>0</v>
      </c>
      <c r="AM1893">
        <v>0</v>
      </c>
      <c r="AN1893" s="18" t="s">
        <v>52</v>
      </c>
      <c r="AO1893" s="18" t="s">
        <v>52</v>
      </c>
      <c r="AP1893" s="18" t="s">
        <v>52</v>
      </c>
      <c r="AQ1893" s="18" t="s">
        <v>52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3259</v>
      </c>
      <c r="B1894" t="s">
        <v>3260</v>
      </c>
      <c r="C1894" t="s">
        <v>3230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0</v>
      </c>
      <c r="K1894" s="26">
        <v>0</v>
      </c>
      <c r="L1894" s="26">
        <v>0</v>
      </c>
      <c r="M1894">
        <v>0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0</v>
      </c>
      <c r="AK1894">
        <v>0</v>
      </c>
      <c r="AL1894">
        <v>3</v>
      </c>
      <c r="AM1894">
        <v>2</v>
      </c>
      <c r="AN1894" s="18" t="s">
        <v>52</v>
      </c>
      <c r="AO1894" s="18" t="s">
        <v>52</v>
      </c>
      <c r="AP1894" s="18">
        <v>0</v>
      </c>
      <c r="AQ1894" s="18">
        <v>0</v>
      </c>
      <c r="AR1894" s="29">
        <v>0</v>
      </c>
      <c r="AS1894" s="29">
        <v>0</v>
      </c>
      <c r="AT1894" s="29">
        <v>0</v>
      </c>
      <c r="AU1894" s="24" t="str">
        <f t="shared" si="30"/>
        <v>库存为0</v>
      </c>
      <c r="AV1894" s="31" t="str">
        <f>IFERROR(时间!$B$4+AU1894,"上周无销量")</f>
        <v>上周无销量</v>
      </c>
    </row>
    <row r="1895" spans="1:48">
      <c r="A1895" s="16" t="s">
        <v>3261</v>
      </c>
      <c r="B1895" t="s">
        <v>3262</v>
      </c>
      <c r="C1895" t="s">
        <v>3230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0</v>
      </c>
      <c r="J1895" s="26">
        <v>0</v>
      </c>
      <c r="K1895" s="26">
        <v>0</v>
      </c>
      <c r="L1895" s="26">
        <v>0</v>
      </c>
      <c r="M1895">
        <v>0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0</v>
      </c>
      <c r="AK1895">
        <v>0</v>
      </c>
      <c r="AL1895">
        <v>0</v>
      </c>
      <c r="AM1895">
        <v>0</v>
      </c>
      <c r="AN1895" s="18" t="s">
        <v>52</v>
      </c>
      <c r="AO1895" s="18" t="s">
        <v>52</v>
      </c>
      <c r="AP1895" s="18" t="s">
        <v>52</v>
      </c>
      <c r="AQ1895" s="18" t="s">
        <v>52</v>
      </c>
      <c r="AR1895" s="29">
        <v>0</v>
      </c>
      <c r="AS1895" s="29">
        <v>0</v>
      </c>
      <c r="AT1895" s="29">
        <v>0</v>
      </c>
      <c r="AU1895" s="24" t="str">
        <f t="shared" si="30"/>
        <v>库存为0</v>
      </c>
      <c r="AV1895" s="31" t="str">
        <f>IFERROR(时间!$B$4+AU1895,"上周无销量")</f>
        <v>上周无销量</v>
      </c>
    </row>
    <row r="1896" spans="1:48">
      <c r="A1896" s="16" t="s">
        <v>3263</v>
      </c>
      <c r="B1896" t="s">
        <v>3264</v>
      </c>
      <c r="C1896" t="s">
        <v>3230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0</v>
      </c>
      <c r="AK1896">
        <v>0</v>
      </c>
      <c r="AL1896">
        <v>2</v>
      </c>
      <c r="AM1896">
        <v>3</v>
      </c>
      <c r="AN1896" s="18" t="s">
        <v>52</v>
      </c>
      <c r="AO1896" s="18" t="s">
        <v>52</v>
      </c>
      <c r="AP1896" s="18">
        <v>0</v>
      </c>
      <c r="AQ1896" s="18">
        <v>0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3265</v>
      </c>
      <c r="B1897" t="s">
        <v>3266</v>
      </c>
      <c r="C1897" t="s">
        <v>3230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0</v>
      </c>
      <c r="AN1897" s="18" t="s">
        <v>52</v>
      </c>
      <c r="AO1897" s="18" t="s">
        <v>52</v>
      </c>
      <c r="AP1897" s="18" t="s">
        <v>52</v>
      </c>
      <c r="AQ1897" s="18" t="s">
        <v>52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3267</v>
      </c>
      <c r="B1898" t="s">
        <v>3268</v>
      </c>
      <c r="C1898" t="s">
        <v>3230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3269</v>
      </c>
      <c r="B1899" t="s">
        <v>3270</v>
      </c>
      <c r="C1899" t="s">
        <v>3230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1</v>
      </c>
      <c r="AK1899">
        <v>2</v>
      </c>
      <c r="AL1899">
        <v>3</v>
      </c>
      <c r="AM1899">
        <v>1</v>
      </c>
      <c r="AN1899" s="18">
        <v>0</v>
      </c>
      <c r="AO1899" s="18">
        <v>0</v>
      </c>
      <c r="AP1899" s="18">
        <v>0</v>
      </c>
      <c r="AQ1899" s="18">
        <v>0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3271</v>
      </c>
      <c r="B1900" t="s">
        <v>3272</v>
      </c>
      <c r="C1900" t="s">
        <v>3230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1</v>
      </c>
      <c r="AK1900">
        <v>2</v>
      </c>
      <c r="AL1900">
        <v>3</v>
      </c>
      <c r="AM1900">
        <v>0</v>
      </c>
      <c r="AN1900" s="18">
        <v>0</v>
      </c>
      <c r="AO1900" s="18">
        <v>0</v>
      </c>
      <c r="AP1900" s="18">
        <v>0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3273</v>
      </c>
      <c r="B1901" t="s">
        <v>3274</v>
      </c>
      <c r="C1901" t="s">
        <v>3230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3</v>
      </c>
      <c r="AK1901">
        <v>2</v>
      </c>
      <c r="AL1901">
        <v>1</v>
      </c>
      <c r="AM1901">
        <v>1</v>
      </c>
      <c r="AN1901" s="18">
        <v>0</v>
      </c>
      <c r="AO1901" s="18">
        <v>0</v>
      </c>
      <c r="AP1901" s="18">
        <v>0</v>
      </c>
      <c r="AQ1901" s="18">
        <v>0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3275</v>
      </c>
      <c r="B1902" t="s">
        <v>3276</v>
      </c>
      <c r="C1902" t="s">
        <v>3230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2</v>
      </c>
      <c r="AK1902">
        <v>1</v>
      </c>
      <c r="AL1902">
        <v>3</v>
      </c>
      <c r="AM1902">
        <v>2</v>
      </c>
      <c r="AN1902" s="18">
        <v>0</v>
      </c>
      <c r="AO1902" s="18">
        <v>0</v>
      </c>
      <c r="AP1902" s="18">
        <v>0</v>
      </c>
      <c r="AQ1902" s="18">
        <v>0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3277</v>
      </c>
      <c r="B1903" t="s">
        <v>3278</v>
      </c>
      <c r="C1903" t="s">
        <v>3279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1</v>
      </c>
      <c r="AK1903">
        <v>4</v>
      </c>
      <c r="AL1903">
        <v>3</v>
      </c>
      <c r="AM1903">
        <v>3</v>
      </c>
      <c r="AN1903" s="18">
        <v>0</v>
      </c>
      <c r="AO1903" s="18">
        <v>0</v>
      </c>
      <c r="AP1903" s="18">
        <v>0</v>
      </c>
      <c r="AQ1903" s="18">
        <v>0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3280</v>
      </c>
      <c r="B1904" t="s">
        <v>3281</v>
      </c>
      <c r="C1904" t="s">
        <v>3279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1</v>
      </c>
      <c r="AK1904">
        <v>4</v>
      </c>
      <c r="AL1904">
        <v>3</v>
      </c>
      <c r="AM1904">
        <v>2</v>
      </c>
      <c r="AN1904" s="18">
        <v>0</v>
      </c>
      <c r="AO1904" s="18">
        <v>0</v>
      </c>
      <c r="AP1904" s="18">
        <v>0</v>
      </c>
      <c r="AQ1904" s="18">
        <v>0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3282</v>
      </c>
      <c r="B1905" t="s">
        <v>3283</v>
      </c>
      <c r="C1905" t="s">
        <v>3279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27</v>
      </c>
      <c r="AK1905">
        <v>17</v>
      </c>
      <c r="AL1905">
        <v>5</v>
      </c>
      <c r="AM1905">
        <v>4</v>
      </c>
      <c r="AN1905" s="18">
        <v>0</v>
      </c>
      <c r="AO1905" s="18">
        <v>0</v>
      </c>
      <c r="AP1905" s="18">
        <v>0</v>
      </c>
      <c r="AQ1905" s="18">
        <v>0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3284</v>
      </c>
      <c r="B1906" t="s">
        <v>3285</v>
      </c>
      <c r="C1906" t="s">
        <v>3279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0</v>
      </c>
      <c r="AK1906">
        <v>1</v>
      </c>
      <c r="AL1906">
        <v>0</v>
      </c>
      <c r="AM1906">
        <v>3</v>
      </c>
      <c r="AN1906" s="18" t="s">
        <v>52</v>
      </c>
      <c r="AO1906" s="18">
        <v>0</v>
      </c>
      <c r="AP1906" s="18" t="s">
        <v>52</v>
      </c>
      <c r="AQ1906" s="18">
        <v>0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3286</v>
      </c>
      <c r="B1907" t="s">
        <v>3287</v>
      </c>
      <c r="C1907" t="s">
        <v>3279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2</v>
      </c>
      <c r="AK1907">
        <v>3</v>
      </c>
      <c r="AL1907">
        <v>1</v>
      </c>
      <c r="AM1907">
        <v>1</v>
      </c>
      <c r="AN1907" s="18">
        <v>0</v>
      </c>
      <c r="AO1907" s="18">
        <v>0</v>
      </c>
      <c r="AP1907" s="18">
        <v>0</v>
      </c>
      <c r="AQ1907" s="18">
        <v>0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3288</v>
      </c>
      <c r="B1908" t="s">
        <v>3289</v>
      </c>
      <c r="C1908" t="s">
        <v>3279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2</v>
      </c>
      <c r="AK1908">
        <v>3</v>
      </c>
      <c r="AL1908">
        <v>3</v>
      </c>
      <c r="AM1908">
        <v>3</v>
      </c>
      <c r="AN1908" s="18">
        <v>0</v>
      </c>
      <c r="AO1908" s="18">
        <v>0</v>
      </c>
      <c r="AP1908" s="18">
        <v>0</v>
      </c>
      <c r="AQ1908" s="18">
        <v>0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3290</v>
      </c>
      <c r="B1909" t="s">
        <v>3291</v>
      </c>
      <c r="C1909" t="s">
        <v>3279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3292</v>
      </c>
      <c r="B1910" t="s">
        <v>3293</v>
      </c>
      <c r="C1910" t="s">
        <v>3279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1</v>
      </c>
      <c r="AK1910">
        <v>2</v>
      </c>
      <c r="AL1910">
        <v>4</v>
      </c>
      <c r="AM1910">
        <v>2</v>
      </c>
      <c r="AN1910" s="18">
        <v>0</v>
      </c>
      <c r="AO1910" s="18">
        <v>0</v>
      </c>
      <c r="AP1910" s="18">
        <v>0</v>
      </c>
      <c r="AQ1910" s="18">
        <v>0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3294</v>
      </c>
      <c r="B1911" t="s">
        <v>3295</v>
      </c>
      <c r="C1911" t="s">
        <v>3279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4</v>
      </c>
      <c r="AK1911">
        <v>4</v>
      </c>
      <c r="AL1911">
        <v>6</v>
      </c>
      <c r="AM1911">
        <v>0</v>
      </c>
      <c r="AN1911" s="18">
        <v>0</v>
      </c>
      <c r="AO1911" s="18">
        <v>0</v>
      </c>
      <c r="AP1911" s="18">
        <v>0</v>
      </c>
      <c r="AQ1911" s="18" t="s">
        <v>52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3296</v>
      </c>
      <c r="B1912" t="s">
        <v>3297</v>
      </c>
      <c r="C1912" t="s">
        <v>3279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>
        <v>0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3</v>
      </c>
      <c r="AK1912">
        <v>4</v>
      </c>
      <c r="AL1912">
        <v>3</v>
      </c>
      <c r="AM1912">
        <v>2</v>
      </c>
      <c r="AN1912" s="18">
        <v>0</v>
      </c>
      <c r="AO1912" s="18">
        <v>0</v>
      </c>
      <c r="AP1912" s="18">
        <v>0</v>
      </c>
      <c r="AQ1912" s="18">
        <v>0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3298</v>
      </c>
      <c r="B1913" t="s">
        <v>3299</v>
      </c>
      <c r="C1913" t="s">
        <v>3279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3</v>
      </c>
      <c r="AK1913">
        <v>1</v>
      </c>
      <c r="AL1913">
        <v>1</v>
      </c>
      <c r="AM1913">
        <v>2</v>
      </c>
      <c r="AN1913" s="18">
        <v>0</v>
      </c>
      <c r="AO1913" s="18">
        <v>0</v>
      </c>
      <c r="AP1913" s="18">
        <v>0</v>
      </c>
      <c r="AQ1913" s="18">
        <v>0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3300</v>
      </c>
      <c r="B1914" t="s">
        <v>3301</v>
      </c>
      <c r="C1914" t="s">
        <v>3279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2</v>
      </c>
      <c r="AK1914">
        <v>1</v>
      </c>
      <c r="AL1914">
        <v>1</v>
      </c>
      <c r="AM1914">
        <v>3</v>
      </c>
      <c r="AN1914" s="18">
        <v>0</v>
      </c>
      <c r="AO1914" s="18">
        <v>0</v>
      </c>
      <c r="AP1914" s="18">
        <v>0</v>
      </c>
      <c r="AQ1914" s="18">
        <v>0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3302</v>
      </c>
      <c r="B1915" t="s">
        <v>3303</v>
      </c>
      <c r="C1915" t="s">
        <v>3279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4</v>
      </c>
      <c r="AK1915">
        <v>3</v>
      </c>
      <c r="AL1915">
        <v>4</v>
      </c>
      <c r="AM1915">
        <v>4</v>
      </c>
      <c r="AN1915" s="18">
        <v>0</v>
      </c>
      <c r="AO1915" s="18">
        <v>0</v>
      </c>
      <c r="AP1915" s="18">
        <v>0</v>
      </c>
      <c r="AQ1915" s="18">
        <v>0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3304</v>
      </c>
      <c r="B1916" t="s">
        <v>3305</v>
      </c>
      <c r="C1916" t="s">
        <v>3279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1</v>
      </c>
      <c r="AK1916">
        <v>1</v>
      </c>
      <c r="AL1916">
        <v>3</v>
      </c>
      <c r="AM1916">
        <v>2</v>
      </c>
      <c r="AN1916" s="18">
        <v>0</v>
      </c>
      <c r="AO1916" s="18">
        <v>0</v>
      </c>
      <c r="AP1916" s="18">
        <v>0</v>
      </c>
      <c r="AQ1916" s="18">
        <v>0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3306</v>
      </c>
      <c r="B1917" t="s">
        <v>3307</v>
      </c>
      <c r="C1917" t="s">
        <v>3279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>
        <v>0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5</v>
      </c>
      <c r="AK1917">
        <v>0</v>
      </c>
      <c r="AL1917">
        <v>2</v>
      </c>
      <c r="AM1917">
        <v>1</v>
      </c>
      <c r="AN1917" s="18">
        <v>0</v>
      </c>
      <c r="AO1917" s="18" t="s">
        <v>52</v>
      </c>
      <c r="AP1917" s="18">
        <v>0</v>
      </c>
      <c r="AQ1917" s="18">
        <v>0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3308</v>
      </c>
      <c r="B1918" t="s">
        <v>3309</v>
      </c>
      <c r="C1918" t="s">
        <v>3279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0</v>
      </c>
      <c r="AK1918">
        <v>2</v>
      </c>
      <c r="AL1918">
        <v>1</v>
      </c>
      <c r="AM1918">
        <v>2</v>
      </c>
      <c r="AN1918" s="18" t="s">
        <v>52</v>
      </c>
      <c r="AO1918" s="18">
        <v>0</v>
      </c>
      <c r="AP1918" s="18">
        <v>0</v>
      </c>
      <c r="AQ1918" s="18">
        <v>0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3310</v>
      </c>
      <c r="B1919" t="s">
        <v>3311</v>
      </c>
      <c r="C1919" t="s">
        <v>3279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1</v>
      </c>
      <c r="AK1919">
        <v>3</v>
      </c>
      <c r="AL1919">
        <v>4</v>
      </c>
      <c r="AM1919">
        <v>0</v>
      </c>
      <c r="AN1919" s="18">
        <v>0</v>
      </c>
      <c r="AO1919" s="18">
        <v>0</v>
      </c>
      <c r="AP1919" s="18">
        <v>0</v>
      </c>
      <c r="AQ1919" s="18" t="s">
        <v>52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3312</v>
      </c>
      <c r="B1920" t="s">
        <v>3313</v>
      </c>
      <c r="C1920" t="s">
        <v>3279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1</v>
      </c>
      <c r="AK1920">
        <v>2</v>
      </c>
      <c r="AL1920">
        <v>2</v>
      </c>
      <c r="AM1920">
        <v>2</v>
      </c>
      <c r="AN1920" s="18">
        <v>0</v>
      </c>
      <c r="AO1920" s="18">
        <v>0</v>
      </c>
      <c r="AP1920" s="18">
        <v>0</v>
      </c>
      <c r="AQ1920" s="18">
        <v>0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3314</v>
      </c>
      <c r="B1921" t="s">
        <v>3315</v>
      </c>
      <c r="C1921" t="s">
        <v>3279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2</v>
      </c>
      <c r="AK1921">
        <v>1</v>
      </c>
      <c r="AL1921">
        <v>5</v>
      </c>
      <c r="AM1921">
        <v>3</v>
      </c>
      <c r="AN1921" s="18">
        <v>0</v>
      </c>
      <c r="AO1921" s="18">
        <v>0</v>
      </c>
      <c r="AP1921" s="18">
        <v>0</v>
      </c>
      <c r="AQ1921" s="18">
        <v>0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3316</v>
      </c>
      <c r="B1922" t="s">
        <v>3317</v>
      </c>
      <c r="C1922" t="s">
        <v>3279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2</v>
      </c>
      <c r="AK1922">
        <v>1</v>
      </c>
      <c r="AL1922">
        <v>4</v>
      </c>
      <c r="AM1922">
        <v>2</v>
      </c>
      <c r="AN1922" s="18">
        <v>0</v>
      </c>
      <c r="AO1922" s="18">
        <v>0</v>
      </c>
      <c r="AP1922" s="18">
        <v>0</v>
      </c>
      <c r="AQ1922" s="18">
        <v>0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3318</v>
      </c>
      <c r="B1923" t="s">
        <v>3319</v>
      </c>
      <c r="C1923" t="s">
        <v>3320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0</v>
      </c>
      <c r="AK1923">
        <v>5</v>
      </c>
      <c r="AL1923">
        <v>4</v>
      </c>
      <c r="AM1923">
        <v>3</v>
      </c>
      <c r="AN1923" s="18" t="s">
        <v>52</v>
      </c>
      <c r="AO1923" s="18">
        <v>0</v>
      </c>
      <c r="AP1923" s="18">
        <v>0</v>
      </c>
      <c r="AQ1923" s="18">
        <v>0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3321</v>
      </c>
      <c r="B1924" t="s">
        <v>3322</v>
      </c>
      <c r="C1924" t="s">
        <v>3320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4</v>
      </c>
      <c r="AK1924">
        <v>6</v>
      </c>
      <c r="AL1924">
        <v>5</v>
      </c>
      <c r="AM1924">
        <v>3</v>
      </c>
      <c r="AN1924" s="18">
        <v>0</v>
      </c>
      <c r="AO1924" s="18">
        <v>0</v>
      </c>
      <c r="AP1924" s="18">
        <v>0</v>
      </c>
      <c r="AQ1924" s="18">
        <v>0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3323</v>
      </c>
      <c r="B1925" t="s">
        <v>3324</v>
      </c>
      <c r="C1925" t="s">
        <v>3320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0</v>
      </c>
      <c r="AK1925">
        <v>0</v>
      </c>
      <c r="AL1925">
        <v>0</v>
      </c>
      <c r="AM1925">
        <v>0</v>
      </c>
      <c r="AN1925" s="18" t="s">
        <v>52</v>
      </c>
      <c r="AO1925" s="18" t="s">
        <v>52</v>
      </c>
      <c r="AP1925" s="18" t="s">
        <v>52</v>
      </c>
      <c r="AQ1925" s="18" t="s">
        <v>52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3325</v>
      </c>
      <c r="B1926" t="s">
        <v>3326</v>
      </c>
      <c r="C1926" t="s">
        <v>3320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0</v>
      </c>
      <c r="AK1926">
        <v>0</v>
      </c>
      <c r="AL1926">
        <v>0</v>
      </c>
      <c r="AM1926">
        <v>0</v>
      </c>
      <c r="AN1926" s="18" t="s">
        <v>52</v>
      </c>
      <c r="AO1926" s="18" t="s">
        <v>52</v>
      </c>
      <c r="AP1926" s="18" t="s">
        <v>52</v>
      </c>
      <c r="AQ1926" s="18" t="s">
        <v>52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3327</v>
      </c>
      <c r="B1927" t="s">
        <v>3328</v>
      </c>
      <c r="C1927" t="s">
        <v>3320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0</v>
      </c>
      <c r="AK1927">
        <v>0</v>
      </c>
      <c r="AL1927">
        <v>0</v>
      </c>
      <c r="AM1927">
        <v>0</v>
      </c>
      <c r="AN1927" s="18" t="s">
        <v>52</v>
      </c>
      <c r="AO1927" s="18" t="s">
        <v>52</v>
      </c>
      <c r="AP1927" s="18" t="s">
        <v>52</v>
      </c>
      <c r="AQ1927" s="18" t="s">
        <v>52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3329</v>
      </c>
      <c r="B1928" t="s">
        <v>3330</v>
      </c>
      <c r="C1928" t="s">
        <v>3320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0</v>
      </c>
      <c r="AK1928">
        <v>0</v>
      </c>
      <c r="AL1928">
        <v>0</v>
      </c>
      <c r="AM1928">
        <v>0</v>
      </c>
      <c r="AN1928" s="18" t="s">
        <v>52</v>
      </c>
      <c r="AO1928" s="18" t="s">
        <v>52</v>
      </c>
      <c r="AP1928" s="18" t="s">
        <v>52</v>
      </c>
      <c r="AQ1928" s="18" t="s">
        <v>52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3331</v>
      </c>
      <c r="B1929" t="s">
        <v>3332</v>
      </c>
      <c r="C1929" t="s">
        <v>3320</v>
      </c>
      <c r="D1929" s="24">
        <v>0</v>
      </c>
      <c r="E1929" s="24">
        <v>0</v>
      </c>
      <c r="F1929" s="24">
        <v>0</v>
      </c>
      <c r="G1929" s="24">
        <v>0</v>
      </c>
      <c r="H1929" s="25">
        <v>0</v>
      </c>
      <c r="I1929">
        <v>0</v>
      </c>
      <c r="J1929" s="26">
        <v>0</v>
      </c>
      <c r="K1929" s="26">
        <v>0</v>
      </c>
      <c r="L1929" s="26">
        <v>0</v>
      </c>
      <c r="M1929">
        <v>0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0</v>
      </c>
      <c r="AK1929">
        <v>0</v>
      </c>
      <c r="AL1929">
        <v>0</v>
      </c>
      <c r="AM1929">
        <v>0</v>
      </c>
      <c r="AN1929" s="18" t="s">
        <v>52</v>
      </c>
      <c r="AO1929" s="18" t="s">
        <v>52</v>
      </c>
      <c r="AP1929" s="18" t="s">
        <v>52</v>
      </c>
      <c r="AQ1929" s="18" t="s">
        <v>52</v>
      </c>
      <c r="AR1929" s="29">
        <v>0</v>
      </c>
      <c r="AS1929" s="29">
        <v>0</v>
      </c>
      <c r="AT1929" s="29">
        <v>0</v>
      </c>
      <c r="AU1929" s="24" t="str">
        <f t="shared" si="31"/>
        <v>库存为0</v>
      </c>
      <c r="AV1929" s="31" t="str">
        <f>IFERROR(时间!$B$4+AU1929,"上周无销量")</f>
        <v>上周无销量</v>
      </c>
    </row>
    <row r="1930" spans="1:48">
      <c r="A1930" s="16" t="s">
        <v>3333</v>
      </c>
      <c r="B1930" t="s">
        <v>3334</v>
      </c>
      <c r="C1930" t="s">
        <v>3320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4</v>
      </c>
      <c r="AK1930">
        <v>4</v>
      </c>
      <c r="AL1930">
        <v>5</v>
      </c>
      <c r="AM1930">
        <v>3</v>
      </c>
      <c r="AN1930" s="18">
        <v>0</v>
      </c>
      <c r="AO1930" s="18">
        <v>0</v>
      </c>
      <c r="AP1930" s="18">
        <v>0</v>
      </c>
      <c r="AQ1930" s="18">
        <v>0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3335</v>
      </c>
      <c r="B1931" t="s">
        <v>3336</v>
      </c>
      <c r="C1931" t="s">
        <v>3320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0</v>
      </c>
      <c r="AK1931">
        <v>0</v>
      </c>
      <c r="AL1931">
        <v>0</v>
      </c>
      <c r="AM1931">
        <v>0</v>
      </c>
      <c r="AN1931" s="18" t="s">
        <v>52</v>
      </c>
      <c r="AO1931" s="18" t="s">
        <v>52</v>
      </c>
      <c r="AP1931" s="18" t="s">
        <v>52</v>
      </c>
      <c r="AQ1931" s="18" t="s">
        <v>52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3337</v>
      </c>
      <c r="B1932" t="s">
        <v>3338</v>
      </c>
      <c r="C1932" t="s">
        <v>3320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>
        <v>0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13</v>
      </c>
      <c r="AK1932">
        <v>8</v>
      </c>
      <c r="AL1932">
        <v>2</v>
      </c>
      <c r="AM1932">
        <v>2</v>
      </c>
      <c r="AN1932" s="18">
        <v>0</v>
      </c>
      <c r="AO1932" s="18">
        <v>0</v>
      </c>
      <c r="AP1932" s="18">
        <v>0</v>
      </c>
      <c r="AQ1932" s="18">
        <v>0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3339</v>
      </c>
      <c r="B1933" t="s">
        <v>3340</v>
      </c>
      <c r="C1933" t="s">
        <v>3320</v>
      </c>
      <c r="D1933" s="24">
        <v>0</v>
      </c>
      <c r="E1933" s="24">
        <v>0</v>
      </c>
      <c r="F1933" s="24">
        <v>0</v>
      </c>
      <c r="G1933" s="24">
        <v>0</v>
      </c>
      <c r="H1933" s="25">
        <v>0</v>
      </c>
      <c r="I1933">
        <v>0</v>
      </c>
      <c r="J1933" s="26">
        <v>0</v>
      </c>
      <c r="K1933" s="26">
        <v>0</v>
      </c>
      <c r="L1933" s="26">
        <v>0</v>
      </c>
      <c r="M1933">
        <v>0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0</v>
      </c>
      <c r="AK1933">
        <v>0</v>
      </c>
      <c r="AL1933">
        <v>0</v>
      </c>
      <c r="AM1933">
        <v>0</v>
      </c>
      <c r="AN1933" s="18" t="s">
        <v>52</v>
      </c>
      <c r="AO1933" s="18" t="s">
        <v>52</v>
      </c>
      <c r="AP1933" s="18" t="s">
        <v>52</v>
      </c>
      <c r="AQ1933" s="18" t="s">
        <v>52</v>
      </c>
      <c r="AR1933" s="29">
        <v>0</v>
      </c>
      <c r="AS1933" s="29">
        <v>0</v>
      </c>
      <c r="AT1933" s="29">
        <v>0</v>
      </c>
      <c r="AU1933" s="24" t="str">
        <f t="shared" si="31"/>
        <v>库存为0</v>
      </c>
      <c r="AV1933" s="31" t="str">
        <f>IFERROR(时间!$B$4+AU1933,"上周无销量")</f>
        <v>上周无销量</v>
      </c>
    </row>
    <row r="1934" spans="1:48">
      <c r="A1934" s="16" t="s">
        <v>3341</v>
      </c>
      <c r="B1934" t="s">
        <v>3342</v>
      </c>
      <c r="C1934" t="s">
        <v>3320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4</v>
      </c>
      <c r="AK1934">
        <v>1</v>
      </c>
      <c r="AL1934">
        <v>1</v>
      </c>
      <c r="AM1934">
        <v>2</v>
      </c>
      <c r="AN1934" s="18">
        <v>0</v>
      </c>
      <c r="AO1934" s="18">
        <v>0</v>
      </c>
      <c r="AP1934" s="18">
        <v>0</v>
      </c>
      <c r="AQ1934" s="18">
        <v>0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3343</v>
      </c>
      <c r="B1935" t="s">
        <v>3344</v>
      </c>
      <c r="C1935" t="s">
        <v>3320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0</v>
      </c>
      <c r="AK1935">
        <v>0</v>
      </c>
      <c r="AL1935">
        <v>0</v>
      </c>
      <c r="AM1935">
        <v>0</v>
      </c>
      <c r="AN1935" s="18" t="s">
        <v>52</v>
      </c>
      <c r="AO1935" s="18" t="s">
        <v>52</v>
      </c>
      <c r="AP1935" s="18" t="s">
        <v>52</v>
      </c>
      <c r="AQ1935" s="18" t="s">
        <v>52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3345</v>
      </c>
      <c r="B1936" t="s">
        <v>3346</v>
      </c>
      <c r="C1936" t="s">
        <v>3320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0</v>
      </c>
      <c r="AK1936">
        <v>0</v>
      </c>
      <c r="AL1936">
        <v>0</v>
      </c>
      <c r="AM1936">
        <v>0</v>
      </c>
      <c r="AN1936" s="18" t="s">
        <v>52</v>
      </c>
      <c r="AO1936" s="18" t="s">
        <v>52</v>
      </c>
      <c r="AP1936" s="18" t="s">
        <v>52</v>
      </c>
      <c r="AQ1936" s="18" t="s">
        <v>52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3347</v>
      </c>
      <c r="B1937" t="s">
        <v>3348</v>
      </c>
      <c r="C1937" t="s">
        <v>3320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0</v>
      </c>
      <c r="AL1937">
        <v>0</v>
      </c>
      <c r="AM1937">
        <v>0</v>
      </c>
      <c r="AN1937" s="18" t="s">
        <v>52</v>
      </c>
      <c r="AO1937" s="18" t="s">
        <v>52</v>
      </c>
      <c r="AP1937" s="18" t="s">
        <v>52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3349</v>
      </c>
      <c r="B1938" t="s">
        <v>3350</v>
      </c>
      <c r="C1938" t="s">
        <v>3320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0</v>
      </c>
      <c r="J1938" s="26">
        <v>0</v>
      </c>
      <c r="K1938" s="26">
        <v>0</v>
      </c>
      <c r="L1938" s="26">
        <v>0</v>
      </c>
      <c r="M1938">
        <v>0</v>
      </c>
      <c r="N1938">
        <v>0</v>
      </c>
      <c r="O1938">
        <v>0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0</v>
      </c>
      <c r="AK1938">
        <v>0</v>
      </c>
      <c r="AL1938">
        <v>0</v>
      </c>
      <c r="AM1938">
        <v>0</v>
      </c>
      <c r="AN1938" s="18" t="s">
        <v>52</v>
      </c>
      <c r="AO1938" s="18" t="s">
        <v>52</v>
      </c>
      <c r="AP1938" s="18" t="s">
        <v>52</v>
      </c>
      <c r="AQ1938" s="18" t="s">
        <v>52</v>
      </c>
      <c r="AR1938" s="29">
        <v>0</v>
      </c>
      <c r="AS1938" s="29">
        <v>0</v>
      </c>
      <c r="AT1938" s="29">
        <v>0</v>
      </c>
      <c r="AU1938" s="24" t="str">
        <f t="shared" si="31"/>
        <v>库存为0</v>
      </c>
      <c r="AV1938" s="31" t="str">
        <f>IFERROR(时间!$B$4+AU1938,"上周无销量")</f>
        <v>上周无销量</v>
      </c>
    </row>
    <row r="1939" spans="1:48">
      <c r="A1939" s="16" t="s">
        <v>3351</v>
      </c>
      <c r="B1939" t="s">
        <v>3352</v>
      </c>
      <c r="C1939" t="s">
        <v>3320</v>
      </c>
      <c r="D1939" s="24">
        <v>0</v>
      </c>
      <c r="E1939" s="24">
        <v>0</v>
      </c>
      <c r="F1939" s="24">
        <v>0</v>
      </c>
      <c r="G1939" s="24">
        <v>0</v>
      </c>
      <c r="H1939" s="25">
        <v>0</v>
      </c>
      <c r="I1939">
        <v>0</v>
      </c>
      <c r="J1939" s="26">
        <v>0</v>
      </c>
      <c r="K1939" s="26">
        <v>0</v>
      </c>
      <c r="L1939" s="26">
        <v>0</v>
      </c>
      <c r="M1939">
        <v>0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0</v>
      </c>
      <c r="AK1939">
        <v>0</v>
      </c>
      <c r="AL1939">
        <v>0</v>
      </c>
      <c r="AM1939">
        <v>0</v>
      </c>
      <c r="AN1939" s="18" t="s">
        <v>52</v>
      </c>
      <c r="AO1939" s="18" t="s">
        <v>52</v>
      </c>
      <c r="AP1939" s="18" t="s">
        <v>52</v>
      </c>
      <c r="AQ1939" s="18" t="s">
        <v>52</v>
      </c>
      <c r="AR1939" s="29">
        <v>0</v>
      </c>
      <c r="AS1939" s="29">
        <v>0</v>
      </c>
      <c r="AT1939" s="29">
        <v>0</v>
      </c>
      <c r="AU1939" s="24" t="str">
        <f t="shared" si="31"/>
        <v>库存为0</v>
      </c>
      <c r="AV1939" s="31" t="str">
        <f>IFERROR(时间!$B$4+AU1939,"上周无销量")</f>
        <v>上周无销量</v>
      </c>
    </row>
    <row r="1940" spans="1:48">
      <c r="A1940" s="16" t="s">
        <v>3353</v>
      </c>
      <c r="B1940" t="s">
        <v>3354</v>
      </c>
      <c r="C1940" t="s">
        <v>3320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0</v>
      </c>
      <c r="AK1940">
        <v>0</v>
      </c>
      <c r="AL1940">
        <v>0</v>
      </c>
      <c r="AM1940">
        <v>0</v>
      </c>
      <c r="AN1940" s="18" t="s">
        <v>52</v>
      </c>
      <c r="AO1940" s="18" t="s">
        <v>52</v>
      </c>
      <c r="AP1940" s="18" t="s">
        <v>52</v>
      </c>
      <c r="AQ1940" s="18" t="s">
        <v>52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3355</v>
      </c>
      <c r="B1941" t="s">
        <v>3356</v>
      </c>
      <c r="C1941" t="s">
        <v>3320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0</v>
      </c>
      <c r="J1941" s="26">
        <v>0</v>
      </c>
      <c r="K1941" s="26">
        <v>0</v>
      </c>
      <c r="L1941" s="26">
        <v>0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0</v>
      </c>
      <c r="AK1941">
        <v>0</v>
      </c>
      <c r="AL1941">
        <v>0</v>
      </c>
      <c r="AM1941">
        <v>0</v>
      </c>
      <c r="AN1941" s="18" t="s">
        <v>52</v>
      </c>
      <c r="AO1941" s="18" t="s">
        <v>52</v>
      </c>
      <c r="AP1941" s="18" t="s">
        <v>52</v>
      </c>
      <c r="AQ1941" s="18" t="s">
        <v>52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3357</v>
      </c>
      <c r="B1942" t="s">
        <v>3358</v>
      </c>
      <c r="C1942" t="s">
        <v>3320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0</v>
      </c>
      <c r="J1942" s="26">
        <v>0</v>
      </c>
      <c r="K1942" s="26">
        <v>0</v>
      </c>
      <c r="L1942" s="26">
        <v>0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0</v>
      </c>
      <c r="AL1942">
        <v>0</v>
      </c>
      <c r="AM1942">
        <v>0</v>
      </c>
      <c r="AN1942" s="18" t="s">
        <v>52</v>
      </c>
      <c r="AO1942" s="18" t="s">
        <v>52</v>
      </c>
      <c r="AP1942" s="18" t="s">
        <v>52</v>
      </c>
      <c r="AQ1942" s="18" t="s">
        <v>52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3359</v>
      </c>
      <c r="B1943" t="s">
        <v>3360</v>
      </c>
      <c r="C1943" t="s">
        <v>3361</v>
      </c>
      <c r="D1943" s="24">
        <v>0</v>
      </c>
      <c r="E1943" s="24">
        <v>0</v>
      </c>
      <c r="F1943" s="24">
        <v>0</v>
      </c>
      <c r="G1943" s="24">
        <v>0</v>
      </c>
      <c r="H1943" s="25">
        <v>0</v>
      </c>
      <c r="I1943">
        <v>0</v>
      </c>
      <c r="J1943" s="26">
        <v>0</v>
      </c>
      <c r="K1943" s="26">
        <v>0</v>
      </c>
      <c r="L1943" s="26">
        <v>0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9</v>
      </c>
      <c r="AK1943">
        <v>2</v>
      </c>
      <c r="AL1943">
        <v>5</v>
      </c>
      <c r="AM1943">
        <v>11</v>
      </c>
      <c r="AN1943" s="18">
        <v>0</v>
      </c>
      <c r="AO1943" s="18">
        <v>0</v>
      </c>
      <c r="AP1943" s="18">
        <v>0</v>
      </c>
      <c r="AQ1943" s="18">
        <v>0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3362</v>
      </c>
      <c r="B1944" t="s">
        <v>3363</v>
      </c>
      <c r="C1944" t="s">
        <v>3361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11</v>
      </c>
      <c r="AK1944">
        <v>18</v>
      </c>
      <c r="AL1944">
        <v>19</v>
      </c>
      <c r="AM1944">
        <v>5</v>
      </c>
      <c r="AN1944" s="18">
        <v>0</v>
      </c>
      <c r="AO1944" s="18">
        <v>0</v>
      </c>
      <c r="AP1944" s="18">
        <v>0</v>
      </c>
      <c r="AQ1944" s="18">
        <v>0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3364</v>
      </c>
      <c r="B1945" t="s">
        <v>3365</v>
      </c>
      <c r="C1945" t="s">
        <v>3361</v>
      </c>
      <c r="D1945" s="24">
        <v>0</v>
      </c>
      <c r="E1945" s="24">
        <v>0</v>
      </c>
      <c r="F1945" s="24">
        <v>0</v>
      </c>
      <c r="G1945" s="24">
        <v>0</v>
      </c>
      <c r="H1945" s="25">
        <v>0</v>
      </c>
      <c r="I1945">
        <v>0</v>
      </c>
      <c r="J1945" s="26">
        <v>0</v>
      </c>
      <c r="K1945" s="26">
        <v>0</v>
      </c>
      <c r="L1945" s="26">
        <v>0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27</v>
      </c>
      <c r="AK1945">
        <v>9</v>
      </c>
      <c r="AL1945">
        <v>4</v>
      </c>
      <c r="AM1945">
        <v>27</v>
      </c>
      <c r="AN1945" s="18">
        <v>0</v>
      </c>
      <c r="AO1945" s="18">
        <v>0</v>
      </c>
      <c r="AP1945" s="18">
        <v>0</v>
      </c>
      <c r="AQ1945" s="18">
        <v>0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3366</v>
      </c>
      <c r="B1946" t="s">
        <v>3367</v>
      </c>
      <c r="C1946" t="s">
        <v>3361</v>
      </c>
      <c r="D1946" s="24">
        <v>0</v>
      </c>
      <c r="E1946" s="24">
        <v>0</v>
      </c>
      <c r="F1946" s="24">
        <v>0</v>
      </c>
      <c r="G1946" s="24">
        <v>0</v>
      </c>
      <c r="H1946" s="25">
        <v>0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5</v>
      </c>
      <c r="AK1946">
        <v>7</v>
      </c>
      <c r="AL1946">
        <v>8</v>
      </c>
      <c r="AM1946">
        <v>6</v>
      </c>
      <c r="AN1946" s="18">
        <v>0</v>
      </c>
      <c r="AO1946" s="18">
        <v>0</v>
      </c>
      <c r="AP1946" s="18">
        <v>0</v>
      </c>
      <c r="AQ1946" s="18">
        <v>0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3368</v>
      </c>
      <c r="B1947" t="s">
        <v>3369</v>
      </c>
      <c r="C1947" t="s">
        <v>3361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0</v>
      </c>
      <c r="J1947" s="26">
        <v>0</v>
      </c>
      <c r="K1947" s="26">
        <v>0</v>
      </c>
      <c r="L1947" s="26">
        <v>0</v>
      </c>
      <c r="M1947">
        <v>0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21</v>
      </c>
      <c r="AK1947">
        <v>13</v>
      </c>
      <c r="AL1947">
        <v>26</v>
      </c>
      <c r="AM1947">
        <v>20</v>
      </c>
      <c r="AN1947" s="18">
        <v>0</v>
      </c>
      <c r="AO1947" s="18">
        <v>0</v>
      </c>
      <c r="AP1947" s="18">
        <v>0</v>
      </c>
      <c r="AQ1947" s="18">
        <v>0</v>
      </c>
      <c r="AR1947" s="29">
        <v>0</v>
      </c>
      <c r="AS1947" s="29">
        <v>0</v>
      </c>
      <c r="AT1947" s="29">
        <v>0</v>
      </c>
      <c r="AU1947" s="24" t="str">
        <f t="shared" si="31"/>
        <v>库存为0</v>
      </c>
      <c r="AV1947" s="31" t="str">
        <f>IFERROR(时间!$B$4+AU1947,"上周无销量")</f>
        <v>上周无销量</v>
      </c>
    </row>
    <row r="1948" spans="1:48">
      <c r="A1948" s="16" t="s">
        <v>3370</v>
      </c>
      <c r="B1948" t="s">
        <v>3371</v>
      </c>
      <c r="C1948" t="s">
        <v>3361</v>
      </c>
      <c r="D1948" s="24">
        <v>0</v>
      </c>
      <c r="E1948" s="24">
        <v>0</v>
      </c>
      <c r="F1948" s="24">
        <v>0</v>
      </c>
      <c r="G1948" s="24">
        <v>0</v>
      </c>
      <c r="H1948" s="25">
        <v>0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0</v>
      </c>
      <c r="AK1948">
        <v>0</v>
      </c>
      <c r="AL1948">
        <v>6</v>
      </c>
      <c r="AM1948">
        <v>4</v>
      </c>
      <c r="AN1948" s="18" t="s">
        <v>52</v>
      </c>
      <c r="AO1948" s="18" t="s">
        <v>52</v>
      </c>
      <c r="AP1948" s="18">
        <v>0</v>
      </c>
      <c r="AQ1948" s="18">
        <v>0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3372</v>
      </c>
      <c r="B1949" t="s">
        <v>3373</v>
      </c>
      <c r="C1949" t="s">
        <v>3361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0</v>
      </c>
      <c r="J1949" s="26">
        <v>0</v>
      </c>
      <c r="K1949" s="26">
        <v>0</v>
      </c>
      <c r="L1949" s="26">
        <v>0</v>
      </c>
      <c r="M1949">
        <v>0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14</v>
      </c>
      <c r="AK1949">
        <v>17</v>
      </c>
      <c r="AL1949">
        <v>20</v>
      </c>
      <c r="AM1949">
        <v>4</v>
      </c>
      <c r="AN1949" s="18">
        <v>0</v>
      </c>
      <c r="AO1949" s="18">
        <v>0</v>
      </c>
      <c r="AP1949" s="18">
        <v>0</v>
      </c>
      <c r="AQ1949" s="18">
        <v>0</v>
      </c>
      <c r="AR1949" s="29">
        <v>0</v>
      </c>
      <c r="AS1949" s="29">
        <v>0</v>
      </c>
      <c r="AT1949" s="29">
        <v>0</v>
      </c>
      <c r="AU1949" s="24" t="str">
        <f t="shared" si="31"/>
        <v>库存为0</v>
      </c>
      <c r="AV1949" s="31" t="str">
        <f>IFERROR(时间!$B$4+AU1949,"上周无销量")</f>
        <v>上周无销量</v>
      </c>
    </row>
    <row r="1950" spans="1:48">
      <c r="A1950" s="16" t="s">
        <v>3374</v>
      </c>
      <c r="B1950" t="s">
        <v>3375</v>
      </c>
      <c r="C1950" t="s">
        <v>3361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0</v>
      </c>
      <c r="J1950" s="26">
        <v>0</v>
      </c>
      <c r="K1950" s="26">
        <v>0</v>
      </c>
      <c r="L1950" s="26">
        <v>0</v>
      </c>
      <c r="M1950">
        <v>0</v>
      </c>
      <c r="N1950">
        <v>0</v>
      </c>
      <c r="O1950">
        <v>0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15</v>
      </c>
      <c r="AK1950">
        <v>15</v>
      </c>
      <c r="AL1950">
        <v>5</v>
      </c>
      <c r="AM1950">
        <v>16</v>
      </c>
      <c r="AN1950" s="18">
        <v>0</v>
      </c>
      <c r="AO1950" s="18">
        <v>0</v>
      </c>
      <c r="AP1950" s="18">
        <v>0</v>
      </c>
      <c r="AQ1950" s="18">
        <v>0</v>
      </c>
      <c r="AR1950" s="29">
        <v>0</v>
      </c>
      <c r="AS1950" s="29">
        <v>0</v>
      </c>
      <c r="AT1950" s="29">
        <v>0</v>
      </c>
      <c r="AU1950" s="24" t="str">
        <f t="shared" si="31"/>
        <v>库存为0</v>
      </c>
      <c r="AV1950" s="31" t="str">
        <f>IFERROR(时间!$B$4+AU1950,"上周无销量")</f>
        <v>上周无销量</v>
      </c>
    </row>
    <row r="1951" spans="1:48">
      <c r="A1951" s="16" t="s">
        <v>3376</v>
      </c>
      <c r="B1951" t="s">
        <v>3377</v>
      </c>
      <c r="C1951" t="s">
        <v>3361</v>
      </c>
      <c r="D1951" s="24">
        <v>0</v>
      </c>
      <c r="E1951" s="24">
        <v>0</v>
      </c>
      <c r="F1951" s="24">
        <v>0</v>
      </c>
      <c r="G1951" s="24">
        <v>0</v>
      </c>
      <c r="H1951" s="25">
        <v>0</v>
      </c>
      <c r="I1951">
        <v>0</v>
      </c>
      <c r="J1951" s="26">
        <v>0</v>
      </c>
      <c r="K1951" s="26">
        <v>0</v>
      </c>
      <c r="L1951" s="26">
        <v>0</v>
      </c>
      <c r="M1951">
        <v>0</v>
      </c>
      <c r="N1951">
        <v>0</v>
      </c>
      <c r="O1951">
        <v>0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0</v>
      </c>
      <c r="AK1951">
        <v>2</v>
      </c>
      <c r="AL1951">
        <v>0</v>
      </c>
      <c r="AM1951">
        <v>0</v>
      </c>
      <c r="AN1951" s="18" t="s">
        <v>52</v>
      </c>
      <c r="AO1951" s="18">
        <v>0</v>
      </c>
      <c r="AP1951" s="18" t="s">
        <v>52</v>
      </c>
      <c r="AQ1951" s="18" t="s">
        <v>52</v>
      </c>
      <c r="AR1951" s="29">
        <v>0</v>
      </c>
      <c r="AS1951" s="29">
        <v>0</v>
      </c>
      <c r="AT1951" s="29">
        <v>0</v>
      </c>
      <c r="AU1951" s="24" t="str">
        <f t="shared" si="31"/>
        <v>库存为0</v>
      </c>
      <c r="AV1951" s="31" t="str">
        <f>IFERROR(时间!$B$4+AU1951,"上周无销量")</f>
        <v>上周无销量</v>
      </c>
    </row>
    <row r="1952" spans="1:48">
      <c r="A1952" s="16" t="s">
        <v>3378</v>
      </c>
      <c r="B1952" t="s">
        <v>3379</v>
      </c>
      <c r="C1952" t="s">
        <v>3361</v>
      </c>
      <c r="D1952" s="24">
        <v>0</v>
      </c>
      <c r="E1952" s="24">
        <v>0</v>
      </c>
      <c r="F1952" s="24">
        <v>0</v>
      </c>
      <c r="G1952" s="24">
        <v>0</v>
      </c>
      <c r="H1952" s="25">
        <v>0</v>
      </c>
      <c r="I1952">
        <v>0</v>
      </c>
      <c r="J1952" s="26">
        <v>0</v>
      </c>
      <c r="K1952" s="26">
        <v>0</v>
      </c>
      <c r="L1952" s="26">
        <v>0</v>
      </c>
      <c r="M1952">
        <v>0</v>
      </c>
      <c r="N1952">
        <v>0</v>
      </c>
      <c r="O1952">
        <v>0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0</v>
      </c>
      <c r="AK1952">
        <v>0</v>
      </c>
      <c r="AL1952">
        <v>0</v>
      </c>
      <c r="AM1952">
        <v>0</v>
      </c>
      <c r="AN1952" s="18" t="s">
        <v>52</v>
      </c>
      <c r="AO1952" s="18" t="s">
        <v>52</v>
      </c>
      <c r="AP1952" s="18" t="s">
        <v>52</v>
      </c>
      <c r="AQ1952" s="18" t="s">
        <v>52</v>
      </c>
      <c r="AR1952" s="29">
        <v>0</v>
      </c>
      <c r="AS1952" s="29">
        <v>0</v>
      </c>
      <c r="AT1952" s="29">
        <v>0</v>
      </c>
      <c r="AU1952" s="24" t="str">
        <f t="shared" si="31"/>
        <v>库存为0</v>
      </c>
      <c r="AV1952" s="31" t="str">
        <f>IFERROR(时间!$B$4+AU1952,"上周无销量")</f>
        <v>上周无销量</v>
      </c>
    </row>
    <row r="1953" spans="1:48">
      <c r="A1953" s="16" t="s">
        <v>3380</v>
      </c>
      <c r="B1953" t="s">
        <v>3381</v>
      </c>
      <c r="C1953" t="s">
        <v>3361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5</v>
      </c>
      <c r="K1953" s="26">
        <v>0</v>
      </c>
      <c r="L1953" s="26">
        <v>0</v>
      </c>
      <c r="M1953">
        <v>5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11</v>
      </c>
      <c r="AK1953">
        <v>18</v>
      </c>
      <c r="AL1953">
        <v>12</v>
      </c>
      <c r="AM1953">
        <v>9</v>
      </c>
      <c r="AN1953" s="18">
        <v>0</v>
      </c>
      <c r="AO1953" s="18">
        <v>0</v>
      </c>
      <c r="AP1953" s="18">
        <v>0</v>
      </c>
      <c r="AQ1953" s="18">
        <v>0</v>
      </c>
      <c r="AR1953" s="29">
        <v>0</v>
      </c>
      <c r="AS1953" s="29">
        <v>0</v>
      </c>
      <c r="AT1953" s="29">
        <v>5</v>
      </c>
      <c r="AU1953" s="24" t="str">
        <f t="shared" si="31"/>
        <v>库存为5</v>
      </c>
      <c r="AV1953" s="31" t="str">
        <f>IFERROR(时间!$B$4+AU1953,"上周无销量")</f>
        <v>上周无销量</v>
      </c>
    </row>
    <row r="1954" spans="1:48">
      <c r="A1954" s="16" t="s">
        <v>3382</v>
      </c>
      <c r="B1954" t="s">
        <v>3383</v>
      </c>
      <c r="C1954" t="s">
        <v>3361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0</v>
      </c>
      <c r="J1954" s="26">
        <v>0</v>
      </c>
      <c r="K1954" s="26">
        <v>0</v>
      </c>
      <c r="L1954" s="26">
        <v>0</v>
      </c>
      <c r="M1954">
        <v>0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0</v>
      </c>
      <c r="AK1954">
        <v>0</v>
      </c>
      <c r="AL1954">
        <v>0</v>
      </c>
      <c r="AM1954">
        <v>0</v>
      </c>
      <c r="AN1954" s="18" t="s">
        <v>52</v>
      </c>
      <c r="AO1954" s="18" t="s">
        <v>52</v>
      </c>
      <c r="AP1954" s="18" t="s">
        <v>52</v>
      </c>
      <c r="AQ1954" s="18" t="s">
        <v>52</v>
      </c>
      <c r="AR1954" s="29">
        <v>0</v>
      </c>
      <c r="AS1954" s="29">
        <v>0</v>
      </c>
      <c r="AT1954" s="29">
        <v>0</v>
      </c>
      <c r="AU1954" s="24" t="str">
        <f t="shared" si="31"/>
        <v>库存为0</v>
      </c>
      <c r="AV1954" s="31" t="str">
        <f>IFERROR(时间!$B$4+AU1954,"上周无销量")</f>
        <v>上周无销量</v>
      </c>
    </row>
    <row r="1955" spans="1:48">
      <c r="A1955" s="16" t="s">
        <v>3384</v>
      </c>
      <c r="B1955" t="s">
        <v>3385</v>
      </c>
      <c r="C1955" t="s">
        <v>3361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0</v>
      </c>
      <c r="J1955" s="26">
        <v>0</v>
      </c>
      <c r="K1955" s="26">
        <v>0</v>
      </c>
      <c r="L1955" s="26">
        <v>0</v>
      </c>
      <c r="M1955">
        <v>0</v>
      </c>
      <c r="N1955">
        <v>0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0</v>
      </c>
      <c r="AK1955">
        <v>0</v>
      </c>
      <c r="AL1955">
        <v>0</v>
      </c>
      <c r="AM1955">
        <v>0</v>
      </c>
      <c r="AN1955" s="18" t="s">
        <v>52</v>
      </c>
      <c r="AO1955" s="18" t="s">
        <v>52</v>
      </c>
      <c r="AP1955" s="18" t="s">
        <v>52</v>
      </c>
      <c r="AQ1955" s="18" t="s">
        <v>52</v>
      </c>
      <c r="AR1955" s="29">
        <v>0</v>
      </c>
      <c r="AS1955" s="29">
        <v>0</v>
      </c>
      <c r="AT1955" s="29">
        <v>0</v>
      </c>
      <c r="AU1955" s="24" t="str">
        <f t="shared" si="31"/>
        <v>库存为0</v>
      </c>
      <c r="AV1955" s="31" t="str">
        <f>IFERROR(时间!$B$4+AU1955,"上周无销量")</f>
        <v>上周无销量</v>
      </c>
    </row>
    <row r="1956" spans="1:48">
      <c r="A1956" s="16" t="s">
        <v>3386</v>
      </c>
      <c r="B1956" t="s">
        <v>3387</v>
      </c>
      <c r="C1956" t="s">
        <v>3361</v>
      </c>
      <c r="D1956" s="24">
        <v>0</v>
      </c>
      <c r="E1956" s="24">
        <v>0</v>
      </c>
      <c r="F1956" s="24">
        <v>0</v>
      </c>
      <c r="G1956" s="24">
        <v>0</v>
      </c>
      <c r="H1956" s="25">
        <v>0</v>
      </c>
      <c r="I1956">
        <v>0</v>
      </c>
      <c r="J1956" s="26">
        <v>0</v>
      </c>
      <c r="K1956" s="26">
        <v>0</v>
      </c>
      <c r="L1956" s="26">
        <v>0</v>
      </c>
      <c r="M1956">
        <v>0</v>
      </c>
      <c r="N1956">
        <v>0</v>
      </c>
      <c r="O1956">
        <v>0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0</v>
      </c>
      <c r="AK1956">
        <v>0</v>
      </c>
      <c r="AL1956">
        <v>0</v>
      </c>
      <c r="AM1956">
        <v>0</v>
      </c>
      <c r="AN1956" s="18" t="s">
        <v>52</v>
      </c>
      <c r="AO1956" s="18" t="s">
        <v>52</v>
      </c>
      <c r="AP1956" s="18" t="s">
        <v>52</v>
      </c>
      <c r="AQ1956" s="18" t="s">
        <v>52</v>
      </c>
      <c r="AR1956" s="29">
        <v>0</v>
      </c>
      <c r="AS1956" s="29">
        <v>0</v>
      </c>
      <c r="AT1956" s="29">
        <v>0</v>
      </c>
      <c r="AU1956" s="24" t="str">
        <f t="shared" si="31"/>
        <v>库存为0</v>
      </c>
      <c r="AV1956" s="31" t="str">
        <f>IFERROR(时间!$B$4+AU1956,"上周无销量")</f>
        <v>上周无销量</v>
      </c>
    </row>
    <row r="1957" spans="1:48">
      <c r="A1957" s="16" t="s">
        <v>3388</v>
      </c>
      <c r="B1957" t="s">
        <v>3389</v>
      </c>
      <c r="C1957" t="s">
        <v>3361</v>
      </c>
      <c r="D1957" s="24">
        <v>0</v>
      </c>
      <c r="E1957" s="24">
        <v>0</v>
      </c>
      <c r="F1957" s="24">
        <v>0</v>
      </c>
      <c r="G1957" s="24">
        <v>0</v>
      </c>
      <c r="H1957" s="25">
        <v>0</v>
      </c>
      <c r="I1957">
        <v>0</v>
      </c>
      <c r="J1957" s="26">
        <v>0</v>
      </c>
      <c r="K1957" s="26">
        <v>0</v>
      </c>
      <c r="L1957" s="26">
        <v>0</v>
      </c>
      <c r="M1957">
        <v>0</v>
      </c>
      <c r="N1957">
        <v>0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8</v>
      </c>
      <c r="AK1957">
        <v>19</v>
      </c>
      <c r="AL1957">
        <v>2</v>
      </c>
      <c r="AM1957">
        <v>13</v>
      </c>
      <c r="AN1957" s="18">
        <v>0</v>
      </c>
      <c r="AO1957" s="18">
        <v>0</v>
      </c>
      <c r="AP1957" s="18">
        <v>0</v>
      </c>
      <c r="AQ1957" s="18">
        <v>0</v>
      </c>
      <c r="AR1957" s="29">
        <v>0</v>
      </c>
      <c r="AS1957" s="29">
        <v>0</v>
      </c>
      <c r="AT1957" s="29">
        <v>0</v>
      </c>
      <c r="AU1957" s="24" t="str">
        <f t="shared" si="31"/>
        <v>库存为0</v>
      </c>
      <c r="AV1957" s="31" t="str">
        <f>IFERROR(时间!$B$4+AU1957,"上周无销量")</f>
        <v>上周无销量</v>
      </c>
    </row>
    <row r="1958" spans="1:48">
      <c r="A1958" s="16" t="s">
        <v>3390</v>
      </c>
      <c r="B1958" t="s">
        <v>3391</v>
      </c>
      <c r="C1958" t="s">
        <v>3361</v>
      </c>
      <c r="D1958" s="24">
        <v>0</v>
      </c>
      <c r="E1958" s="24">
        <v>0</v>
      </c>
      <c r="F1958" s="24">
        <v>0</v>
      </c>
      <c r="G1958" s="24">
        <v>0</v>
      </c>
      <c r="H1958" s="25">
        <v>0</v>
      </c>
      <c r="I1958">
        <v>0</v>
      </c>
      <c r="J1958" s="26">
        <v>0</v>
      </c>
      <c r="K1958" s="26">
        <v>0</v>
      </c>
      <c r="L1958" s="26">
        <v>0</v>
      </c>
      <c r="M1958">
        <v>0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2</v>
      </c>
      <c r="AK1958">
        <v>2</v>
      </c>
      <c r="AL1958">
        <v>6</v>
      </c>
      <c r="AM1958">
        <v>3</v>
      </c>
      <c r="AN1958" s="18">
        <v>0</v>
      </c>
      <c r="AO1958" s="18">
        <v>0</v>
      </c>
      <c r="AP1958" s="18">
        <v>0</v>
      </c>
      <c r="AQ1958" s="18">
        <v>0</v>
      </c>
      <c r="AR1958" s="29">
        <v>0</v>
      </c>
      <c r="AS1958" s="29">
        <v>0</v>
      </c>
      <c r="AT1958" s="29">
        <v>0</v>
      </c>
      <c r="AU1958" s="24" t="str">
        <f t="shared" si="31"/>
        <v>库存为0</v>
      </c>
      <c r="AV1958" s="31" t="str">
        <f>IFERROR(时间!$B$4+AU1958,"上周无销量")</f>
        <v>上周无销量</v>
      </c>
    </row>
    <row r="1959" spans="1:48">
      <c r="A1959" s="16" t="s">
        <v>3392</v>
      </c>
      <c r="B1959" t="s">
        <v>3393</v>
      </c>
      <c r="C1959" t="s">
        <v>3361</v>
      </c>
      <c r="D1959" s="24">
        <v>0</v>
      </c>
      <c r="E1959" s="24">
        <v>0</v>
      </c>
      <c r="F1959" s="24">
        <v>0</v>
      </c>
      <c r="G1959" s="24">
        <v>0</v>
      </c>
      <c r="H1959" s="25">
        <v>0</v>
      </c>
      <c r="I1959">
        <v>0</v>
      </c>
      <c r="J1959" s="26">
        <v>0</v>
      </c>
      <c r="K1959" s="26">
        <v>0</v>
      </c>
      <c r="L1959" s="26">
        <v>0</v>
      </c>
      <c r="M1959">
        <v>0</v>
      </c>
      <c r="N1959">
        <v>0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0</v>
      </c>
      <c r="AK1959">
        <v>0</v>
      </c>
      <c r="AL1959">
        <v>0</v>
      </c>
      <c r="AM1959">
        <v>0</v>
      </c>
      <c r="AN1959" s="18" t="s">
        <v>52</v>
      </c>
      <c r="AO1959" s="18" t="s">
        <v>52</v>
      </c>
      <c r="AP1959" s="18" t="s">
        <v>52</v>
      </c>
      <c r="AQ1959" s="18" t="s">
        <v>52</v>
      </c>
      <c r="AR1959" s="29">
        <v>0</v>
      </c>
      <c r="AS1959" s="29">
        <v>0</v>
      </c>
      <c r="AT1959" s="29">
        <v>0</v>
      </c>
      <c r="AU1959" s="24" t="str">
        <f t="shared" si="31"/>
        <v>库存为0</v>
      </c>
      <c r="AV1959" s="31" t="str">
        <f>IFERROR(时间!$B$4+AU1959,"上周无销量")</f>
        <v>上周无销量</v>
      </c>
    </row>
    <row r="1960" spans="1:48">
      <c r="A1960" s="16" t="s">
        <v>3394</v>
      </c>
      <c r="B1960" t="s">
        <v>3395</v>
      </c>
      <c r="C1960" t="s">
        <v>3361</v>
      </c>
      <c r="D1960" s="24">
        <v>0</v>
      </c>
      <c r="E1960" s="24">
        <v>0</v>
      </c>
      <c r="F1960" s="24">
        <v>0</v>
      </c>
      <c r="G1960" s="24">
        <v>0</v>
      </c>
      <c r="H1960" s="25">
        <v>0</v>
      </c>
      <c r="I1960">
        <v>0</v>
      </c>
      <c r="J1960" s="26">
        <v>0</v>
      </c>
      <c r="K1960" s="26">
        <v>0</v>
      </c>
      <c r="L1960" s="26">
        <v>0</v>
      </c>
      <c r="M1960">
        <v>0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0</v>
      </c>
      <c r="AK1960">
        <v>0</v>
      </c>
      <c r="AL1960">
        <v>0</v>
      </c>
      <c r="AM1960">
        <v>0</v>
      </c>
      <c r="AN1960" s="18" t="s">
        <v>52</v>
      </c>
      <c r="AO1960" s="18" t="s">
        <v>52</v>
      </c>
      <c r="AP1960" s="18" t="s">
        <v>52</v>
      </c>
      <c r="AQ1960" s="18" t="s">
        <v>52</v>
      </c>
      <c r="AR1960" s="29">
        <v>0</v>
      </c>
      <c r="AS1960" s="29">
        <v>0</v>
      </c>
      <c r="AT1960" s="29">
        <v>0</v>
      </c>
      <c r="AU1960" s="24" t="str">
        <f t="shared" si="31"/>
        <v>库存为0</v>
      </c>
      <c r="AV1960" s="31" t="str">
        <f>IFERROR(时间!$B$4+AU1960,"上周无销量")</f>
        <v>上周无销量</v>
      </c>
    </row>
    <row r="1961" spans="1:48">
      <c r="A1961" s="16" t="s">
        <v>3396</v>
      </c>
      <c r="B1961" t="s">
        <v>3397</v>
      </c>
      <c r="C1961" t="s">
        <v>3361</v>
      </c>
      <c r="D1961" s="24">
        <v>0</v>
      </c>
      <c r="E1961" s="24">
        <v>0</v>
      </c>
      <c r="F1961" s="24">
        <v>0</v>
      </c>
      <c r="G1961" s="24">
        <v>0</v>
      </c>
      <c r="H1961" s="25">
        <v>0</v>
      </c>
      <c r="I1961">
        <v>0</v>
      </c>
      <c r="J1961" s="26">
        <v>0</v>
      </c>
      <c r="K1961" s="26">
        <v>0</v>
      </c>
      <c r="L1961" s="26">
        <v>0</v>
      </c>
      <c r="M1961">
        <v>0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18</v>
      </c>
      <c r="AK1961">
        <v>12</v>
      </c>
      <c r="AL1961">
        <v>9</v>
      </c>
      <c r="AM1961">
        <v>11</v>
      </c>
      <c r="AN1961" s="18">
        <v>0</v>
      </c>
      <c r="AO1961" s="18">
        <v>0</v>
      </c>
      <c r="AP1961" s="18">
        <v>0</v>
      </c>
      <c r="AQ1961" s="18">
        <v>0</v>
      </c>
      <c r="AR1961" s="29">
        <v>0</v>
      </c>
      <c r="AS1961" s="29">
        <v>0</v>
      </c>
      <c r="AT1961" s="29">
        <v>0</v>
      </c>
      <c r="AU1961" s="24" t="str">
        <f t="shared" si="31"/>
        <v>库存为0</v>
      </c>
      <c r="AV1961" s="31" t="str">
        <f>IFERROR(时间!$B$4+AU1961,"上周无销量")</f>
        <v>上周无销量</v>
      </c>
    </row>
    <row r="1962" spans="1:48">
      <c r="A1962" s="16" t="s">
        <v>3398</v>
      </c>
      <c r="B1962" t="s">
        <v>3399</v>
      </c>
      <c r="C1962" t="s">
        <v>3361</v>
      </c>
      <c r="D1962" s="24">
        <v>0</v>
      </c>
      <c r="E1962" s="24">
        <v>0</v>
      </c>
      <c r="F1962" s="24">
        <v>0</v>
      </c>
      <c r="G1962" s="24">
        <v>0</v>
      </c>
      <c r="H1962" s="25">
        <v>0</v>
      </c>
      <c r="I1962">
        <v>0</v>
      </c>
      <c r="J1962" s="26">
        <v>0</v>
      </c>
      <c r="K1962" s="26">
        <v>0</v>
      </c>
      <c r="L1962" s="26">
        <v>0</v>
      </c>
      <c r="M1962">
        <v>0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0</v>
      </c>
      <c r="AK1962">
        <v>0</v>
      </c>
      <c r="AL1962">
        <v>0</v>
      </c>
      <c r="AM1962">
        <v>0</v>
      </c>
      <c r="AN1962" s="18" t="s">
        <v>52</v>
      </c>
      <c r="AO1962" s="18" t="s">
        <v>52</v>
      </c>
      <c r="AP1962" s="18" t="s">
        <v>52</v>
      </c>
      <c r="AQ1962" s="18" t="s">
        <v>52</v>
      </c>
      <c r="AR1962" s="29">
        <v>0</v>
      </c>
      <c r="AS1962" s="29">
        <v>0</v>
      </c>
      <c r="AT1962" s="29">
        <v>0</v>
      </c>
      <c r="AU1962" s="24" t="str">
        <f t="shared" si="31"/>
        <v>库存为0</v>
      </c>
      <c r="AV1962" s="31" t="str">
        <f>IFERROR(时间!$B$4+AU1962,"上周无销量")</f>
        <v>上周无销量</v>
      </c>
    </row>
    <row r="1963" spans="1:48">
      <c r="A1963" s="16" t="s">
        <v>3400</v>
      </c>
      <c r="B1963" t="s">
        <v>3401</v>
      </c>
      <c r="C1963" t="s">
        <v>3361</v>
      </c>
      <c r="D1963" s="24">
        <v>0</v>
      </c>
      <c r="E1963" s="24">
        <v>0</v>
      </c>
      <c r="F1963" s="24">
        <v>0</v>
      </c>
      <c r="G1963" s="24">
        <v>0</v>
      </c>
      <c r="H1963" s="25">
        <v>0</v>
      </c>
      <c r="I1963">
        <v>0</v>
      </c>
      <c r="J1963" s="26">
        <v>0</v>
      </c>
      <c r="K1963" s="26">
        <v>0</v>
      </c>
      <c r="L1963" s="26">
        <v>0</v>
      </c>
      <c r="M1963">
        <v>0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12</v>
      </c>
      <c r="AK1963">
        <v>16</v>
      </c>
      <c r="AL1963">
        <v>11</v>
      </c>
      <c r="AM1963">
        <v>16</v>
      </c>
      <c r="AN1963" s="18">
        <v>0</v>
      </c>
      <c r="AO1963" s="18">
        <v>0</v>
      </c>
      <c r="AP1963" s="18">
        <v>0</v>
      </c>
      <c r="AQ1963" s="18">
        <v>0</v>
      </c>
      <c r="AR1963" s="29">
        <v>0</v>
      </c>
      <c r="AS1963" s="29">
        <v>0</v>
      </c>
      <c r="AT1963" s="29">
        <v>0</v>
      </c>
      <c r="AU1963" s="24" t="str">
        <f t="shared" si="31"/>
        <v>库存为0</v>
      </c>
      <c r="AV1963" s="31" t="str">
        <f>IFERROR(时间!$B$4+AU1963,"上周无销量")</f>
        <v>上周无销量</v>
      </c>
    </row>
    <row r="1964" spans="1:48">
      <c r="A1964" s="16" t="s">
        <v>3402</v>
      </c>
      <c r="B1964" t="s">
        <v>3403</v>
      </c>
      <c r="C1964" t="s">
        <v>3361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0</v>
      </c>
      <c r="J1964" s="26">
        <v>0</v>
      </c>
      <c r="K1964" s="26">
        <v>0</v>
      </c>
      <c r="L1964" s="26">
        <v>0</v>
      </c>
      <c r="M1964">
        <v>0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26</v>
      </c>
      <c r="AK1964">
        <v>15</v>
      </c>
      <c r="AL1964">
        <v>7</v>
      </c>
      <c r="AM1964">
        <v>14</v>
      </c>
      <c r="AN1964" s="18">
        <v>0</v>
      </c>
      <c r="AO1964" s="18">
        <v>0</v>
      </c>
      <c r="AP1964" s="18">
        <v>0</v>
      </c>
      <c r="AQ1964" s="18">
        <v>0</v>
      </c>
      <c r="AR1964" s="29">
        <v>0</v>
      </c>
      <c r="AS1964" s="29">
        <v>0</v>
      </c>
      <c r="AT1964" s="29">
        <v>0</v>
      </c>
      <c r="AU1964" s="24" t="str">
        <f t="shared" si="31"/>
        <v>库存为0</v>
      </c>
      <c r="AV1964" s="31" t="str">
        <f>IFERROR(时间!$B$4+AU1964,"上周无销量")</f>
        <v>上周无销量</v>
      </c>
    </row>
    <row r="1965" spans="1:48">
      <c r="A1965" s="16" t="s">
        <v>3404</v>
      </c>
      <c r="B1965" t="s">
        <v>3405</v>
      </c>
      <c r="C1965" t="s">
        <v>3361</v>
      </c>
      <c r="D1965" s="24">
        <v>0</v>
      </c>
      <c r="E1965" s="24">
        <v>0</v>
      </c>
      <c r="F1965" s="24">
        <v>0</v>
      </c>
      <c r="G1965" s="24">
        <v>0</v>
      </c>
      <c r="H1965" s="25">
        <v>0</v>
      </c>
      <c r="I1965">
        <v>0</v>
      </c>
      <c r="J1965" s="26">
        <v>0</v>
      </c>
      <c r="K1965" s="26">
        <v>0</v>
      </c>
      <c r="L1965" s="26">
        <v>0</v>
      </c>
      <c r="M1965">
        <v>0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9</v>
      </c>
      <c r="AK1965">
        <v>31</v>
      </c>
      <c r="AL1965">
        <v>10</v>
      </c>
      <c r="AM1965">
        <v>3</v>
      </c>
      <c r="AN1965" s="18">
        <v>0</v>
      </c>
      <c r="AO1965" s="18">
        <v>0</v>
      </c>
      <c r="AP1965" s="18">
        <v>0</v>
      </c>
      <c r="AQ1965" s="18">
        <v>0</v>
      </c>
      <c r="AR1965" s="29">
        <v>0</v>
      </c>
      <c r="AS1965" s="29">
        <v>0</v>
      </c>
      <c r="AT1965" s="29">
        <v>0</v>
      </c>
      <c r="AU1965" s="24" t="str">
        <f t="shared" si="31"/>
        <v>库存为0</v>
      </c>
      <c r="AV1965" s="31" t="str">
        <f>IFERROR(时间!$B$4+AU1965,"上周无销量")</f>
        <v>上周无销量</v>
      </c>
    </row>
    <row r="1966" spans="1:48">
      <c r="A1966" s="16" t="s">
        <v>3406</v>
      </c>
      <c r="B1966" t="s">
        <v>3407</v>
      </c>
      <c r="C1966" t="s">
        <v>3361</v>
      </c>
      <c r="D1966" s="24">
        <v>0</v>
      </c>
      <c r="E1966" s="24">
        <v>0</v>
      </c>
      <c r="F1966" s="24">
        <v>0</v>
      </c>
      <c r="G1966" s="24">
        <v>0</v>
      </c>
      <c r="H1966" s="25">
        <v>0</v>
      </c>
      <c r="I1966">
        <v>0</v>
      </c>
      <c r="J1966" s="26">
        <v>0</v>
      </c>
      <c r="K1966" s="26">
        <v>0</v>
      </c>
      <c r="L1966" s="26">
        <v>0</v>
      </c>
      <c r="M1966">
        <v>0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8</v>
      </c>
      <c r="AK1966">
        <v>10</v>
      </c>
      <c r="AL1966">
        <v>4</v>
      </c>
      <c r="AM1966">
        <v>6</v>
      </c>
      <c r="AN1966" s="18">
        <v>0</v>
      </c>
      <c r="AO1966" s="18">
        <v>0</v>
      </c>
      <c r="AP1966" s="18">
        <v>0</v>
      </c>
      <c r="AQ1966" s="18">
        <v>0</v>
      </c>
      <c r="AR1966" s="29">
        <v>0</v>
      </c>
      <c r="AS1966" s="29">
        <v>0</v>
      </c>
      <c r="AT1966" s="29">
        <v>0</v>
      </c>
      <c r="AU1966" s="24" t="str">
        <f t="shared" si="31"/>
        <v>库存为0</v>
      </c>
      <c r="AV1966" s="31" t="str">
        <f>IFERROR(时间!$B$4+AU1966,"上周无销量")</f>
        <v>上周无销量</v>
      </c>
    </row>
    <row r="1967" spans="1:48">
      <c r="A1967" s="16" t="s">
        <v>3408</v>
      </c>
      <c r="B1967" t="s">
        <v>3409</v>
      </c>
      <c r="C1967" t="s">
        <v>3361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0</v>
      </c>
      <c r="J1967" s="26">
        <v>0</v>
      </c>
      <c r="K1967" s="26">
        <v>0</v>
      </c>
      <c r="L1967" s="26">
        <v>0</v>
      </c>
      <c r="M1967">
        <v>0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7</v>
      </c>
      <c r="AK1967">
        <v>5</v>
      </c>
      <c r="AL1967">
        <v>19</v>
      </c>
      <c r="AM1967">
        <v>15</v>
      </c>
      <c r="AN1967" s="18">
        <v>0</v>
      </c>
      <c r="AO1967" s="18">
        <v>0</v>
      </c>
      <c r="AP1967" s="18">
        <v>0</v>
      </c>
      <c r="AQ1967" s="18">
        <v>0</v>
      </c>
      <c r="AR1967" s="29">
        <v>0</v>
      </c>
      <c r="AS1967" s="29">
        <v>0</v>
      </c>
      <c r="AT1967" s="29">
        <v>0</v>
      </c>
      <c r="AU1967" s="24" t="str">
        <f t="shared" si="31"/>
        <v>库存为0</v>
      </c>
      <c r="AV1967" s="31" t="str">
        <f>IFERROR(时间!$B$4+AU1967,"上周无销量")</f>
        <v>上周无销量</v>
      </c>
    </row>
    <row r="1968" spans="1:48">
      <c r="A1968" s="16" t="s">
        <v>3410</v>
      </c>
      <c r="B1968" t="s">
        <v>3411</v>
      </c>
      <c r="C1968" t="s">
        <v>3361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0</v>
      </c>
      <c r="J1968" s="26">
        <v>0</v>
      </c>
      <c r="K1968" s="26">
        <v>0</v>
      </c>
      <c r="L1968" s="26">
        <v>0</v>
      </c>
      <c r="M1968">
        <v>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17</v>
      </c>
      <c r="AK1968">
        <v>12</v>
      </c>
      <c r="AL1968">
        <v>3</v>
      </c>
      <c r="AM1968">
        <v>11</v>
      </c>
      <c r="AN1968" s="18">
        <v>0</v>
      </c>
      <c r="AO1968" s="18">
        <v>0</v>
      </c>
      <c r="AP1968" s="18">
        <v>0</v>
      </c>
      <c r="AQ1968" s="18">
        <v>0</v>
      </c>
      <c r="AR1968" s="29">
        <v>0</v>
      </c>
      <c r="AS1968" s="29">
        <v>0</v>
      </c>
      <c r="AT1968" s="29">
        <v>0</v>
      </c>
      <c r="AU1968" s="24" t="str">
        <f t="shared" si="31"/>
        <v>库存为0</v>
      </c>
      <c r="AV1968" s="31" t="str">
        <f>IFERROR(时间!$B$4+AU1968,"上周无销量")</f>
        <v>上周无销量</v>
      </c>
    </row>
    <row r="1969" spans="1:48">
      <c r="A1969" s="16" t="s">
        <v>3412</v>
      </c>
      <c r="B1969" t="s">
        <v>3413</v>
      </c>
      <c r="C1969" t="s">
        <v>3361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0</v>
      </c>
      <c r="K1969" s="26">
        <v>0</v>
      </c>
      <c r="L1969" s="26">
        <v>0</v>
      </c>
      <c r="M1969">
        <v>0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10</v>
      </c>
      <c r="AK1969">
        <v>9</v>
      </c>
      <c r="AL1969">
        <v>3</v>
      </c>
      <c r="AM1969">
        <v>5</v>
      </c>
      <c r="AN1969" s="18">
        <v>0</v>
      </c>
      <c r="AO1969" s="18">
        <v>0</v>
      </c>
      <c r="AP1969" s="18">
        <v>0</v>
      </c>
      <c r="AQ1969" s="18">
        <v>0</v>
      </c>
      <c r="AR1969" s="29">
        <v>0</v>
      </c>
      <c r="AS1969" s="29">
        <v>0</v>
      </c>
      <c r="AT1969" s="29">
        <v>0</v>
      </c>
      <c r="AU1969" s="24" t="str">
        <f t="shared" si="31"/>
        <v>库存为0</v>
      </c>
      <c r="AV1969" s="31" t="str">
        <f>IFERROR(时间!$B$4+AU1969,"上周无销量")</f>
        <v>上周无销量</v>
      </c>
    </row>
    <row r="1970" spans="1:48">
      <c r="A1970" s="16" t="s">
        <v>3414</v>
      </c>
      <c r="B1970" t="s">
        <v>3415</v>
      </c>
      <c r="C1970" t="s">
        <v>3361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7</v>
      </c>
      <c r="AK1970">
        <v>6</v>
      </c>
      <c r="AL1970">
        <v>4</v>
      </c>
      <c r="AM1970">
        <v>3</v>
      </c>
      <c r="AN1970" s="18">
        <v>0</v>
      </c>
      <c r="AO1970" s="18">
        <v>0</v>
      </c>
      <c r="AP1970" s="18">
        <v>0</v>
      </c>
      <c r="AQ1970" s="18">
        <v>0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3416</v>
      </c>
      <c r="B1971" t="s">
        <v>3417</v>
      </c>
      <c r="C1971" t="s">
        <v>3418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10</v>
      </c>
      <c r="J1971" s="26">
        <v>0</v>
      </c>
      <c r="K1971" s="26">
        <v>0</v>
      </c>
      <c r="L1971" s="26">
        <v>0</v>
      </c>
      <c r="M1971">
        <v>10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7</v>
      </c>
      <c r="AK1971">
        <v>6</v>
      </c>
      <c r="AL1971">
        <v>7</v>
      </c>
      <c r="AM1971">
        <v>4</v>
      </c>
      <c r="AN1971" s="18">
        <v>0</v>
      </c>
      <c r="AO1971" s="18">
        <v>0</v>
      </c>
      <c r="AP1971" s="18">
        <v>0</v>
      </c>
      <c r="AQ1971" s="18">
        <v>0</v>
      </c>
      <c r="AR1971" s="29">
        <v>0</v>
      </c>
      <c r="AS1971" s="29">
        <v>0</v>
      </c>
      <c r="AT1971" s="29">
        <v>10</v>
      </c>
      <c r="AU1971" s="24" t="str">
        <f t="shared" si="31"/>
        <v>库存为10</v>
      </c>
      <c r="AV1971" s="31" t="str">
        <f>IFERROR(时间!$B$4+AU1971,"上周无销量")</f>
        <v>上周无销量</v>
      </c>
    </row>
    <row r="1972" spans="1:48">
      <c r="A1972" s="16" t="s">
        <v>3419</v>
      </c>
      <c r="B1972" t="s">
        <v>3420</v>
      </c>
      <c r="C1972" t="s">
        <v>3418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7</v>
      </c>
      <c r="K1972" s="26">
        <v>0</v>
      </c>
      <c r="L1972" s="26">
        <v>0</v>
      </c>
      <c r="M1972">
        <v>7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4</v>
      </c>
      <c r="AK1972">
        <v>3</v>
      </c>
      <c r="AL1972">
        <v>3</v>
      </c>
      <c r="AM1972">
        <v>1</v>
      </c>
      <c r="AN1972" s="18">
        <v>0</v>
      </c>
      <c r="AO1972" s="18">
        <v>0</v>
      </c>
      <c r="AP1972" s="18">
        <v>0</v>
      </c>
      <c r="AQ1972" s="18">
        <v>0</v>
      </c>
      <c r="AR1972" s="29">
        <v>0</v>
      </c>
      <c r="AS1972" s="29">
        <v>0</v>
      </c>
      <c r="AT1972" s="29">
        <v>7</v>
      </c>
      <c r="AU1972" s="24" t="str">
        <f t="shared" si="31"/>
        <v>库存为7</v>
      </c>
      <c r="AV1972" s="31" t="str">
        <f>IFERROR(时间!$B$4+AU1972,"上周无销量")</f>
        <v>上周无销量</v>
      </c>
    </row>
    <row r="1973" spans="1:48">
      <c r="A1973" s="16" t="s">
        <v>3421</v>
      </c>
      <c r="B1973" t="s">
        <v>3422</v>
      </c>
      <c r="C1973" t="s">
        <v>3418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5</v>
      </c>
      <c r="K1973" s="26">
        <v>0</v>
      </c>
      <c r="L1973" s="26">
        <v>0</v>
      </c>
      <c r="M1973">
        <v>5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13</v>
      </c>
      <c r="AK1973">
        <v>10</v>
      </c>
      <c r="AL1973">
        <v>12</v>
      </c>
      <c r="AM1973">
        <v>8</v>
      </c>
      <c r="AN1973" s="18">
        <v>0</v>
      </c>
      <c r="AO1973" s="18">
        <v>0</v>
      </c>
      <c r="AP1973" s="18">
        <v>0</v>
      </c>
      <c r="AQ1973" s="18">
        <v>0</v>
      </c>
      <c r="AR1973" s="29">
        <v>0</v>
      </c>
      <c r="AS1973" s="29">
        <v>0</v>
      </c>
      <c r="AT1973" s="29">
        <v>5</v>
      </c>
      <c r="AU1973" s="24" t="str">
        <f t="shared" si="31"/>
        <v>库存为5</v>
      </c>
      <c r="AV1973" s="31" t="str">
        <f>IFERROR(时间!$B$4+AU1973,"上周无销量")</f>
        <v>上周无销量</v>
      </c>
    </row>
    <row r="1974" spans="1:48">
      <c r="A1974" s="16" t="s">
        <v>3423</v>
      </c>
      <c r="B1974" t="s">
        <v>3424</v>
      </c>
      <c r="C1974" t="s">
        <v>3418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2</v>
      </c>
      <c r="K1974" s="26">
        <v>0</v>
      </c>
      <c r="L1974" s="26">
        <v>0</v>
      </c>
      <c r="M1974">
        <v>2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7</v>
      </c>
      <c r="AK1974">
        <v>4</v>
      </c>
      <c r="AL1974">
        <v>6</v>
      </c>
      <c r="AM1974">
        <v>8</v>
      </c>
      <c r="AN1974" s="18">
        <v>0</v>
      </c>
      <c r="AO1974" s="18">
        <v>0</v>
      </c>
      <c r="AP1974" s="18">
        <v>0</v>
      </c>
      <c r="AQ1974" s="18">
        <v>0</v>
      </c>
      <c r="AR1974" s="29">
        <v>0</v>
      </c>
      <c r="AS1974" s="29">
        <v>0</v>
      </c>
      <c r="AT1974" s="29">
        <v>2</v>
      </c>
      <c r="AU1974" s="24" t="str">
        <f t="shared" si="31"/>
        <v>库存为2</v>
      </c>
      <c r="AV1974" s="31" t="str">
        <f>IFERROR(时间!$B$4+AU1974,"上周无销量")</f>
        <v>上周无销量</v>
      </c>
    </row>
    <row r="1975" spans="1:48">
      <c r="A1975" s="16" t="s">
        <v>3425</v>
      </c>
      <c r="B1975" t="s">
        <v>3426</v>
      </c>
      <c r="C1975" t="s">
        <v>3418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5</v>
      </c>
      <c r="K1975" s="26">
        <v>0</v>
      </c>
      <c r="L1975" s="26">
        <v>0</v>
      </c>
      <c r="M1975">
        <v>5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12</v>
      </c>
      <c r="AK1975">
        <v>5</v>
      </c>
      <c r="AL1975">
        <v>4</v>
      </c>
      <c r="AM1975">
        <v>2</v>
      </c>
      <c r="AN1975" s="18">
        <v>0</v>
      </c>
      <c r="AO1975" s="18">
        <v>0</v>
      </c>
      <c r="AP1975" s="18">
        <v>0</v>
      </c>
      <c r="AQ1975" s="18">
        <v>0</v>
      </c>
      <c r="AR1975" s="29">
        <v>0</v>
      </c>
      <c r="AS1975" s="29">
        <v>0</v>
      </c>
      <c r="AT1975" s="29">
        <v>5</v>
      </c>
      <c r="AU1975" s="24" t="str">
        <f t="shared" si="31"/>
        <v>库存为5</v>
      </c>
      <c r="AV1975" s="31" t="str">
        <f>IFERROR(时间!$B$4+AU1975,"上周无销量")</f>
        <v>上周无销量</v>
      </c>
    </row>
    <row r="1976" spans="1:48">
      <c r="A1976" s="16" t="s">
        <v>3427</v>
      </c>
      <c r="B1976" t="s">
        <v>3428</v>
      </c>
      <c r="C1976" t="s">
        <v>3418</v>
      </c>
      <c r="D1976" s="24">
        <v>0</v>
      </c>
      <c r="E1976" s="24">
        <v>0</v>
      </c>
      <c r="F1976" s="24">
        <v>0</v>
      </c>
      <c r="G1976" s="24">
        <v>1</v>
      </c>
      <c r="H1976" s="25">
        <v>20.98</v>
      </c>
      <c r="I1976">
        <v>3</v>
      </c>
      <c r="J1976" s="26">
        <v>0</v>
      </c>
      <c r="K1976" s="26">
        <v>0</v>
      </c>
      <c r="L1976" s="26">
        <v>0</v>
      </c>
      <c r="M1976">
        <v>3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13</v>
      </c>
      <c r="AK1976">
        <v>12</v>
      </c>
      <c r="AL1976">
        <v>4</v>
      </c>
      <c r="AM1976">
        <v>5</v>
      </c>
      <c r="AN1976" s="18">
        <v>0</v>
      </c>
      <c r="AO1976" s="18">
        <v>0</v>
      </c>
      <c r="AP1976" s="18">
        <v>0</v>
      </c>
      <c r="AQ1976" s="18">
        <v>0.2</v>
      </c>
      <c r="AR1976" s="29">
        <v>0</v>
      </c>
      <c r="AS1976" s="29">
        <v>0</v>
      </c>
      <c r="AT1976" s="29">
        <v>3</v>
      </c>
      <c r="AU1976" s="24" t="str">
        <f t="shared" si="31"/>
        <v>库存为3</v>
      </c>
      <c r="AV1976" s="31" t="str">
        <f>IFERROR(时间!$B$4+AU1976,"上周无销量")</f>
        <v>上周无销量</v>
      </c>
    </row>
    <row r="1977" spans="1:48">
      <c r="A1977" s="16" t="s">
        <v>3429</v>
      </c>
      <c r="B1977" t="s">
        <v>3430</v>
      </c>
      <c r="C1977" t="s">
        <v>3418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3</v>
      </c>
      <c r="K1977" s="26">
        <v>0</v>
      </c>
      <c r="L1977" s="26">
        <v>0</v>
      </c>
      <c r="M1977">
        <v>3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4</v>
      </c>
      <c r="AK1977">
        <v>2</v>
      </c>
      <c r="AL1977">
        <v>7</v>
      </c>
      <c r="AM1977">
        <v>2</v>
      </c>
      <c r="AN1977" s="18">
        <v>0</v>
      </c>
      <c r="AO1977" s="18">
        <v>0</v>
      </c>
      <c r="AP1977" s="18">
        <v>0</v>
      </c>
      <c r="AQ1977" s="18">
        <v>0</v>
      </c>
      <c r="AR1977" s="29">
        <v>0</v>
      </c>
      <c r="AS1977" s="29">
        <v>0</v>
      </c>
      <c r="AT1977" s="29">
        <v>3</v>
      </c>
      <c r="AU1977" s="24" t="str">
        <f t="shared" si="31"/>
        <v>库存为3</v>
      </c>
      <c r="AV1977" s="31" t="str">
        <f>IFERROR(时间!$B$4+AU1977,"上周无销量")</f>
        <v>上周无销量</v>
      </c>
    </row>
    <row r="1978" spans="1:48">
      <c r="A1978" s="16" t="s">
        <v>3431</v>
      </c>
      <c r="B1978" t="s">
        <v>3432</v>
      </c>
      <c r="C1978" t="s">
        <v>3418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0</v>
      </c>
      <c r="J1978" s="26">
        <v>9</v>
      </c>
      <c r="K1978" s="26">
        <v>0</v>
      </c>
      <c r="L1978" s="26">
        <v>0</v>
      </c>
      <c r="M1978">
        <v>9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3</v>
      </c>
      <c r="AK1978">
        <v>1</v>
      </c>
      <c r="AL1978">
        <v>1</v>
      </c>
      <c r="AM1978">
        <v>6</v>
      </c>
      <c r="AN1978" s="18">
        <v>0</v>
      </c>
      <c r="AO1978" s="18">
        <v>0</v>
      </c>
      <c r="AP1978" s="18">
        <v>0</v>
      </c>
      <c r="AQ1978" s="18">
        <v>0</v>
      </c>
      <c r="AR1978" s="29">
        <v>0</v>
      </c>
      <c r="AS1978" s="29">
        <v>0</v>
      </c>
      <c r="AT1978" s="29">
        <v>9</v>
      </c>
      <c r="AU1978" s="24" t="str">
        <f t="shared" si="31"/>
        <v>库存为9</v>
      </c>
      <c r="AV1978" s="31" t="str">
        <f>IFERROR(时间!$B$4+AU1978,"上周无销量")</f>
        <v>上周无销量</v>
      </c>
    </row>
    <row r="1979" spans="1:48">
      <c r="A1979" s="16" t="s">
        <v>3433</v>
      </c>
      <c r="B1979" t="s">
        <v>3434</v>
      </c>
      <c r="C1979" t="s">
        <v>3418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0</v>
      </c>
      <c r="J1979" s="26">
        <v>9</v>
      </c>
      <c r="K1979" s="26">
        <v>0</v>
      </c>
      <c r="L1979" s="26">
        <v>0</v>
      </c>
      <c r="M1979">
        <v>9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6</v>
      </c>
      <c r="AK1979">
        <v>3</v>
      </c>
      <c r="AL1979">
        <v>1</v>
      </c>
      <c r="AM1979">
        <v>5</v>
      </c>
      <c r="AN1979" s="18">
        <v>0</v>
      </c>
      <c r="AO1979" s="18">
        <v>0</v>
      </c>
      <c r="AP1979" s="18">
        <v>0</v>
      </c>
      <c r="AQ1979" s="18">
        <v>0</v>
      </c>
      <c r="AR1979" s="29">
        <v>0</v>
      </c>
      <c r="AS1979" s="29">
        <v>0</v>
      </c>
      <c r="AT1979" s="29">
        <v>9</v>
      </c>
      <c r="AU1979" s="24" t="str">
        <f t="shared" si="31"/>
        <v>库存为9</v>
      </c>
      <c r="AV1979" s="31" t="str">
        <f>IFERROR(时间!$B$4+AU1979,"上周无销量")</f>
        <v>上周无销量</v>
      </c>
    </row>
    <row r="1980" spans="1:48">
      <c r="A1980" s="16" t="s">
        <v>3435</v>
      </c>
      <c r="B1980" t="s">
        <v>3436</v>
      </c>
      <c r="C1980" t="s">
        <v>3418</v>
      </c>
      <c r="D1980" s="24">
        <v>0</v>
      </c>
      <c r="E1980" s="24">
        <v>1</v>
      </c>
      <c r="F1980" s="24">
        <v>0</v>
      </c>
      <c r="G1980" s="24">
        <v>0</v>
      </c>
      <c r="H1980" s="25">
        <v>20.98</v>
      </c>
      <c r="I1980">
        <v>6</v>
      </c>
      <c r="J1980" s="26">
        <v>0</v>
      </c>
      <c r="K1980" s="26">
        <v>0</v>
      </c>
      <c r="L1980" s="26">
        <v>0</v>
      </c>
      <c r="M1980">
        <v>6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8</v>
      </c>
      <c r="AK1980">
        <v>4</v>
      </c>
      <c r="AL1980">
        <v>5</v>
      </c>
      <c r="AM1980">
        <v>1</v>
      </c>
      <c r="AN1980" s="18">
        <v>0</v>
      </c>
      <c r="AO1980" s="18">
        <v>0.25</v>
      </c>
      <c r="AP1980" s="18">
        <v>0</v>
      </c>
      <c r="AQ1980" s="18">
        <v>0</v>
      </c>
      <c r="AR1980" s="29">
        <v>0</v>
      </c>
      <c r="AS1980" s="29">
        <v>0</v>
      </c>
      <c r="AT1980" s="29">
        <v>6</v>
      </c>
      <c r="AU1980" s="24" t="str">
        <f t="shared" si="31"/>
        <v>库存为6</v>
      </c>
      <c r="AV1980" s="31" t="str">
        <f>IFERROR(时间!$B$4+AU1980,"上周无销量")</f>
        <v>上周无销量</v>
      </c>
    </row>
    <row r="1981" spans="1:48">
      <c r="A1981" s="16" t="s">
        <v>3437</v>
      </c>
      <c r="B1981" t="s">
        <v>3438</v>
      </c>
      <c r="C1981" t="s">
        <v>3418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0</v>
      </c>
      <c r="J1981" s="26">
        <v>4</v>
      </c>
      <c r="K1981" s="26">
        <v>0</v>
      </c>
      <c r="L1981" s="26">
        <v>0</v>
      </c>
      <c r="M1981">
        <v>4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5</v>
      </c>
      <c r="AK1981">
        <v>2</v>
      </c>
      <c r="AL1981">
        <v>4</v>
      </c>
      <c r="AM1981">
        <v>2</v>
      </c>
      <c r="AN1981" s="18">
        <v>0</v>
      </c>
      <c r="AO1981" s="18">
        <v>0</v>
      </c>
      <c r="AP1981" s="18">
        <v>0</v>
      </c>
      <c r="AQ1981" s="18">
        <v>0</v>
      </c>
      <c r="AR1981" s="29">
        <v>0</v>
      </c>
      <c r="AS1981" s="29">
        <v>0</v>
      </c>
      <c r="AT1981" s="29">
        <v>4</v>
      </c>
      <c r="AU1981" s="24" t="str">
        <f t="shared" si="31"/>
        <v>库存为4</v>
      </c>
      <c r="AV1981" s="31" t="str">
        <f>IFERROR(时间!$B$4+AU1981,"上周无销量")</f>
        <v>上周无销量</v>
      </c>
    </row>
    <row r="1982" spans="1:48">
      <c r="A1982" s="16" t="s">
        <v>3439</v>
      </c>
      <c r="B1982" t="s">
        <v>3440</v>
      </c>
      <c r="C1982" t="s">
        <v>3418</v>
      </c>
      <c r="D1982" s="24">
        <v>1</v>
      </c>
      <c r="E1982" s="24">
        <v>0</v>
      </c>
      <c r="F1982" s="24">
        <v>1</v>
      </c>
      <c r="G1982" s="24">
        <v>0</v>
      </c>
      <c r="H1982" s="25">
        <v>20.98</v>
      </c>
      <c r="I1982">
        <v>8</v>
      </c>
      <c r="J1982" s="26">
        <v>12</v>
      </c>
      <c r="K1982" s="26">
        <v>0</v>
      </c>
      <c r="L1982" s="26">
        <v>0</v>
      </c>
      <c r="M1982">
        <v>20</v>
      </c>
      <c r="N1982">
        <v>0</v>
      </c>
      <c r="O1982">
        <v>0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3</v>
      </c>
      <c r="AK1982">
        <v>8</v>
      </c>
      <c r="AL1982">
        <v>4</v>
      </c>
      <c r="AM1982">
        <v>3</v>
      </c>
      <c r="AN1982" s="18">
        <v>0.333333333333333</v>
      </c>
      <c r="AO1982" s="18">
        <v>0</v>
      </c>
      <c r="AP1982" s="18">
        <v>0.25</v>
      </c>
      <c r="AQ1982" s="18">
        <v>0</v>
      </c>
      <c r="AR1982" s="29">
        <v>0.142857142857143</v>
      </c>
      <c r="AS1982" s="29">
        <v>8.57142857142857</v>
      </c>
      <c r="AT1982" s="29">
        <v>11.4285714285714</v>
      </c>
      <c r="AU1982" s="24">
        <f t="shared" si="31"/>
        <v>140</v>
      </c>
      <c r="AV1982" s="31">
        <f>IFERROR(时间!$B$4+AU1982,"上周无销量")</f>
        <v>43458</v>
      </c>
    </row>
    <row r="1983" spans="1:48">
      <c r="A1983" s="16" t="s">
        <v>3441</v>
      </c>
      <c r="B1983" t="s">
        <v>3442</v>
      </c>
      <c r="C1983" t="s">
        <v>3418</v>
      </c>
      <c r="D1983" s="24">
        <v>0</v>
      </c>
      <c r="E1983" s="24">
        <v>0</v>
      </c>
      <c r="F1983" s="24">
        <v>0</v>
      </c>
      <c r="G1983" s="24">
        <v>0</v>
      </c>
      <c r="H1983" s="25">
        <v>0</v>
      </c>
      <c r="I1983">
        <v>0</v>
      </c>
      <c r="J1983" s="26">
        <v>9</v>
      </c>
      <c r="K1983" s="26">
        <v>0</v>
      </c>
      <c r="L1983" s="26">
        <v>0</v>
      </c>
      <c r="M1983">
        <v>9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6</v>
      </c>
      <c r="AK1983">
        <v>4</v>
      </c>
      <c r="AL1983">
        <v>1</v>
      </c>
      <c r="AM1983">
        <v>2</v>
      </c>
      <c r="AN1983" s="18">
        <v>0</v>
      </c>
      <c r="AO1983" s="18">
        <v>0</v>
      </c>
      <c r="AP1983" s="18">
        <v>0</v>
      </c>
      <c r="AQ1983" s="18">
        <v>0</v>
      </c>
      <c r="AR1983" s="29">
        <v>0</v>
      </c>
      <c r="AS1983" s="29">
        <v>0</v>
      </c>
      <c r="AT1983" s="29">
        <v>9</v>
      </c>
      <c r="AU1983" s="24" t="str">
        <f t="shared" si="31"/>
        <v>库存为9</v>
      </c>
      <c r="AV1983" s="31" t="str">
        <f>IFERROR(时间!$B$4+AU1983,"上周无销量")</f>
        <v>上周无销量</v>
      </c>
    </row>
    <row r="1984" spans="1:48">
      <c r="A1984" s="16" t="s">
        <v>3443</v>
      </c>
      <c r="B1984" t="s">
        <v>3444</v>
      </c>
      <c r="C1984" t="s">
        <v>3418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9</v>
      </c>
      <c r="J1984" s="26">
        <v>0</v>
      </c>
      <c r="K1984" s="26">
        <v>0</v>
      </c>
      <c r="L1984" s="26">
        <v>0</v>
      </c>
      <c r="M1984">
        <v>9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4</v>
      </c>
      <c r="AK1984">
        <v>5</v>
      </c>
      <c r="AL1984">
        <v>10</v>
      </c>
      <c r="AM1984">
        <v>3</v>
      </c>
      <c r="AN1984" s="18">
        <v>0</v>
      </c>
      <c r="AO1984" s="18">
        <v>0</v>
      </c>
      <c r="AP1984" s="18">
        <v>0</v>
      </c>
      <c r="AQ1984" s="18">
        <v>0</v>
      </c>
      <c r="AR1984" s="29">
        <v>0</v>
      </c>
      <c r="AS1984" s="29">
        <v>0</v>
      </c>
      <c r="AT1984" s="29">
        <v>9</v>
      </c>
      <c r="AU1984" s="24" t="str">
        <f t="shared" si="31"/>
        <v>库存为9</v>
      </c>
      <c r="AV1984" s="31" t="str">
        <f>IFERROR(时间!$B$4+AU1984,"上周无销量")</f>
        <v>上周无销量</v>
      </c>
    </row>
    <row r="1985" spans="1:48">
      <c r="A1985" s="16" t="s">
        <v>3445</v>
      </c>
      <c r="B1985" t="s">
        <v>3446</v>
      </c>
      <c r="C1985" t="s">
        <v>3418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0</v>
      </c>
      <c r="J1985" s="26">
        <v>0</v>
      </c>
      <c r="K1985" s="26">
        <v>0</v>
      </c>
      <c r="L1985" s="26">
        <v>0</v>
      </c>
      <c r="M1985">
        <v>0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5</v>
      </c>
      <c r="AK1985">
        <v>2</v>
      </c>
      <c r="AL1985">
        <v>4</v>
      </c>
      <c r="AM1985">
        <v>2</v>
      </c>
      <c r="AN1985" s="18">
        <v>0</v>
      </c>
      <c r="AO1985" s="18">
        <v>0</v>
      </c>
      <c r="AP1985" s="18">
        <v>0</v>
      </c>
      <c r="AQ1985" s="18">
        <v>0</v>
      </c>
      <c r="AR1985" s="29">
        <v>0</v>
      </c>
      <c r="AS1985" s="29">
        <v>0</v>
      </c>
      <c r="AT1985" s="29">
        <v>0</v>
      </c>
      <c r="AU1985" s="24" t="str">
        <f t="shared" si="31"/>
        <v>库存为0</v>
      </c>
      <c r="AV1985" s="31" t="str">
        <f>IFERROR(时间!$B$4+AU1985,"上周无销量")</f>
        <v>上周无销量</v>
      </c>
    </row>
    <row r="1986" spans="1:48">
      <c r="A1986" s="16" t="s">
        <v>3447</v>
      </c>
      <c r="B1986" t="s">
        <v>3448</v>
      </c>
      <c r="C1986" t="s">
        <v>3418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0</v>
      </c>
      <c r="J1986" s="26">
        <v>0</v>
      </c>
      <c r="K1986" s="26">
        <v>0</v>
      </c>
      <c r="L1986" s="26">
        <v>0</v>
      </c>
      <c r="M1986">
        <v>0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8</v>
      </c>
      <c r="AK1986">
        <v>3</v>
      </c>
      <c r="AL1986">
        <v>3</v>
      </c>
      <c r="AM1986">
        <v>2</v>
      </c>
      <c r="AN1986" s="18">
        <v>0</v>
      </c>
      <c r="AO1986" s="18">
        <v>0</v>
      </c>
      <c r="AP1986" s="18">
        <v>0</v>
      </c>
      <c r="AQ1986" s="18">
        <v>0</v>
      </c>
      <c r="AR1986" s="29">
        <v>0</v>
      </c>
      <c r="AS1986" s="29">
        <v>0</v>
      </c>
      <c r="AT1986" s="29">
        <v>0</v>
      </c>
      <c r="AU1986" s="24" t="str">
        <f t="shared" si="31"/>
        <v>库存为0</v>
      </c>
      <c r="AV1986" s="31" t="str">
        <f>IFERROR(时间!$B$4+AU1986,"上周无销量")</f>
        <v>上周无销量</v>
      </c>
    </row>
    <row r="1987" spans="1:48">
      <c r="A1987" s="16" t="s">
        <v>3449</v>
      </c>
      <c r="B1987" t="s">
        <v>3450</v>
      </c>
      <c r="C1987" t="s">
        <v>3418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0</v>
      </c>
      <c r="J1987" s="26">
        <v>0</v>
      </c>
      <c r="K1987" s="26">
        <v>0</v>
      </c>
      <c r="L1987" s="26">
        <v>0</v>
      </c>
      <c r="M1987">
        <v>0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3</v>
      </c>
      <c r="AK1987">
        <v>9</v>
      </c>
      <c r="AL1987">
        <v>3</v>
      </c>
      <c r="AM1987">
        <v>3</v>
      </c>
      <c r="AN1987" s="18">
        <v>0</v>
      </c>
      <c r="AO1987" s="18">
        <v>0</v>
      </c>
      <c r="AP1987" s="18">
        <v>0</v>
      </c>
      <c r="AQ1987" s="18">
        <v>0</v>
      </c>
      <c r="AR1987" s="29">
        <v>0</v>
      </c>
      <c r="AS1987" s="29">
        <v>0</v>
      </c>
      <c r="AT1987" s="29">
        <v>0</v>
      </c>
      <c r="AU1987" s="24" t="str">
        <f t="shared" si="31"/>
        <v>库存为0</v>
      </c>
      <c r="AV1987" s="31" t="str">
        <f>IFERROR(时间!$B$4+AU1987,"上周无销量")</f>
        <v>上周无销量</v>
      </c>
    </row>
    <row r="1988" spans="1:48">
      <c r="A1988" s="16" t="s">
        <v>3451</v>
      </c>
      <c r="B1988" t="s">
        <v>3452</v>
      </c>
      <c r="C1988" t="s">
        <v>3418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0</v>
      </c>
      <c r="J1988" s="26">
        <v>10</v>
      </c>
      <c r="K1988" s="26">
        <v>0</v>
      </c>
      <c r="L1988" s="26">
        <v>0</v>
      </c>
      <c r="M1988">
        <v>10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4</v>
      </c>
      <c r="AK1988">
        <v>5</v>
      </c>
      <c r="AL1988">
        <v>4</v>
      </c>
      <c r="AM1988">
        <v>1</v>
      </c>
      <c r="AN1988" s="18">
        <v>0</v>
      </c>
      <c r="AO1988" s="18">
        <v>0</v>
      </c>
      <c r="AP1988" s="18">
        <v>0</v>
      </c>
      <c r="AQ1988" s="18">
        <v>0</v>
      </c>
      <c r="AR1988" s="29">
        <v>0</v>
      </c>
      <c r="AS1988" s="29">
        <v>0</v>
      </c>
      <c r="AT1988" s="29">
        <v>10</v>
      </c>
      <c r="AU1988" s="24" t="str">
        <f t="shared" si="31"/>
        <v>库存为10</v>
      </c>
      <c r="AV1988" s="31" t="str">
        <f>IFERROR(时间!$B$4+AU1988,"上周无销量")</f>
        <v>上周无销量</v>
      </c>
    </row>
    <row r="1989" spans="1:48">
      <c r="A1989" s="16" t="s">
        <v>3453</v>
      </c>
      <c r="B1989" t="s">
        <v>3454</v>
      </c>
      <c r="C1989" t="s">
        <v>3418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0</v>
      </c>
      <c r="J1989" s="26">
        <v>4</v>
      </c>
      <c r="K1989" s="26">
        <v>0</v>
      </c>
      <c r="L1989" s="26">
        <v>0</v>
      </c>
      <c r="M1989">
        <v>4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2</v>
      </c>
      <c r="AK1989">
        <v>4</v>
      </c>
      <c r="AL1989">
        <v>9</v>
      </c>
      <c r="AM1989">
        <v>4</v>
      </c>
      <c r="AN1989" s="18">
        <v>0</v>
      </c>
      <c r="AO1989" s="18">
        <v>0</v>
      </c>
      <c r="AP1989" s="18">
        <v>0</v>
      </c>
      <c r="AQ1989" s="18">
        <v>0</v>
      </c>
      <c r="AR1989" s="29">
        <v>0</v>
      </c>
      <c r="AS1989" s="29">
        <v>0</v>
      </c>
      <c r="AT1989" s="29">
        <v>4</v>
      </c>
      <c r="AU1989" s="24" t="str">
        <f t="shared" si="31"/>
        <v>库存为4</v>
      </c>
      <c r="AV1989" s="31" t="str">
        <f>IFERROR(时间!$B$4+AU1989,"上周无销量")</f>
        <v>上周无销量</v>
      </c>
    </row>
    <row r="1990" spans="1:48">
      <c r="A1990" s="16" t="s">
        <v>3455</v>
      </c>
      <c r="B1990" t="s">
        <v>3456</v>
      </c>
      <c r="C1990" t="s">
        <v>3418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0</v>
      </c>
      <c r="J1990" s="26">
        <v>11</v>
      </c>
      <c r="K1990" s="26">
        <v>0</v>
      </c>
      <c r="L1990" s="26">
        <v>0</v>
      </c>
      <c r="M1990">
        <v>11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3</v>
      </c>
      <c r="AK1990">
        <v>3</v>
      </c>
      <c r="AL1990">
        <v>5</v>
      </c>
      <c r="AM1990">
        <v>3</v>
      </c>
      <c r="AN1990" s="18">
        <v>0</v>
      </c>
      <c r="AO1990" s="18">
        <v>0</v>
      </c>
      <c r="AP1990" s="18">
        <v>0</v>
      </c>
      <c r="AQ1990" s="18">
        <v>0</v>
      </c>
      <c r="AR1990" s="29">
        <v>0</v>
      </c>
      <c r="AS1990" s="29">
        <v>0</v>
      </c>
      <c r="AT1990" s="29">
        <v>11</v>
      </c>
      <c r="AU1990" s="24" t="str">
        <f t="shared" ref="AU1990:AU2053" si="32">IF(AR1990="","库存为"&amp;M1990,IF(AS1990=0,"库存为"&amp;M1990,INT(M1990/AR1990)))</f>
        <v>库存为11</v>
      </c>
      <c r="AV1990" s="31" t="str">
        <f>IFERROR(时间!$B$4+AU1990,"上周无销量")</f>
        <v>上周无销量</v>
      </c>
    </row>
    <row r="1991" spans="1:48">
      <c r="A1991" s="16" t="s">
        <v>3457</v>
      </c>
      <c r="B1991" t="s">
        <v>3458</v>
      </c>
      <c r="C1991" t="s">
        <v>3418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9</v>
      </c>
      <c r="J1991" s="26">
        <v>5</v>
      </c>
      <c r="K1991" s="26">
        <v>0</v>
      </c>
      <c r="L1991" s="26">
        <v>0</v>
      </c>
      <c r="M1991">
        <v>14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6</v>
      </c>
      <c r="AK1991">
        <v>5</v>
      </c>
      <c r="AL1991">
        <v>3</v>
      </c>
      <c r="AM1991">
        <v>5</v>
      </c>
      <c r="AN1991" s="18">
        <v>0</v>
      </c>
      <c r="AO1991" s="18">
        <v>0</v>
      </c>
      <c r="AP1991" s="18">
        <v>0</v>
      </c>
      <c r="AQ1991" s="18">
        <v>0</v>
      </c>
      <c r="AR1991" s="29">
        <v>0</v>
      </c>
      <c r="AS1991" s="29">
        <v>0</v>
      </c>
      <c r="AT1991" s="29">
        <v>14</v>
      </c>
      <c r="AU1991" s="24" t="str">
        <f t="shared" si="32"/>
        <v>库存为14</v>
      </c>
      <c r="AV1991" s="31" t="str">
        <f>IFERROR(时间!$B$4+AU1991,"上周无销量")</f>
        <v>上周无销量</v>
      </c>
    </row>
    <row r="1992" spans="1:48">
      <c r="A1992" s="16" t="s">
        <v>3459</v>
      </c>
      <c r="B1992" t="s">
        <v>3460</v>
      </c>
      <c r="C1992" t="s">
        <v>3418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2</v>
      </c>
      <c r="J1992" s="26">
        <v>7</v>
      </c>
      <c r="K1992" s="26">
        <v>0</v>
      </c>
      <c r="L1992" s="26">
        <v>0</v>
      </c>
      <c r="M1992">
        <v>9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3</v>
      </c>
      <c r="AK1992">
        <v>6</v>
      </c>
      <c r="AL1992">
        <v>8</v>
      </c>
      <c r="AM1992">
        <v>1</v>
      </c>
      <c r="AN1992" s="18">
        <v>0</v>
      </c>
      <c r="AO1992" s="18">
        <v>0</v>
      </c>
      <c r="AP1992" s="18">
        <v>0</v>
      </c>
      <c r="AQ1992" s="18">
        <v>0</v>
      </c>
      <c r="AR1992" s="29">
        <v>0</v>
      </c>
      <c r="AS1992" s="29">
        <v>0</v>
      </c>
      <c r="AT1992" s="29">
        <v>9</v>
      </c>
      <c r="AU1992" s="24" t="str">
        <f t="shared" si="32"/>
        <v>库存为9</v>
      </c>
      <c r="AV1992" s="31" t="str">
        <f>IFERROR(时间!$B$4+AU1992,"上周无销量")</f>
        <v>上周无销量</v>
      </c>
    </row>
    <row r="1993" spans="1:48">
      <c r="A1993" s="16" t="s">
        <v>3461</v>
      </c>
      <c r="B1993" t="s">
        <v>3462</v>
      </c>
      <c r="C1993" t="s">
        <v>3418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0</v>
      </c>
      <c r="J1993" s="26">
        <v>7</v>
      </c>
      <c r="K1993" s="26">
        <v>0</v>
      </c>
      <c r="L1993" s="26">
        <v>0</v>
      </c>
      <c r="M1993">
        <v>7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1</v>
      </c>
      <c r="AK1993">
        <v>7</v>
      </c>
      <c r="AL1993">
        <v>4</v>
      </c>
      <c r="AM1993">
        <v>6</v>
      </c>
      <c r="AN1993" s="18">
        <v>0</v>
      </c>
      <c r="AO1993" s="18">
        <v>0</v>
      </c>
      <c r="AP1993" s="18">
        <v>0</v>
      </c>
      <c r="AQ1993" s="18">
        <v>0</v>
      </c>
      <c r="AR1993" s="29">
        <v>0</v>
      </c>
      <c r="AS1993" s="29">
        <v>0</v>
      </c>
      <c r="AT1993" s="29">
        <v>7</v>
      </c>
      <c r="AU1993" s="24" t="str">
        <f t="shared" si="32"/>
        <v>库存为7</v>
      </c>
      <c r="AV1993" s="31" t="str">
        <f>IFERROR(时间!$B$4+AU1993,"上周无销量")</f>
        <v>上周无销量</v>
      </c>
    </row>
    <row r="1994" spans="1:48">
      <c r="A1994" s="16" t="s">
        <v>3463</v>
      </c>
      <c r="B1994" t="s">
        <v>3464</v>
      </c>
      <c r="C1994" t="s">
        <v>3418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0</v>
      </c>
      <c r="J1994" s="26">
        <v>9</v>
      </c>
      <c r="K1994" s="26">
        <v>0</v>
      </c>
      <c r="L1994" s="26">
        <v>0</v>
      </c>
      <c r="M1994">
        <v>9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4</v>
      </c>
      <c r="AK1994">
        <v>3</v>
      </c>
      <c r="AL1994">
        <v>1</v>
      </c>
      <c r="AM1994">
        <v>2</v>
      </c>
      <c r="AN1994" s="18">
        <v>0</v>
      </c>
      <c r="AO1994" s="18">
        <v>0</v>
      </c>
      <c r="AP1994" s="18">
        <v>0</v>
      </c>
      <c r="AQ1994" s="18">
        <v>0</v>
      </c>
      <c r="AR1994" s="29">
        <v>0</v>
      </c>
      <c r="AS1994" s="29">
        <v>0</v>
      </c>
      <c r="AT1994" s="29">
        <v>9</v>
      </c>
      <c r="AU1994" s="24" t="str">
        <f t="shared" si="32"/>
        <v>库存为9</v>
      </c>
      <c r="AV1994" s="31" t="str">
        <f>IFERROR(时间!$B$4+AU1994,"上周无销量")</f>
        <v>上周无销量</v>
      </c>
    </row>
    <row r="1995" spans="1:48">
      <c r="A1995" s="16" t="s">
        <v>3465</v>
      </c>
      <c r="B1995" t="s">
        <v>3466</v>
      </c>
      <c r="C1995" t="s">
        <v>3418</v>
      </c>
      <c r="D1995" s="24">
        <v>0</v>
      </c>
      <c r="E1995" s="24">
        <v>0</v>
      </c>
      <c r="F1995" s="24">
        <v>1</v>
      </c>
      <c r="G1995" s="24">
        <v>0</v>
      </c>
      <c r="H1995" s="25">
        <v>20.98</v>
      </c>
      <c r="I1995">
        <v>4</v>
      </c>
      <c r="J1995" s="26">
        <v>9</v>
      </c>
      <c r="K1995" s="26">
        <v>0</v>
      </c>
      <c r="L1995" s="26">
        <v>0</v>
      </c>
      <c r="M1995">
        <v>13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5</v>
      </c>
      <c r="AK1995">
        <v>4</v>
      </c>
      <c r="AL1995">
        <v>8</v>
      </c>
      <c r="AM1995">
        <v>1</v>
      </c>
      <c r="AN1995" s="18">
        <v>0</v>
      </c>
      <c r="AO1995" s="18">
        <v>0</v>
      </c>
      <c r="AP1995" s="18">
        <v>0.125</v>
      </c>
      <c r="AQ1995" s="18">
        <v>0</v>
      </c>
      <c r="AR1995" s="29">
        <v>0</v>
      </c>
      <c r="AS1995" s="29">
        <v>0</v>
      </c>
      <c r="AT1995" s="29">
        <v>13</v>
      </c>
      <c r="AU1995" s="24" t="str">
        <f t="shared" si="32"/>
        <v>库存为13</v>
      </c>
      <c r="AV1995" s="31" t="str">
        <f>IFERROR(时间!$B$4+AU1995,"上周无销量")</f>
        <v>上周无销量</v>
      </c>
    </row>
    <row r="1996" spans="1:48">
      <c r="A1996" s="16" t="s">
        <v>3467</v>
      </c>
      <c r="B1996" t="s">
        <v>3468</v>
      </c>
      <c r="C1996" t="s">
        <v>3418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0</v>
      </c>
      <c r="J1996" s="26">
        <v>10</v>
      </c>
      <c r="K1996" s="26">
        <v>0</v>
      </c>
      <c r="L1996" s="26">
        <v>0</v>
      </c>
      <c r="M1996">
        <v>10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15</v>
      </c>
      <c r="AK1996">
        <v>12</v>
      </c>
      <c r="AL1996">
        <v>3</v>
      </c>
      <c r="AM1996">
        <v>4</v>
      </c>
      <c r="AN1996" s="18">
        <v>0</v>
      </c>
      <c r="AO1996" s="18">
        <v>0</v>
      </c>
      <c r="AP1996" s="18">
        <v>0</v>
      </c>
      <c r="AQ1996" s="18">
        <v>0</v>
      </c>
      <c r="AR1996" s="29">
        <v>0</v>
      </c>
      <c r="AS1996" s="29">
        <v>0</v>
      </c>
      <c r="AT1996" s="29">
        <v>10</v>
      </c>
      <c r="AU1996" s="24" t="str">
        <f t="shared" si="32"/>
        <v>库存为10</v>
      </c>
      <c r="AV1996" s="31" t="str">
        <f>IFERROR(时间!$B$4+AU1996,"上周无销量")</f>
        <v>上周无销量</v>
      </c>
    </row>
    <row r="1997" spans="1:48">
      <c r="A1997" s="16" t="s">
        <v>3469</v>
      </c>
      <c r="B1997" t="s">
        <v>3470</v>
      </c>
      <c r="C1997" t="s">
        <v>3418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0</v>
      </c>
      <c r="J1997" s="26">
        <v>6</v>
      </c>
      <c r="K1997" s="26">
        <v>0</v>
      </c>
      <c r="L1997" s="26">
        <v>0</v>
      </c>
      <c r="M1997">
        <v>6</v>
      </c>
      <c r="N1997">
        <v>0</v>
      </c>
      <c r="O1997">
        <v>0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2</v>
      </c>
      <c r="AK1997">
        <v>2</v>
      </c>
      <c r="AL1997">
        <v>1</v>
      </c>
      <c r="AM1997">
        <v>5</v>
      </c>
      <c r="AN1997" s="18">
        <v>0</v>
      </c>
      <c r="AO1997" s="18">
        <v>0</v>
      </c>
      <c r="AP1997" s="18">
        <v>0</v>
      </c>
      <c r="AQ1997" s="18">
        <v>0</v>
      </c>
      <c r="AR1997" s="29">
        <v>0</v>
      </c>
      <c r="AS1997" s="29">
        <v>0</v>
      </c>
      <c r="AT1997" s="29">
        <v>6</v>
      </c>
      <c r="AU1997" s="24" t="str">
        <f t="shared" si="32"/>
        <v>库存为6</v>
      </c>
      <c r="AV1997" s="31" t="str">
        <f>IFERROR(时间!$B$4+AU1997,"上周无销量")</f>
        <v>上周无销量</v>
      </c>
    </row>
    <row r="1998" spans="1:48">
      <c r="A1998" s="16" t="s">
        <v>3471</v>
      </c>
      <c r="B1998" t="s">
        <v>3472</v>
      </c>
      <c r="C1998" t="s">
        <v>3418</v>
      </c>
      <c r="D1998" s="24">
        <v>0</v>
      </c>
      <c r="E1998" s="24">
        <v>0</v>
      </c>
      <c r="F1998" s="24">
        <v>0</v>
      </c>
      <c r="G1998" s="24">
        <v>1</v>
      </c>
      <c r="H1998" s="25">
        <v>20.98</v>
      </c>
      <c r="I1998">
        <v>4</v>
      </c>
      <c r="J1998" s="26">
        <v>0</v>
      </c>
      <c r="K1998" s="26">
        <v>0</v>
      </c>
      <c r="L1998" s="26">
        <v>0</v>
      </c>
      <c r="M1998">
        <v>4</v>
      </c>
      <c r="N1998">
        <v>0</v>
      </c>
      <c r="O1998">
        <v>0</v>
      </c>
      <c r="P1998" t="s">
        <v>52</v>
      </c>
      <c r="Q1998" t="s">
        <v>52</v>
      </c>
      <c r="R1998" t="s">
        <v>52</v>
      </c>
      <c r="S1998" t="s">
        <v>52</v>
      </c>
      <c r="T1998" t="s">
        <v>52</v>
      </c>
      <c r="U1998" t="s">
        <v>52</v>
      </c>
      <c r="V1998" t="s">
        <v>52</v>
      </c>
      <c r="W1998" t="s">
        <v>52</v>
      </c>
      <c r="X1998" s="18" t="s">
        <v>52</v>
      </c>
      <c r="Y1998" s="18" t="s">
        <v>52</v>
      </c>
      <c r="Z1998" s="18" t="s">
        <v>52</v>
      </c>
      <c r="AA1998" s="18" t="s">
        <v>52</v>
      </c>
      <c r="AB1998" t="s">
        <v>52</v>
      </c>
      <c r="AC1998" t="s">
        <v>52</v>
      </c>
      <c r="AD1998" t="s">
        <v>52</v>
      </c>
      <c r="AE1998" t="s">
        <v>52</v>
      </c>
      <c r="AF1998" s="18" t="s">
        <v>52</v>
      </c>
      <c r="AG1998" s="18" t="s">
        <v>52</v>
      </c>
      <c r="AH1998" s="18" t="s">
        <v>52</v>
      </c>
      <c r="AI1998" s="18" t="s">
        <v>52</v>
      </c>
      <c r="AJ1998">
        <v>5</v>
      </c>
      <c r="AK1998">
        <v>5</v>
      </c>
      <c r="AL1998">
        <v>4</v>
      </c>
      <c r="AM1998">
        <v>5</v>
      </c>
      <c r="AN1998" s="18">
        <v>0</v>
      </c>
      <c r="AO1998" s="18">
        <v>0</v>
      </c>
      <c r="AP1998" s="18">
        <v>0</v>
      </c>
      <c r="AQ1998" s="18">
        <v>0.2</v>
      </c>
      <c r="AR1998" s="29">
        <v>0</v>
      </c>
      <c r="AS1998" s="29">
        <v>0</v>
      </c>
      <c r="AT1998" s="29">
        <v>4</v>
      </c>
      <c r="AU1998" s="24" t="str">
        <f t="shared" si="32"/>
        <v>库存为4</v>
      </c>
      <c r="AV1998" s="31" t="str">
        <f>IFERROR(时间!$B$4+AU1998,"上周无销量")</f>
        <v>上周无销量</v>
      </c>
    </row>
    <row r="1999" spans="1:48">
      <c r="A1999" s="16" t="s">
        <v>3473</v>
      </c>
      <c r="B1999" t="s">
        <v>3474</v>
      </c>
      <c r="C1999" t="s">
        <v>3475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0</v>
      </c>
      <c r="J1999" s="26">
        <v>0</v>
      </c>
      <c r="K1999" s="26">
        <v>0</v>
      </c>
      <c r="L1999" s="26">
        <v>0</v>
      </c>
      <c r="M1999">
        <v>0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0</v>
      </c>
      <c r="AK1999">
        <v>0</v>
      </c>
      <c r="AL1999">
        <v>0</v>
      </c>
      <c r="AM1999">
        <v>0</v>
      </c>
      <c r="AN1999" s="18" t="s">
        <v>52</v>
      </c>
      <c r="AO1999" s="18" t="s">
        <v>52</v>
      </c>
      <c r="AP1999" s="18" t="s">
        <v>52</v>
      </c>
      <c r="AQ1999" s="18" t="s">
        <v>52</v>
      </c>
      <c r="AR1999" s="29">
        <v>0</v>
      </c>
      <c r="AS1999" s="29">
        <v>0</v>
      </c>
      <c r="AT1999" s="29">
        <v>0</v>
      </c>
      <c r="AU1999" s="24" t="str">
        <f t="shared" si="32"/>
        <v>库存为0</v>
      </c>
      <c r="AV1999" s="31" t="str">
        <f>IFERROR(时间!$B$4+AU1999,"上周无销量")</f>
        <v>上周无销量</v>
      </c>
    </row>
    <row r="2000" spans="1:48">
      <c r="A2000" s="16" t="s">
        <v>3476</v>
      </c>
      <c r="B2000" t="s">
        <v>3477</v>
      </c>
      <c r="C2000" t="s">
        <v>3475</v>
      </c>
      <c r="D2000" s="24">
        <v>0</v>
      </c>
      <c r="E2000" s="24">
        <v>0</v>
      </c>
      <c r="F2000" s="24">
        <v>0</v>
      </c>
      <c r="G2000" s="24">
        <v>0</v>
      </c>
      <c r="H2000" s="25">
        <v>0</v>
      </c>
      <c r="I2000">
        <v>0</v>
      </c>
      <c r="J2000" s="26">
        <v>0</v>
      </c>
      <c r="K2000" s="26">
        <v>0</v>
      </c>
      <c r="L2000" s="26">
        <v>0</v>
      </c>
      <c r="M2000">
        <v>0</v>
      </c>
      <c r="N2000">
        <v>0</v>
      </c>
      <c r="O2000">
        <v>0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0</v>
      </c>
      <c r="AK2000">
        <v>0</v>
      </c>
      <c r="AL2000">
        <v>0</v>
      </c>
      <c r="AM2000">
        <v>0</v>
      </c>
      <c r="AN2000" s="18" t="s">
        <v>52</v>
      </c>
      <c r="AO2000" s="18" t="s">
        <v>52</v>
      </c>
      <c r="AP2000" s="18" t="s">
        <v>52</v>
      </c>
      <c r="AQ2000" s="18" t="s">
        <v>52</v>
      </c>
      <c r="AR2000" s="29">
        <v>0</v>
      </c>
      <c r="AS2000" s="29">
        <v>0</v>
      </c>
      <c r="AT2000" s="29">
        <v>0</v>
      </c>
      <c r="AU2000" s="24" t="str">
        <f t="shared" si="32"/>
        <v>库存为0</v>
      </c>
      <c r="AV2000" s="31" t="str">
        <f>IFERROR(时间!$B$4+AU2000,"上周无销量")</f>
        <v>上周无销量</v>
      </c>
    </row>
    <row r="2001" spans="1:48">
      <c r="A2001" s="16" t="s">
        <v>3478</v>
      </c>
      <c r="B2001" t="s">
        <v>3479</v>
      </c>
      <c r="C2001" t="s">
        <v>3475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0</v>
      </c>
      <c r="J2001" s="26">
        <v>0</v>
      </c>
      <c r="K2001" s="26">
        <v>0</v>
      </c>
      <c r="L2001" s="26">
        <v>0</v>
      </c>
      <c r="M2001">
        <v>0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0</v>
      </c>
      <c r="AK2001">
        <v>0</v>
      </c>
      <c r="AL2001">
        <v>0</v>
      </c>
      <c r="AM2001">
        <v>0</v>
      </c>
      <c r="AN2001" s="18" t="s">
        <v>52</v>
      </c>
      <c r="AO2001" s="18" t="s">
        <v>52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0</v>
      </c>
      <c r="AU2001" s="24" t="str">
        <f t="shared" si="32"/>
        <v>库存为0</v>
      </c>
      <c r="AV2001" s="31" t="str">
        <f>IFERROR(时间!$B$4+AU2001,"上周无销量")</f>
        <v>上周无销量</v>
      </c>
    </row>
    <row r="2002" spans="1:48">
      <c r="A2002" s="16" t="s">
        <v>3480</v>
      </c>
      <c r="B2002" t="s">
        <v>3481</v>
      </c>
      <c r="C2002" t="s">
        <v>3475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0</v>
      </c>
      <c r="J2002" s="26">
        <v>0</v>
      </c>
      <c r="K2002" s="26">
        <v>0</v>
      </c>
      <c r="L2002" s="26">
        <v>0</v>
      </c>
      <c r="M2002">
        <v>0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0</v>
      </c>
      <c r="AK2002">
        <v>0</v>
      </c>
      <c r="AL2002">
        <v>0</v>
      </c>
      <c r="AM2002">
        <v>0</v>
      </c>
      <c r="AN2002" s="18" t="s">
        <v>52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0</v>
      </c>
      <c r="AU2002" s="24" t="str">
        <f t="shared" si="32"/>
        <v>库存为0</v>
      </c>
      <c r="AV2002" s="31" t="str">
        <f>IFERROR(时间!$B$4+AU2002,"上周无销量")</f>
        <v>上周无销量</v>
      </c>
    </row>
    <row r="2003" spans="1:48">
      <c r="A2003" s="16" t="s">
        <v>3482</v>
      </c>
      <c r="B2003" t="s">
        <v>3483</v>
      </c>
      <c r="C2003" t="s">
        <v>3475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0</v>
      </c>
      <c r="J2003" s="26">
        <v>0</v>
      </c>
      <c r="K2003" s="26">
        <v>0</v>
      </c>
      <c r="L2003" s="26">
        <v>0</v>
      </c>
      <c r="M2003">
        <v>0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0</v>
      </c>
      <c r="AK2003">
        <v>0</v>
      </c>
      <c r="AL2003">
        <v>0</v>
      </c>
      <c r="AM2003">
        <v>0</v>
      </c>
      <c r="AN2003" s="18" t="s">
        <v>52</v>
      </c>
      <c r="AO2003" s="18" t="s">
        <v>52</v>
      </c>
      <c r="AP2003" s="18" t="s">
        <v>52</v>
      </c>
      <c r="AQ2003" s="18" t="s">
        <v>52</v>
      </c>
      <c r="AR2003" s="29">
        <v>0</v>
      </c>
      <c r="AS2003" s="29">
        <v>0</v>
      </c>
      <c r="AT2003" s="29">
        <v>0</v>
      </c>
      <c r="AU2003" s="24" t="str">
        <f t="shared" si="32"/>
        <v>库存为0</v>
      </c>
      <c r="AV2003" s="31" t="str">
        <f>IFERROR(时间!$B$4+AU2003,"上周无销量")</f>
        <v>上周无销量</v>
      </c>
    </row>
    <row r="2004" spans="1:48">
      <c r="A2004" s="16" t="s">
        <v>3484</v>
      </c>
      <c r="B2004" t="s">
        <v>3485</v>
      </c>
      <c r="C2004" t="s">
        <v>3475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0</v>
      </c>
      <c r="J2004" s="26">
        <v>0</v>
      </c>
      <c r="K2004" s="26">
        <v>0</v>
      </c>
      <c r="L2004" s="26">
        <v>0</v>
      </c>
      <c r="M2004">
        <v>0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0</v>
      </c>
      <c r="AK2004">
        <v>0</v>
      </c>
      <c r="AL2004">
        <v>0</v>
      </c>
      <c r="AM2004">
        <v>0</v>
      </c>
      <c r="AN2004" s="18" t="s">
        <v>52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0</v>
      </c>
      <c r="AU2004" s="24" t="str">
        <f t="shared" si="32"/>
        <v>库存为0</v>
      </c>
      <c r="AV2004" s="31" t="str">
        <f>IFERROR(时间!$B$4+AU2004,"上周无销量")</f>
        <v>上周无销量</v>
      </c>
    </row>
    <row r="2005" spans="1:48">
      <c r="A2005" s="16" t="s">
        <v>3486</v>
      </c>
      <c r="B2005" t="s">
        <v>3487</v>
      </c>
      <c r="C2005" t="s">
        <v>3475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0</v>
      </c>
      <c r="J2005" s="26">
        <v>0</v>
      </c>
      <c r="K2005" s="26">
        <v>0</v>
      </c>
      <c r="L2005" s="26">
        <v>0</v>
      </c>
      <c r="M2005">
        <v>0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0</v>
      </c>
      <c r="AK2005">
        <v>0</v>
      </c>
      <c r="AL2005">
        <v>0</v>
      </c>
      <c r="AM2005">
        <v>0</v>
      </c>
      <c r="AN2005" s="18" t="s">
        <v>52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0</v>
      </c>
      <c r="AU2005" s="24" t="str">
        <f t="shared" si="32"/>
        <v>库存为0</v>
      </c>
      <c r="AV2005" s="31" t="str">
        <f>IFERROR(时间!$B$4+AU2005,"上周无销量")</f>
        <v>上周无销量</v>
      </c>
    </row>
    <row r="2006" spans="1:48">
      <c r="A2006" s="16" t="s">
        <v>3488</v>
      </c>
      <c r="B2006" t="s">
        <v>3489</v>
      </c>
      <c r="C2006" t="s">
        <v>3475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0</v>
      </c>
      <c r="J2006" s="26">
        <v>0</v>
      </c>
      <c r="K2006" s="26">
        <v>0</v>
      </c>
      <c r="L2006" s="26">
        <v>0</v>
      </c>
      <c r="M2006">
        <v>0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0</v>
      </c>
      <c r="AK2006">
        <v>0</v>
      </c>
      <c r="AL2006">
        <v>0</v>
      </c>
      <c r="AM2006">
        <v>0</v>
      </c>
      <c r="AN2006" s="18" t="s">
        <v>52</v>
      </c>
      <c r="AO2006" s="18" t="s">
        <v>52</v>
      </c>
      <c r="AP2006" s="18" t="s">
        <v>52</v>
      </c>
      <c r="AQ2006" s="18" t="s">
        <v>52</v>
      </c>
      <c r="AR2006" s="29">
        <v>0</v>
      </c>
      <c r="AS2006" s="29">
        <v>0</v>
      </c>
      <c r="AT2006" s="29">
        <v>0</v>
      </c>
      <c r="AU2006" s="24" t="str">
        <f t="shared" si="32"/>
        <v>库存为0</v>
      </c>
      <c r="AV2006" s="31" t="str">
        <f>IFERROR(时间!$B$4+AU2006,"上周无销量")</f>
        <v>上周无销量</v>
      </c>
    </row>
    <row r="2007" spans="1:48">
      <c r="A2007" s="16" t="s">
        <v>3490</v>
      </c>
      <c r="B2007" t="s">
        <v>3491</v>
      </c>
      <c r="C2007" t="s">
        <v>3475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0</v>
      </c>
      <c r="J2007" s="26">
        <v>0</v>
      </c>
      <c r="K2007" s="26">
        <v>0</v>
      </c>
      <c r="L2007" s="26">
        <v>0</v>
      </c>
      <c r="M2007">
        <v>0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0</v>
      </c>
      <c r="AK2007">
        <v>0</v>
      </c>
      <c r="AL2007">
        <v>0</v>
      </c>
      <c r="AM2007">
        <v>0</v>
      </c>
      <c r="AN2007" s="18" t="s">
        <v>52</v>
      </c>
      <c r="AO2007" s="18" t="s">
        <v>52</v>
      </c>
      <c r="AP2007" s="18" t="s">
        <v>52</v>
      </c>
      <c r="AQ2007" s="18" t="s">
        <v>52</v>
      </c>
      <c r="AR2007" s="29">
        <v>0</v>
      </c>
      <c r="AS2007" s="29">
        <v>0</v>
      </c>
      <c r="AT2007" s="29">
        <v>0</v>
      </c>
      <c r="AU2007" s="24" t="str">
        <f t="shared" si="32"/>
        <v>库存为0</v>
      </c>
      <c r="AV2007" s="31" t="str">
        <f>IFERROR(时间!$B$4+AU2007,"上周无销量")</f>
        <v>上周无销量</v>
      </c>
    </row>
    <row r="2008" spans="1:48">
      <c r="A2008" s="16" t="s">
        <v>3492</v>
      </c>
      <c r="B2008" t="s">
        <v>3493</v>
      </c>
      <c r="C2008" t="s">
        <v>3475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0</v>
      </c>
      <c r="J2008" s="26">
        <v>0</v>
      </c>
      <c r="K2008" s="26">
        <v>0</v>
      </c>
      <c r="L2008" s="26">
        <v>0</v>
      </c>
      <c r="M2008">
        <v>0</v>
      </c>
      <c r="N2008">
        <v>0</v>
      </c>
      <c r="O2008">
        <v>0</v>
      </c>
      <c r="P2008" t="s">
        <v>52</v>
      </c>
      <c r="Q2008" t="s">
        <v>52</v>
      </c>
      <c r="R2008" t="s">
        <v>52</v>
      </c>
      <c r="S2008" t="s">
        <v>52</v>
      </c>
      <c r="T2008" t="s">
        <v>52</v>
      </c>
      <c r="U2008" t="s">
        <v>52</v>
      </c>
      <c r="V2008" t="s">
        <v>52</v>
      </c>
      <c r="W2008" t="s">
        <v>52</v>
      </c>
      <c r="X2008" s="18" t="s">
        <v>52</v>
      </c>
      <c r="Y2008" s="18" t="s">
        <v>52</v>
      </c>
      <c r="Z2008" s="18" t="s">
        <v>52</v>
      </c>
      <c r="AA2008" s="1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0</v>
      </c>
      <c r="AK2008">
        <v>0</v>
      </c>
      <c r="AL2008">
        <v>0</v>
      </c>
      <c r="AM2008">
        <v>0</v>
      </c>
      <c r="AN2008" s="18" t="s">
        <v>52</v>
      </c>
      <c r="AO2008" s="18" t="s">
        <v>52</v>
      </c>
      <c r="AP2008" s="18" t="s">
        <v>52</v>
      </c>
      <c r="AQ2008" s="18" t="s">
        <v>52</v>
      </c>
      <c r="AR2008" s="29">
        <v>0</v>
      </c>
      <c r="AS2008" s="29">
        <v>0</v>
      </c>
      <c r="AT2008" s="29">
        <v>0</v>
      </c>
      <c r="AU2008" s="24" t="str">
        <f t="shared" si="32"/>
        <v>库存为0</v>
      </c>
      <c r="AV2008" s="31" t="str">
        <f>IFERROR(时间!$B$4+AU2008,"上周无销量")</f>
        <v>上周无销量</v>
      </c>
    </row>
    <row r="2009" spans="1:48">
      <c r="A2009" s="16" t="s">
        <v>3494</v>
      </c>
      <c r="B2009" t="s">
        <v>3495</v>
      </c>
      <c r="C2009" t="s">
        <v>3475</v>
      </c>
      <c r="D2009" s="24">
        <v>0</v>
      </c>
      <c r="E2009" s="24">
        <v>0</v>
      </c>
      <c r="F2009" s="24">
        <v>0</v>
      </c>
      <c r="G2009" s="24">
        <v>0</v>
      </c>
      <c r="H2009" s="25">
        <v>0</v>
      </c>
      <c r="I2009">
        <v>0</v>
      </c>
      <c r="J2009" s="26">
        <v>0</v>
      </c>
      <c r="K2009" s="26">
        <v>0</v>
      </c>
      <c r="L2009" s="26">
        <v>0</v>
      </c>
      <c r="M2009">
        <v>0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0</v>
      </c>
      <c r="AK2009">
        <v>0</v>
      </c>
      <c r="AL2009">
        <v>0</v>
      </c>
      <c r="AM2009">
        <v>0</v>
      </c>
      <c r="AN2009" s="18" t="s">
        <v>52</v>
      </c>
      <c r="AO2009" s="18" t="s">
        <v>52</v>
      </c>
      <c r="AP2009" s="18" t="s">
        <v>52</v>
      </c>
      <c r="AQ2009" s="18" t="s">
        <v>52</v>
      </c>
      <c r="AR2009" s="29">
        <v>0</v>
      </c>
      <c r="AS2009" s="29">
        <v>0</v>
      </c>
      <c r="AT2009" s="29">
        <v>0</v>
      </c>
      <c r="AU2009" s="24" t="str">
        <f t="shared" si="32"/>
        <v>库存为0</v>
      </c>
      <c r="AV2009" s="31" t="str">
        <f>IFERROR(时间!$B$4+AU2009,"上周无销量")</f>
        <v>上周无销量</v>
      </c>
    </row>
    <row r="2010" spans="1:48">
      <c r="A2010" s="16" t="s">
        <v>3496</v>
      </c>
      <c r="B2010" t="s">
        <v>3497</v>
      </c>
      <c r="C2010" t="s">
        <v>3475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0</v>
      </c>
      <c r="J2010" s="26">
        <v>0</v>
      </c>
      <c r="K2010" s="26">
        <v>0</v>
      </c>
      <c r="L2010" s="26">
        <v>0</v>
      </c>
      <c r="M2010">
        <v>0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0</v>
      </c>
      <c r="AK2010">
        <v>0</v>
      </c>
      <c r="AL2010">
        <v>0</v>
      </c>
      <c r="AM2010">
        <v>0</v>
      </c>
      <c r="AN2010" s="18" t="s">
        <v>52</v>
      </c>
      <c r="AO2010" s="18" t="s">
        <v>52</v>
      </c>
      <c r="AP2010" s="18" t="s">
        <v>52</v>
      </c>
      <c r="AQ2010" s="18" t="s">
        <v>52</v>
      </c>
      <c r="AR2010" s="29">
        <v>0</v>
      </c>
      <c r="AS2010" s="29">
        <v>0</v>
      </c>
      <c r="AT2010" s="29">
        <v>0</v>
      </c>
      <c r="AU2010" s="24" t="str">
        <f t="shared" si="32"/>
        <v>库存为0</v>
      </c>
      <c r="AV2010" s="31" t="str">
        <f>IFERROR(时间!$B$4+AU2010,"上周无销量")</f>
        <v>上周无销量</v>
      </c>
    </row>
    <row r="2011" spans="1:48">
      <c r="A2011" s="16" t="s">
        <v>3498</v>
      </c>
      <c r="B2011" t="s">
        <v>3499</v>
      </c>
      <c r="C2011" t="s">
        <v>3475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0</v>
      </c>
      <c r="J2011" s="26">
        <v>0</v>
      </c>
      <c r="K2011" s="26">
        <v>0</v>
      </c>
      <c r="L2011" s="26">
        <v>0</v>
      </c>
      <c r="M2011">
        <v>0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0</v>
      </c>
      <c r="AK2011">
        <v>0</v>
      </c>
      <c r="AL2011">
        <v>0</v>
      </c>
      <c r="AM2011">
        <v>0</v>
      </c>
      <c r="AN2011" s="18" t="s">
        <v>52</v>
      </c>
      <c r="AO2011" s="18" t="s">
        <v>52</v>
      </c>
      <c r="AP2011" s="18" t="s">
        <v>52</v>
      </c>
      <c r="AQ2011" s="18" t="s">
        <v>52</v>
      </c>
      <c r="AR2011" s="29">
        <v>0</v>
      </c>
      <c r="AS2011" s="29">
        <v>0</v>
      </c>
      <c r="AT2011" s="29">
        <v>0</v>
      </c>
      <c r="AU2011" s="24" t="str">
        <f t="shared" si="32"/>
        <v>库存为0</v>
      </c>
      <c r="AV2011" s="31" t="str">
        <f>IFERROR(时间!$B$4+AU2011,"上周无销量")</f>
        <v>上周无销量</v>
      </c>
    </row>
    <row r="2012" spans="1:48">
      <c r="A2012" s="16" t="s">
        <v>3500</v>
      </c>
      <c r="B2012" t="s">
        <v>3501</v>
      </c>
      <c r="C2012" t="s">
        <v>3475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0</v>
      </c>
      <c r="J2012" s="26">
        <v>0</v>
      </c>
      <c r="K2012" s="26">
        <v>0</v>
      </c>
      <c r="L2012" s="26">
        <v>0</v>
      </c>
      <c r="M2012">
        <v>0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0</v>
      </c>
      <c r="AK2012">
        <v>0</v>
      </c>
      <c r="AL2012">
        <v>0</v>
      </c>
      <c r="AM2012">
        <v>0</v>
      </c>
      <c r="AN2012" s="18" t="s">
        <v>52</v>
      </c>
      <c r="AO2012" s="18" t="s">
        <v>52</v>
      </c>
      <c r="AP2012" s="18" t="s">
        <v>52</v>
      </c>
      <c r="AQ2012" s="18" t="s">
        <v>52</v>
      </c>
      <c r="AR2012" s="29">
        <v>0</v>
      </c>
      <c r="AS2012" s="29">
        <v>0</v>
      </c>
      <c r="AT2012" s="29">
        <v>0</v>
      </c>
      <c r="AU2012" s="24" t="str">
        <f t="shared" si="32"/>
        <v>库存为0</v>
      </c>
      <c r="AV2012" s="31" t="str">
        <f>IFERROR(时间!$B$4+AU2012,"上周无销量")</f>
        <v>上周无销量</v>
      </c>
    </row>
    <row r="2013" spans="1:48">
      <c r="A2013" s="16" t="s">
        <v>3502</v>
      </c>
      <c r="B2013" t="s">
        <v>3503</v>
      </c>
      <c r="C2013" t="s">
        <v>3475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0</v>
      </c>
      <c r="J2013" s="26">
        <v>0</v>
      </c>
      <c r="K2013" s="26">
        <v>0</v>
      </c>
      <c r="L2013" s="26">
        <v>0</v>
      </c>
      <c r="M2013">
        <v>0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0</v>
      </c>
      <c r="AK2013">
        <v>0</v>
      </c>
      <c r="AL2013">
        <v>0</v>
      </c>
      <c r="AM2013">
        <v>0</v>
      </c>
      <c r="AN2013" s="18" t="s">
        <v>52</v>
      </c>
      <c r="AO2013" s="18" t="s">
        <v>52</v>
      </c>
      <c r="AP2013" s="18" t="s">
        <v>52</v>
      </c>
      <c r="AQ2013" s="18" t="s">
        <v>52</v>
      </c>
      <c r="AR2013" s="29">
        <v>0</v>
      </c>
      <c r="AS2013" s="29">
        <v>0</v>
      </c>
      <c r="AT2013" s="29">
        <v>0</v>
      </c>
      <c r="AU2013" s="24" t="str">
        <f t="shared" si="32"/>
        <v>库存为0</v>
      </c>
      <c r="AV2013" s="31" t="str">
        <f>IFERROR(时间!$B$4+AU2013,"上周无销量")</f>
        <v>上周无销量</v>
      </c>
    </row>
    <row r="2014" spans="1:48">
      <c r="A2014" s="16" t="s">
        <v>3504</v>
      </c>
      <c r="B2014" t="s">
        <v>3505</v>
      </c>
      <c r="C2014" t="s">
        <v>3475</v>
      </c>
      <c r="D2014" s="24">
        <v>0</v>
      </c>
      <c r="E2014" s="24">
        <v>0</v>
      </c>
      <c r="F2014" s="24">
        <v>0</v>
      </c>
      <c r="G2014" s="24">
        <v>0</v>
      </c>
      <c r="H2014" s="25">
        <v>0</v>
      </c>
      <c r="I2014">
        <v>0</v>
      </c>
      <c r="J2014" s="26">
        <v>0</v>
      </c>
      <c r="K2014" s="26">
        <v>0</v>
      </c>
      <c r="L2014" s="26">
        <v>0</v>
      </c>
      <c r="M2014">
        <v>0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0</v>
      </c>
      <c r="AK2014">
        <v>0</v>
      </c>
      <c r="AL2014">
        <v>0</v>
      </c>
      <c r="AM2014">
        <v>0</v>
      </c>
      <c r="AN2014" s="18" t="s">
        <v>52</v>
      </c>
      <c r="AO2014" s="18" t="s">
        <v>52</v>
      </c>
      <c r="AP2014" s="18" t="s">
        <v>52</v>
      </c>
      <c r="AQ2014" s="18" t="s">
        <v>52</v>
      </c>
      <c r="AR2014" s="29">
        <v>0</v>
      </c>
      <c r="AS2014" s="29">
        <v>0</v>
      </c>
      <c r="AT2014" s="29">
        <v>0</v>
      </c>
      <c r="AU2014" s="24" t="str">
        <f t="shared" si="32"/>
        <v>库存为0</v>
      </c>
      <c r="AV2014" s="31" t="str">
        <f>IFERROR(时间!$B$4+AU2014,"上周无销量")</f>
        <v>上周无销量</v>
      </c>
    </row>
    <row r="2015" spans="1:48">
      <c r="A2015" s="16" t="s">
        <v>3506</v>
      </c>
      <c r="B2015" t="s">
        <v>3507</v>
      </c>
      <c r="C2015" t="s">
        <v>3475</v>
      </c>
      <c r="D2015" s="24">
        <v>0</v>
      </c>
      <c r="E2015" s="24">
        <v>0</v>
      </c>
      <c r="F2015" s="24">
        <v>0</v>
      </c>
      <c r="G2015" s="24">
        <v>0</v>
      </c>
      <c r="H2015" s="25">
        <v>0</v>
      </c>
      <c r="I2015">
        <v>0</v>
      </c>
      <c r="J2015" s="26">
        <v>0</v>
      </c>
      <c r="K2015" s="26">
        <v>0</v>
      </c>
      <c r="L2015" s="26">
        <v>0</v>
      </c>
      <c r="M2015">
        <v>0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0</v>
      </c>
      <c r="AK2015">
        <v>0</v>
      </c>
      <c r="AL2015">
        <v>0</v>
      </c>
      <c r="AM2015">
        <v>0</v>
      </c>
      <c r="AN2015" s="18" t="s">
        <v>52</v>
      </c>
      <c r="AO2015" s="18" t="s">
        <v>52</v>
      </c>
      <c r="AP2015" s="18" t="s">
        <v>52</v>
      </c>
      <c r="AQ2015" s="18" t="s">
        <v>52</v>
      </c>
      <c r="AR2015" s="29">
        <v>0</v>
      </c>
      <c r="AS2015" s="29">
        <v>0</v>
      </c>
      <c r="AT2015" s="29">
        <v>0</v>
      </c>
      <c r="AU2015" s="24" t="str">
        <f t="shared" si="32"/>
        <v>库存为0</v>
      </c>
      <c r="AV2015" s="31" t="str">
        <f>IFERROR(时间!$B$4+AU2015,"上周无销量")</f>
        <v>上周无销量</v>
      </c>
    </row>
    <row r="2016" spans="1:48">
      <c r="A2016" s="16" t="s">
        <v>3508</v>
      </c>
      <c r="B2016" t="s">
        <v>3509</v>
      </c>
      <c r="C2016" t="s">
        <v>3475</v>
      </c>
      <c r="D2016" s="24">
        <v>0</v>
      </c>
      <c r="E2016" s="24">
        <v>0</v>
      </c>
      <c r="F2016" s="24">
        <v>0</v>
      </c>
      <c r="G2016" s="24">
        <v>0</v>
      </c>
      <c r="H2016" s="25">
        <v>0</v>
      </c>
      <c r="I2016">
        <v>0</v>
      </c>
      <c r="J2016" s="26">
        <v>0</v>
      </c>
      <c r="K2016" s="26">
        <v>0</v>
      </c>
      <c r="L2016" s="26">
        <v>0</v>
      </c>
      <c r="M2016">
        <v>0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0</v>
      </c>
      <c r="AK2016">
        <v>0</v>
      </c>
      <c r="AL2016">
        <v>0</v>
      </c>
      <c r="AM2016">
        <v>0</v>
      </c>
      <c r="AN2016" s="18" t="s">
        <v>52</v>
      </c>
      <c r="AO2016" s="18" t="s">
        <v>52</v>
      </c>
      <c r="AP2016" s="18" t="s">
        <v>52</v>
      </c>
      <c r="AQ2016" s="18" t="s">
        <v>52</v>
      </c>
      <c r="AR2016" s="29">
        <v>0</v>
      </c>
      <c r="AS2016" s="29">
        <v>0</v>
      </c>
      <c r="AT2016" s="29">
        <v>0</v>
      </c>
      <c r="AU2016" s="24" t="str">
        <f t="shared" si="32"/>
        <v>库存为0</v>
      </c>
      <c r="AV2016" s="31" t="str">
        <f>IFERROR(时间!$B$4+AU2016,"上周无销量")</f>
        <v>上周无销量</v>
      </c>
    </row>
    <row r="2017" spans="1:48">
      <c r="A2017" s="16" t="s">
        <v>3510</v>
      </c>
      <c r="B2017" t="s">
        <v>3511</v>
      </c>
      <c r="C2017" t="s">
        <v>3475</v>
      </c>
      <c r="D2017" s="24">
        <v>0</v>
      </c>
      <c r="E2017" s="24">
        <v>0</v>
      </c>
      <c r="F2017" s="24">
        <v>0</v>
      </c>
      <c r="G2017" s="24">
        <v>0</v>
      </c>
      <c r="H2017" s="25">
        <v>0</v>
      </c>
      <c r="I2017">
        <v>0</v>
      </c>
      <c r="J2017" s="26">
        <v>0</v>
      </c>
      <c r="K2017" s="26">
        <v>0</v>
      </c>
      <c r="L2017" s="26">
        <v>0</v>
      </c>
      <c r="M2017">
        <v>0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0</v>
      </c>
      <c r="AK2017">
        <v>0</v>
      </c>
      <c r="AL2017">
        <v>0</v>
      </c>
      <c r="AM2017">
        <v>0</v>
      </c>
      <c r="AN2017" s="18" t="s">
        <v>52</v>
      </c>
      <c r="AO2017" s="18" t="s">
        <v>52</v>
      </c>
      <c r="AP2017" s="18" t="s">
        <v>52</v>
      </c>
      <c r="AQ2017" s="18" t="s">
        <v>52</v>
      </c>
      <c r="AR2017" s="29">
        <v>0</v>
      </c>
      <c r="AS2017" s="29">
        <v>0</v>
      </c>
      <c r="AT2017" s="29">
        <v>0</v>
      </c>
      <c r="AU2017" s="24" t="str">
        <f t="shared" si="32"/>
        <v>库存为0</v>
      </c>
      <c r="AV2017" s="31" t="str">
        <f>IFERROR(时间!$B$4+AU2017,"上周无销量")</f>
        <v>上周无销量</v>
      </c>
    </row>
    <row r="2018" spans="1:48">
      <c r="A2018" s="16" t="s">
        <v>3512</v>
      </c>
      <c r="B2018" t="s">
        <v>3513</v>
      </c>
      <c r="C2018" t="s">
        <v>3475</v>
      </c>
      <c r="D2018" s="24">
        <v>0</v>
      </c>
      <c r="E2018" s="24">
        <v>0</v>
      </c>
      <c r="F2018" s="24">
        <v>0</v>
      </c>
      <c r="G2018" s="24">
        <v>0</v>
      </c>
      <c r="H2018" s="25">
        <v>0</v>
      </c>
      <c r="I2018">
        <v>0</v>
      </c>
      <c r="J2018" s="26">
        <v>0</v>
      </c>
      <c r="K2018" s="26">
        <v>0</v>
      </c>
      <c r="L2018" s="26">
        <v>0</v>
      </c>
      <c r="M2018">
        <v>0</v>
      </c>
      <c r="N2018">
        <v>0</v>
      </c>
      <c r="O2018">
        <v>0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0</v>
      </c>
      <c r="AK2018">
        <v>0</v>
      </c>
      <c r="AL2018">
        <v>0</v>
      </c>
      <c r="AM2018">
        <v>0</v>
      </c>
      <c r="AN2018" s="18" t="s">
        <v>52</v>
      </c>
      <c r="AO2018" s="18" t="s">
        <v>52</v>
      </c>
      <c r="AP2018" s="18" t="s">
        <v>52</v>
      </c>
      <c r="AQ2018" s="18" t="s">
        <v>52</v>
      </c>
      <c r="AR2018" s="29">
        <v>0</v>
      </c>
      <c r="AS2018" s="29">
        <v>0</v>
      </c>
      <c r="AT2018" s="29">
        <v>0</v>
      </c>
      <c r="AU2018" s="24" t="str">
        <f t="shared" si="32"/>
        <v>库存为0</v>
      </c>
      <c r="AV2018" s="31" t="str">
        <f>IFERROR(时间!$B$4+AU2018,"上周无销量")</f>
        <v>上周无销量</v>
      </c>
    </row>
    <row r="2019" spans="1:48">
      <c r="A2019" s="16" t="s">
        <v>3514</v>
      </c>
      <c r="B2019" t="s">
        <v>3515</v>
      </c>
      <c r="C2019" t="s">
        <v>3475</v>
      </c>
      <c r="D2019" s="24">
        <v>0</v>
      </c>
      <c r="E2019" s="24">
        <v>0</v>
      </c>
      <c r="F2019" s="24">
        <v>0</v>
      </c>
      <c r="G2019" s="24">
        <v>0</v>
      </c>
      <c r="H2019" s="25">
        <v>0</v>
      </c>
      <c r="I2019">
        <v>0</v>
      </c>
      <c r="J2019" s="26">
        <v>0</v>
      </c>
      <c r="K2019" s="26">
        <v>0</v>
      </c>
      <c r="L2019" s="26">
        <v>0</v>
      </c>
      <c r="M2019">
        <v>0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0</v>
      </c>
      <c r="AK2019">
        <v>0</v>
      </c>
      <c r="AL2019">
        <v>0</v>
      </c>
      <c r="AM2019">
        <v>0</v>
      </c>
      <c r="AN2019" s="18" t="s">
        <v>52</v>
      </c>
      <c r="AO2019" s="18" t="s">
        <v>52</v>
      </c>
      <c r="AP2019" s="18" t="s">
        <v>52</v>
      </c>
      <c r="AQ2019" s="18" t="s">
        <v>52</v>
      </c>
      <c r="AR2019" s="29">
        <v>0</v>
      </c>
      <c r="AS2019" s="29">
        <v>0</v>
      </c>
      <c r="AT2019" s="29">
        <v>0</v>
      </c>
      <c r="AU2019" s="24" t="str">
        <f t="shared" si="32"/>
        <v>库存为0</v>
      </c>
      <c r="AV2019" s="31" t="str">
        <f>IFERROR(时间!$B$4+AU2019,"上周无销量")</f>
        <v>上周无销量</v>
      </c>
    </row>
    <row r="2020" spans="1:48">
      <c r="A2020" s="16" t="s">
        <v>3516</v>
      </c>
      <c r="B2020" t="s">
        <v>3517</v>
      </c>
      <c r="C2020" t="s">
        <v>3475</v>
      </c>
      <c r="D2020" s="24">
        <v>0</v>
      </c>
      <c r="E2020" s="24">
        <v>0</v>
      </c>
      <c r="F2020" s="24">
        <v>0</v>
      </c>
      <c r="G2020" s="24">
        <v>0</v>
      </c>
      <c r="H2020" s="25">
        <v>0</v>
      </c>
      <c r="I2020">
        <v>0</v>
      </c>
      <c r="J2020" s="26">
        <v>0</v>
      </c>
      <c r="K2020" s="26">
        <v>0</v>
      </c>
      <c r="L2020" s="26">
        <v>0</v>
      </c>
      <c r="M2020">
        <v>0</v>
      </c>
      <c r="N2020">
        <v>0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0</v>
      </c>
      <c r="AK2020">
        <v>0</v>
      </c>
      <c r="AL2020">
        <v>0</v>
      </c>
      <c r="AM2020">
        <v>0</v>
      </c>
      <c r="AN2020" s="18" t="s">
        <v>52</v>
      </c>
      <c r="AO2020" s="18" t="s">
        <v>52</v>
      </c>
      <c r="AP2020" s="18" t="s">
        <v>52</v>
      </c>
      <c r="AQ2020" s="18" t="s">
        <v>52</v>
      </c>
      <c r="AR2020" s="29">
        <v>0</v>
      </c>
      <c r="AS2020" s="29">
        <v>0</v>
      </c>
      <c r="AT2020" s="29">
        <v>0</v>
      </c>
      <c r="AU2020" s="24" t="str">
        <f t="shared" si="32"/>
        <v>库存为0</v>
      </c>
      <c r="AV2020" s="31" t="str">
        <f>IFERROR(时间!$B$4+AU2020,"上周无销量")</f>
        <v>上周无销量</v>
      </c>
    </row>
    <row r="2021" spans="1:48">
      <c r="A2021" s="16" t="s">
        <v>3518</v>
      </c>
      <c r="B2021" t="s">
        <v>3519</v>
      </c>
      <c r="C2021" t="s">
        <v>3475</v>
      </c>
      <c r="D2021" s="24">
        <v>0</v>
      </c>
      <c r="E2021" s="24">
        <v>0</v>
      </c>
      <c r="F2021" s="24">
        <v>0</v>
      </c>
      <c r="G2021" s="24">
        <v>0</v>
      </c>
      <c r="H2021" s="25">
        <v>0</v>
      </c>
      <c r="I2021">
        <v>0</v>
      </c>
      <c r="J2021" s="26">
        <v>0</v>
      </c>
      <c r="K2021" s="26">
        <v>0</v>
      </c>
      <c r="L2021" s="26">
        <v>0</v>
      </c>
      <c r="M2021">
        <v>0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0</v>
      </c>
      <c r="AK2021">
        <v>0</v>
      </c>
      <c r="AL2021">
        <v>0</v>
      </c>
      <c r="AM2021">
        <v>0</v>
      </c>
      <c r="AN2021" s="18" t="s">
        <v>52</v>
      </c>
      <c r="AO2021" s="18" t="s">
        <v>52</v>
      </c>
      <c r="AP2021" s="18" t="s">
        <v>52</v>
      </c>
      <c r="AQ2021" s="18" t="s">
        <v>52</v>
      </c>
      <c r="AR2021" s="29">
        <v>0</v>
      </c>
      <c r="AS2021" s="29">
        <v>0</v>
      </c>
      <c r="AT2021" s="29">
        <v>0</v>
      </c>
      <c r="AU2021" s="24" t="str">
        <f t="shared" si="32"/>
        <v>库存为0</v>
      </c>
      <c r="AV2021" s="31" t="str">
        <f>IFERROR(时间!$B$4+AU2021,"上周无销量")</f>
        <v>上周无销量</v>
      </c>
    </row>
    <row r="2022" spans="1:48">
      <c r="A2022" s="16" t="s">
        <v>3520</v>
      </c>
      <c r="B2022" t="s">
        <v>3521</v>
      </c>
      <c r="C2022" t="s">
        <v>3475</v>
      </c>
      <c r="D2022" s="24">
        <v>0</v>
      </c>
      <c r="E2022" s="24">
        <v>0</v>
      </c>
      <c r="F2022" s="24">
        <v>0</v>
      </c>
      <c r="G2022" s="24">
        <v>0</v>
      </c>
      <c r="H2022" s="25">
        <v>0</v>
      </c>
      <c r="I2022">
        <v>0</v>
      </c>
      <c r="J2022" s="26">
        <v>0</v>
      </c>
      <c r="K2022" s="26">
        <v>0</v>
      </c>
      <c r="L2022" s="26">
        <v>0</v>
      </c>
      <c r="M2022">
        <v>0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0</v>
      </c>
      <c r="AK2022">
        <v>0</v>
      </c>
      <c r="AL2022">
        <v>0</v>
      </c>
      <c r="AM2022">
        <v>0</v>
      </c>
      <c r="AN2022" s="18" t="s">
        <v>52</v>
      </c>
      <c r="AO2022" s="18" t="s">
        <v>52</v>
      </c>
      <c r="AP2022" s="18" t="s">
        <v>52</v>
      </c>
      <c r="AQ2022" s="18" t="s">
        <v>52</v>
      </c>
      <c r="AR2022" s="29">
        <v>0</v>
      </c>
      <c r="AS2022" s="29">
        <v>0</v>
      </c>
      <c r="AT2022" s="29">
        <v>0</v>
      </c>
      <c r="AU2022" s="24" t="str">
        <f t="shared" si="32"/>
        <v>库存为0</v>
      </c>
      <c r="AV2022" s="31" t="str">
        <f>IFERROR(时间!$B$4+AU2022,"上周无销量")</f>
        <v>上周无销量</v>
      </c>
    </row>
    <row r="2023" spans="1:48">
      <c r="A2023" s="16" t="s">
        <v>3522</v>
      </c>
      <c r="B2023" t="s">
        <v>3523</v>
      </c>
      <c r="C2023" t="s">
        <v>3475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0</v>
      </c>
      <c r="J2023" s="26">
        <v>0</v>
      </c>
      <c r="K2023" s="26">
        <v>0</v>
      </c>
      <c r="L2023" s="26">
        <v>0</v>
      </c>
      <c r="M2023">
        <v>0</v>
      </c>
      <c r="N2023">
        <v>0</v>
      </c>
      <c r="O2023">
        <v>0</v>
      </c>
      <c r="P2023" t="s">
        <v>52</v>
      </c>
      <c r="Q2023" t="s">
        <v>52</v>
      </c>
      <c r="R2023" t="s">
        <v>52</v>
      </c>
      <c r="S2023" t="s">
        <v>52</v>
      </c>
      <c r="T2023" t="s">
        <v>52</v>
      </c>
      <c r="U2023" t="s">
        <v>52</v>
      </c>
      <c r="V2023" t="s">
        <v>52</v>
      </c>
      <c r="W2023" t="s">
        <v>52</v>
      </c>
      <c r="X2023" s="18" t="s">
        <v>52</v>
      </c>
      <c r="Y2023" s="18" t="s">
        <v>52</v>
      </c>
      <c r="Z2023" s="18" t="s">
        <v>52</v>
      </c>
      <c r="AA2023" s="18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s="18" t="s">
        <v>52</v>
      </c>
      <c r="AG2023" s="18" t="s">
        <v>52</v>
      </c>
      <c r="AH2023" s="18" t="s">
        <v>52</v>
      </c>
      <c r="AI2023" s="18" t="s">
        <v>52</v>
      </c>
      <c r="AJ2023">
        <v>0</v>
      </c>
      <c r="AK2023">
        <v>0</v>
      </c>
      <c r="AL2023">
        <v>0</v>
      </c>
      <c r="AM2023">
        <v>0</v>
      </c>
      <c r="AN2023" s="18" t="s">
        <v>52</v>
      </c>
      <c r="AO2023" s="18" t="s">
        <v>52</v>
      </c>
      <c r="AP2023" s="18" t="s">
        <v>52</v>
      </c>
      <c r="AQ2023" s="18" t="s">
        <v>52</v>
      </c>
      <c r="AR2023" s="29">
        <v>0</v>
      </c>
      <c r="AS2023" s="29">
        <v>0</v>
      </c>
      <c r="AT2023" s="29">
        <v>0</v>
      </c>
      <c r="AU2023" s="24" t="str">
        <f t="shared" si="32"/>
        <v>库存为0</v>
      </c>
      <c r="AV2023" s="31" t="str">
        <f>IFERROR(时间!$B$4+AU2023,"上周无销量")</f>
        <v>上周无销量</v>
      </c>
    </row>
    <row r="2024" spans="1:48">
      <c r="A2024" s="16" t="s">
        <v>3524</v>
      </c>
      <c r="B2024" t="s">
        <v>3525</v>
      </c>
      <c r="C2024" t="s">
        <v>3475</v>
      </c>
      <c r="D2024" s="24">
        <v>0</v>
      </c>
      <c r="E2024" s="24">
        <v>0</v>
      </c>
      <c r="F2024" s="24">
        <v>0</v>
      </c>
      <c r="G2024" s="24">
        <v>0</v>
      </c>
      <c r="H2024" s="25">
        <v>0</v>
      </c>
      <c r="I2024">
        <v>0</v>
      </c>
      <c r="J2024" s="26">
        <v>0</v>
      </c>
      <c r="K2024" s="26">
        <v>0</v>
      </c>
      <c r="L2024" s="26">
        <v>0</v>
      </c>
      <c r="M2024">
        <v>0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0</v>
      </c>
      <c r="AK2024">
        <v>0</v>
      </c>
      <c r="AL2024">
        <v>0</v>
      </c>
      <c r="AM2024">
        <v>0</v>
      </c>
      <c r="AN2024" s="18" t="s">
        <v>52</v>
      </c>
      <c r="AO2024" s="18" t="s">
        <v>52</v>
      </c>
      <c r="AP2024" s="18" t="s">
        <v>52</v>
      </c>
      <c r="AQ2024" s="18" t="s">
        <v>52</v>
      </c>
      <c r="AR2024" s="29">
        <v>0</v>
      </c>
      <c r="AS2024" s="29">
        <v>0</v>
      </c>
      <c r="AT2024" s="29">
        <v>0</v>
      </c>
      <c r="AU2024" s="24" t="str">
        <f t="shared" si="32"/>
        <v>库存为0</v>
      </c>
      <c r="AV2024" s="31" t="str">
        <f>IFERROR(时间!$B$4+AU2024,"上周无销量")</f>
        <v>上周无销量</v>
      </c>
    </row>
    <row r="2025" spans="1:48">
      <c r="A2025" s="16" t="s">
        <v>3526</v>
      </c>
      <c r="B2025" t="s">
        <v>3527</v>
      </c>
      <c r="C2025" t="s">
        <v>3475</v>
      </c>
      <c r="D2025" s="24">
        <v>0</v>
      </c>
      <c r="E2025" s="24">
        <v>0</v>
      </c>
      <c r="F2025" s="24">
        <v>0</v>
      </c>
      <c r="G2025" s="24">
        <v>0</v>
      </c>
      <c r="H2025" s="25">
        <v>0</v>
      </c>
      <c r="I2025">
        <v>0</v>
      </c>
      <c r="J2025" s="26">
        <v>0</v>
      </c>
      <c r="K2025" s="26">
        <v>0</v>
      </c>
      <c r="L2025" s="26">
        <v>0</v>
      </c>
      <c r="M2025">
        <v>0</v>
      </c>
      <c r="N2025">
        <v>0</v>
      </c>
      <c r="O2025">
        <v>0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0</v>
      </c>
      <c r="AK2025">
        <v>0</v>
      </c>
      <c r="AL2025">
        <v>0</v>
      </c>
      <c r="AM2025">
        <v>0</v>
      </c>
      <c r="AN2025" s="18" t="s">
        <v>52</v>
      </c>
      <c r="AO2025" s="18" t="s">
        <v>52</v>
      </c>
      <c r="AP2025" s="18" t="s">
        <v>52</v>
      </c>
      <c r="AQ2025" s="18" t="s">
        <v>52</v>
      </c>
      <c r="AR2025" s="29">
        <v>0</v>
      </c>
      <c r="AS2025" s="29">
        <v>0</v>
      </c>
      <c r="AT2025" s="29">
        <v>0</v>
      </c>
      <c r="AU2025" s="24" t="str">
        <f t="shared" si="32"/>
        <v>库存为0</v>
      </c>
      <c r="AV2025" s="31" t="str">
        <f>IFERROR(时间!$B$4+AU2025,"上周无销量")</f>
        <v>上周无销量</v>
      </c>
    </row>
    <row r="2026" spans="1:48">
      <c r="A2026" s="16" t="s">
        <v>3528</v>
      </c>
      <c r="B2026" t="s">
        <v>3529</v>
      </c>
      <c r="C2026" t="s">
        <v>3475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0</v>
      </c>
      <c r="J2026" s="26">
        <v>0</v>
      </c>
      <c r="K2026" s="26">
        <v>0</v>
      </c>
      <c r="L2026" s="26">
        <v>0</v>
      </c>
      <c r="M2026">
        <v>0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0</v>
      </c>
      <c r="AK2026">
        <v>0</v>
      </c>
      <c r="AL2026">
        <v>0</v>
      </c>
      <c r="AM2026">
        <v>0</v>
      </c>
      <c r="AN2026" s="18" t="s">
        <v>52</v>
      </c>
      <c r="AO2026" s="18" t="s">
        <v>52</v>
      </c>
      <c r="AP2026" s="18" t="s">
        <v>52</v>
      </c>
      <c r="AQ2026" s="18" t="s">
        <v>52</v>
      </c>
      <c r="AR2026" s="29">
        <v>0</v>
      </c>
      <c r="AS2026" s="29">
        <v>0</v>
      </c>
      <c r="AT2026" s="29">
        <v>0</v>
      </c>
      <c r="AU2026" s="24" t="str">
        <f t="shared" si="32"/>
        <v>库存为0</v>
      </c>
      <c r="AV2026" s="31" t="str">
        <f>IFERROR(时间!$B$4+AU2026,"上周无销量")</f>
        <v>上周无销量</v>
      </c>
    </row>
    <row r="2027" spans="1:48">
      <c r="A2027" s="16" t="s">
        <v>3530</v>
      </c>
      <c r="B2027" t="s">
        <v>3531</v>
      </c>
      <c r="C2027" t="s">
        <v>3475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0</v>
      </c>
      <c r="J2027" s="26">
        <v>0</v>
      </c>
      <c r="K2027" s="26">
        <v>0</v>
      </c>
      <c r="L2027" s="26">
        <v>0</v>
      </c>
      <c r="M2027">
        <v>0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0</v>
      </c>
      <c r="AK2027">
        <v>0</v>
      </c>
      <c r="AL2027">
        <v>0</v>
      </c>
      <c r="AM2027">
        <v>0</v>
      </c>
      <c r="AN2027" s="18" t="s">
        <v>52</v>
      </c>
      <c r="AO2027" s="18" t="s">
        <v>52</v>
      </c>
      <c r="AP2027" s="18" t="s">
        <v>52</v>
      </c>
      <c r="AQ2027" s="18" t="s">
        <v>52</v>
      </c>
      <c r="AR2027" s="29">
        <v>0</v>
      </c>
      <c r="AS2027" s="29">
        <v>0</v>
      </c>
      <c r="AT2027" s="29">
        <v>0</v>
      </c>
      <c r="AU2027" s="24" t="str">
        <f t="shared" si="32"/>
        <v>库存为0</v>
      </c>
      <c r="AV2027" s="31" t="str">
        <f>IFERROR(时间!$B$4+AU2027,"上周无销量")</f>
        <v>上周无销量</v>
      </c>
    </row>
    <row r="2028" spans="1:48">
      <c r="A2028" s="16" t="s">
        <v>3532</v>
      </c>
      <c r="B2028" t="s">
        <v>3533</v>
      </c>
      <c r="C2028" t="s">
        <v>3475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0</v>
      </c>
      <c r="J2028" s="26">
        <v>0</v>
      </c>
      <c r="K2028" s="26">
        <v>0</v>
      </c>
      <c r="L2028" s="26">
        <v>0</v>
      </c>
      <c r="M2028">
        <v>0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0</v>
      </c>
      <c r="AK2028">
        <v>0</v>
      </c>
      <c r="AL2028">
        <v>0</v>
      </c>
      <c r="AM2028">
        <v>0</v>
      </c>
      <c r="AN2028" s="18" t="s">
        <v>52</v>
      </c>
      <c r="AO2028" s="18" t="s">
        <v>52</v>
      </c>
      <c r="AP2028" s="18" t="s">
        <v>52</v>
      </c>
      <c r="AQ2028" s="18" t="s">
        <v>52</v>
      </c>
      <c r="AR2028" s="29">
        <v>0</v>
      </c>
      <c r="AS2028" s="29">
        <v>0</v>
      </c>
      <c r="AT2028" s="29">
        <v>0</v>
      </c>
      <c r="AU2028" s="24" t="str">
        <f t="shared" si="32"/>
        <v>库存为0</v>
      </c>
      <c r="AV2028" s="31" t="str">
        <f>IFERROR(时间!$B$4+AU2028,"上周无销量")</f>
        <v>上周无销量</v>
      </c>
    </row>
    <row r="2029" spans="1:48">
      <c r="A2029" s="16" t="s">
        <v>3534</v>
      </c>
      <c r="B2029" t="s">
        <v>3535</v>
      </c>
      <c r="C2029" t="s">
        <v>3475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0</v>
      </c>
      <c r="J2029" s="26">
        <v>0</v>
      </c>
      <c r="K2029" s="26">
        <v>0</v>
      </c>
      <c r="L2029" s="26">
        <v>0</v>
      </c>
      <c r="M2029">
        <v>0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0</v>
      </c>
      <c r="AK2029">
        <v>0</v>
      </c>
      <c r="AL2029">
        <v>0</v>
      </c>
      <c r="AM2029">
        <v>0</v>
      </c>
      <c r="AN2029" s="18" t="s">
        <v>52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0</v>
      </c>
      <c r="AU2029" s="24" t="str">
        <f t="shared" si="32"/>
        <v>库存为0</v>
      </c>
      <c r="AV2029" s="31" t="str">
        <f>IFERROR(时间!$B$4+AU2029,"上周无销量")</f>
        <v>上周无销量</v>
      </c>
    </row>
    <row r="2030" spans="1:48">
      <c r="A2030" s="16" t="s">
        <v>3536</v>
      </c>
      <c r="B2030" t="s">
        <v>3537</v>
      </c>
      <c r="C2030" t="s">
        <v>3475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0</v>
      </c>
      <c r="J2030" s="26">
        <v>0</v>
      </c>
      <c r="K2030" s="26">
        <v>0</v>
      </c>
      <c r="L2030" s="26">
        <v>0</v>
      </c>
      <c r="M2030">
        <v>0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0</v>
      </c>
      <c r="AK2030">
        <v>0</v>
      </c>
      <c r="AL2030">
        <v>0</v>
      </c>
      <c r="AM2030">
        <v>0</v>
      </c>
      <c r="AN2030" s="18" t="s">
        <v>52</v>
      </c>
      <c r="AO2030" s="18" t="s">
        <v>52</v>
      </c>
      <c r="AP2030" s="18" t="s">
        <v>52</v>
      </c>
      <c r="AQ2030" s="18" t="s">
        <v>52</v>
      </c>
      <c r="AR2030" s="29">
        <v>0</v>
      </c>
      <c r="AS2030" s="29">
        <v>0</v>
      </c>
      <c r="AT2030" s="29">
        <v>0</v>
      </c>
      <c r="AU2030" s="24" t="str">
        <f t="shared" si="32"/>
        <v>库存为0</v>
      </c>
      <c r="AV2030" s="31" t="str">
        <f>IFERROR(时间!$B$4+AU2030,"上周无销量")</f>
        <v>上周无销量</v>
      </c>
    </row>
    <row r="2031" spans="1:48">
      <c r="A2031" s="16" t="s">
        <v>3538</v>
      </c>
      <c r="B2031" t="s">
        <v>3539</v>
      </c>
      <c r="C2031" t="s">
        <v>3540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0</v>
      </c>
      <c r="J2031" s="26">
        <v>0</v>
      </c>
      <c r="K2031" s="26">
        <v>0</v>
      </c>
      <c r="L2031" s="26">
        <v>0</v>
      </c>
      <c r="M2031">
        <v>0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0</v>
      </c>
      <c r="AK2031">
        <v>0</v>
      </c>
      <c r="AL2031">
        <v>0</v>
      </c>
      <c r="AM2031">
        <v>0</v>
      </c>
      <c r="AN2031" s="18" t="s">
        <v>52</v>
      </c>
      <c r="AO2031" s="18" t="s">
        <v>52</v>
      </c>
      <c r="AP2031" s="18" t="s">
        <v>52</v>
      </c>
      <c r="AQ2031" s="18" t="s">
        <v>52</v>
      </c>
      <c r="AR2031" s="29">
        <v>0</v>
      </c>
      <c r="AS2031" s="29">
        <v>0</v>
      </c>
      <c r="AT2031" s="29">
        <v>0</v>
      </c>
      <c r="AU2031" s="24" t="str">
        <f t="shared" si="32"/>
        <v>库存为0</v>
      </c>
      <c r="AV2031" s="31" t="str">
        <f>IFERROR(时间!$B$4+AU2031,"上周无销量")</f>
        <v>上周无销量</v>
      </c>
    </row>
    <row r="2032" spans="1:48">
      <c r="A2032" s="16" t="s">
        <v>3541</v>
      </c>
      <c r="B2032" t="s">
        <v>3542</v>
      </c>
      <c r="C2032" t="s">
        <v>3540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0</v>
      </c>
      <c r="J2032" s="26">
        <v>0</v>
      </c>
      <c r="K2032" s="26">
        <v>0</v>
      </c>
      <c r="L2032" s="26">
        <v>0</v>
      </c>
      <c r="M2032">
        <v>0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0</v>
      </c>
      <c r="AK2032">
        <v>0</v>
      </c>
      <c r="AL2032">
        <v>0</v>
      </c>
      <c r="AM2032">
        <v>0</v>
      </c>
      <c r="AN2032" s="18" t="s">
        <v>52</v>
      </c>
      <c r="AO2032" s="18" t="s">
        <v>52</v>
      </c>
      <c r="AP2032" s="18" t="s">
        <v>52</v>
      </c>
      <c r="AQ2032" s="18" t="s">
        <v>52</v>
      </c>
      <c r="AR2032" s="29">
        <v>0</v>
      </c>
      <c r="AS2032" s="29">
        <v>0</v>
      </c>
      <c r="AT2032" s="29">
        <v>0</v>
      </c>
      <c r="AU2032" s="24" t="str">
        <f t="shared" si="32"/>
        <v>库存为0</v>
      </c>
      <c r="AV2032" s="31" t="str">
        <f>IFERROR(时间!$B$4+AU2032,"上周无销量")</f>
        <v>上周无销量</v>
      </c>
    </row>
    <row r="2033" spans="1:48">
      <c r="A2033" s="16" t="s">
        <v>3543</v>
      </c>
      <c r="B2033" t="s">
        <v>3544</v>
      </c>
      <c r="C2033" t="s">
        <v>3540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0</v>
      </c>
      <c r="J2033" s="26">
        <v>0</v>
      </c>
      <c r="K2033" s="26">
        <v>0</v>
      </c>
      <c r="L2033" s="26">
        <v>0</v>
      </c>
      <c r="M2033">
        <v>0</v>
      </c>
      <c r="N2033">
        <v>0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0</v>
      </c>
      <c r="AK2033">
        <v>0</v>
      </c>
      <c r="AL2033">
        <v>0</v>
      </c>
      <c r="AM2033">
        <v>0</v>
      </c>
      <c r="AN2033" s="18" t="s">
        <v>52</v>
      </c>
      <c r="AO2033" s="18" t="s">
        <v>52</v>
      </c>
      <c r="AP2033" s="18" t="s">
        <v>52</v>
      </c>
      <c r="AQ2033" s="18" t="s">
        <v>52</v>
      </c>
      <c r="AR2033" s="29">
        <v>0</v>
      </c>
      <c r="AS2033" s="29">
        <v>0</v>
      </c>
      <c r="AT2033" s="29">
        <v>0</v>
      </c>
      <c r="AU2033" s="24" t="str">
        <f t="shared" si="32"/>
        <v>库存为0</v>
      </c>
      <c r="AV2033" s="31" t="str">
        <f>IFERROR(时间!$B$4+AU2033,"上周无销量")</f>
        <v>上周无销量</v>
      </c>
    </row>
    <row r="2034" spans="1:48">
      <c r="A2034" s="16" t="s">
        <v>3545</v>
      </c>
      <c r="B2034" t="s">
        <v>3546</v>
      </c>
      <c r="C2034" t="s">
        <v>3540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0</v>
      </c>
      <c r="J2034" s="26">
        <v>0</v>
      </c>
      <c r="K2034" s="26">
        <v>0</v>
      </c>
      <c r="L2034" s="26">
        <v>0</v>
      </c>
      <c r="M2034">
        <v>0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0</v>
      </c>
      <c r="AK2034">
        <v>0</v>
      </c>
      <c r="AL2034">
        <v>0</v>
      </c>
      <c r="AM2034">
        <v>0</v>
      </c>
      <c r="AN2034" s="18" t="s">
        <v>52</v>
      </c>
      <c r="AO2034" s="18" t="s">
        <v>52</v>
      </c>
      <c r="AP2034" s="18" t="s">
        <v>52</v>
      </c>
      <c r="AQ2034" s="18" t="s">
        <v>52</v>
      </c>
      <c r="AR2034" s="29">
        <v>0</v>
      </c>
      <c r="AS2034" s="29">
        <v>0</v>
      </c>
      <c r="AT2034" s="29">
        <v>0</v>
      </c>
      <c r="AU2034" s="24" t="str">
        <f t="shared" si="32"/>
        <v>库存为0</v>
      </c>
      <c r="AV2034" s="31" t="str">
        <f>IFERROR(时间!$B$4+AU2034,"上周无销量")</f>
        <v>上周无销量</v>
      </c>
    </row>
    <row r="2035" spans="1:48">
      <c r="A2035" s="16" t="s">
        <v>3547</v>
      </c>
      <c r="B2035" t="s">
        <v>3548</v>
      </c>
      <c r="C2035" t="s">
        <v>3540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0</v>
      </c>
      <c r="J2035" s="26">
        <v>0</v>
      </c>
      <c r="K2035" s="26">
        <v>0</v>
      </c>
      <c r="L2035" s="26">
        <v>0</v>
      </c>
      <c r="M2035">
        <v>0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0</v>
      </c>
      <c r="AK2035">
        <v>0</v>
      </c>
      <c r="AL2035">
        <v>0</v>
      </c>
      <c r="AM2035">
        <v>0</v>
      </c>
      <c r="AN2035" s="18" t="s">
        <v>52</v>
      </c>
      <c r="AO2035" s="18" t="s">
        <v>52</v>
      </c>
      <c r="AP2035" s="18" t="s">
        <v>52</v>
      </c>
      <c r="AQ2035" s="18" t="s">
        <v>52</v>
      </c>
      <c r="AR2035" s="29">
        <v>0</v>
      </c>
      <c r="AS2035" s="29">
        <v>0</v>
      </c>
      <c r="AT2035" s="29">
        <v>0</v>
      </c>
      <c r="AU2035" s="24" t="str">
        <f t="shared" si="32"/>
        <v>库存为0</v>
      </c>
      <c r="AV2035" s="31" t="str">
        <f>IFERROR(时间!$B$4+AU2035,"上周无销量")</f>
        <v>上周无销量</v>
      </c>
    </row>
    <row r="2036" spans="1:48">
      <c r="A2036" s="16" t="s">
        <v>3549</v>
      </c>
      <c r="B2036" t="s">
        <v>3550</v>
      </c>
      <c r="C2036" t="s">
        <v>3540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0</v>
      </c>
      <c r="J2036" s="26">
        <v>0</v>
      </c>
      <c r="K2036" s="26">
        <v>0</v>
      </c>
      <c r="L2036" s="26">
        <v>0</v>
      </c>
      <c r="M2036">
        <v>0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0</v>
      </c>
      <c r="AK2036">
        <v>0</v>
      </c>
      <c r="AL2036">
        <v>0</v>
      </c>
      <c r="AM2036">
        <v>0</v>
      </c>
      <c r="AN2036" s="18" t="s">
        <v>52</v>
      </c>
      <c r="AO2036" s="18" t="s">
        <v>52</v>
      </c>
      <c r="AP2036" s="18" t="s">
        <v>52</v>
      </c>
      <c r="AQ2036" s="18" t="s">
        <v>52</v>
      </c>
      <c r="AR2036" s="29">
        <v>0</v>
      </c>
      <c r="AS2036" s="29">
        <v>0</v>
      </c>
      <c r="AT2036" s="29">
        <v>0</v>
      </c>
      <c r="AU2036" s="24" t="str">
        <f t="shared" si="32"/>
        <v>库存为0</v>
      </c>
      <c r="AV2036" s="31" t="str">
        <f>IFERROR(时间!$B$4+AU2036,"上周无销量")</f>
        <v>上周无销量</v>
      </c>
    </row>
    <row r="2037" spans="1:48">
      <c r="A2037" s="16" t="s">
        <v>3551</v>
      </c>
      <c r="B2037" t="s">
        <v>3552</v>
      </c>
      <c r="C2037" t="s">
        <v>3540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0</v>
      </c>
      <c r="J2037" s="26">
        <v>0</v>
      </c>
      <c r="K2037" s="26">
        <v>0</v>
      </c>
      <c r="L2037" s="26">
        <v>0</v>
      </c>
      <c r="M2037">
        <v>0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0</v>
      </c>
      <c r="AK2037">
        <v>0</v>
      </c>
      <c r="AL2037">
        <v>0</v>
      </c>
      <c r="AM2037">
        <v>0</v>
      </c>
      <c r="AN2037" s="18" t="s">
        <v>52</v>
      </c>
      <c r="AO2037" s="18" t="s">
        <v>52</v>
      </c>
      <c r="AP2037" s="18" t="s">
        <v>52</v>
      </c>
      <c r="AQ2037" s="18" t="s">
        <v>52</v>
      </c>
      <c r="AR2037" s="29">
        <v>0</v>
      </c>
      <c r="AS2037" s="29">
        <v>0</v>
      </c>
      <c r="AT2037" s="29">
        <v>0</v>
      </c>
      <c r="AU2037" s="24" t="str">
        <f t="shared" si="32"/>
        <v>库存为0</v>
      </c>
      <c r="AV2037" s="31" t="str">
        <f>IFERROR(时间!$B$4+AU2037,"上周无销量")</f>
        <v>上周无销量</v>
      </c>
    </row>
    <row r="2038" spans="1:48">
      <c r="A2038" s="16" t="s">
        <v>3553</v>
      </c>
      <c r="B2038" t="s">
        <v>3554</v>
      </c>
      <c r="C2038" t="s">
        <v>3540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0</v>
      </c>
      <c r="J2038" s="26">
        <v>0</v>
      </c>
      <c r="K2038" s="26">
        <v>0</v>
      </c>
      <c r="L2038" s="26">
        <v>0</v>
      </c>
      <c r="M2038">
        <v>0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0</v>
      </c>
      <c r="AK2038">
        <v>0</v>
      </c>
      <c r="AL2038">
        <v>0</v>
      </c>
      <c r="AM2038">
        <v>0</v>
      </c>
      <c r="AN2038" s="18" t="s">
        <v>52</v>
      </c>
      <c r="AO2038" s="18" t="s">
        <v>52</v>
      </c>
      <c r="AP2038" s="18" t="s">
        <v>52</v>
      </c>
      <c r="AQ2038" s="18" t="s">
        <v>52</v>
      </c>
      <c r="AR2038" s="29">
        <v>0</v>
      </c>
      <c r="AS2038" s="29">
        <v>0</v>
      </c>
      <c r="AT2038" s="29">
        <v>0</v>
      </c>
      <c r="AU2038" s="24" t="str">
        <f t="shared" si="32"/>
        <v>库存为0</v>
      </c>
      <c r="AV2038" s="31" t="str">
        <f>IFERROR(时间!$B$4+AU2038,"上周无销量")</f>
        <v>上周无销量</v>
      </c>
    </row>
    <row r="2039" spans="1:48">
      <c r="A2039" s="16" t="s">
        <v>3555</v>
      </c>
      <c r="B2039" t="s">
        <v>3556</v>
      </c>
      <c r="C2039" t="s">
        <v>3540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0</v>
      </c>
      <c r="J2039" s="26">
        <v>0</v>
      </c>
      <c r="K2039" s="26">
        <v>0</v>
      </c>
      <c r="L2039" s="26">
        <v>0</v>
      </c>
      <c r="M2039">
        <v>0</v>
      </c>
      <c r="N2039">
        <v>0</v>
      </c>
      <c r="O2039">
        <v>0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0</v>
      </c>
      <c r="AK2039">
        <v>0</v>
      </c>
      <c r="AL2039">
        <v>0</v>
      </c>
      <c r="AM2039">
        <v>0</v>
      </c>
      <c r="AN2039" s="18" t="s">
        <v>52</v>
      </c>
      <c r="AO2039" s="18" t="s">
        <v>52</v>
      </c>
      <c r="AP2039" s="18" t="s">
        <v>52</v>
      </c>
      <c r="AQ2039" s="18" t="s">
        <v>52</v>
      </c>
      <c r="AR2039" s="29">
        <v>0</v>
      </c>
      <c r="AS2039" s="29">
        <v>0</v>
      </c>
      <c r="AT2039" s="29">
        <v>0</v>
      </c>
      <c r="AU2039" s="24" t="str">
        <f t="shared" si="32"/>
        <v>库存为0</v>
      </c>
      <c r="AV2039" s="31" t="str">
        <f>IFERROR(时间!$B$4+AU2039,"上周无销量")</f>
        <v>上周无销量</v>
      </c>
    </row>
    <row r="2040" spans="1:48">
      <c r="A2040" s="16" t="s">
        <v>3557</v>
      </c>
      <c r="B2040" t="s">
        <v>3558</v>
      </c>
      <c r="C2040" t="s">
        <v>3540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0</v>
      </c>
      <c r="J2040" s="26">
        <v>0</v>
      </c>
      <c r="K2040" s="26">
        <v>0</v>
      </c>
      <c r="L2040" s="26">
        <v>0</v>
      </c>
      <c r="M2040">
        <v>0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0</v>
      </c>
      <c r="AK2040">
        <v>0</v>
      </c>
      <c r="AL2040">
        <v>0</v>
      </c>
      <c r="AM2040">
        <v>0</v>
      </c>
      <c r="AN2040" s="18" t="s">
        <v>52</v>
      </c>
      <c r="AO2040" s="18" t="s">
        <v>52</v>
      </c>
      <c r="AP2040" s="18" t="s">
        <v>52</v>
      </c>
      <c r="AQ2040" s="18" t="s">
        <v>52</v>
      </c>
      <c r="AR2040" s="29">
        <v>0</v>
      </c>
      <c r="AS2040" s="29">
        <v>0</v>
      </c>
      <c r="AT2040" s="29">
        <v>0</v>
      </c>
      <c r="AU2040" s="24" t="str">
        <f t="shared" si="32"/>
        <v>库存为0</v>
      </c>
      <c r="AV2040" s="31" t="str">
        <f>IFERROR(时间!$B$4+AU2040,"上周无销量")</f>
        <v>上周无销量</v>
      </c>
    </row>
    <row r="2041" spans="1:48">
      <c r="A2041" s="16" t="s">
        <v>3559</v>
      </c>
      <c r="B2041" t="s">
        <v>3560</v>
      </c>
      <c r="C2041" t="s">
        <v>3540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0</v>
      </c>
      <c r="J2041" s="26">
        <v>0</v>
      </c>
      <c r="K2041" s="26">
        <v>0</v>
      </c>
      <c r="L2041" s="26">
        <v>0</v>
      </c>
      <c r="M2041">
        <v>0</v>
      </c>
      <c r="N2041">
        <v>0</v>
      </c>
      <c r="O2041">
        <v>0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0</v>
      </c>
      <c r="AK2041">
        <v>0</v>
      </c>
      <c r="AL2041">
        <v>0</v>
      </c>
      <c r="AM2041">
        <v>0</v>
      </c>
      <c r="AN2041" s="18" t="s">
        <v>52</v>
      </c>
      <c r="AO2041" s="18" t="s">
        <v>52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0</v>
      </c>
      <c r="AU2041" s="24" t="str">
        <f t="shared" si="32"/>
        <v>库存为0</v>
      </c>
      <c r="AV2041" s="31" t="str">
        <f>IFERROR(时间!$B$4+AU2041,"上周无销量")</f>
        <v>上周无销量</v>
      </c>
    </row>
    <row r="2042" spans="1:48">
      <c r="A2042" s="16" t="s">
        <v>3561</v>
      </c>
      <c r="B2042" t="s">
        <v>3562</v>
      </c>
      <c r="C2042" t="s">
        <v>3540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0</v>
      </c>
      <c r="J2042" s="26">
        <v>0</v>
      </c>
      <c r="K2042" s="26">
        <v>0</v>
      </c>
      <c r="L2042" s="26">
        <v>0</v>
      </c>
      <c r="M2042">
        <v>0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0</v>
      </c>
      <c r="AK2042">
        <v>0</v>
      </c>
      <c r="AL2042">
        <v>0</v>
      </c>
      <c r="AM2042">
        <v>0</v>
      </c>
      <c r="AN2042" s="18" t="s">
        <v>52</v>
      </c>
      <c r="AO2042" s="18" t="s">
        <v>52</v>
      </c>
      <c r="AP2042" s="18" t="s">
        <v>52</v>
      </c>
      <c r="AQ2042" s="18" t="s">
        <v>52</v>
      </c>
      <c r="AR2042" s="29">
        <v>0</v>
      </c>
      <c r="AS2042" s="29">
        <v>0</v>
      </c>
      <c r="AT2042" s="29">
        <v>0</v>
      </c>
      <c r="AU2042" s="24" t="str">
        <f t="shared" si="32"/>
        <v>库存为0</v>
      </c>
      <c r="AV2042" s="31" t="str">
        <f>IFERROR(时间!$B$4+AU2042,"上周无销量")</f>
        <v>上周无销量</v>
      </c>
    </row>
    <row r="2043" spans="1:48">
      <c r="A2043" s="16" t="s">
        <v>3563</v>
      </c>
      <c r="B2043" t="s">
        <v>3564</v>
      </c>
      <c r="C2043" t="s">
        <v>3540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0</v>
      </c>
      <c r="J2043" s="26">
        <v>0</v>
      </c>
      <c r="K2043" s="26">
        <v>0</v>
      </c>
      <c r="L2043" s="26">
        <v>0</v>
      </c>
      <c r="M2043">
        <v>0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0</v>
      </c>
      <c r="AK2043">
        <v>0</v>
      </c>
      <c r="AL2043">
        <v>0</v>
      </c>
      <c r="AM2043">
        <v>0</v>
      </c>
      <c r="AN2043" s="18" t="s">
        <v>52</v>
      </c>
      <c r="AO2043" s="18" t="s">
        <v>52</v>
      </c>
      <c r="AP2043" s="18" t="s">
        <v>52</v>
      </c>
      <c r="AQ2043" s="18" t="s">
        <v>52</v>
      </c>
      <c r="AR2043" s="29">
        <v>0</v>
      </c>
      <c r="AS2043" s="29">
        <v>0</v>
      </c>
      <c r="AT2043" s="29">
        <v>0</v>
      </c>
      <c r="AU2043" s="24" t="str">
        <f t="shared" si="32"/>
        <v>库存为0</v>
      </c>
      <c r="AV2043" s="31" t="str">
        <f>IFERROR(时间!$B$4+AU2043,"上周无销量")</f>
        <v>上周无销量</v>
      </c>
    </row>
    <row r="2044" spans="1:48">
      <c r="A2044" s="16" t="s">
        <v>3565</v>
      </c>
      <c r="B2044" t="s">
        <v>3566</v>
      </c>
      <c r="C2044" t="s">
        <v>3540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0</v>
      </c>
      <c r="J2044" s="26">
        <v>0</v>
      </c>
      <c r="K2044" s="26">
        <v>0</v>
      </c>
      <c r="L2044" s="26">
        <v>0</v>
      </c>
      <c r="M2044">
        <v>0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0</v>
      </c>
      <c r="AK2044">
        <v>0</v>
      </c>
      <c r="AL2044">
        <v>0</v>
      </c>
      <c r="AM2044">
        <v>0</v>
      </c>
      <c r="AN2044" s="18" t="s">
        <v>52</v>
      </c>
      <c r="AO2044" s="18" t="s">
        <v>52</v>
      </c>
      <c r="AP2044" s="18" t="s">
        <v>52</v>
      </c>
      <c r="AQ2044" s="18" t="s">
        <v>52</v>
      </c>
      <c r="AR2044" s="29">
        <v>0</v>
      </c>
      <c r="AS2044" s="29">
        <v>0</v>
      </c>
      <c r="AT2044" s="29">
        <v>0</v>
      </c>
      <c r="AU2044" s="24" t="str">
        <f t="shared" si="32"/>
        <v>库存为0</v>
      </c>
      <c r="AV2044" s="31" t="str">
        <f>IFERROR(时间!$B$4+AU2044,"上周无销量")</f>
        <v>上周无销量</v>
      </c>
    </row>
    <row r="2045" spans="1:48">
      <c r="A2045" s="16" t="s">
        <v>3567</v>
      </c>
      <c r="B2045" t="s">
        <v>3568</v>
      </c>
      <c r="C2045" t="s">
        <v>3540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0</v>
      </c>
      <c r="J2045" s="26">
        <v>0</v>
      </c>
      <c r="K2045" s="26">
        <v>0</v>
      </c>
      <c r="L2045" s="26">
        <v>0</v>
      </c>
      <c r="M2045">
        <v>0</v>
      </c>
      <c r="N2045">
        <v>0</v>
      </c>
      <c r="O2045">
        <v>0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0</v>
      </c>
      <c r="AK2045">
        <v>0</v>
      </c>
      <c r="AL2045">
        <v>0</v>
      </c>
      <c r="AM2045">
        <v>0</v>
      </c>
      <c r="AN2045" s="18" t="s">
        <v>52</v>
      </c>
      <c r="AO2045" s="18" t="s">
        <v>52</v>
      </c>
      <c r="AP2045" s="18" t="s">
        <v>52</v>
      </c>
      <c r="AQ2045" s="18" t="s">
        <v>52</v>
      </c>
      <c r="AR2045" s="29">
        <v>0</v>
      </c>
      <c r="AS2045" s="29">
        <v>0</v>
      </c>
      <c r="AT2045" s="29">
        <v>0</v>
      </c>
      <c r="AU2045" s="24" t="str">
        <f t="shared" si="32"/>
        <v>库存为0</v>
      </c>
      <c r="AV2045" s="31" t="str">
        <f>IFERROR(时间!$B$4+AU2045,"上周无销量")</f>
        <v>上周无销量</v>
      </c>
    </row>
    <row r="2046" spans="1:48">
      <c r="A2046" s="16" t="s">
        <v>3569</v>
      </c>
      <c r="B2046" t="s">
        <v>3570</v>
      </c>
      <c r="C2046" t="s">
        <v>3540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0</v>
      </c>
      <c r="J2046" s="26">
        <v>0</v>
      </c>
      <c r="K2046" s="26">
        <v>0</v>
      </c>
      <c r="L2046" s="26">
        <v>0</v>
      </c>
      <c r="M2046">
        <v>0</v>
      </c>
      <c r="N2046">
        <v>0</v>
      </c>
      <c r="O2046">
        <v>0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0</v>
      </c>
      <c r="AK2046">
        <v>0</v>
      </c>
      <c r="AL2046">
        <v>0</v>
      </c>
      <c r="AM2046">
        <v>0</v>
      </c>
      <c r="AN2046" s="18" t="s">
        <v>52</v>
      </c>
      <c r="AO2046" s="18" t="s">
        <v>52</v>
      </c>
      <c r="AP2046" s="18" t="s">
        <v>52</v>
      </c>
      <c r="AQ2046" s="18" t="s">
        <v>52</v>
      </c>
      <c r="AR2046" s="29">
        <v>0</v>
      </c>
      <c r="AS2046" s="29">
        <v>0</v>
      </c>
      <c r="AT2046" s="29">
        <v>0</v>
      </c>
      <c r="AU2046" s="24" t="str">
        <f t="shared" si="32"/>
        <v>库存为0</v>
      </c>
      <c r="AV2046" s="31" t="str">
        <f>IFERROR(时间!$B$4+AU2046,"上周无销量")</f>
        <v>上周无销量</v>
      </c>
    </row>
    <row r="2047" spans="1:48">
      <c r="A2047" s="16" t="s">
        <v>3571</v>
      </c>
      <c r="B2047" t="s">
        <v>3572</v>
      </c>
      <c r="C2047" t="s">
        <v>3540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0</v>
      </c>
      <c r="J2047" s="26">
        <v>0</v>
      </c>
      <c r="K2047" s="26">
        <v>0</v>
      </c>
      <c r="L2047" s="26">
        <v>0</v>
      </c>
      <c r="M2047">
        <v>0</v>
      </c>
      <c r="N2047">
        <v>0</v>
      </c>
      <c r="O2047">
        <v>0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0</v>
      </c>
      <c r="AK2047">
        <v>0</v>
      </c>
      <c r="AL2047">
        <v>0</v>
      </c>
      <c r="AM2047">
        <v>0</v>
      </c>
      <c r="AN2047" s="18" t="s">
        <v>52</v>
      </c>
      <c r="AO2047" s="18" t="s">
        <v>52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0</v>
      </c>
      <c r="AU2047" s="24" t="str">
        <f t="shared" si="32"/>
        <v>库存为0</v>
      </c>
      <c r="AV2047" s="31" t="str">
        <f>IFERROR(时间!$B$4+AU2047,"上周无销量")</f>
        <v>上周无销量</v>
      </c>
    </row>
    <row r="2048" spans="1:48">
      <c r="A2048" s="16" t="s">
        <v>3573</v>
      </c>
      <c r="B2048" t="s">
        <v>3574</v>
      </c>
      <c r="C2048" t="s">
        <v>3540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0</v>
      </c>
      <c r="J2048" s="26">
        <v>0</v>
      </c>
      <c r="K2048" s="26">
        <v>0</v>
      </c>
      <c r="L2048" s="26">
        <v>0</v>
      </c>
      <c r="M2048">
        <v>0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0</v>
      </c>
      <c r="AU2048" s="24" t="str">
        <f t="shared" si="32"/>
        <v>库存为0</v>
      </c>
      <c r="AV2048" s="31" t="str">
        <f>IFERROR(时间!$B$4+AU2048,"上周无销量")</f>
        <v>上周无销量</v>
      </c>
    </row>
    <row r="2049" spans="1:48">
      <c r="A2049" s="16" t="s">
        <v>3575</v>
      </c>
      <c r="B2049" t="s">
        <v>3576</v>
      </c>
      <c r="C2049" t="s">
        <v>3540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0</v>
      </c>
      <c r="J2049" s="26">
        <v>0</v>
      </c>
      <c r="K2049" s="26">
        <v>0</v>
      </c>
      <c r="L2049" s="26">
        <v>0</v>
      </c>
      <c r="M2049">
        <v>0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0</v>
      </c>
      <c r="AK2049">
        <v>0</v>
      </c>
      <c r="AL2049">
        <v>0</v>
      </c>
      <c r="AM2049">
        <v>0</v>
      </c>
      <c r="AN2049" s="18" t="s">
        <v>52</v>
      </c>
      <c r="AO2049" s="18" t="s">
        <v>52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0</v>
      </c>
      <c r="AU2049" s="24" t="str">
        <f t="shared" si="32"/>
        <v>库存为0</v>
      </c>
      <c r="AV2049" s="31" t="str">
        <f>IFERROR(时间!$B$4+AU2049,"上周无销量")</f>
        <v>上周无销量</v>
      </c>
    </row>
    <row r="2050" spans="1:48">
      <c r="A2050" s="16" t="s">
        <v>3577</v>
      </c>
      <c r="B2050" t="s">
        <v>3578</v>
      </c>
      <c r="C2050" t="s">
        <v>3540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0</v>
      </c>
      <c r="J2050" s="26">
        <v>0</v>
      </c>
      <c r="K2050" s="26">
        <v>0</v>
      </c>
      <c r="L2050" s="26">
        <v>0</v>
      </c>
      <c r="M2050">
        <v>0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0</v>
      </c>
      <c r="AK2050">
        <v>0</v>
      </c>
      <c r="AL2050">
        <v>0</v>
      </c>
      <c r="AM2050">
        <v>0</v>
      </c>
      <c r="AN2050" s="18" t="s">
        <v>52</v>
      </c>
      <c r="AO2050" s="18" t="s">
        <v>52</v>
      </c>
      <c r="AP2050" s="18" t="s">
        <v>52</v>
      </c>
      <c r="AQ2050" s="18" t="s">
        <v>52</v>
      </c>
      <c r="AR2050" s="29">
        <v>0</v>
      </c>
      <c r="AS2050" s="29">
        <v>0</v>
      </c>
      <c r="AT2050" s="29">
        <v>0</v>
      </c>
      <c r="AU2050" s="24" t="str">
        <f t="shared" si="32"/>
        <v>库存为0</v>
      </c>
      <c r="AV2050" s="31" t="str">
        <f>IFERROR(时间!$B$4+AU2050,"上周无销量")</f>
        <v>上周无销量</v>
      </c>
    </row>
    <row r="2051" spans="1:48">
      <c r="A2051" s="16" t="s">
        <v>3579</v>
      </c>
      <c r="B2051" t="s">
        <v>3580</v>
      </c>
      <c r="C2051" t="s">
        <v>3540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0</v>
      </c>
      <c r="J2051" s="26">
        <v>0</v>
      </c>
      <c r="K2051" s="26">
        <v>0</v>
      </c>
      <c r="L2051" s="26">
        <v>0</v>
      </c>
      <c r="M2051">
        <v>0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0</v>
      </c>
      <c r="AK2051">
        <v>0</v>
      </c>
      <c r="AL2051">
        <v>0</v>
      </c>
      <c r="AM2051">
        <v>0</v>
      </c>
      <c r="AN2051" s="18" t="s">
        <v>52</v>
      </c>
      <c r="AO2051" s="18" t="s">
        <v>52</v>
      </c>
      <c r="AP2051" s="18" t="s">
        <v>52</v>
      </c>
      <c r="AQ2051" s="18" t="s">
        <v>52</v>
      </c>
      <c r="AR2051" s="29">
        <v>0</v>
      </c>
      <c r="AS2051" s="29">
        <v>0</v>
      </c>
      <c r="AT2051" s="29">
        <v>0</v>
      </c>
      <c r="AU2051" s="24" t="str">
        <f t="shared" si="32"/>
        <v>库存为0</v>
      </c>
      <c r="AV2051" s="31" t="str">
        <f>IFERROR(时间!$B$4+AU2051,"上周无销量")</f>
        <v>上周无销量</v>
      </c>
    </row>
    <row r="2052" spans="1:48">
      <c r="A2052" s="16" t="s">
        <v>3581</v>
      </c>
      <c r="B2052" t="s">
        <v>3582</v>
      </c>
      <c r="C2052" t="s">
        <v>3540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0</v>
      </c>
      <c r="J2052" s="26">
        <v>0</v>
      </c>
      <c r="K2052" s="26">
        <v>0</v>
      </c>
      <c r="L2052" s="26">
        <v>0</v>
      </c>
      <c r="M2052">
        <v>0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0</v>
      </c>
      <c r="AK2052">
        <v>0</v>
      </c>
      <c r="AL2052">
        <v>0</v>
      </c>
      <c r="AM2052">
        <v>0</v>
      </c>
      <c r="AN2052" s="18" t="s">
        <v>52</v>
      </c>
      <c r="AO2052" s="18" t="s">
        <v>52</v>
      </c>
      <c r="AP2052" s="18" t="s">
        <v>52</v>
      </c>
      <c r="AQ2052" s="18" t="s">
        <v>52</v>
      </c>
      <c r="AR2052" s="29">
        <v>0</v>
      </c>
      <c r="AS2052" s="29">
        <v>0</v>
      </c>
      <c r="AT2052" s="29">
        <v>0</v>
      </c>
      <c r="AU2052" s="24" t="str">
        <f t="shared" si="32"/>
        <v>库存为0</v>
      </c>
      <c r="AV2052" s="31" t="str">
        <f>IFERROR(时间!$B$4+AU2052,"上周无销量")</f>
        <v>上周无销量</v>
      </c>
    </row>
    <row r="2053" spans="1:48">
      <c r="A2053" s="16" t="s">
        <v>3583</v>
      </c>
      <c r="B2053" t="s">
        <v>3584</v>
      </c>
      <c r="C2053" t="s">
        <v>3540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0</v>
      </c>
      <c r="J2053" s="26">
        <v>0</v>
      </c>
      <c r="K2053" s="26">
        <v>0</v>
      </c>
      <c r="L2053" s="26">
        <v>0</v>
      </c>
      <c r="M2053">
        <v>0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0</v>
      </c>
      <c r="AK2053">
        <v>0</v>
      </c>
      <c r="AL2053">
        <v>0</v>
      </c>
      <c r="AM2053">
        <v>0</v>
      </c>
      <c r="AN2053" s="18" t="s">
        <v>52</v>
      </c>
      <c r="AO2053" s="18" t="s">
        <v>52</v>
      </c>
      <c r="AP2053" s="18" t="s">
        <v>52</v>
      </c>
      <c r="AQ2053" s="18" t="s">
        <v>52</v>
      </c>
      <c r="AR2053" s="29">
        <v>0</v>
      </c>
      <c r="AS2053" s="29">
        <v>0</v>
      </c>
      <c r="AT2053" s="29">
        <v>0</v>
      </c>
      <c r="AU2053" s="24" t="str">
        <f t="shared" si="32"/>
        <v>库存为0</v>
      </c>
      <c r="AV2053" s="31" t="str">
        <f>IFERROR(时间!$B$4+AU2053,"上周无销量")</f>
        <v>上周无销量</v>
      </c>
    </row>
    <row r="2054" spans="1:48">
      <c r="A2054" s="16" t="s">
        <v>3585</v>
      </c>
      <c r="B2054" t="s">
        <v>3586</v>
      </c>
      <c r="C2054" t="s">
        <v>3540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0</v>
      </c>
      <c r="J2054" s="26">
        <v>0</v>
      </c>
      <c r="K2054" s="26">
        <v>0</v>
      </c>
      <c r="L2054" s="26">
        <v>0</v>
      </c>
      <c r="M2054">
        <v>0</v>
      </c>
      <c r="N2054">
        <v>0</v>
      </c>
      <c r="O2054">
        <v>0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0</v>
      </c>
      <c r="AK2054">
        <v>0</v>
      </c>
      <c r="AL2054">
        <v>0</v>
      </c>
      <c r="AM2054">
        <v>0</v>
      </c>
      <c r="AN2054" s="18" t="s">
        <v>52</v>
      </c>
      <c r="AO2054" s="18" t="s">
        <v>52</v>
      </c>
      <c r="AP2054" s="18" t="s">
        <v>52</v>
      </c>
      <c r="AQ2054" s="18" t="s">
        <v>52</v>
      </c>
      <c r="AR2054" s="29">
        <v>0</v>
      </c>
      <c r="AS2054" s="29">
        <v>0</v>
      </c>
      <c r="AT2054" s="29">
        <v>0</v>
      </c>
      <c r="AU2054" s="24" t="str">
        <f t="shared" ref="AU2054:AU2117" si="33">IF(AR2054="","库存为"&amp;M2054,IF(AS2054=0,"库存为"&amp;M2054,INT(M2054/AR2054)))</f>
        <v>库存为0</v>
      </c>
      <c r="AV2054" s="31" t="str">
        <f>IFERROR(时间!$B$4+AU2054,"上周无销量")</f>
        <v>上周无销量</v>
      </c>
    </row>
    <row r="2055" spans="1:48">
      <c r="A2055" s="16" t="s">
        <v>3587</v>
      </c>
      <c r="B2055" t="s">
        <v>3588</v>
      </c>
      <c r="C2055" t="s">
        <v>3540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0</v>
      </c>
      <c r="J2055" s="26">
        <v>0</v>
      </c>
      <c r="K2055" s="26">
        <v>0</v>
      </c>
      <c r="L2055" s="26">
        <v>0</v>
      </c>
      <c r="M2055">
        <v>0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0</v>
      </c>
      <c r="AK2055">
        <v>0</v>
      </c>
      <c r="AL2055">
        <v>0</v>
      </c>
      <c r="AM2055">
        <v>0</v>
      </c>
      <c r="AN2055" s="18" t="s">
        <v>52</v>
      </c>
      <c r="AO2055" s="18" t="s">
        <v>52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0</v>
      </c>
      <c r="AU2055" s="24" t="str">
        <f t="shared" si="33"/>
        <v>库存为0</v>
      </c>
      <c r="AV2055" s="31" t="str">
        <f>IFERROR(时间!$B$4+AU2055,"上周无销量")</f>
        <v>上周无销量</v>
      </c>
    </row>
    <row r="2056" spans="1:48">
      <c r="A2056" s="16" t="s">
        <v>3589</v>
      </c>
      <c r="B2056" t="s">
        <v>3590</v>
      </c>
      <c r="C2056" t="s">
        <v>3540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0</v>
      </c>
      <c r="J2056" s="26">
        <v>0</v>
      </c>
      <c r="K2056" s="26">
        <v>0</v>
      </c>
      <c r="L2056" s="26">
        <v>0</v>
      </c>
      <c r="M2056">
        <v>0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0</v>
      </c>
      <c r="AK2056">
        <v>0</v>
      </c>
      <c r="AL2056">
        <v>0</v>
      </c>
      <c r="AM2056">
        <v>0</v>
      </c>
      <c r="AN2056" s="18" t="s">
        <v>52</v>
      </c>
      <c r="AO2056" s="18" t="s">
        <v>52</v>
      </c>
      <c r="AP2056" s="18" t="s">
        <v>52</v>
      </c>
      <c r="AQ2056" s="18" t="s">
        <v>52</v>
      </c>
      <c r="AR2056" s="29">
        <v>0</v>
      </c>
      <c r="AS2056" s="29">
        <v>0</v>
      </c>
      <c r="AT2056" s="29">
        <v>0</v>
      </c>
      <c r="AU2056" s="24" t="str">
        <f t="shared" si="33"/>
        <v>库存为0</v>
      </c>
      <c r="AV2056" s="31" t="str">
        <f>IFERROR(时间!$B$4+AU2056,"上周无销量")</f>
        <v>上周无销量</v>
      </c>
    </row>
    <row r="2057" spans="1:48">
      <c r="A2057" s="16" t="s">
        <v>3591</v>
      </c>
      <c r="B2057" t="s">
        <v>3592</v>
      </c>
      <c r="C2057" t="s">
        <v>3540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0</v>
      </c>
      <c r="J2057" s="26">
        <v>0</v>
      </c>
      <c r="K2057" s="26">
        <v>0</v>
      </c>
      <c r="L2057" s="26">
        <v>0</v>
      </c>
      <c r="M2057">
        <v>0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0</v>
      </c>
      <c r="AK2057">
        <v>0</v>
      </c>
      <c r="AL2057">
        <v>0</v>
      </c>
      <c r="AM2057">
        <v>0</v>
      </c>
      <c r="AN2057" s="18" t="s">
        <v>52</v>
      </c>
      <c r="AO2057" s="18" t="s">
        <v>52</v>
      </c>
      <c r="AP2057" s="18" t="s">
        <v>52</v>
      </c>
      <c r="AQ2057" s="18" t="s">
        <v>52</v>
      </c>
      <c r="AR2057" s="29">
        <v>0</v>
      </c>
      <c r="AS2057" s="29">
        <v>0</v>
      </c>
      <c r="AT2057" s="29">
        <v>0</v>
      </c>
      <c r="AU2057" s="24" t="str">
        <f t="shared" si="33"/>
        <v>库存为0</v>
      </c>
      <c r="AV2057" s="31" t="str">
        <f>IFERROR(时间!$B$4+AU2057,"上周无销量")</f>
        <v>上周无销量</v>
      </c>
    </row>
    <row r="2058" spans="1:48">
      <c r="A2058" s="16" t="s">
        <v>3593</v>
      </c>
      <c r="B2058" t="s">
        <v>3594</v>
      </c>
      <c r="C2058" t="s">
        <v>3540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0</v>
      </c>
      <c r="J2058" s="26">
        <v>0</v>
      </c>
      <c r="K2058" s="26">
        <v>0</v>
      </c>
      <c r="L2058" s="26">
        <v>0</v>
      </c>
      <c r="M2058">
        <v>0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0</v>
      </c>
      <c r="AK2058">
        <v>0</v>
      </c>
      <c r="AL2058">
        <v>0</v>
      </c>
      <c r="AM2058">
        <v>0</v>
      </c>
      <c r="AN2058" s="18" t="s">
        <v>52</v>
      </c>
      <c r="AO2058" s="18" t="s">
        <v>52</v>
      </c>
      <c r="AP2058" s="18" t="s">
        <v>52</v>
      </c>
      <c r="AQ2058" s="18" t="s">
        <v>52</v>
      </c>
      <c r="AR2058" s="29">
        <v>0</v>
      </c>
      <c r="AS2058" s="29">
        <v>0</v>
      </c>
      <c r="AT2058" s="29">
        <v>0</v>
      </c>
      <c r="AU2058" s="24" t="str">
        <f t="shared" si="33"/>
        <v>库存为0</v>
      </c>
      <c r="AV2058" s="31" t="str">
        <f>IFERROR(时间!$B$4+AU2058,"上周无销量")</f>
        <v>上周无销量</v>
      </c>
    </row>
    <row r="2059" spans="1:48">
      <c r="A2059" s="16" t="s">
        <v>3595</v>
      </c>
      <c r="B2059" t="s">
        <v>3596</v>
      </c>
      <c r="C2059" t="s">
        <v>3540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0</v>
      </c>
      <c r="J2059" s="26">
        <v>0</v>
      </c>
      <c r="K2059" s="26">
        <v>0</v>
      </c>
      <c r="L2059" s="26">
        <v>0</v>
      </c>
      <c r="M2059">
        <v>0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0</v>
      </c>
      <c r="AK2059">
        <v>0</v>
      </c>
      <c r="AL2059">
        <v>0</v>
      </c>
      <c r="AM2059">
        <v>0</v>
      </c>
      <c r="AN2059" s="18" t="s">
        <v>52</v>
      </c>
      <c r="AO2059" s="18" t="s">
        <v>52</v>
      </c>
      <c r="AP2059" s="18" t="s">
        <v>52</v>
      </c>
      <c r="AQ2059" s="18" t="s">
        <v>52</v>
      </c>
      <c r="AR2059" s="29">
        <v>0</v>
      </c>
      <c r="AS2059" s="29">
        <v>0</v>
      </c>
      <c r="AT2059" s="29">
        <v>0</v>
      </c>
      <c r="AU2059" s="24" t="str">
        <f t="shared" si="33"/>
        <v>库存为0</v>
      </c>
      <c r="AV2059" s="31" t="str">
        <f>IFERROR(时间!$B$4+AU2059,"上周无销量")</f>
        <v>上周无销量</v>
      </c>
    </row>
    <row r="2060" spans="1:48">
      <c r="A2060" s="16" t="s">
        <v>3597</v>
      </c>
      <c r="B2060" t="s">
        <v>3598</v>
      </c>
      <c r="C2060" t="s">
        <v>3540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0</v>
      </c>
      <c r="J2060" s="26">
        <v>0</v>
      </c>
      <c r="K2060" s="26">
        <v>0</v>
      </c>
      <c r="L2060" s="26">
        <v>0</v>
      </c>
      <c r="M2060">
        <v>0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0</v>
      </c>
      <c r="AK2060">
        <v>0</v>
      </c>
      <c r="AL2060">
        <v>0</v>
      </c>
      <c r="AM2060">
        <v>0</v>
      </c>
      <c r="AN2060" s="18" t="s">
        <v>52</v>
      </c>
      <c r="AO2060" s="18" t="s">
        <v>52</v>
      </c>
      <c r="AP2060" s="18" t="s">
        <v>52</v>
      </c>
      <c r="AQ2060" s="18" t="s">
        <v>52</v>
      </c>
      <c r="AR2060" s="29">
        <v>0</v>
      </c>
      <c r="AS2060" s="29">
        <v>0</v>
      </c>
      <c r="AT2060" s="29">
        <v>0</v>
      </c>
      <c r="AU2060" s="24" t="str">
        <f t="shared" si="33"/>
        <v>库存为0</v>
      </c>
      <c r="AV2060" s="31" t="str">
        <f>IFERROR(时间!$B$4+AU2060,"上周无销量")</f>
        <v>上周无销量</v>
      </c>
    </row>
    <row r="2061" spans="1:48">
      <c r="A2061" s="16" t="s">
        <v>3599</v>
      </c>
      <c r="B2061" t="s">
        <v>3600</v>
      </c>
      <c r="C2061" t="s">
        <v>3540</v>
      </c>
      <c r="D2061" s="24">
        <v>0</v>
      </c>
      <c r="E2061" s="24">
        <v>0</v>
      </c>
      <c r="F2061" s="24">
        <v>0</v>
      </c>
      <c r="G2061" s="24">
        <v>0</v>
      </c>
      <c r="H2061" s="25">
        <v>0</v>
      </c>
      <c r="I2061">
        <v>0</v>
      </c>
      <c r="J2061" s="26">
        <v>0</v>
      </c>
      <c r="K2061" s="26">
        <v>0</v>
      </c>
      <c r="L2061" s="26">
        <v>0</v>
      </c>
      <c r="M2061">
        <v>0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0</v>
      </c>
      <c r="AK2061">
        <v>0</v>
      </c>
      <c r="AL2061">
        <v>0</v>
      </c>
      <c r="AM2061">
        <v>0</v>
      </c>
      <c r="AN2061" s="18" t="s">
        <v>52</v>
      </c>
      <c r="AO2061" s="18" t="s">
        <v>52</v>
      </c>
      <c r="AP2061" s="18" t="s">
        <v>52</v>
      </c>
      <c r="AQ2061" s="18" t="s">
        <v>52</v>
      </c>
      <c r="AR2061" s="29">
        <v>0</v>
      </c>
      <c r="AS2061" s="29">
        <v>0</v>
      </c>
      <c r="AT2061" s="29">
        <v>0</v>
      </c>
      <c r="AU2061" s="24" t="str">
        <f t="shared" si="33"/>
        <v>库存为0</v>
      </c>
      <c r="AV2061" s="31" t="str">
        <f>IFERROR(时间!$B$4+AU2061,"上周无销量")</f>
        <v>上周无销量</v>
      </c>
    </row>
    <row r="2062" spans="1:48">
      <c r="A2062" s="16" t="s">
        <v>3601</v>
      </c>
      <c r="B2062" t="s">
        <v>3602</v>
      </c>
      <c r="C2062" t="s">
        <v>3540</v>
      </c>
      <c r="D2062" s="24">
        <v>0</v>
      </c>
      <c r="E2062" s="24">
        <v>0</v>
      </c>
      <c r="F2062" s="24">
        <v>0</v>
      </c>
      <c r="G2062" s="24">
        <v>0</v>
      </c>
      <c r="H2062" s="25">
        <v>0</v>
      </c>
      <c r="I2062">
        <v>0</v>
      </c>
      <c r="J2062" s="26">
        <v>0</v>
      </c>
      <c r="K2062" s="26">
        <v>0</v>
      </c>
      <c r="L2062" s="26">
        <v>0</v>
      </c>
      <c r="M2062">
        <v>0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0</v>
      </c>
      <c r="AK2062">
        <v>0</v>
      </c>
      <c r="AL2062">
        <v>0</v>
      </c>
      <c r="AM2062">
        <v>0</v>
      </c>
      <c r="AN2062" s="18" t="s">
        <v>52</v>
      </c>
      <c r="AO2062" s="18" t="s">
        <v>52</v>
      </c>
      <c r="AP2062" s="18" t="s">
        <v>52</v>
      </c>
      <c r="AQ2062" s="18" t="s">
        <v>52</v>
      </c>
      <c r="AR2062" s="29">
        <v>0</v>
      </c>
      <c r="AS2062" s="29">
        <v>0</v>
      </c>
      <c r="AT2062" s="29">
        <v>0</v>
      </c>
      <c r="AU2062" s="24" t="str">
        <f t="shared" si="33"/>
        <v>库存为0</v>
      </c>
      <c r="AV2062" s="31" t="str">
        <f>IFERROR(时间!$B$4+AU2062,"上周无销量")</f>
        <v>上周无销量</v>
      </c>
    </row>
    <row r="2063" spans="1:48">
      <c r="A2063" s="16" t="s">
        <v>3603</v>
      </c>
      <c r="B2063" t="s">
        <v>3604</v>
      </c>
      <c r="C2063" t="s">
        <v>3605</v>
      </c>
      <c r="D2063" s="24">
        <v>0</v>
      </c>
      <c r="E2063" s="24">
        <v>0</v>
      </c>
      <c r="F2063" s="24">
        <v>0</v>
      </c>
      <c r="G2063" s="24">
        <v>0</v>
      </c>
      <c r="H2063" s="25">
        <v>0</v>
      </c>
      <c r="I2063">
        <v>0</v>
      </c>
      <c r="J2063" s="26">
        <v>0</v>
      </c>
      <c r="K2063" s="26">
        <v>0</v>
      </c>
      <c r="L2063" s="26">
        <v>0</v>
      </c>
      <c r="M2063">
        <v>0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0</v>
      </c>
      <c r="AK2063">
        <v>0</v>
      </c>
      <c r="AL2063">
        <v>0</v>
      </c>
      <c r="AM2063">
        <v>0</v>
      </c>
      <c r="AN2063" s="18" t="s">
        <v>52</v>
      </c>
      <c r="AO2063" s="18" t="s">
        <v>52</v>
      </c>
      <c r="AP2063" s="18" t="s">
        <v>52</v>
      </c>
      <c r="AQ2063" s="18" t="s">
        <v>52</v>
      </c>
      <c r="AR2063" s="29">
        <v>0</v>
      </c>
      <c r="AS2063" s="29">
        <v>0</v>
      </c>
      <c r="AT2063" s="29">
        <v>0</v>
      </c>
      <c r="AU2063" s="24" t="str">
        <f t="shared" si="33"/>
        <v>库存为0</v>
      </c>
      <c r="AV2063" s="31" t="str">
        <f>IFERROR(时间!$B$4+AU2063,"上周无销量")</f>
        <v>上周无销量</v>
      </c>
    </row>
    <row r="2064" spans="1:48">
      <c r="A2064" s="16" t="s">
        <v>3606</v>
      </c>
      <c r="B2064" t="s">
        <v>3607</v>
      </c>
      <c r="C2064" t="s">
        <v>3605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0</v>
      </c>
      <c r="J2064" s="26">
        <v>0</v>
      </c>
      <c r="K2064" s="26">
        <v>0</v>
      </c>
      <c r="L2064" s="26">
        <v>0</v>
      </c>
      <c r="M2064">
        <v>0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0</v>
      </c>
      <c r="AK2064">
        <v>0</v>
      </c>
      <c r="AL2064">
        <v>0</v>
      </c>
      <c r="AM2064">
        <v>0</v>
      </c>
      <c r="AN2064" s="18" t="s">
        <v>52</v>
      </c>
      <c r="AO2064" s="18" t="s">
        <v>52</v>
      </c>
      <c r="AP2064" s="18" t="s">
        <v>52</v>
      </c>
      <c r="AQ2064" s="18" t="s">
        <v>52</v>
      </c>
      <c r="AR2064" s="29">
        <v>0</v>
      </c>
      <c r="AS2064" s="29">
        <v>0</v>
      </c>
      <c r="AT2064" s="29">
        <v>0</v>
      </c>
      <c r="AU2064" s="24" t="str">
        <f t="shared" si="33"/>
        <v>库存为0</v>
      </c>
      <c r="AV2064" s="31" t="str">
        <f>IFERROR(时间!$B$4+AU2064,"上周无销量")</f>
        <v>上周无销量</v>
      </c>
    </row>
    <row r="2065" spans="1:48">
      <c r="A2065" s="16" t="s">
        <v>3608</v>
      </c>
      <c r="B2065" t="s">
        <v>3609</v>
      </c>
      <c r="C2065" t="s">
        <v>3605</v>
      </c>
      <c r="D2065" s="24">
        <v>0</v>
      </c>
      <c r="E2065" s="24">
        <v>0</v>
      </c>
      <c r="F2065" s="24">
        <v>0</v>
      </c>
      <c r="G2065" s="24">
        <v>0</v>
      </c>
      <c r="H2065" s="25">
        <v>0</v>
      </c>
      <c r="I2065">
        <v>0</v>
      </c>
      <c r="J2065" s="26">
        <v>0</v>
      </c>
      <c r="K2065" s="26">
        <v>0</v>
      </c>
      <c r="L2065" s="26">
        <v>0</v>
      </c>
      <c r="M2065">
        <v>0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0</v>
      </c>
      <c r="AK2065">
        <v>0</v>
      </c>
      <c r="AL2065">
        <v>0</v>
      </c>
      <c r="AM2065">
        <v>0</v>
      </c>
      <c r="AN2065" s="18" t="s">
        <v>52</v>
      </c>
      <c r="AO2065" s="18" t="s">
        <v>52</v>
      </c>
      <c r="AP2065" s="18" t="s">
        <v>52</v>
      </c>
      <c r="AQ2065" s="18" t="s">
        <v>52</v>
      </c>
      <c r="AR2065" s="29">
        <v>0</v>
      </c>
      <c r="AS2065" s="29">
        <v>0</v>
      </c>
      <c r="AT2065" s="29">
        <v>0</v>
      </c>
      <c r="AU2065" s="24" t="str">
        <f t="shared" si="33"/>
        <v>库存为0</v>
      </c>
      <c r="AV2065" s="31" t="str">
        <f>IFERROR(时间!$B$4+AU2065,"上周无销量")</f>
        <v>上周无销量</v>
      </c>
    </row>
    <row r="2066" spans="1:48">
      <c r="A2066" s="16" t="s">
        <v>3610</v>
      </c>
      <c r="B2066" t="s">
        <v>3611</v>
      </c>
      <c r="C2066" t="s">
        <v>3605</v>
      </c>
      <c r="D2066" s="24">
        <v>0</v>
      </c>
      <c r="E2066" s="24">
        <v>0</v>
      </c>
      <c r="F2066" s="24">
        <v>0</v>
      </c>
      <c r="G2066" s="24">
        <v>0</v>
      </c>
      <c r="H2066" s="25">
        <v>0</v>
      </c>
      <c r="I2066">
        <v>0</v>
      </c>
      <c r="J2066" s="26">
        <v>0</v>
      </c>
      <c r="K2066" s="26">
        <v>0</v>
      </c>
      <c r="L2066" s="26">
        <v>0</v>
      </c>
      <c r="M2066">
        <v>0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0</v>
      </c>
      <c r="AK2066">
        <v>0</v>
      </c>
      <c r="AL2066">
        <v>0</v>
      </c>
      <c r="AM2066">
        <v>0</v>
      </c>
      <c r="AN2066" s="18" t="s">
        <v>52</v>
      </c>
      <c r="AO2066" s="18" t="s">
        <v>52</v>
      </c>
      <c r="AP2066" s="18" t="s">
        <v>52</v>
      </c>
      <c r="AQ2066" s="18" t="s">
        <v>52</v>
      </c>
      <c r="AR2066" s="29">
        <v>0</v>
      </c>
      <c r="AS2066" s="29">
        <v>0</v>
      </c>
      <c r="AT2066" s="29">
        <v>0</v>
      </c>
      <c r="AU2066" s="24" t="str">
        <f t="shared" si="33"/>
        <v>库存为0</v>
      </c>
      <c r="AV2066" s="31" t="str">
        <f>IFERROR(时间!$B$4+AU2066,"上周无销量")</f>
        <v>上周无销量</v>
      </c>
    </row>
    <row r="2067" spans="1:48">
      <c r="A2067" s="16" t="s">
        <v>3612</v>
      </c>
      <c r="B2067" t="s">
        <v>3613</v>
      </c>
      <c r="C2067" t="s">
        <v>3605</v>
      </c>
      <c r="D2067" s="24">
        <v>0</v>
      </c>
      <c r="E2067" s="24">
        <v>0</v>
      </c>
      <c r="F2067" s="24">
        <v>0</v>
      </c>
      <c r="G2067" s="24">
        <v>0</v>
      </c>
      <c r="H2067" s="25">
        <v>0</v>
      </c>
      <c r="I2067">
        <v>0</v>
      </c>
      <c r="J2067" s="26">
        <v>0</v>
      </c>
      <c r="K2067" s="26">
        <v>0</v>
      </c>
      <c r="L2067" s="26">
        <v>0</v>
      </c>
      <c r="M2067">
        <v>0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0</v>
      </c>
      <c r="AK2067">
        <v>0</v>
      </c>
      <c r="AL2067">
        <v>0</v>
      </c>
      <c r="AM2067">
        <v>0</v>
      </c>
      <c r="AN2067" s="18" t="s">
        <v>52</v>
      </c>
      <c r="AO2067" s="18" t="s">
        <v>52</v>
      </c>
      <c r="AP2067" s="18" t="s">
        <v>52</v>
      </c>
      <c r="AQ2067" s="18" t="s">
        <v>52</v>
      </c>
      <c r="AR2067" s="29">
        <v>0</v>
      </c>
      <c r="AS2067" s="29">
        <v>0</v>
      </c>
      <c r="AT2067" s="29">
        <v>0</v>
      </c>
      <c r="AU2067" s="24" t="str">
        <f t="shared" si="33"/>
        <v>库存为0</v>
      </c>
      <c r="AV2067" s="31" t="str">
        <f>IFERROR(时间!$B$4+AU2067,"上周无销量")</f>
        <v>上周无销量</v>
      </c>
    </row>
    <row r="2068" spans="1:48">
      <c r="A2068" s="16" t="s">
        <v>3614</v>
      </c>
      <c r="B2068" t="s">
        <v>3615</v>
      </c>
      <c r="C2068" t="s">
        <v>3605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0</v>
      </c>
      <c r="J2068" s="26">
        <v>0</v>
      </c>
      <c r="K2068" s="26">
        <v>0</v>
      </c>
      <c r="L2068" s="26">
        <v>0</v>
      </c>
      <c r="M2068">
        <v>0</v>
      </c>
      <c r="N2068">
        <v>0</v>
      </c>
      <c r="O2068">
        <v>0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0</v>
      </c>
      <c r="AK2068">
        <v>0</v>
      </c>
      <c r="AL2068">
        <v>0</v>
      </c>
      <c r="AM2068">
        <v>0</v>
      </c>
      <c r="AN2068" s="18" t="s">
        <v>52</v>
      </c>
      <c r="AO2068" s="18" t="s">
        <v>52</v>
      </c>
      <c r="AP2068" s="18" t="s">
        <v>52</v>
      </c>
      <c r="AQ2068" s="18" t="s">
        <v>52</v>
      </c>
      <c r="AR2068" s="29">
        <v>0</v>
      </c>
      <c r="AS2068" s="29">
        <v>0</v>
      </c>
      <c r="AT2068" s="29">
        <v>0</v>
      </c>
      <c r="AU2068" s="24" t="str">
        <f t="shared" si="33"/>
        <v>库存为0</v>
      </c>
      <c r="AV2068" s="31" t="str">
        <f>IFERROR(时间!$B$4+AU2068,"上周无销量")</f>
        <v>上周无销量</v>
      </c>
    </row>
    <row r="2069" spans="1:48">
      <c r="A2069" s="16" t="s">
        <v>3616</v>
      </c>
      <c r="B2069" t="s">
        <v>3617</v>
      </c>
      <c r="C2069" t="s">
        <v>3605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0</v>
      </c>
      <c r="J2069" s="26">
        <v>0</v>
      </c>
      <c r="K2069" s="26">
        <v>0</v>
      </c>
      <c r="L2069" s="26">
        <v>0</v>
      </c>
      <c r="M2069">
        <v>0</v>
      </c>
      <c r="N2069">
        <v>0</v>
      </c>
      <c r="O2069">
        <v>0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0</v>
      </c>
      <c r="AK2069">
        <v>0</v>
      </c>
      <c r="AL2069">
        <v>0</v>
      </c>
      <c r="AM2069">
        <v>0</v>
      </c>
      <c r="AN2069" s="18" t="s">
        <v>52</v>
      </c>
      <c r="AO2069" s="18" t="s">
        <v>52</v>
      </c>
      <c r="AP2069" s="18" t="s">
        <v>52</v>
      </c>
      <c r="AQ2069" s="18" t="s">
        <v>52</v>
      </c>
      <c r="AR2069" s="29">
        <v>0</v>
      </c>
      <c r="AS2069" s="29">
        <v>0</v>
      </c>
      <c r="AT2069" s="29">
        <v>0</v>
      </c>
      <c r="AU2069" s="24" t="str">
        <f t="shared" si="33"/>
        <v>库存为0</v>
      </c>
      <c r="AV2069" s="31" t="str">
        <f>IFERROR(时间!$B$4+AU2069,"上周无销量")</f>
        <v>上周无销量</v>
      </c>
    </row>
    <row r="2070" spans="1:48">
      <c r="A2070" s="16" t="s">
        <v>3618</v>
      </c>
      <c r="B2070" t="s">
        <v>3619</v>
      </c>
      <c r="C2070" t="s">
        <v>3605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0</v>
      </c>
      <c r="J2070" s="26">
        <v>0</v>
      </c>
      <c r="K2070" s="26">
        <v>0</v>
      </c>
      <c r="L2070" s="26">
        <v>0</v>
      </c>
      <c r="M2070">
        <v>0</v>
      </c>
      <c r="N2070">
        <v>0</v>
      </c>
      <c r="O2070">
        <v>0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0</v>
      </c>
      <c r="AK2070">
        <v>0</v>
      </c>
      <c r="AL2070">
        <v>0</v>
      </c>
      <c r="AM2070">
        <v>0</v>
      </c>
      <c r="AN2070" s="18" t="s">
        <v>52</v>
      </c>
      <c r="AO2070" s="18" t="s">
        <v>52</v>
      </c>
      <c r="AP2070" s="18" t="s">
        <v>52</v>
      </c>
      <c r="AQ2070" s="18" t="s">
        <v>52</v>
      </c>
      <c r="AR2070" s="29">
        <v>0</v>
      </c>
      <c r="AS2070" s="29">
        <v>0</v>
      </c>
      <c r="AT2070" s="29">
        <v>0</v>
      </c>
      <c r="AU2070" s="24" t="str">
        <f t="shared" si="33"/>
        <v>库存为0</v>
      </c>
      <c r="AV2070" s="31" t="str">
        <f>IFERROR(时间!$B$4+AU2070,"上周无销量")</f>
        <v>上周无销量</v>
      </c>
    </row>
    <row r="2071" spans="1:48">
      <c r="A2071" s="16" t="s">
        <v>3620</v>
      </c>
      <c r="B2071" t="s">
        <v>3621</v>
      </c>
      <c r="C2071" t="s">
        <v>3605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0</v>
      </c>
      <c r="J2071" s="26">
        <v>0</v>
      </c>
      <c r="K2071" s="26">
        <v>0</v>
      </c>
      <c r="L2071" s="26">
        <v>0</v>
      </c>
      <c r="M2071">
        <v>0</v>
      </c>
      <c r="N2071">
        <v>0</v>
      </c>
      <c r="O2071">
        <v>0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0</v>
      </c>
      <c r="AK2071">
        <v>0</v>
      </c>
      <c r="AL2071">
        <v>0</v>
      </c>
      <c r="AM2071">
        <v>0</v>
      </c>
      <c r="AN2071" s="18" t="s">
        <v>52</v>
      </c>
      <c r="AO2071" s="18" t="s">
        <v>52</v>
      </c>
      <c r="AP2071" s="18" t="s">
        <v>52</v>
      </c>
      <c r="AQ2071" s="18" t="s">
        <v>52</v>
      </c>
      <c r="AR2071" s="29">
        <v>0</v>
      </c>
      <c r="AS2071" s="29">
        <v>0</v>
      </c>
      <c r="AT2071" s="29">
        <v>0</v>
      </c>
      <c r="AU2071" s="24" t="str">
        <f t="shared" si="33"/>
        <v>库存为0</v>
      </c>
      <c r="AV2071" s="31" t="str">
        <f>IFERROR(时间!$B$4+AU2071,"上周无销量")</f>
        <v>上周无销量</v>
      </c>
    </row>
    <row r="2072" spans="1:48">
      <c r="A2072" s="16" t="s">
        <v>3622</v>
      </c>
      <c r="B2072" t="s">
        <v>3623</v>
      </c>
      <c r="C2072" t="s">
        <v>3605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0</v>
      </c>
      <c r="J2072" s="26">
        <v>0</v>
      </c>
      <c r="K2072" s="26">
        <v>0</v>
      </c>
      <c r="L2072" s="26">
        <v>0</v>
      </c>
      <c r="M2072">
        <v>0</v>
      </c>
      <c r="N2072">
        <v>0</v>
      </c>
      <c r="O2072">
        <v>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0</v>
      </c>
      <c r="AK2072">
        <v>0</v>
      </c>
      <c r="AL2072">
        <v>0</v>
      </c>
      <c r="AM2072">
        <v>0</v>
      </c>
      <c r="AN2072" s="18" t="s">
        <v>52</v>
      </c>
      <c r="AO2072" s="18" t="s">
        <v>52</v>
      </c>
      <c r="AP2072" s="18" t="s">
        <v>52</v>
      </c>
      <c r="AQ2072" s="18" t="s">
        <v>52</v>
      </c>
      <c r="AR2072" s="29">
        <v>0</v>
      </c>
      <c r="AS2072" s="29">
        <v>0</v>
      </c>
      <c r="AT2072" s="29">
        <v>0</v>
      </c>
      <c r="AU2072" s="24" t="str">
        <f t="shared" si="33"/>
        <v>库存为0</v>
      </c>
      <c r="AV2072" s="31" t="str">
        <f>IFERROR(时间!$B$4+AU2072,"上周无销量")</f>
        <v>上周无销量</v>
      </c>
    </row>
    <row r="2073" spans="1:48">
      <c r="A2073" s="16" t="s">
        <v>3624</v>
      </c>
      <c r="B2073" t="s">
        <v>3625</v>
      </c>
      <c r="C2073" t="s">
        <v>3605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0</v>
      </c>
      <c r="J2073" s="26">
        <v>0</v>
      </c>
      <c r="K2073" s="26">
        <v>0</v>
      </c>
      <c r="L2073" s="26">
        <v>0</v>
      </c>
      <c r="M2073">
        <v>0</v>
      </c>
      <c r="N2073">
        <v>0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0</v>
      </c>
      <c r="AK2073">
        <v>0</v>
      </c>
      <c r="AL2073">
        <v>0</v>
      </c>
      <c r="AM2073">
        <v>0</v>
      </c>
      <c r="AN2073" s="18" t="s">
        <v>52</v>
      </c>
      <c r="AO2073" s="18" t="s">
        <v>52</v>
      </c>
      <c r="AP2073" s="18" t="s">
        <v>52</v>
      </c>
      <c r="AQ2073" s="18" t="s">
        <v>52</v>
      </c>
      <c r="AR2073" s="29">
        <v>0</v>
      </c>
      <c r="AS2073" s="29">
        <v>0</v>
      </c>
      <c r="AT2073" s="29">
        <v>0</v>
      </c>
      <c r="AU2073" s="24" t="str">
        <f t="shared" si="33"/>
        <v>库存为0</v>
      </c>
      <c r="AV2073" s="31" t="str">
        <f>IFERROR(时间!$B$4+AU2073,"上周无销量")</f>
        <v>上周无销量</v>
      </c>
    </row>
    <row r="2074" spans="1:48">
      <c r="A2074" s="16" t="s">
        <v>3626</v>
      </c>
      <c r="B2074" t="s">
        <v>3627</v>
      </c>
      <c r="C2074" t="s">
        <v>3605</v>
      </c>
      <c r="D2074" s="24">
        <v>0</v>
      </c>
      <c r="E2074" s="24">
        <v>0</v>
      </c>
      <c r="F2074" s="24">
        <v>0</v>
      </c>
      <c r="G2074" s="24">
        <v>0</v>
      </c>
      <c r="H2074" s="25">
        <v>0</v>
      </c>
      <c r="I2074">
        <v>0</v>
      </c>
      <c r="J2074" s="26">
        <v>0</v>
      </c>
      <c r="K2074" s="26">
        <v>0</v>
      </c>
      <c r="L2074" s="26">
        <v>0</v>
      </c>
      <c r="M2074">
        <v>0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0</v>
      </c>
      <c r="AK2074">
        <v>0</v>
      </c>
      <c r="AL2074">
        <v>0</v>
      </c>
      <c r="AM2074">
        <v>0</v>
      </c>
      <c r="AN2074" s="18" t="s">
        <v>52</v>
      </c>
      <c r="AO2074" s="18" t="s">
        <v>52</v>
      </c>
      <c r="AP2074" s="18" t="s">
        <v>52</v>
      </c>
      <c r="AQ2074" s="18" t="s">
        <v>52</v>
      </c>
      <c r="AR2074" s="29">
        <v>0</v>
      </c>
      <c r="AS2074" s="29">
        <v>0</v>
      </c>
      <c r="AT2074" s="29">
        <v>0</v>
      </c>
      <c r="AU2074" s="24" t="str">
        <f t="shared" si="33"/>
        <v>库存为0</v>
      </c>
      <c r="AV2074" s="31" t="str">
        <f>IFERROR(时间!$B$4+AU2074,"上周无销量")</f>
        <v>上周无销量</v>
      </c>
    </row>
    <row r="2075" spans="1:48">
      <c r="A2075" s="16" t="s">
        <v>3628</v>
      </c>
      <c r="B2075" t="s">
        <v>3629</v>
      </c>
      <c r="C2075" t="s">
        <v>3605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0</v>
      </c>
      <c r="J2075" s="26">
        <v>0</v>
      </c>
      <c r="K2075" s="26">
        <v>0</v>
      </c>
      <c r="L2075" s="26">
        <v>0</v>
      </c>
      <c r="M2075">
        <v>0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0</v>
      </c>
      <c r="AK2075">
        <v>0</v>
      </c>
      <c r="AL2075">
        <v>0</v>
      </c>
      <c r="AM2075">
        <v>0</v>
      </c>
      <c r="AN2075" s="18" t="s">
        <v>52</v>
      </c>
      <c r="AO2075" s="18" t="s">
        <v>52</v>
      </c>
      <c r="AP2075" s="18" t="s">
        <v>52</v>
      </c>
      <c r="AQ2075" s="18" t="s">
        <v>52</v>
      </c>
      <c r="AR2075" s="29">
        <v>0</v>
      </c>
      <c r="AS2075" s="29">
        <v>0</v>
      </c>
      <c r="AT2075" s="29">
        <v>0</v>
      </c>
      <c r="AU2075" s="24" t="str">
        <f t="shared" si="33"/>
        <v>库存为0</v>
      </c>
      <c r="AV2075" s="31" t="str">
        <f>IFERROR(时间!$B$4+AU2075,"上周无销量")</f>
        <v>上周无销量</v>
      </c>
    </row>
    <row r="2076" spans="1:48">
      <c r="A2076" s="16" t="s">
        <v>3630</v>
      </c>
      <c r="B2076" t="s">
        <v>3631</v>
      </c>
      <c r="C2076" t="s">
        <v>3605</v>
      </c>
      <c r="D2076" s="24">
        <v>0</v>
      </c>
      <c r="E2076" s="24">
        <v>0</v>
      </c>
      <c r="F2076" s="24">
        <v>0</v>
      </c>
      <c r="G2076" s="24">
        <v>0</v>
      </c>
      <c r="H2076" s="25">
        <v>0</v>
      </c>
      <c r="I2076">
        <v>0</v>
      </c>
      <c r="J2076" s="26">
        <v>0</v>
      </c>
      <c r="K2076" s="26">
        <v>0</v>
      </c>
      <c r="L2076" s="26">
        <v>0</v>
      </c>
      <c r="M2076">
        <v>0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0</v>
      </c>
      <c r="AK2076">
        <v>0</v>
      </c>
      <c r="AL2076">
        <v>0</v>
      </c>
      <c r="AM2076">
        <v>0</v>
      </c>
      <c r="AN2076" s="18" t="s">
        <v>52</v>
      </c>
      <c r="AO2076" s="18" t="s">
        <v>52</v>
      </c>
      <c r="AP2076" s="18" t="s">
        <v>52</v>
      </c>
      <c r="AQ2076" s="18" t="s">
        <v>52</v>
      </c>
      <c r="AR2076" s="29">
        <v>0</v>
      </c>
      <c r="AS2076" s="29">
        <v>0</v>
      </c>
      <c r="AT2076" s="29">
        <v>0</v>
      </c>
      <c r="AU2076" s="24" t="str">
        <f t="shared" si="33"/>
        <v>库存为0</v>
      </c>
      <c r="AV2076" s="31" t="str">
        <f>IFERROR(时间!$B$4+AU2076,"上周无销量")</f>
        <v>上周无销量</v>
      </c>
    </row>
    <row r="2077" spans="1:48">
      <c r="A2077" s="16" t="s">
        <v>3632</v>
      </c>
      <c r="B2077" t="s">
        <v>3633</v>
      </c>
      <c r="C2077" t="s">
        <v>3605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0</v>
      </c>
      <c r="J2077" s="26">
        <v>0</v>
      </c>
      <c r="K2077" s="26">
        <v>0</v>
      </c>
      <c r="L2077" s="26">
        <v>0</v>
      </c>
      <c r="M2077">
        <v>0</v>
      </c>
      <c r="N2077">
        <v>0</v>
      </c>
      <c r="O2077">
        <v>0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0</v>
      </c>
      <c r="AK2077">
        <v>0</v>
      </c>
      <c r="AL2077">
        <v>0</v>
      </c>
      <c r="AM2077">
        <v>0</v>
      </c>
      <c r="AN2077" s="18" t="s">
        <v>52</v>
      </c>
      <c r="AO2077" s="18" t="s">
        <v>52</v>
      </c>
      <c r="AP2077" s="18" t="s">
        <v>52</v>
      </c>
      <c r="AQ2077" s="18" t="s">
        <v>52</v>
      </c>
      <c r="AR2077" s="29">
        <v>0</v>
      </c>
      <c r="AS2077" s="29">
        <v>0</v>
      </c>
      <c r="AT2077" s="29">
        <v>0</v>
      </c>
      <c r="AU2077" s="24" t="str">
        <f t="shared" si="33"/>
        <v>库存为0</v>
      </c>
      <c r="AV2077" s="31" t="str">
        <f>IFERROR(时间!$B$4+AU2077,"上周无销量")</f>
        <v>上周无销量</v>
      </c>
    </row>
    <row r="2078" spans="1:48">
      <c r="A2078" s="16" t="s">
        <v>3634</v>
      </c>
      <c r="B2078" t="s">
        <v>3635</v>
      </c>
      <c r="C2078" t="s">
        <v>3605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0</v>
      </c>
      <c r="J2078" s="26">
        <v>0</v>
      </c>
      <c r="K2078" s="26">
        <v>0</v>
      </c>
      <c r="L2078" s="26">
        <v>0</v>
      </c>
      <c r="M2078">
        <v>0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0</v>
      </c>
      <c r="AK2078">
        <v>0</v>
      </c>
      <c r="AL2078">
        <v>0</v>
      </c>
      <c r="AM2078">
        <v>0</v>
      </c>
      <c r="AN2078" s="18" t="s">
        <v>52</v>
      </c>
      <c r="AO2078" s="18" t="s">
        <v>52</v>
      </c>
      <c r="AP2078" s="18" t="s">
        <v>52</v>
      </c>
      <c r="AQ2078" s="18" t="s">
        <v>52</v>
      </c>
      <c r="AR2078" s="29">
        <v>0</v>
      </c>
      <c r="AS2078" s="29">
        <v>0</v>
      </c>
      <c r="AT2078" s="29">
        <v>0</v>
      </c>
      <c r="AU2078" s="24" t="str">
        <f t="shared" si="33"/>
        <v>库存为0</v>
      </c>
      <c r="AV2078" s="31" t="str">
        <f>IFERROR(时间!$B$4+AU2078,"上周无销量")</f>
        <v>上周无销量</v>
      </c>
    </row>
    <row r="2079" spans="1:48">
      <c r="A2079" s="16" t="s">
        <v>3636</v>
      </c>
      <c r="B2079" t="s">
        <v>3637</v>
      </c>
      <c r="C2079" t="s">
        <v>3605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0</v>
      </c>
      <c r="J2079" s="26">
        <v>0</v>
      </c>
      <c r="K2079" s="26">
        <v>0</v>
      </c>
      <c r="L2079" s="26">
        <v>0</v>
      </c>
      <c r="M2079">
        <v>0</v>
      </c>
      <c r="N2079">
        <v>0</v>
      </c>
      <c r="O2079">
        <v>0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0</v>
      </c>
      <c r="AK2079">
        <v>0</v>
      </c>
      <c r="AL2079">
        <v>0</v>
      </c>
      <c r="AM2079">
        <v>0</v>
      </c>
      <c r="AN2079" s="18" t="s">
        <v>52</v>
      </c>
      <c r="AO2079" s="18" t="s">
        <v>52</v>
      </c>
      <c r="AP2079" s="18" t="s">
        <v>52</v>
      </c>
      <c r="AQ2079" s="18" t="s">
        <v>52</v>
      </c>
      <c r="AR2079" s="29">
        <v>0</v>
      </c>
      <c r="AS2079" s="29">
        <v>0</v>
      </c>
      <c r="AT2079" s="29">
        <v>0</v>
      </c>
      <c r="AU2079" s="24" t="str">
        <f t="shared" si="33"/>
        <v>库存为0</v>
      </c>
      <c r="AV2079" s="31" t="str">
        <f>IFERROR(时间!$B$4+AU2079,"上周无销量")</f>
        <v>上周无销量</v>
      </c>
    </row>
    <row r="2080" spans="1:48">
      <c r="A2080" s="16" t="s">
        <v>3638</v>
      </c>
      <c r="B2080" t="s">
        <v>3639</v>
      </c>
      <c r="C2080" t="s">
        <v>3605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0</v>
      </c>
      <c r="J2080" s="26">
        <v>0</v>
      </c>
      <c r="K2080" s="26">
        <v>0</v>
      </c>
      <c r="L2080" s="26">
        <v>0</v>
      </c>
      <c r="M2080">
        <v>0</v>
      </c>
      <c r="N2080">
        <v>0</v>
      </c>
      <c r="O2080">
        <v>0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0</v>
      </c>
      <c r="AK2080">
        <v>0</v>
      </c>
      <c r="AL2080">
        <v>0</v>
      </c>
      <c r="AM2080">
        <v>0</v>
      </c>
      <c r="AN2080" s="18" t="s">
        <v>52</v>
      </c>
      <c r="AO2080" s="18" t="s">
        <v>52</v>
      </c>
      <c r="AP2080" s="18" t="s">
        <v>52</v>
      </c>
      <c r="AQ2080" s="18" t="s">
        <v>52</v>
      </c>
      <c r="AR2080" s="29">
        <v>0</v>
      </c>
      <c r="AS2080" s="29">
        <v>0</v>
      </c>
      <c r="AT2080" s="29">
        <v>0</v>
      </c>
      <c r="AU2080" s="24" t="str">
        <f t="shared" si="33"/>
        <v>库存为0</v>
      </c>
      <c r="AV2080" s="31" t="str">
        <f>IFERROR(时间!$B$4+AU2080,"上周无销量")</f>
        <v>上周无销量</v>
      </c>
    </row>
    <row r="2081" spans="1:48">
      <c r="A2081" s="16" t="s">
        <v>3640</v>
      </c>
      <c r="B2081" t="s">
        <v>3641</v>
      </c>
      <c r="C2081" t="s">
        <v>3605</v>
      </c>
      <c r="D2081" s="24">
        <v>0</v>
      </c>
      <c r="E2081" s="24">
        <v>0</v>
      </c>
      <c r="F2081" s="24">
        <v>0</v>
      </c>
      <c r="G2081" s="24">
        <v>0</v>
      </c>
      <c r="H2081" s="25">
        <v>0</v>
      </c>
      <c r="I2081">
        <v>0</v>
      </c>
      <c r="J2081" s="26">
        <v>0</v>
      </c>
      <c r="K2081" s="26">
        <v>0</v>
      </c>
      <c r="L2081" s="26">
        <v>0</v>
      </c>
      <c r="M2081">
        <v>0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0</v>
      </c>
      <c r="AK2081">
        <v>0</v>
      </c>
      <c r="AL2081">
        <v>0</v>
      </c>
      <c r="AM2081">
        <v>0</v>
      </c>
      <c r="AN2081" s="18" t="s">
        <v>52</v>
      </c>
      <c r="AO2081" s="18" t="s">
        <v>52</v>
      </c>
      <c r="AP2081" s="18" t="s">
        <v>52</v>
      </c>
      <c r="AQ2081" s="18" t="s">
        <v>52</v>
      </c>
      <c r="AR2081" s="29">
        <v>0</v>
      </c>
      <c r="AS2081" s="29">
        <v>0</v>
      </c>
      <c r="AT2081" s="29">
        <v>0</v>
      </c>
      <c r="AU2081" s="24" t="str">
        <f t="shared" si="33"/>
        <v>库存为0</v>
      </c>
      <c r="AV2081" s="31" t="str">
        <f>IFERROR(时间!$B$4+AU2081,"上周无销量")</f>
        <v>上周无销量</v>
      </c>
    </row>
    <row r="2082" spans="1:48">
      <c r="A2082" s="16" t="s">
        <v>3642</v>
      </c>
      <c r="B2082" t="s">
        <v>3643</v>
      </c>
      <c r="C2082" t="s">
        <v>3605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0</v>
      </c>
      <c r="J2082" s="26">
        <v>0</v>
      </c>
      <c r="K2082" s="26">
        <v>0</v>
      </c>
      <c r="L2082" s="26">
        <v>0</v>
      </c>
      <c r="M2082">
        <v>0</v>
      </c>
      <c r="N2082">
        <v>0</v>
      </c>
      <c r="O2082">
        <v>0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0</v>
      </c>
      <c r="AK2082">
        <v>0</v>
      </c>
      <c r="AL2082">
        <v>0</v>
      </c>
      <c r="AM2082">
        <v>0</v>
      </c>
      <c r="AN2082" s="18" t="s">
        <v>52</v>
      </c>
      <c r="AO2082" s="18" t="s">
        <v>52</v>
      </c>
      <c r="AP2082" s="18" t="s">
        <v>52</v>
      </c>
      <c r="AQ2082" s="18" t="s">
        <v>52</v>
      </c>
      <c r="AR2082" s="29">
        <v>0</v>
      </c>
      <c r="AS2082" s="29">
        <v>0</v>
      </c>
      <c r="AT2082" s="29">
        <v>0</v>
      </c>
      <c r="AU2082" s="24" t="str">
        <f t="shared" si="33"/>
        <v>库存为0</v>
      </c>
      <c r="AV2082" s="31" t="str">
        <f>IFERROR(时间!$B$4+AU2082,"上周无销量")</f>
        <v>上周无销量</v>
      </c>
    </row>
    <row r="2083" spans="1:48">
      <c r="A2083" s="16" t="s">
        <v>3644</v>
      </c>
      <c r="B2083" t="s">
        <v>3645</v>
      </c>
      <c r="C2083" t="s">
        <v>3605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0</v>
      </c>
      <c r="J2083" s="26">
        <v>0</v>
      </c>
      <c r="K2083" s="26">
        <v>0</v>
      </c>
      <c r="L2083" s="26">
        <v>0</v>
      </c>
      <c r="M2083">
        <v>0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0</v>
      </c>
      <c r="AK2083">
        <v>0</v>
      </c>
      <c r="AL2083">
        <v>0</v>
      </c>
      <c r="AM2083">
        <v>0</v>
      </c>
      <c r="AN2083" s="18" t="s">
        <v>52</v>
      </c>
      <c r="AO2083" s="18" t="s">
        <v>52</v>
      </c>
      <c r="AP2083" s="18" t="s">
        <v>52</v>
      </c>
      <c r="AQ2083" s="18" t="s">
        <v>52</v>
      </c>
      <c r="AR2083" s="29">
        <v>0</v>
      </c>
      <c r="AS2083" s="29">
        <v>0</v>
      </c>
      <c r="AT2083" s="29">
        <v>0</v>
      </c>
      <c r="AU2083" s="24" t="str">
        <f t="shared" si="33"/>
        <v>库存为0</v>
      </c>
      <c r="AV2083" s="31" t="str">
        <f>IFERROR(时间!$B$4+AU2083,"上周无销量")</f>
        <v>上周无销量</v>
      </c>
    </row>
    <row r="2084" spans="1:48">
      <c r="A2084" s="16" t="s">
        <v>3646</v>
      </c>
      <c r="B2084" t="s">
        <v>3647</v>
      </c>
      <c r="C2084" t="s">
        <v>3605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0</v>
      </c>
      <c r="J2084" s="26">
        <v>0</v>
      </c>
      <c r="K2084" s="26">
        <v>0</v>
      </c>
      <c r="L2084" s="26">
        <v>0</v>
      </c>
      <c r="M2084">
        <v>0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0</v>
      </c>
      <c r="AK2084">
        <v>0</v>
      </c>
      <c r="AL2084">
        <v>0</v>
      </c>
      <c r="AM2084">
        <v>0</v>
      </c>
      <c r="AN2084" s="18" t="s">
        <v>52</v>
      </c>
      <c r="AO2084" s="18" t="s">
        <v>52</v>
      </c>
      <c r="AP2084" s="18" t="s">
        <v>52</v>
      </c>
      <c r="AQ2084" s="18" t="s">
        <v>52</v>
      </c>
      <c r="AR2084" s="29">
        <v>0</v>
      </c>
      <c r="AS2084" s="29">
        <v>0</v>
      </c>
      <c r="AT2084" s="29">
        <v>0</v>
      </c>
      <c r="AU2084" s="24" t="str">
        <f t="shared" si="33"/>
        <v>库存为0</v>
      </c>
      <c r="AV2084" s="31" t="str">
        <f>IFERROR(时间!$B$4+AU2084,"上周无销量")</f>
        <v>上周无销量</v>
      </c>
    </row>
    <row r="2085" spans="1:48">
      <c r="A2085" s="16" t="s">
        <v>3648</v>
      </c>
      <c r="B2085" t="s">
        <v>3649</v>
      </c>
      <c r="C2085" t="s">
        <v>3605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0</v>
      </c>
      <c r="J2085" s="26">
        <v>0</v>
      </c>
      <c r="K2085" s="26">
        <v>0</v>
      </c>
      <c r="L2085" s="26">
        <v>0</v>
      </c>
      <c r="M2085">
        <v>0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0</v>
      </c>
      <c r="AK2085">
        <v>0</v>
      </c>
      <c r="AL2085">
        <v>0</v>
      </c>
      <c r="AM2085">
        <v>0</v>
      </c>
      <c r="AN2085" s="18" t="s">
        <v>52</v>
      </c>
      <c r="AO2085" s="18" t="s">
        <v>52</v>
      </c>
      <c r="AP2085" s="18" t="s">
        <v>52</v>
      </c>
      <c r="AQ2085" s="18" t="s">
        <v>52</v>
      </c>
      <c r="AR2085" s="29">
        <v>0</v>
      </c>
      <c r="AS2085" s="29">
        <v>0</v>
      </c>
      <c r="AT2085" s="29">
        <v>0</v>
      </c>
      <c r="AU2085" s="24" t="str">
        <f t="shared" si="33"/>
        <v>库存为0</v>
      </c>
      <c r="AV2085" s="31" t="str">
        <f>IFERROR(时间!$B$4+AU2085,"上周无销量")</f>
        <v>上周无销量</v>
      </c>
    </row>
    <row r="2086" spans="1:48">
      <c r="A2086" s="16" t="s">
        <v>3650</v>
      </c>
      <c r="B2086" t="s">
        <v>3651</v>
      </c>
      <c r="C2086" t="s">
        <v>3605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0</v>
      </c>
      <c r="K2086" s="26">
        <v>0</v>
      </c>
      <c r="L2086" s="26">
        <v>0</v>
      </c>
      <c r="M2086">
        <v>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0</v>
      </c>
      <c r="AK2086">
        <v>0</v>
      </c>
      <c r="AL2086">
        <v>0</v>
      </c>
      <c r="AM2086">
        <v>0</v>
      </c>
      <c r="AN2086" s="18" t="s">
        <v>52</v>
      </c>
      <c r="AO2086" s="18" t="s">
        <v>52</v>
      </c>
      <c r="AP2086" s="18" t="s">
        <v>52</v>
      </c>
      <c r="AQ2086" s="18" t="s">
        <v>52</v>
      </c>
      <c r="AR2086" s="29">
        <v>0</v>
      </c>
      <c r="AS2086" s="29">
        <v>0</v>
      </c>
      <c r="AT2086" s="29">
        <v>0</v>
      </c>
      <c r="AU2086" s="24" t="str">
        <f t="shared" si="33"/>
        <v>库存为0</v>
      </c>
      <c r="AV2086" s="31" t="str">
        <f>IFERROR(时间!$B$4+AU2086,"上周无销量")</f>
        <v>上周无销量</v>
      </c>
    </row>
    <row r="2087" spans="1:48">
      <c r="A2087" s="16" t="s">
        <v>3652</v>
      </c>
      <c r="B2087" t="s">
        <v>3653</v>
      </c>
      <c r="C2087" t="s">
        <v>3605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0</v>
      </c>
      <c r="J2087" s="26">
        <v>0</v>
      </c>
      <c r="K2087" s="26">
        <v>0</v>
      </c>
      <c r="L2087" s="26">
        <v>0</v>
      </c>
      <c r="M2087">
        <v>0</v>
      </c>
      <c r="N2087">
        <v>0</v>
      </c>
      <c r="O2087">
        <v>0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0</v>
      </c>
      <c r="AK2087">
        <v>0</v>
      </c>
      <c r="AL2087">
        <v>0</v>
      </c>
      <c r="AM2087">
        <v>0</v>
      </c>
      <c r="AN2087" s="18" t="s">
        <v>52</v>
      </c>
      <c r="AO2087" s="18" t="s">
        <v>52</v>
      </c>
      <c r="AP2087" s="18" t="s">
        <v>52</v>
      </c>
      <c r="AQ2087" s="18" t="s">
        <v>52</v>
      </c>
      <c r="AR2087" s="29">
        <v>0</v>
      </c>
      <c r="AS2087" s="29">
        <v>0</v>
      </c>
      <c r="AT2087" s="29">
        <v>0</v>
      </c>
      <c r="AU2087" s="24" t="str">
        <f t="shared" si="33"/>
        <v>库存为0</v>
      </c>
      <c r="AV2087" s="31" t="str">
        <f>IFERROR(时间!$B$4+AU2087,"上周无销量")</f>
        <v>上周无销量</v>
      </c>
    </row>
    <row r="2088" spans="1:48">
      <c r="A2088" s="16" t="s">
        <v>3654</v>
      </c>
      <c r="B2088" t="s">
        <v>3655</v>
      </c>
      <c r="C2088" t="s">
        <v>3605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0</v>
      </c>
      <c r="J2088" s="26">
        <v>0</v>
      </c>
      <c r="K2088" s="26">
        <v>0</v>
      </c>
      <c r="L2088" s="26">
        <v>0</v>
      </c>
      <c r="M2088">
        <v>0</v>
      </c>
      <c r="N2088">
        <v>0</v>
      </c>
      <c r="O2088">
        <v>0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0</v>
      </c>
      <c r="AK2088">
        <v>0</v>
      </c>
      <c r="AL2088">
        <v>0</v>
      </c>
      <c r="AM2088">
        <v>0</v>
      </c>
      <c r="AN2088" s="18" t="s">
        <v>52</v>
      </c>
      <c r="AO2088" s="18" t="s">
        <v>52</v>
      </c>
      <c r="AP2088" s="18" t="s">
        <v>52</v>
      </c>
      <c r="AQ2088" s="18" t="s">
        <v>52</v>
      </c>
      <c r="AR2088" s="29">
        <v>0</v>
      </c>
      <c r="AS2088" s="29">
        <v>0</v>
      </c>
      <c r="AT2088" s="29">
        <v>0</v>
      </c>
      <c r="AU2088" s="24" t="str">
        <f t="shared" si="33"/>
        <v>库存为0</v>
      </c>
      <c r="AV2088" s="31" t="str">
        <f>IFERROR(时间!$B$4+AU2088,"上周无销量")</f>
        <v>上周无销量</v>
      </c>
    </row>
    <row r="2089" spans="1:48">
      <c r="A2089" s="16" t="s">
        <v>3656</v>
      </c>
      <c r="B2089" t="s">
        <v>3657</v>
      </c>
      <c r="C2089" t="s">
        <v>3605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0</v>
      </c>
      <c r="J2089" s="26">
        <v>0</v>
      </c>
      <c r="K2089" s="26">
        <v>0</v>
      </c>
      <c r="L2089" s="26">
        <v>0</v>
      </c>
      <c r="M2089">
        <v>0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0</v>
      </c>
      <c r="AK2089">
        <v>0</v>
      </c>
      <c r="AL2089">
        <v>0</v>
      </c>
      <c r="AM2089">
        <v>0</v>
      </c>
      <c r="AN2089" s="18" t="s">
        <v>52</v>
      </c>
      <c r="AO2089" s="18" t="s">
        <v>52</v>
      </c>
      <c r="AP2089" s="18" t="s">
        <v>52</v>
      </c>
      <c r="AQ2089" s="18" t="s">
        <v>52</v>
      </c>
      <c r="AR2089" s="29">
        <v>0</v>
      </c>
      <c r="AS2089" s="29">
        <v>0</v>
      </c>
      <c r="AT2089" s="29">
        <v>0</v>
      </c>
      <c r="AU2089" s="24" t="str">
        <f t="shared" si="33"/>
        <v>库存为0</v>
      </c>
      <c r="AV2089" s="31" t="str">
        <f>IFERROR(时间!$B$4+AU2089,"上周无销量")</f>
        <v>上周无销量</v>
      </c>
    </row>
    <row r="2090" spans="1:48">
      <c r="A2090" s="16" t="s">
        <v>3658</v>
      </c>
      <c r="B2090" t="s">
        <v>3659</v>
      </c>
      <c r="C2090" t="s">
        <v>3605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0</v>
      </c>
      <c r="J2090" s="26">
        <v>0</v>
      </c>
      <c r="K2090" s="26">
        <v>0</v>
      </c>
      <c r="L2090" s="26">
        <v>0</v>
      </c>
      <c r="M2090">
        <v>0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0</v>
      </c>
      <c r="AK2090">
        <v>0</v>
      </c>
      <c r="AL2090">
        <v>0</v>
      </c>
      <c r="AM2090">
        <v>0</v>
      </c>
      <c r="AN2090" s="18" t="s">
        <v>52</v>
      </c>
      <c r="AO2090" s="18" t="s">
        <v>52</v>
      </c>
      <c r="AP2090" s="18" t="s">
        <v>52</v>
      </c>
      <c r="AQ2090" s="18" t="s">
        <v>52</v>
      </c>
      <c r="AR2090" s="29">
        <v>0</v>
      </c>
      <c r="AS2090" s="29">
        <v>0</v>
      </c>
      <c r="AT2090" s="29">
        <v>0</v>
      </c>
      <c r="AU2090" s="24" t="str">
        <f t="shared" si="33"/>
        <v>库存为0</v>
      </c>
      <c r="AV2090" s="31" t="str">
        <f>IFERROR(时间!$B$4+AU2090,"上周无销量")</f>
        <v>上周无销量</v>
      </c>
    </row>
    <row r="2091" spans="1:48">
      <c r="A2091" s="16" t="s">
        <v>3660</v>
      </c>
      <c r="B2091" t="s">
        <v>3661</v>
      </c>
      <c r="C2091" t="s">
        <v>3662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0</v>
      </c>
      <c r="J2091" s="26">
        <v>0</v>
      </c>
      <c r="K2091" s="26">
        <v>0</v>
      </c>
      <c r="L2091" s="26">
        <v>0</v>
      </c>
      <c r="M2091">
        <v>0</v>
      </c>
      <c r="N2091">
        <v>0</v>
      </c>
      <c r="O2091">
        <v>0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0</v>
      </c>
      <c r="AK2091">
        <v>0</v>
      </c>
      <c r="AL2091">
        <v>0</v>
      </c>
      <c r="AM2091">
        <v>0</v>
      </c>
      <c r="AN2091" s="18" t="s">
        <v>52</v>
      </c>
      <c r="AO2091" s="18" t="s">
        <v>52</v>
      </c>
      <c r="AP2091" s="18" t="s">
        <v>52</v>
      </c>
      <c r="AQ2091" s="18" t="s">
        <v>52</v>
      </c>
      <c r="AR2091" s="29">
        <v>0</v>
      </c>
      <c r="AS2091" s="29">
        <v>0</v>
      </c>
      <c r="AT2091" s="29">
        <v>0</v>
      </c>
      <c r="AU2091" s="24" t="str">
        <f t="shared" si="33"/>
        <v>库存为0</v>
      </c>
      <c r="AV2091" s="31" t="str">
        <f>IFERROR(时间!$B$4+AU2091,"上周无销量")</f>
        <v>上周无销量</v>
      </c>
    </row>
    <row r="2092" spans="1:48">
      <c r="A2092" s="16" t="s">
        <v>3663</v>
      </c>
      <c r="B2092" t="s">
        <v>3664</v>
      </c>
      <c r="C2092" t="s">
        <v>3662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1</v>
      </c>
      <c r="J2092" s="26">
        <v>0</v>
      </c>
      <c r="K2092" s="26">
        <v>0</v>
      </c>
      <c r="L2092" s="26">
        <v>0</v>
      </c>
      <c r="M2092">
        <v>1</v>
      </c>
      <c r="N2092">
        <v>0</v>
      </c>
      <c r="O2092">
        <v>1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5</v>
      </c>
      <c r="AK2092">
        <v>5</v>
      </c>
      <c r="AL2092">
        <v>2</v>
      </c>
      <c r="AM2092">
        <v>5</v>
      </c>
      <c r="AN2092" s="18">
        <v>0</v>
      </c>
      <c r="AO2092" s="18">
        <v>0</v>
      </c>
      <c r="AP2092" s="18">
        <v>0</v>
      </c>
      <c r="AQ2092" s="18">
        <v>0</v>
      </c>
      <c r="AR2092" s="29">
        <v>0</v>
      </c>
      <c r="AS2092" s="29">
        <v>0</v>
      </c>
      <c r="AT2092" s="29">
        <v>1</v>
      </c>
      <c r="AU2092" s="24" t="str">
        <f t="shared" si="33"/>
        <v>库存为1</v>
      </c>
      <c r="AV2092" s="31" t="str">
        <f>IFERROR(时间!$B$4+AU2092,"上周无销量")</f>
        <v>上周无销量</v>
      </c>
    </row>
    <row r="2093" spans="1:48">
      <c r="A2093" s="16" t="s">
        <v>3665</v>
      </c>
      <c r="B2093" t="s">
        <v>3666</v>
      </c>
      <c r="C2093" t="s">
        <v>3662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0</v>
      </c>
      <c r="J2093" s="26">
        <v>0</v>
      </c>
      <c r="K2093" s="26">
        <v>0</v>
      </c>
      <c r="L2093" s="26">
        <v>0</v>
      </c>
      <c r="M2093">
        <v>0</v>
      </c>
      <c r="N2093">
        <v>0</v>
      </c>
      <c r="O2093">
        <v>0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0</v>
      </c>
      <c r="AK2093">
        <v>0</v>
      </c>
      <c r="AL2093">
        <v>0</v>
      </c>
      <c r="AM2093">
        <v>0</v>
      </c>
      <c r="AN2093" s="18" t="s">
        <v>52</v>
      </c>
      <c r="AO2093" s="18" t="s">
        <v>52</v>
      </c>
      <c r="AP2093" s="18" t="s">
        <v>52</v>
      </c>
      <c r="AQ2093" s="18" t="s">
        <v>52</v>
      </c>
      <c r="AR2093" s="29">
        <v>0</v>
      </c>
      <c r="AS2093" s="29">
        <v>0</v>
      </c>
      <c r="AT2093" s="29">
        <v>0</v>
      </c>
      <c r="AU2093" s="24" t="str">
        <f t="shared" si="33"/>
        <v>库存为0</v>
      </c>
      <c r="AV2093" s="31" t="str">
        <f>IFERROR(时间!$B$4+AU2093,"上周无销量")</f>
        <v>上周无销量</v>
      </c>
    </row>
    <row r="2094" spans="1:48">
      <c r="A2094" s="16" t="s">
        <v>3667</v>
      </c>
      <c r="B2094" t="s">
        <v>3668</v>
      </c>
      <c r="C2094" t="s">
        <v>3662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0</v>
      </c>
      <c r="J2094" s="26">
        <v>0</v>
      </c>
      <c r="K2094" s="26">
        <v>0</v>
      </c>
      <c r="L2094" s="26">
        <v>0</v>
      </c>
      <c r="M2094">
        <v>0</v>
      </c>
      <c r="N2094">
        <v>0</v>
      </c>
      <c r="O2094">
        <v>0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0</v>
      </c>
      <c r="AK2094">
        <v>0</v>
      </c>
      <c r="AL2094">
        <v>0</v>
      </c>
      <c r="AM2094">
        <v>0</v>
      </c>
      <c r="AN2094" s="18" t="s">
        <v>52</v>
      </c>
      <c r="AO2094" s="18" t="s">
        <v>52</v>
      </c>
      <c r="AP2094" s="18" t="s">
        <v>52</v>
      </c>
      <c r="AQ2094" s="18" t="s">
        <v>52</v>
      </c>
      <c r="AR2094" s="29">
        <v>0</v>
      </c>
      <c r="AS2094" s="29">
        <v>0</v>
      </c>
      <c r="AT2094" s="29">
        <v>0</v>
      </c>
      <c r="AU2094" s="24" t="str">
        <f t="shared" si="33"/>
        <v>库存为0</v>
      </c>
      <c r="AV2094" s="31" t="str">
        <f>IFERROR(时间!$B$4+AU2094,"上周无销量")</f>
        <v>上周无销量</v>
      </c>
    </row>
    <row r="2095" spans="1:48">
      <c r="A2095" s="16" t="s">
        <v>3669</v>
      </c>
      <c r="B2095" t="s">
        <v>3670</v>
      </c>
      <c r="C2095" t="s">
        <v>3662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0</v>
      </c>
      <c r="J2095" s="26">
        <v>0</v>
      </c>
      <c r="K2095" s="26">
        <v>0</v>
      </c>
      <c r="L2095" s="26">
        <v>0</v>
      </c>
      <c r="M2095">
        <v>0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0</v>
      </c>
      <c r="AK2095">
        <v>0</v>
      </c>
      <c r="AL2095">
        <v>0</v>
      </c>
      <c r="AM2095">
        <v>0</v>
      </c>
      <c r="AN2095" s="18" t="s">
        <v>52</v>
      </c>
      <c r="AO2095" s="18" t="s">
        <v>52</v>
      </c>
      <c r="AP2095" s="18" t="s">
        <v>52</v>
      </c>
      <c r="AQ2095" s="18" t="s">
        <v>52</v>
      </c>
      <c r="AR2095" s="29">
        <v>0</v>
      </c>
      <c r="AS2095" s="29">
        <v>0</v>
      </c>
      <c r="AT2095" s="29">
        <v>0</v>
      </c>
      <c r="AU2095" s="24" t="str">
        <f t="shared" si="33"/>
        <v>库存为0</v>
      </c>
      <c r="AV2095" s="31" t="str">
        <f>IFERROR(时间!$B$4+AU2095,"上周无销量")</f>
        <v>上周无销量</v>
      </c>
    </row>
    <row r="2096" spans="1:48">
      <c r="A2096" s="16" t="s">
        <v>3671</v>
      </c>
      <c r="B2096" t="s">
        <v>3672</v>
      </c>
      <c r="C2096" t="s">
        <v>3662</v>
      </c>
      <c r="D2096" s="24">
        <v>0</v>
      </c>
      <c r="E2096" s="24">
        <v>0</v>
      </c>
      <c r="F2096" s="24">
        <v>0</v>
      </c>
      <c r="G2096" s="24">
        <v>0</v>
      </c>
      <c r="H2096" s="25">
        <v>0</v>
      </c>
      <c r="I2096">
        <v>1</v>
      </c>
      <c r="J2096" s="26">
        <v>0</v>
      </c>
      <c r="K2096" s="26">
        <v>0</v>
      </c>
      <c r="L2096" s="26">
        <v>0</v>
      </c>
      <c r="M2096">
        <v>1</v>
      </c>
      <c r="N2096">
        <v>0</v>
      </c>
      <c r="O2096">
        <v>0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5</v>
      </c>
      <c r="AK2096">
        <v>13</v>
      </c>
      <c r="AL2096">
        <v>7</v>
      </c>
      <c r="AM2096">
        <v>7</v>
      </c>
      <c r="AN2096" s="18">
        <v>0</v>
      </c>
      <c r="AO2096" s="18">
        <v>0</v>
      </c>
      <c r="AP2096" s="18">
        <v>0</v>
      </c>
      <c r="AQ2096" s="18">
        <v>0</v>
      </c>
      <c r="AR2096" s="29">
        <v>0</v>
      </c>
      <c r="AS2096" s="29">
        <v>0</v>
      </c>
      <c r="AT2096" s="29">
        <v>1</v>
      </c>
      <c r="AU2096" s="24" t="str">
        <f t="shared" si="33"/>
        <v>库存为1</v>
      </c>
      <c r="AV2096" s="31" t="str">
        <f>IFERROR(时间!$B$4+AU2096,"上周无销量")</f>
        <v>上周无销量</v>
      </c>
    </row>
    <row r="2097" spans="1:48">
      <c r="A2097" s="16" t="s">
        <v>3673</v>
      </c>
      <c r="B2097" t="s">
        <v>3674</v>
      </c>
      <c r="C2097" t="s">
        <v>3662</v>
      </c>
      <c r="D2097" s="24">
        <v>0</v>
      </c>
      <c r="E2097" s="24">
        <v>0</v>
      </c>
      <c r="F2097" s="24">
        <v>0</v>
      </c>
      <c r="G2097" s="24">
        <v>0</v>
      </c>
      <c r="H2097" s="25">
        <v>0</v>
      </c>
      <c r="I2097">
        <v>0</v>
      </c>
      <c r="J2097" s="26">
        <v>0</v>
      </c>
      <c r="K2097" s="26">
        <v>0</v>
      </c>
      <c r="L2097" s="26">
        <v>0</v>
      </c>
      <c r="M2097">
        <v>0</v>
      </c>
      <c r="N2097">
        <v>0</v>
      </c>
      <c r="O2097">
        <v>0</v>
      </c>
      <c r="P2097" t="s">
        <v>52</v>
      </c>
      <c r="Q2097" t="s">
        <v>52</v>
      </c>
      <c r="R2097" t="s">
        <v>52</v>
      </c>
      <c r="S2097" t="s">
        <v>52</v>
      </c>
      <c r="T2097" t="s">
        <v>52</v>
      </c>
      <c r="U2097" t="s">
        <v>52</v>
      </c>
      <c r="V2097" t="s">
        <v>52</v>
      </c>
      <c r="W2097" t="s">
        <v>52</v>
      </c>
      <c r="X2097" s="18" t="s">
        <v>52</v>
      </c>
      <c r="Y2097" s="18" t="s">
        <v>52</v>
      </c>
      <c r="Z2097" s="18" t="s">
        <v>52</v>
      </c>
      <c r="AA2097" s="18" t="s">
        <v>52</v>
      </c>
      <c r="AB2097" t="s">
        <v>52</v>
      </c>
      <c r="AC2097" t="s">
        <v>52</v>
      </c>
      <c r="AD2097" t="s">
        <v>52</v>
      </c>
      <c r="AE2097" t="s">
        <v>52</v>
      </c>
      <c r="AF2097" s="18" t="s">
        <v>52</v>
      </c>
      <c r="AG2097" s="18" t="s">
        <v>52</v>
      </c>
      <c r="AH2097" s="18" t="s">
        <v>52</v>
      </c>
      <c r="AI2097" s="18" t="s">
        <v>52</v>
      </c>
      <c r="AJ2097">
        <v>0</v>
      </c>
      <c r="AK2097">
        <v>0</v>
      </c>
      <c r="AL2097">
        <v>0</v>
      </c>
      <c r="AM2097">
        <v>0</v>
      </c>
      <c r="AN2097" s="18" t="s">
        <v>52</v>
      </c>
      <c r="AO2097" s="18" t="s">
        <v>52</v>
      </c>
      <c r="AP2097" s="18" t="s">
        <v>52</v>
      </c>
      <c r="AQ2097" s="18" t="s">
        <v>52</v>
      </c>
      <c r="AR2097" s="29">
        <v>0</v>
      </c>
      <c r="AS2097" s="29">
        <v>0</v>
      </c>
      <c r="AT2097" s="29">
        <v>0</v>
      </c>
      <c r="AU2097" s="24" t="str">
        <f t="shared" si="33"/>
        <v>库存为0</v>
      </c>
      <c r="AV2097" s="31" t="str">
        <f>IFERROR(时间!$B$4+AU2097,"上周无销量")</f>
        <v>上周无销量</v>
      </c>
    </row>
    <row r="2098" spans="1:48">
      <c r="A2098" s="16" t="s">
        <v>3675</v>
      </c>
      <c r="B2098" t="s">
        <v>3676</v>
      </c>
      <c r="C2098" t="s">
        <v>3662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0</v>
      </c>
      <c r="J2098" s="26">
        <v>0</v>
      </c>
      <c r="K2098" s="26">
        <v>0</v>
      </c>
      <c r="L2098" s="26">
        <v>0</v>
      </c>
      <c r="M2098">
        <v>0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0</v>
      </c>
      <c r="AK2098">
        <v>0</v>
      </c>
      <c r="AL2098">
        <v>0</v>
      </c>
      <c r="AM2098">
        <v>0</v>
      </c>
      <c r="AN2098" s="18" t="s">
        <v>52</v>
      </c>
      <c r="AO2098" s="18" t="s">
        <v>52</v>
      </c>
      <c r="AP2098" s="18" t="s">
        <v>52</v>
      </c>
      <c r="AQ2098" s="18" t="s">
        <v>52</v>
      </c>
      <c r="AR2098" s="29">
        <v>0</v>
      </c>
      <c r="AS2098" s="29">
        <v>0</v>
      </c>
      <c r="AT2098" s="29">
        <v>0</v>
      </c>
      <c r="AU2098" s="24" t="str">
        <f t="shared" si="33"/>
        <v>库存为0</v>
      </c>
      <c r="AV2098" s="31" t="str">
        <f>IFERROR(时间!$B$4+AU2098,"上周无销量")</f>
        <v>上周无销量</v>
      </c>
    </row>
    <row r="2099" spans="1:48">
      <c r="A2099" s="16" t="s">
        <v>3677</v>
      </c>
      <c r="B2099" t="s">
        <v>3678</v>
      </c>
      <c r="C2099" t="s">
        <v>3662</v>
      </c>
      <c r="D2099" s="24">
        <v>0</v>
      </c>
      <c r="E2099" s="24">
        <v>0</v>
      </c>
      <c r="F2099" s="24">
        <v>0</v>
      </c>
      <c r="G2099" s="24">
        <v>1</v>
      </c>
      <c r="H2099" s="25">
        <v>23.98</v>
      </c>
      <c r="I2099">
        <v>0</v>
      </c>
      <c r="J2099" s="26">
        <v>0</v>
      </c>
      <c r="K2099" s="26">
        <v>0</v>
      </c>
      <c r="L2099" s="26">
        <v>0</v>
      </c>
      <c r="M2099">
        <v>0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0</v>
      </c>
      <c r="AK2099">
        <v>0</v>
      </c>
      <c r="AL2099">
        <v>0</v>
      </c>
      <c r="AM2099">
        <v>2</v>
      </c>
      <c r="AN2099" s="18" t="s">
        <v>52</v>
      </c>
      <c r="AO2099" s="18" t="s">
        <v>52</v>
      </c>
      <c r="AP2099" s="18" t="s">
        <v>52</v>
      </c>
      <c r="AQ2099" s="18">
        <v>0.5</v>
      </c>
      <c r="AR2099" s="29">
        <v>0</v>
      </c>
      <c r="AS2099" s="29">
        <v>0</v>
      </c>
      <c r="AT2099" s="29">
        <v>0</v>
      </c>
      <c r="AU2099" s="24" t="str">
        <f t="shared" si="33"/>
        <v>库存为0</v>
      </c>
      <c r="AV2099" s="31" t="str">
        <f>IFERROR(时间!$B$4+AU2099,"上周无销量")</f>
        <v>上周无销量</v>
      </c>
    </row>
    <row r="2100" spans="1:48">
      <c r="A2100" s="16" t="s">
        <v>3679</v>
      </c>
      <c r="B2100" t="s">
        <v>3680</v>
      </c>
      <c r="C2100" t="s">
        <v>3662</v>
      </c>
      <c r="D2100" s="24">
        <v>0</v>
      </c>
      <c r="E2100" s="24">
        <v>0</v>
      </c>
      <c r="F2100" s="24">
        <v>0</v>
      </c>
      <c r="G2100" s="24">
        <v>0</v>
      </c>
      <c r="H2100" s="25">
        <v>0</v>
      </c>
      <c r="I2100">
        <v>0</v>
      </c>
      <c r="J2100" s="26">
        <v>0</v>
      </c>
      <c r="K2100" s="26">
        <v>0</v>
      </c>
      <c r="L2100" s="26">
        <v>0</v>
      </c>
      <c r="M2100">
        <v>0</v>
      </c>
      <c r="N2100">
        <v>0</v>
      </c>
      <c r="O2100">
        <v>0</v>
      </c>
      <c r="P2100" t="s">
        <v>52</v>
      </c>
      <c r="Q2100" t="s">
        <v>52</v>
      </c>
      <c r="R2100" t="s">
        <v>52</v>
      </c>
      <c r="S2100" t="s">
        <v>52</v>
      </c>
      <c r="T2100" t="s">
        <v>52</v>
      </c>
      <c r="U2100" t="s">
        <v>52</v>
      </c>
      <c r="V2100" t="s">
        <v>52</v>
      </c>
      <c r="W2100" t="s">
        <v>52</v>
      </c>
      <c r="X2100" s="18" t="s">
        <v>52</v>
      </c>
      <c r="Y2100" s="18" t="s">
        <v>52</v>
      </c>
      <c r="Z2100" s="18" t="s">
        <v>52</v>
      </c>
      <c r="AA2100" s="18" t="s">
        <v>52</v>
      </c>
      <c r="AB2100" t="s">
        <v>52</v>
      </c>
      <c r="AC2100" t="s">
        <v>52</v>
      </c>
      <c r="AD2100" t="s">
        <v>52</v>
      </c>
      <c r="AE2100" t="s">
        <v>52</v>
      </c>
      <c r="AF2100" s="18" t="s">
        <v>52</v>
      </c>
      <c r="AG2100" s="18" t="s">
        <v>52</v>
      </c>
      <c r="AH2100" s="18" t="s">
        <v>52</v>
      </c>
      <c r="AI2100" s="18" t="s">
        <v>52</v>
      </c>
      <c r="AJ2100">
        <v>0</v>
      </c>
      <c r="AK2100">
        <v>0</v>
      </c>
      <c r="AL2100">
        <v>0</v>
      </c>
      <c r="AM2100">
        <v>0</v>
      </c>
      <c r="AN2100" s="18" t="s">
        <v>52</v>
      </c>
      <c r="AO2100" s="18" t="s">
        <v>52</v>
      </c>
      <c r="AP2100" s="18" t="s">
        <v>52</v>
      </c>
      <c r="AQ2100" s="18" t="s">
        <v>52</v>
      </c>
      <c r="AR2100" s="29">
        <v>0</v>
      </c>
      <c r="AS2100" s="29">
        <v>0</v>
      </c>
      <c r="AT2100" s="29">
        <v>0</v>
      </c>
      <c r="AU2100" s="24" t="str">
        <f t="shared" si="33"/>
        <v>库存为0</v>
      </c>
      <c r="AV2100" s="31" t="str">
        <f>IFERROR(时间!$B$4+AU2100,"上周无销量")</f>
        <v>上周无销量</v>
      </c>
    </row>
    <row r="2101" spans="1:48">
      <c r="A2101" s="16" t="s">
        <v>3681</v>
      </c>
      <c r="B2101" t="s">
        <v>3682</v>
      </c>
      <c r="C2101" t="s">
        <v>3683</v>
      </c>
      <c r="D2101" s="24">
        <v>0</v>
      </c>
      <c r="E2101" s="24">
        <v>0</v>
      </c>
      <c r="F2101" s="24">
        <v>2</v>
      </c>
      <c r="G2101" s="24">
        <v>1</v>
      </c>
      <c r="H2101" s="25">
        <v>22.98</v>
      </c>
      <c r="I2101">
        <v>19</v>
      </c>
      <c r="J2101" s="26">
        <v>0</v>
      </c>
      <c r="K2101" s="26">
        <v>0</v>
      </c>
      <c r="L2101" s="26">
        <v>0</v>
      </c>
      <c r="M2101">
        <v>19</v>
      </c>
      <c r="N2101">
        <v>0</v>
      </c>
      <c r="O2101">
        <v>3</v>
      </c>
      <c r="P2101">
        <v>1794</v>
      </c>
      <c r="Q2101">
        <v>0</v>
      </c>
      <c r="R2101">
        <v>0</v>
      </c>
      <c r="S2101">
        <v>0</v>
      </c>
      <c r="T2101">
        <v>8</v>
      </c>
      <c r="U2101">
        <v>0</v>
      </c>
      <c r="V2101">
        <v>0</v>
      </c>
      <c r="W2101">
        <v>0</v>
      </c>
      <c r="X2101" s="18">
        <v>0.00445930880713489</v>
      </c>
      <c r="Y2101" s="18" t="s">
        <v>52</v>
      </c>
      <c r="Z2101" s="18" t="s">
        <v>52</v>
      </c>
      <c r="AA2101" s="18" t="s">
        <v>52</v>
      </c>
      <c r="AB2101">
        <v>6.39</v>
      </c>
      <c r="AC2101">
        <v>0</v>
      </c>
      <c r="AD2101">
        <v>0</v>
      </c>
      <c r="AE2101">
        <v>0</v>
      </c>
      <c r="AF2101" s="18" t="s">
        <v>3684</v>
      </c>
      <c r="AG2101" s="18" t="s">
        <v>52</v>
      </c>
      <c r="AH2101" s="18" t="s">
        <v>52</v>
      </c>
      <c r="AI2101" s="18" t="s">
        <v>52</v>
      </c>
      <c r="AJ2101">
        <v>3</v>
      </c>
      <c r="AK2101">
        <v>8</v>
      </c>
      <c r="AL2101">
        <v>13</v>
      </c>
      <c r="AM2101">
        <v>2</v>
      </c>
      <c r="AN2101" s="18">
        <v>0</v>
      </c>
      <c r="AO2101" s="18">
        <v>0</v>
      </c>
      <c r="AP2101" s="18">
        <v>0.153846153846154</v>
      </c>
      <c r="AQ2101" s="18">
        <v>0.5</v>
      </c>
      <c r="AR2101" s="29">
        <v>0</v>
      </c>
      <c r="AS2101" s="29">
        <v>0</v>
      </c>
      <c r="AT2101" s="29">
        <v>19</v>
      </c>
      <c r="AU2101" s="24" t="str">
        <f t="shared" si="33"/>
        <v>库存为19</v>
      </c>
      <c r="AV2101" s="31" t="str">
        <f>IFERROR(时间!$B$4+AU2101,"上周无销量")</f>
        <v>上周无销量</v>
      </c>
    </row>
    <row r="2102" spans="1:48">
      <c r="A2102" s="16" t="s">
        <v>3685</v>
      </c>
      <c r="B2102" t="s">
        <v>3686</v>
      </c>
      <c r="C2102" t="s">
        <v>3683</v>
      </c>
      <c r="D2102" s="24">
        <v>0</v>
      </c>
      <c r="E2102" s="24">
        <v>0</v>
      </c>
      <c r="F2102" s="24">
        <v>0</v>
      </c>
      <c r="G2102" s="24">
        <v>0</v>
      </c>
      <c r="H2102" s="25">
        <v>0</v>
      </c>
      <c r="I2102">
        <v>3</v>
      </c>
      <c r="J2102" s="26">
        <v>0</v>
      </c>
      <c r="K2102" s="26">
        <v>0</v>
      </c>
      <c r="L2102" s="26">
        <v>0</v>
      </c>
      <c r="M2102">
        <v>3</v>
      </c>
      <c r="N2102">
        <v>0</v>
      </c>
      <c r="O2102">
        <v>0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1</v>
      </c>
      <c r="AK2102">
        <v>8</v>
      </c>
      <c r="AL2102">
        <v>4</v>
      </c>
      <c r="AM2102">
        <v>3</v>
      </c>
      <c r="AN2102" s="18">
        <v>0</v>
      </c>
      <c r="AO2102" s="18">
        <v>0</v>
      </c>
      <c r="AP2102" s="18">
        <v>0</v>
      </c>
      <c r="AQ2102" s="18">
        <v>0</v>
      </c>
      <c r="AR2102" s="29">
        <v>0</v>
      </c>
      <c r="AS2102" s="29">
        <v>0</v>
      </c>
      <c r="AT2102" s="29">
        <v>3</v>
      </c>
      <c r="AU2102" s="24" t="str">
        <f t="shared" si="33"/>
        <v>库存为3</v>
      </c>
      <c r="AV2102" s="31" t="str">
        <f>IFERROR(时间!$B$4+AU2102,"上周无销量")</f>
        <v>上周无销量</v>
      </c>
    </row>
    <row r="2103" spans="1:48">
      <c r="A2103" s="16" t="s">
        <v>3687</v>
      </c>
      <c r="B2103" t="s">
        <v>3688</v>
      </c>
      <c r="C2103" t="s">
        <v>3683</v>
      </c>
      <c r="D2103" s="24">
        <v>1</v>
      </c>
      <c r="E2103" s="24">
        <v>0</v>
      </c>
      <c r="F2103" s="24">
        <v>0</v>
      </c>
      <c r="G2103" s="24">
        <v>1</v>
      </c>
      <c r="H2103" s="25">
        <v>22.98</v>
      </c>
      <c r="I2103">
        <v>14</v>
      </c>
      <c r="J2103" s="26">
        <v>0</v>
      </c>
      <c r="K2103" s="26">
        <v>0</v>
      </c>
      <c r="L2103" s="26">
        <v>0</v>
      </c>
      <c r="M2103">
        <v>14</v>
      </c>
      <c r="N2103">
        <v>0</v>
      </c>
      <c r="O2103">
        <v>1</v>
      </c>
      <c r="P2103" t="s">
        <v>52</v>
      </c>
      <c r="Q2103" t="s">
        <v>52</v>
      </c>
      <c r="R2103" t="s">
        <v>52</v>
      </c>
      <c r="S2103" t="s">
        <v>52</v>
      </c>
      <c r="T2103" t="s">
        <v>52</v>
      </c>
      <c r="U2103" t="s">
        <v>52</v>
      </c>
      <c r="V2103" t="s">
        <v>52</v>
      </c>
      <c r="W2103" t="s">
        <v>52</v>
      </c>
      <c r="X2103" s="18" t="s">
        <v>52</v>
      </c>
      <c r="Y2103" s="18" t="s">
        <v>52</v>
      </c>
      <c r="Z2103" s="18" t="s">
        <v>52</v>
      </c>
      <c r="AA2103" s="18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s="18" t="s">
        <v>52</v>
      </c>
      <c r="AG2103" s="18" t="s">
        <v>52</v>
      </c>
      <c r="AH2103" s="18" t="s">
        <v>52</v>
      </c>
      <c r="AI2103" s="18" t="s">
        <v>52</v>
      </c>
      <c r="AJ2103">
        <v>5</v>
      </c>
      <c r="AK2103">
        <v>2</v>
      </c>
      <c r="AL2103">
        <v>4</v>
      </c>
      <c r="AM2103">
        <v>2</v>
      </c>
      <c r="AN2103" s="18">
        <v>0.2</v>
      </c>
      <c r="AO2103" s="18">
        <v>0</v>
      </c>
      <c r="AP2103" s="18">
        <v>0</v>
      </c>
      <c r="AQ2103" s="18">
        <v>0.5</v>
      </c>
      <c r="AR2103" s="29">
        <v>0.142857142857143</v>
      </c>
      <c r="AS2103" s="29">
        <v>8.57142857142857</v>
      </c>
      <c r="AT2103" s="29">
        <v>5.42857142857143</v>
      </c>
      <c r="AU2103" s="24">
        <f t="shared" si="33"/>
        <v>98</v>
      </c>
      <c r="AV2103" s="31">
        <f>IFERROR(时间!$B$4+AU2103,"上周无销量")</f>
        <v>43416</v>
      </c>
    </row>
    <row r="2104" spans="1:48">
      <c r="A2104" s="16" t="s">
        <v>3689</v>
      </c>
      <c r="B2104" t="s">
        <v>3690</v>
      </c>
      <c r="C2104" t="s">
        <v>3683</v>
      </c>
      <c r="D2104" s="24">
        <v>1</v>
      </c>
      <c r="E2104" s="24">
        <v>1</v>
      </c>
      <c r="F2104" s="24">
        <v>2</v>
      </c>
      <c r="G2104" s="24">
        <v>0</v>
      </c>
      <c r="H2104" s="25">
        <v>22.98</v>
      </c>
      <c r="I2104">
        <v>4</v>
      </c>
      <c r="J2104" s="26">
        <v>0</v>
      </c>
      <c r="K2104" s="26">
        <v>0</v>
      </c>
      <c r="L2104" s="26">
        <v>1</v>
      </c>
      <c r="M2104">
        <v>5</v>
      </c>
      <c r="N2104">
        <v>0</v>
      </c>
      <c r="O2104">
        <v>1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2</v>
      </c>
      <c r="AK2104">
        <v>4</v>
      </c>
      <c r="AL2104">
        <v>7</v>
      </c>
      <c r="AM2104">
        <v>2</v>
      </c>
      <c r="AN2104" s="18">
        <v>0.5</v>
      </c>
      <c r="AO2104" s="18">
        <v>0.25</v>
      </c>
      <c r="AP2104" s="18">
        <v>0.285714285714286</v>
      </c>
      <c r="AQ2104" s="18">
        <v>0</v>
      </c>
      <c r="AR2104" s="29">
        <v>0.142857142857143</v>
      </c>
      <c r="AS2104" s="29">
        <v>8.57142857142857</v>
      </c>
      <c r="AT2104" s="29">
        <v>-3.57142857142857</v>
      </c>
      <c r="AU2104" s="24">
        <f t="shared" si="33"/>
        <v>35</v>
      </c>
      <c r="AV2104" s="31">
        <f>IFERROR(时间!$B$4+AU2104,"上周无销量")</f>
        <v>43353</v>
      </c>
    </row>
    <row r="2105" spans="1:48">
      <c r="A2105" s="16" t="s">
        <v>3691</v>
      </c>
      <c r="B2105" t="s">
        <v>3692</v>
      </c>
      <c r="C2105" t="s">
        <v>3683</v>
      </c>
      <c r="D2105" s="24">
        <v>0</v>
      </c>
      <c r="E2105" s="24">
        <v>0</v>
      </c>
      <c r="F2105" s="24">
        <v>0</v>
      </c>
      <c r="G2105" s="24">
        <v>0</v>
      </c>
      <c r="H2105" s="25">
        <v>0</v>
      </c>
      <c r="I2105">
        <v>0</v>
      </c>
      <c r="J2105" s="26">
        <v>0</v>
      </c>
      <c r="K2105" s="26">
        <v>0</v>
      </c>
      <c r="L2105" s="26">
        <v>0</v>
      </c>
      <c r="M2105">
        <v>0</v>
      </c>
      <c r="N2105">
        <v>0</v>
      </c>
      <c r="O2105">
        <v>0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0</v>
      </c>
      <c r="AK2105">
        <v>0</v>
      </c>
      <c r="AL2105">
        <v>0</v>
      </c>
      <c r="AM2105">
        <v>0</v>
      </c>
      <c r="AN2105" s="18" t="s">
        <v>52</v>
      </c>
      <c r="AO2105" s="18" t="s">
        <v>52</v>
      </c>
      <c r="AP2105" s="18" t="s">
        <v>52</v>
      </c>
      <c r="AQ2105" s="18" t="s">
        <v>52</v>
      </c>
      <c r="AR2105" s="29">
        <v>0</v>
      </c>
      <c r="AS2105" s="29">
        <v>0</v>
      </c>
      <c r="AT2105" s="29">
        <v>0</v>
      </c>
      <c r="AU2105" s="24" t="str">
        <f t="shared" si="33"/>
        <v>库存为0</v>
      </c>
      <c r="AV2105" s="31" t="str">
        <f>IFERROR(时间!$B$4+AU2105,"上周无销量")</f>
        <v>上周无销量</v>
      </c>
    </row>
    <row r="2106" spans="1:48">
      <c r="A2106" s="16" t="s">
        <v>3693</v>
      </c>
      <c r="B2106" t="s">
        <v>3694</v>
      </c>
      <c r="C2106" t="s">
        <v>3683</v>
      </c>
      <c r="D2106" s="24">
        <v>2</v>
      </c>
      <c r="E2106" s="24">
        <v>0</v>
      </c>
      <c r="F2106" s="24">
        <v>0</v>
      </c>
      <c r="G2106" s="24">
        <v>0</v>
      </c>
      <c r="H2106" s="25">
        <v>22.98</v>
      </c>
      <c r="I2106">
        <v>5</v>
      </c>
      <c r="J2106" s="26">
        <v>0</v>
      </c>
      <c r="K2106" s="26">
        <v>0</v>
      </c>
      <c r="L2106" s="26">
        <v>0</v>
      </c>
      <c r="M2106">
        <v>5</v>
      </c>
      <c r="N2106">
        <v>0</v>
      </c>
      <c r="O2106">
        <v>0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4</v>
      </c>
      <c r="AK2106">
        <v>3</v>
      </c>
      <c r="AL2106">
        <v>6</v>
      </c>
      <c r="AM2106">
        <v>2</v>
      </c>
      <c r="AN2106" s="18">
        <v>0.5</v>
      </c>
      <c r="AO2106" s="18">
        <v>0</v>
      </c>
      <c r="AP2106" s="18">
        <v>0</v>
      </c>
      <c r="AQ2106" s="18">
        <v>0</v>
      </c>
      <c r="AR2106" s="29">
        <v>0.285714285714286</v>
      </c>
      <c r="AS2106" s="29">
        <v>17.1428571428571</v>
      </c>
      <c r="AT2106" s="29">
        <v>-12.1428571428571</v>
      </c>
      <c r="AU2106" s="24">
        <f t="shared" si="33"/>
        <v>17</v>
      </c>
      <c r="AV2106" s="31">
        <f>IFERROR(时间!$B$4+AU2106,"上周无销量")</f>
        <v>43335</v>
      </c>
    </row>
    <row r="2107" spans="1:48">
      <c r="A2107" s="16" t="s">
        <v>3695</v>
      </c>
      <c r="B2107" t="s">
        <v>3696</v>
      </c>
      <c r="C2107" t="s">
        <v>3683</v>
      </c>
      <c r="D2107" s="24">
        <v>2</v>
      </c>
      <c r="E2107" s="24">
        <v>0</v>
      </c>
      <c r="F2107" s="24">
        <v>1</v>
      </c>
      <c r="G2107" s="24">
        <v>0</v>
      </c>
      <c r="H2107" s="25">
        <v>22.98</v>
      </c>
      <c r="I2107">
        <v>14</v>
      </c>
      <c r="J2107" s="26">
        <v>0</v>
      </c>
      <c r="K2107" s="26">
        <v>0</v>
      </c>
      <c r="L2107" s="26">
        <v>0</v>
      </c>
      <c r="M2107">
        <v>14</v>
      </c>
      <c r="N2107">
        <v>1</v>
      </c>
      <c r="O2107">
        <v>5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6</v>
      </c>
      <c r="AK2107">
        <v>2</v>
      </c>
      <c r="AL2107">
        <v>3</v>
      </c>
      <c r="AM2107">
        <v>3</v>
      </c>
      <c r="AN2107" s="18">
        <v>0.333333333333333</v>
      </c>
      <c r="AO2107" s="18">
        <v>0</v>
      </c>
      <c r="AP2107" s="18">
        <v>0.333333333333333</v>
      </c>
      <c r="AQ2107" s="18">
        <v>0</v>
      </c>
      <c r="AR2107" s="29">
        <v>0.285714285714286</v>
      </c>
      <c r="AS2107" s="29">
        <v>17.1428571428571</v>
      </c>
      <c r="AT2107" s="29">
        <v>-3.14285714285714</v>
      </c>
      <c r="AU2107" s="24">
        <f t="shared" si="33"/>
        <v>49</v>
      </c>
      <c r="AV2107" s="31">
        <f>IFERROR(时间!$B$4+AU2107,"上周无销量")</f>
        <v>43367</v>
      </c>
    </row>
    <row r="2108" spans="1:48">
      <c r="A2108" s="16" t="s">
        <v>3697</v>
      </c>
      <c r="B2108" t="s">
        <v>3698</v>
      </c>
      <c r="C2108" t="s">
        <v>3683</v>
      </c>
      <c r="D2108" s="24">
        <v>0</v>
      </c>
      <c r="E2108" s="24">
        <v>0</v>
      </c>
      <c r="F2108" s="24">
        <v>0</v>
      </c>
      <c r="G2108" s="24">
        <v>1</v>
      </c>
      <c r="H2108" s="25">
        <v>22.98</v>
      </c>
      <c r="I2108">
        <v>23</v>
      </c>
      <c r="J2108" s="26">
        <v>0</v>
      </c>
      <c r="K2108" s="26">
        <v>0</v>
      </c>
      <c r="L2108" s="26">
        <v>0</v>
      </c>
      <c r="M2108">
        <v>23</v>
      </c>
      <c r="N2108">
        <v>0</v>
      </c>
      <c r="O2108">
        <v>3</v>
      </c>
      <c r="P2108" t="s">
        <v>52</v>
      </c>
      <c r="Q2108" t="s">
        <v>52</v>
      </c>
      <c r="R2108" t="s">
        <v>52</v>
      </c>
      <c r="S2108" t="s">
        <v>52</v>
      </c>
      <c r="T2108" t="s">
        <v>52</v>
      </c>
      <c r="U2108" t="s">
        <v>52</v>
      </c>
      <c r="V2108" t="s">
        <v>52</v>
      </c>
      <c r="W2108" t="s">
        <v>52</v>
      </c>
      <c r="X2108" s="18" t="s">
        <v>52</v>
      </c>
      <c r="Y2108" s="18" t="s">
        <v>52</v>
      </c>
      <c r="Z2108" s="18" t="s">
        <v>52</v>
      </c>
      <c r="AA2108" s="18" t="s">
        <v>52</v>
      </c>
      <c r="AB2108" t="s">
        <v>52</v>
      </c>
      <c r="AC2108" t="s">
        <v>52</v>
      </c>
      <c r="AD2108" t="s">
        <v>52</v>
      </c>
      <c r="AE2108" t="s">
        <v>52</v>
      </c>
      <c r="AF2108" s="18" t="s">
        <v>52</v>
      </c>
      <c r="AG2108" s="18" t="s">
        <v>52</v>
      </c>
      <c r="AH2108" s="18" t="s">
        <v>52</v>
      </c>
      <c r="AI2108" s="18" t="s">
        <v>52</v>
      </c>
      <c r="AJ2108">
        <v>3</v>
      </c>
      <c r="AK2108">
        <v>10</v>
      </c>
      <c r="AL2108">
        <v>4</v>
      </c>
      <c r="AM2108">
        <v>5</v>
      </c>
      <c r="AN2108" s="18">
        <v>0</v>
      </c>
      <c r="AO2108" s="18">
        <v>0</v>
      </c>
      <c r="AP2108" s="18">
        <v>0</v>
      </c>
      <c r="AQ2108" s="18">
        <v>0.2</v>
      </c>
      <c r="AR2108" s="29">
        <v>0</v>
      </c>
      <c r="AS2108" s="29">
        <v>0</v>
      </c>
      <c r="AT2108" s="29">
        <v>23</v>
      </c>
      <c r="AU2108" s="24" t="str">
        <f t="shared" si="33"/>
        <v>库存为23</v>
      </c>
      <c r="AV2108" s="31" t="str">
        <f>IFERROR(时间!$B$4+AU2108,"上周无销量")</f>
        <v>上周无销量</v>
      </c>
    </row>
    <row r="2109" spans="1:48">
      <c r="A2109" s="16" t="s">
        <v>3699</v>
      </c>
      <c r="B2109" t="s">
        <v>3700</v>
      </c>
      <c r="C2109" t="s">
        <v>3683</v>
      </c>
      <c r="D2109" s="24">
        <v>1</v>
      </c>
      <c r="E2109" s="24">
        <v>1</v>
      </c>
      <c r="F2109" s="24">
        <v>1</v>
      </c>
      <c r="G2109" s="24">
        <v>0</v>
      </c>
      <c r="H2109" s="25">
        <v>22.98</v>
      </c>
      <c r="I2109">
        <v>19</v>
      </c>
      <c r="J2109" s="26">
        <v>0</v>
      </c>
      <c r="K2109" s="26">
        <v>0</v>
      </c>
      <c r="L2109" s="26">
        <v>0</v>
      </c>
      <c r="M2109">
        <v>19</v>
      </c>
      <c r="N2109">
        <v>0</v>
      </c>
      <c r="O2109">
        <v>0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5</v>
      </c>
      <c r="AK2109">
        <v>13</v>
      </c>
      <c r="AL2109">
        <v>10</v>
      </c>
      <c r="AM2109">
        <v>2</v>
      </c>
      <c r="AN2109" s="18">
        <v>0.2</v>
      </c>
      <c r="AO2109" s="18">
        <v>0.0769230769230769</v>
      </c>
      <c r="AP2109" s="18">
        <v>0.1</v>
      </c>
      <c r="AQ2109" s="18">
        <v>0</v>
      </c>
      <c r="AR2109" s="29">
        <v>0.142857142857143</v>
      </c>
      <c r="AS2109" s="29">
        <v>8.57142857142857</v>
      </c>
      <c r="AT2109" s="29">
        <v>10.4285714285714</v>
      </c>
      <c r="AU2109" s="24">
        <f t="shared" si="33"/>
        <v>133</v>
      </c>
      <c r="AV2109" s="31">
        <f>IFERROR(时间!$B$4+AU2109,"上周无销量")</f>
        <v>43451</v>
      </c>
    </row>
    <row r="2110" spans="1:48">
      <c r="A2110" s="16" t="s">
        <v>3701</v>
      </c>
      <c r="B2110" t="s">
        <v>3702</v>
      </c>
      <c r="C2110" t="s">
        <v>3683</v>
      </c>
      <c r="D2110" s="24">
        <v>1</v>
      </c>
      <c r="E2110" s="24">
        <v>0</v>
      </c>
      <c r="F2110" s="24">
        <v>1</v>
      </c>
      <c r="G2110" s="24">
        <v>0</v>
      </c>
      <c r="H2110" s="25">
        <v>22.98</v>
      </c>
      <c r="I2110">
        <v>6</v>
      </c>
      <c r="J2110" s="26">
        <v>0</v>
      </c>
      <c r="K2110" s="26">
        <v>0</v>
      </c>
      <c r="L2110" s="26">
        <v>0</v>
      </c>
      <c r="M2110">
        <v>6</v>
      </c>
      <c r="N2110">
        <v>0</v>
      </c>
      <c r="O2110">
        <v>2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5</v>
      </c>
      <c r="AK2110">
        <v>3</v>
      </c>
      <c r="AL2110">
        <v>8</v>
      </c>
      <c r="AM2110">
        <v>3</v>
      </c>
      <c r="AN2110" s="18">
        <v>0.2</v>
      </c>
      <c r="AO2110" s="18">
        <v>0</v>
      </c>
      <c r="AP2110" s="18">
        <v>0.125</v>
      </c>
      <c r="AQ2110" s="18">
        <v>0</v>
      </c>
      <c r="AR2110" s="29">
        <v>0.142857142857143</v>
      </c>
      <c r="AS2110" s="29">
        <v>8.57142857142857</v>
      </c>
      <c r="AT2110" s="29">
        <v>-2.57142857142857</v>
      </c>
      <c r="AU2110" s="24">
        <f t="shared" si="33"/>
        <v>42</v>
      </c>
      <c r="AV2110" s="31">
        <f>IFERROR(时间!$B$4+AU2110,"上周无销量")</f>
        <v>43360</v>
      </c>
    </row>
    <row r="2111" spans="1:48">
      <c r="A2111" s="16" t="s">
        <v>3703</v>
      </c>
      <c r="B2111" t="s">
        <v>3704</v>
      </c>
      <c r="C2111" t="s">
        <v>3683</v>
      </c>
      <c r="D2111" s="24">
        <v>2</v>
      </c>
      <c r="E2111" s="24">
        <v>0</v>
      </c>
      <c r="F2111" s="24">
        <v>2</v>
      </c>
      <c r="G2111" s="24">
        <v>2</v>
      </c>
      <c r="H2111" s="25">
        <v>22.98</v>
      </c>
      <c r="I2111">
        <v>6</v>
      </c>
      <c r="J2111" s="26">
        <v>0</v>
      </c>
      <c r="K2111" s="26">
        <v>0</v>
      </c>
      <c r="L2111" s="26">
        <v>0</v>
      </c>
      <c r="M2111">
        <v>6</v>
      </c>
      <c r="N2111">
        <v>0</v>
      </c>
      <c r="O2111">
        <v>0</v>
      </c>
      <c r="P2111">
        <v>837</v>
      </c>
      <c r="Q2111">
        <v>0</v>
      </c>
      <c r="R2111">
        <v>0</v>
      </c>
      <c r="S2111">
        <v>0</v>
      </c>
      <c r="T2111">
        <v>5</v>
      </c>
      <c r="U2111">
        <v>0</v>
      </c>
      <c r="V2111">
        <v>0</v>
      </c>
      <c r="W2111">
        <v>0</v>
      </c>
      <c r="X2111" s="18">
        <v>0.00597371565113501</v>
      </c>
      <c r="Y2111" s="18" t="s">
        <v>52</v>
      </c>
      <c r="Z2111" s="18" t="s">
        <v>52</v>
      </c>
      <c r="AA2111" s="18" t="s">
        <v>52</v>
      </c>
      <c r="AB2111">
        <v>4.1</v>
      </c>
      <c r="AC2111">
        <v>0</v>
      </c>
      <c r="AD2111">
        <v>0</v>
      </c>
      <c r="AE2111">
        <v>0</v>
      </c>
      <c r="AF2111" s="18">
        <v>0.0892080069625761</v>
      </c>
      <c r="AG2111" s="18" t="s">
        <v>52</v>
      </c>
      <c r="AH2111" s="18" t="s">
        <v>52</v>
      </c>
      <c r="AI2111" s="18" t="s">
        <v>52</v>
      </c>
      <c r="AJ2111">
        <v>7</v>
      </c>
      <c r="AK2111">
        <v>11</v>
      </c>
      <c r="AL2111">
        <v>11</v>
      </c>
      <c r="AM2111">
        <v>4</v>
      </c>
      <c r="AN2111" s="18">
        <v>0.285714285714286</v>
      </c>
      <c r="AO2111" s="18">
        <v>0</v>
      </c>
      <c r="AP2111" s="18">
        <v>0.181818181818182</v>
      </c>
      <c r="AQ2111" s="18">
        <v>0.5</v>
      </c>
      <c r="AR2111" s="29">
        <v>0.285714285714286</v>
      </c>
      <c r="AS2111" s="29">
        <v>17.1428571428571</v>
      </c>
      <c r="AT2111" s="29">
        <v>-11.1428571428571</v>
      </c>
      <c r="AU2111" s="24">
        <f t="shared" si="33"/>
        <v>21</v>
      </c>
      <c r="AV2111" s="31">
        <f>IFERROR(时间!$B$4+AU2111,"上周无销量")</f>
        <v>43339</v>
      </c>
    </row>
    <row r="2112" spans="1:48">
      <c r="A2112" s="16" t="s">
        <v>3705</v>
      </c>
      <c r="B2112" t="s">
        <v>3706</v>
      </c>
      <c r="C2112" t="s">
        <v>3683</v>
      </c>
      <c r="D2112" s="24">
        <v>4</v>
      </c>
      <c r="E2112" s="24">
        <v>5</v>
      </c>
      <c r="F2112" s="24">
        <v>5</v>
      </c>
      <c r="G2112" s="24">
        <v>2</v>
      </c>
      <c r="H2112" s="25">
        <v>22.98</v>
      </c>
      <c r="I2112">
        <v>1</v>
      </c>
      <c r="J2112" s="26">
        <v>0</v>
      </c>
      <c r="K2112" s="26">
        <v>0</v>
      </c>
      <c r="L2112" s="26">
        <v>0</v>
      </c>
      <c r="M2112">
        <v>1</v>
      </c>
      <c r="N2112">
        <v>0</v>
      </c>
      <c r="O2112">
        <v>0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16</v>
      </c>
      <c r="AK2112">
        <v>17</v>
      </c>
      <c r="AL2112">
        <v>15</v>
      </c>
      <c r="AM2112">
        <v>10</v>
      </c>
      <c r="AN2112" s="18">
        <v>0.25</v>
      </c>
      <c r="AO2112" s="18">
        <v>0.294117647058824</v>
      </c>
      <c r="AP2112" s="18">
        <v>0.333333333333333</v>
      </c>
      <c r="AQ2112" s="18">
        <v>0.2</v>
      </c>
      <c r="AR2112" s="29">
        <v>0.571428571428571</v>
      </c>
      <c r="AS2112" s="29">
        <v>34.2857142857143</v>
      </c>
      <c r="AT2112" s="29">
        <v>-33.2857142857143</v>
      </c>
      <c r="AU2112" s="24">
        <f t="shared" si="33"/>
        <v>1</v>
      </c>
      <c r="AV2112" s="31">
        <f>IFERROR(时间!$B$4+AU2112,"上周无销量")</f>
        <v>43319</v>
      </c>
    </row>
    <row r="2113" spans="1:48">
      <c r="A2113" s="16" t="s">
        <v>3707</v>
      </c>
      <c r="B2113" t="s">
        <v>3708</v>
      </c>
      <c r="C2113" t="s">
        <v>3683</v>
      </c>
      <c r="D2113" s="24">
        <v>0</v>
      </c>
      <c r="E2113" s="24">
        <v>0</v>
      </c>
      <c r="F2113" s="24">
        <v>0</v>
      </c>
      <c r="G2113" s="24">
        <v>0</v>
      </c>
      <c r="H2113" s="25">
        <v>0</v>
      </c>
      <c r="I2113">
        <v>0</v>
      </c>
      <c r="J2113" s="26">
        <v>0</v>
      </c>
      <c r="K2113" s="26">
        <v>0</v>
      </c>
      <c r="L2113" s="26">
        <v>0</v>
      </c>
      <c r="M2113">
        <v>0</v>
      </c>
      <c r="N2113">
        <v>0</v>
      </c>
      <c r="O2113">
        <v>0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0</v>
      </c>
      <c r="AK2113">
        <v>0</v>
      </c>
      <c r="AL2113">
        <v>0</v>
      </c>
      <c r="AM2113">
        <v>0</v>
      </c>
      <c r="AN2113" s="18" t="s">
        <v>52</v>
      </c>
      <c r="AO2113" s="18" t="s">
        <v>52</v>
      </c>
      <c r="AP2113" s="18" t="s">
        <v>52</v>
      </c>
      <c r="AQ2113" s="18" t="s">
        <v>52</v>
      </c>
      <c r="AR2113" s="29">
        <v>0</v>
      </c>
      <c r="AS2113" s="29">
        <v>0</v>
      </c>
      <c r="AT2113" s="29">
        <v>0</v>
      </c>
      <c r="AU2113" s="24" t="str">
        <f t="shared" si="33"/>
        <v>库存为0</v>
      </c>
      <c r="AV2113" s="31" t="str">
        <f>IFERROR(时间!$B$4+AU2113,"上周无销量")</f>
        <v>上周无销量</v>
      </c>
    </row>
    <row r="2114" spans="1:48">
      <c r="A2114" s="16" t="s">
        <v>3709</v>
      </c>
      <c r="B2114" t="s">
        <v>3710</v>
      </c>
      <c r="C2114" t="s">
        <v>3683</v>
      </c>
      <c r="D2114" s="24">
        <v>1</v>
      </c>
      <c r="E2114" s="24">
        <v>0</v>
      </c>
      <c r="F2114" s="24">
        <v>0</v>
      </c>
      <c r="G2114" s="24">
        <v>0</v>
      </c>
      <c r="H2114" s="25">
        <v>22.98</v>
      </c>
      <c r="I2114">
        <v>4</v>
      </c>
      <c r="J2114" s="26">
        <v>0</v>
      </c>
      <c r="K2114" s="26">
        <v>0</v>
      </c>
      <c r="L2114" s="26">
        <v>0</v>
      </c>
      <c r="M2114">
        <v>4</v>
      </c>
      <c r="N2114">
        <v>0</v>
      </c>
      <c r="O2114">
        <v>0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3</v>
      </c>
      <c r="AK2114">
        <v>3</v>
      </c>
      <c r="AL2114">
        <v>4</v>
      </c>
      <c r="AM2114">
        <v>5</v>
      </c>
      <c r="AN2114" s="18">
        <v>0.333333333333333</v>
      </c>
      <c r="AO2114" s="18">
        <v>0</v>
      </c>
      <c r="AP2114" s="18">
        <v>0</v>
      </c>
      <c r="AQ2114" s="18">
        <v>0</v>
      </c>
      <c r="AR2114" s="29">
        <v>0.142857142857143</v>
      </c>
      <c r="AS2114" s="29">
        <v>8.57142857142857</v>
      </c>
      <c r="AT2114" s="29">
        <v>-4.57142857142857</v>
      </c>
      <c r="AU2114" s="24">
        <f t="shared" si="33"/>
        <v>28</v>
      </c>
      <c r="AV2114" s="31">
        <f>IFERROR(时间!$B$4+AU2114,"上周无销量")</f>
        <v>43346</v>
      </c>
    </row>
    <row r="2115" spans="1:48">
      <c r="A2115" s="16" t="s">
        <v>3711</v>
      </c>
      <c r="B2115" t="s">
        <v>3712</v>
      </c>
      <c r="C2115" t="s">
        <v>3683</v>
      </c>
      <c r="D2115" s="24">
        <v>1</v>
      </c>
      <c r="E2115" s="24">
        <v>0</v>
      </c>
      <c r="F2115" s="24">
        <v>0</v>
      </c>
      <c r="G2115" s="24">
        <v>2</v>
      </c>
      <c r="H2115" s="25">
        <v>22.98</v>
      </c>
      <c r="I2115">
        <v>8</v>
      </c>
      <c r="J2115" s="26">
        <v>0</v>
      </c>
      <c r="K2115" s="26">
        <v>0</v>
      </c>
      <c r="L2115" s="26">
        <v>1</v>
      </c>
      <c r="M2115">
        <v>9</v>
      </c>
      <c r="N2115">
        <v>0</v>
      </c>
      <c r="O2115">
        <v>0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3</v>
      </c>
      <c r="AK2115">
        <v>13</v>
      </c>
      <c r="AL2115">
        <v>5</v>
      </c>
      <c r="AM2115">
        <v>6</v>
      </c>
      <c r="AN2115" s="18">
        <v>0.333333333333333</v>
      </c>
      <c r="AO2115" s="18">
        <v>0</v>
      </c>
      <c r="AP2115" s="18">
        <v>0</v>
      </c>
      <c r="AQ2115" s="18">
        <v>0.333333333333333</v>
      </c>
      <c r="AR2115" s="29">
        <v>0.142857142857143</v>
      </c>
      <c r="AS2115" s="29">
        <v>8.57142857142857</v>
      </c>
      <c r="AT2115" s="29">
        <v>0.428571428571429</v>
      </c>
      <c r="AU2115" s="24">
        <f t="shared" si="33"/>
        <v>63</v>
      </c>
      <c r="AV2115" s="31">
        <f>IFERROR(时间!$B$4+AU2115,"上周无销量")</f>
        <v>43381</v>
      </c>
    </row>
    <row r="2116" spans="1:48">
      <c r="A2116" s="16" t="s">
        <v>3713</v>
      </c>
      <c r="B2116" t="s">
        <v>3714</v>
      </c>
      <c r="C2116" t="s">
        <v>3683</v>
      </c>
      <c r="D2116" s="24">
        <v>3</v>
      </c>
      <c r="E2116" s="24">
        <v>0</v>
      </c>
      <c r="F2116" s="24">
        <v>0</v>
      </c>
      <c r="G2116" s="24">
        <v>0</v>
      </c>
      <c r="H2116" s="25">
        <v>22.98</v>
      </c>
      <c r="I2116">
        <v>0</v>
      </c>
      <c r="J2116" s="26">
        <v>0</v>
      </c>
      <c r="K2116" s="26">
        <v>0</v>
      </c>
      <c r="L2116" s="26">
        <v>0</v>
      </c>
      <c r="M2116">
        <v>0</v>
      </c>
      <c r="N2116">
        <v>0</v>
      </c>
      <c r="O2116">
        <v>0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17</v>
      </c>
      <c r="AK2116">
        <v>11</v>
      </c>
      <c r="AL2116">
        <v>20</v>
      </c>
      <c r="AM2116">
        <v>11</v>
      </c>
      <c r="AN2116" s="18">
        <v>0.176470588235294</v>
      </c>
      <c r="AO2116" s="18">
        <v>0</v>
      </c>
      <c r="AP2116" s="18">
        <v>0</v>
      </c>
      <c r="AQ2116" s="18">
        <v>0</v>
      </c>
      <c r="AR2116" s="29">
        <v>0.428571428571429</v>
      </c>
      <c r="AS2116" s="29">
        <v>25.7142857142857</v>
      </c>
      <c r="AT2116" s="29">
        <v>-25.7142857142857</v>
      </c>
      <c r="AU2116" s="24">
        <f t="shared" si="33"/>
        <v>0</v>
      </c>
      <c r="AV2116" s="31">
        <f>IFERROR(时间!$B$4+AU2116,"上周无销量")</f>
        <v>43318</v>
      </c>
    </row>
    <row r="2117" spans="1:48">
      <c r="A2117" s="16" t="s">
        <v>3715</v>
      </c>
      <c r="B2117" t="s">
        <v>3716</v>
      </c>
      <c r="C2117" t="s">
        <v>3683</v>
      </c>
      <c r="D2117" s="24">
        <v>3</v>
      </c>
      <c r="E2117" s="24">
        <v>0</v>
      </c>
      <c r="F2117" s="24">
        <v>0</v>
      </c>
      <c r="G2117" s="24">
        <v>1</v>
      </c>
      <c r="H2117" s="25">
        <v>22.98</v>
      </c>
      <c r="I2117">
        <v>18</v>
      </c>
      <c r="J2117" s="26">
        <v>0</v>
      </c>
      <c r="K2117" s="26">
        <v>0</v>
      </c>
      <c r="L2117" s="26">
        <v>0</v>
      </c>
      <c r="M2117">
        <v>18</v>
      </c>
      <c r="N2117">
        <v>1</v>
      </c>
      <c r="O2117">
        <v>0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16</v>
      </c>
      <c r="AK2117">
        <v>4</v>
      </c>
      <c r="AL2117">
        <v>11</v>
      </c>
      <c r="AM2117">
        <v>6</v>
      </c>
      <c r="AN2117" s="18">
        <v>0.1875</v>
      </c>
      <c r="AO2117" s="18">
        <v>0</v>
      </c>
      <c r="AP2117" s="18">
        <v>0</v>
      </c>
      <c r="AQ2117" s="18">
        <v>0.166666666666667</v>
      </c>
      <c r="AR2117" s="29">
        <v>0.428571428571429</v>
      </c>
      <c r="AS2117" s="29">
        <v>25.7142857142857</v>
      </c>
      <c r="AT2117" s="29">
        <v>-7.71428571428571</v>
      </c>
      <c r="AU2117" s="24">
        <f t="shared" si="33"/>
        <v>42</v>
      </c>
      <c r="AV2117" s="31">
        <f>IFERROR(时间!$B$4+AU2117,"上周无销量")</f>
        <v>43360</v>
      </c>
    </row>
    <row r="2118" spans="1:48">
      <c r="A2118" s="16" t="s">
        <v>3717</v>
      </c>
      <c r="B2118" t="s">
        <v>3718</v>
      </c>
      <c r="C2118" t="s">
        <v>3683</v>
      </c>
      <c r="D2118" s="24">
        <v>0</v>
      </c>
      <c r="E2118" s="24">
        <v>1</v>
      </c>
      <c r="F2118" s="24">
        <v>1</v>
      </c>
      <c r="G2118" s="24">
        <v>1</v>
      </c>
      <c r="H2118" s="25">
        <v>22.98</v>
      </c>
      <c r="I2118">
        <v>17</v>
      </c>
      <c r="J2118" s="26">
        <v>0</v>
      </c>
      <c r="K2118" s="26">
        <v>0</v>
      </c>
      <c r="L2118" s="26">
        <v>2</v>
      </c>
      <c r="M2118">
        <v>19</v>
      </c>
      <c r="N2118">
        <v>0</v>
      </c>
      <c r="O2118">
        <v>0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5</v>
      </c>
      <c r="AK2118">
        <v>5</v>
      </c>
      <c r="AL2118">
        <v>9</v>
      </c>
      <c r="AM2118">
        <v>6</v>
      </c>
      <c r="AN2118" s="18">
        <v>0</v>
      </c>
      <c r="AO2118" s="18">
        <v>0.2</v>
      </c>
      <c r="AP2118" s="18">
        <v>0.111111111111111</v>
      </c>
      <c r="AQ2118" s="18">
        <v>0.166666666666667</v>
      </c>
      <c r="AR2118" s="29">
        <v>0</v>
      </c>
      <c r="AS2118" s="29">
        <v>0</v>
      </c>
      <c r="AT2118" s="29">
        <v>19</v>
      </c>
      <c r="AU2118" s="24" t="str">
        <f t="shared" ref="AU2118:AU2181" si="34">IF(AR2118="","库存为"&amp;M2118,IF(AS2118=0,"库存为"&amp;M2118,INT(M2118/AR2118)))</f>
        <v>库存为19</v>
      </c>
      <c r="AV2118" s="31" t="str">
        <f>IFERROR(时间!$B$4+AU2118,"上周无销量")</f>
        <v>上周无销量</v>
      </c>
    </row>
    <row r="2119" spans="1:48">
      <c r="A2119" s="16" t="s">
        <v>3719</v>
      </c>
      <c r="B2119" t="s">
        <v>3720</v>
      </c>
      <c r="C2119" t="s">
        <v>3683</v>
      </c>
      <c r="D2119" s="24">
        <v>1</v>
      </c>
      <c r="E2119" s="24">
        <v>0</v>
      </c>
      <c r="F2119" s="24">
        <v>1</v>
      </c>
      <c r="G2119" s="24">
        <v>0</v>
      </c>
      <c r="H2119" s="25">
        <v>22.98</v>
      </c>
      <c r="I2119">
        <v>8</v>
      </c>
      <c r="J2119" s="26">
        <v>0</v>
      </c>
      <c r="K2119" s="26">
        <v>0</v>
      </c>
      <c r="L2119" s="26">
        <v>0</v>
      </c>
      <c r="M2119">
        <v>8</v>
      </c>
      <c r="N2119">
        <v>0</v>
      </c>
      <c r="O2119">
        <v>0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6</v>
      </c>
      <c r="AK2119">
        <v>3</v>
      </c>
      <c r="AL2119">
        <v>14</v>
      </c>
      <c r="AM2119">
        <v>2</v>
      </c>
      <c r="AN2119" s="18">
        <v>0.166666666666667</v>
      </c>
      <c r="AO2119" s="18">
        <v>0</v>
      </c>
      <c r="AP2119" s="18">
        <v>0.0714285714285714</v>
      </c>
      <c r="AQ2119" s="18">
        <v>0</v>
      </c>
      <c r="AR2119" s="29">
        <v>0.142857142857143</v>
      </c>
      <c r="AS2119" s="29">
        <v>8.57142857142857</v>
      </c>
      <c r="AT2119" s="29">
        <v>-0.571428571428571</v>
      </c>
      <c r="AU2119" s="24">
        <f t="shared" si="34"/>
        <v>56</v>
      </c>
      <c r="AV2119" s="31">
        <f>IFERROR(时间!$B$4+AU2119,"上周无销量")</f>
        <v>43374</v>
      </c>
    </row>
    <row r="2120" spans="1:48">
      <c r="A2120" s="16" t="s">
        <v>3721</v>
      </c>
      <c r="B2120" t="s">
        <v>3722</v>
      </c>
      <c r="C2120" t="s">
        <v>3683</v>
      </c>
      <c r="D2120" s="24">
        <v>0</v>
      </c>
      <c r="E2120" s="24">
        <v>1</v>
      </c>
      <c r="F2120" s="24">
        <v>0</v>
      </c>
      <c r="G2120" s="24">
        <v>0</v>
      </c>
      <c r="H2120" s="25">
        <v>22.98</v>
      </c>
      <c r="I2120">
        <v>17</v>
      </c>
      <c r="J2120" s="26">
        <v>0</v>
      </c>
      <c r="K2120" s="26">
        <v>0</v>
      </c>
      <c r="L2120" s="26">
        <v>0</v>
      </c>
      <c r="M2120">
        <v>17</v>
      </c>
      <c r="N2120">
        <v>0</v>
      </c>
      <c r="O2120">
        <v>5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4</v>
      </c>
      <c r="AK2120">
        <v>3</v>
      </c>
      <c r="AL2120">
        <v>4</v>
      </c>
      <c r="AM2120">
        <v>3</v>
      </c>
      <c r="AN2120" s="18">
        <v>0</v>
      </c>
      <c r="AO2120" s="18">
        <v>0.333333333333333</v>
      </c>
      <c r="AP2120" s="18">
        <v>0</v>
      </c>
      <c r="AQ2120" s="18">
        <v>0</v>
      </c>
      <c r="AR2120" s="29">
        <v>0</v>
      </c>
      <c r="AS2120" s="29">
        <v>0</v>
      </c>
      <c r="AT2120" s="29">
        <v>17</v>
      </c>
      <c r="AU2120" s="24" t="str">
        <f t="shared" si="34"/>
        <v>库存为17</v>
      </c>
      <c r="AV2120" s="31" t="str">
        <f>IFERROR(时间!$B$4+AU2120,"上周无销量")</f>
        <v>上周无销量</v>
      </c>
    </row>
    <row r="2121" spans="1:48">
      <c r="A2121" s="16" t="s">
        <v>3723</v>
      </c>
      <c r="B2121" t="s">
        <v>3724</v>
      </c>
      <c r="C2121" t="s">
        <v>3683</v>
      </c>
      <c r="D2121" s="24">
        <v>0</v>
      </c>
      <c r="E2121" s="24">
        <v>1</v>
      </c>
      <c r="F2121" s="24">
        <v>0</v>
      </c>
      <c r="G2121" s="24">
        <v>0</v>
      </c>
      <c r="H2121" s="25">
        <v>15.98</v>
      </c>
      <c r="I2121">
        <v>0</v>
      </c>
      <c r="J2121" s="26">
        <v>0</v>
      </c>
      <c r="K2121" s="26">
        <v>0</v>
      </c>
      <c r="L2121" s="26">
        <v>0</v>
      </c>
      <c r="M2121">
        <v>0</v>
      </c>
      <c r="N2121">
        <v>0</v>
      </c>
      <c r="O2121">
        <v>0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0</v>
      </c>
      <c r="AK2121">
        <v>4</v>
      </c>
      <c r="AL2121">
        <v>1</v>
      </c>
      <c r="AM2121">
        <v>0</v>
      </c>
      <c r="AN2121" s="18" t="s">
        <v>52</v>
      </c>
      <c r="AO2121" s="18">
        <v>0.25</v>
      </c>
      <c r="AP2121" s="18">
        <v>0</v>
      </c>
      <c r="AQ2121" s="18" t="s">
        <v>52</v>
      </c>
      <c r="AR2121" s="29">
        <v>0</v>
      </c>
      <c r="AS2121" s="29">
        <v>0</v>
      </c>
      <c r="AT2121" s="29">
        <v>0</v>
      </c>
      <c r="AU2121" s="24" t="str">
        <f t="shared" si="34"/>
        <v>库存为0</v>
      </c>
      <c r="AV2121" s="31" t="str">
        <f>IFERROR(时间!$B$4+AU2121,"上周无销量")</f>
        <v>上周无销量</v>
      </c>
    </row>
    <row r="2122" spans="1:48">
      <c r="A2122" s="16" t="s">
        <v>3725</v>
      </c>
      <c r="B2122" t="s">
        <v>3726</v>
      </c>
      <c r="C2122" t="s">
        <v>3683</v>
      </c>
      <c r="D2122" s="24">
        <v>0</v>
      </c>
      <c r="E2122" s="24">
        <v>3</v>
      </c>
      <c r="F2122" s="24">
        <v>1</v>
      </c>
      <c r="G2122" s="24">
        <v>1</v>
      </c>
      <c r="H2122" s="25">
        <v>22.98</v>
      </c>
      <c r="I2122">
        <v>13</v>
      </c>
      <c r="J2122" s="26">
        <v>0</v>
      </c>
      <c r="K2122" s="26">
        <v>0</v>
      </c>
      <c r="L2122" s="26">
        <v>0</v>
      </c>
      <c r="M2122">
        <v>13</v>
      </c>
      <c r="N2122">
        <v>0</v>
      </c>
      <c r="O2122">
        <v>0</v>
      </c>
      <c r="P2122" t="s">
        <v>52</v>
      </c>
      <c r="Q2122" t="s">
        <v>52</v>
      </c>
      <c r="R2122" t="s">
        <v>52</v>
      </c>
      <c r="S2122" t="s">
        <v>52</v>
      </c>
      <c r="T2122" t="s">
        <v>52</v>
      </c>
      <c r="U2122" t="s">
        <v>52</v>
      </c>
      <c r="V2122" t="s">
        <v>52</v>
      </c>
      <c r="W2122" t="s">
        <v>52</v>
      </c>
      <c r="X2122" s="18" t="s">
        <v>52</v>
      </c>
      <c r="Y2122" s="18" t="s">
        <v>52</v>
      </c>
      <c r="Z2122" s="18" t="s">
        <v>52</v>
      </c>
      <c r="AA2122" s="18" t="s">
        <v>52</v>
      </c>
      <c r="AB2122" t="s">
        <v>52</v>
      </c>
      <c r="AC2122" t="s">
        <v>52</v>
      </c>
      <c r="AD2122" t="s">
        <v>52</v>
      </c>
      <c r="AE2122" t="s">
        <v>52</v>
      </c>
      <c r="AF2122" s="18" t="s">
        <v>52</v>
      </c>
      <c r="AG2122" s="18" t="s">
        <v>52</v>
      </c>
      <c r="AH2122" s="18" t="s">
        <v>52</v>
      </c>
      <c r="AI2122" s="18" t="s">
        <v>52</v>
      </c>
      <c r="AJ2122">
        <v>11</v>
      </c>
      <c r="AK2122">
        <v>18</v>
      </c>
      <c r="AL2122">
        <v>11</v>
      </c>
      <c r="AM2122">
        <v>3</v>
      </c>
      <c r="AN2122" s="18">
        <v>0</v>
      </c>
      <c r="AO2122" s="18">
        <v>0.166666666666667</v>
      </c>
      <c r="AP2122" s="18">
        <v>0.0909090909090909</v>
      </c>
      <c r="AQ2122" s="18">
        <v>0.333333333333333</v>
      </c>
      <c r="AR2122" s="29">
        <v>0</v>
      </c>
      <c r="AS2122" s="29">
        <v>0</v>
      </c>
      <c r="AT2122" s="29">
        <v>13</v>
      </c>
      <c r="AU2122" s="24" t="str">
        <f t="shared" si="34"/>
        <v>库存为13</v>
      </c>
      <c r="AV2122" s="31" t="str">
        <f>IFERROR(时间!$B$4+AU2122,"上周无销量")</f>
        <v>上周无销量</v>
      </c>
    </row>
    <row r="2123" spans="1:48">
      <c r="A2123" s="16" t="s">
        <v>3727</v>
      </c>
      <c r="B2123" t="s">
        <v>3728</v>
      </c>
      <c r="C2123" t="s">
        <v>3683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0</v>
      </c>
      <c r="J2123" s="26">
        <v>0</v>
      </c>
      <c r="K2123" s="26">
        <v>0</v>
      </c>
      <c r="L2123" s="26">
        <v>0</v>
      </c>
      <c r="M2123">
        <v>0</v>
      </c>
      <c r="N2123">
        <v>0</v>
      </c>
      <c r="O2123">
        <v>0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0</v>
      </c>
      <c r="AK2123">
        <v>0</v>
      </c>
      <c r="AL2123">
        <v>0</v>
      </c>
      <c r="AM2123">
        <v>0</v>
      </c>
      <c r="AN2123" s="18" t="s">
        <v>52</v>
      </c>
      <c r="AO2123" s="18" t="s">
        <v>52</v>
      </c>
      <c r="AP2123" s="18" t="s">
        <v>52</v>
      </c>
      <c r="AQ2123" s="18" t="s">
        <v>52</v>
      </c>
      <c r="AR2123" s="29">
        <v>0</v>
      </c>
      <c r="AS2123" s="29">
        <v>0</v>
      </c>
      <c r="AT2123" s="29">
        <v>0</v>
      </c>
      <c r="AU2123" s="24" t="str">
        <f t="shared" si="34"/>
        <v>库存为0</v>
      </c>
      <c r="AV2123" s="31" t="str">
        <f>IFERROR(时间!$B$4+AU2123,"上周无销量")</f>
        <v>上周无销量</v>
      </c>
    </row>
    <row r="2124" spans="1:48">
      <c r="A2124" s="16" t="s">
        <v>3729</v>
      </c>
      <c r="B2124" t="s">
        <v>3730</v>
      </c>
      <c r="C2124" t="s">
        <v>3683</v>
      </c>
      <c r="D2124" s="24">
        <v>2</v>
      </c>
      <c r="E2124" s="24">
        <v>1</v>
      </c>
      <c r="F2124" s="24">
        <v>1</v>
      </c>
      <c r="G2124" s="24">
        <v>0</v>
      </c>
      <c r="H2124" s="25">
        <v>22.98</v>
      </c>
      <c r="I2124">
        <v>22</v>
      </c>
      <c r="J2124" s="26">
        <v>0</v>
      </c>
      <c r="K2124" s="26">
        <v>0</v>
      </c>
      <c r="L2124" s="26">
        <v>0</v>
      </c>
      <c r="M2124">
        <v>22</v>
      </c>
      <c r="N2124">
        <v>0</v>
      </c>
      <c r="O2124">
        <v>0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11</v>
      </c>
      <c r="AK2124">
        <v>4</v>
      </c>
      <c r="AL2124">
        <v>9</v>
      </c>
      <c r="AM2124">
        <v>9</v>
      </c>
      <c r="AN2124" s="18">
        <v>0.181818181818182</v>
      </c>
      <c r="AO2124" s="18">
        <v>0.25</v>
      </c>
      <c r="AP2124" s="18">
        <v>0.111111111111111</v>
      </c>
      <c r="AQ2124" s="18">
        <v>0</v>
      </c>
      <c r="AR2124" s="29">
        <v>0.285714285714286</v>
      </c>
      <c r="AS2124" s="29">
        <v>17.1428571428571</v>
      </c>
      <c r="AT2124" s="29">
        <v>4.85714285714286</v>
      </c>
      <c r="AU2124" s="24">
        <f t="shared" si="34"/>
        <v>77</v>
      </c>
      <c r="AV2124" s="31">
        <f>IFERROR(时间!$B$4+AU2124,"上周无销量")</f>
        <v>43395</v>
      </c>
    </row>
    <row r="2125" spans="1:48">
      <c r="A2125" s="16" t="s">
        <v>3731</v>
      </c>
      <c r="B2125" t="s">
        <v>3732</v>
      </c>
      <c r="C2125" t="s">
        <v>3683</v>
      </c>
      <c r="D2125" s="24">
        <v>0</v>
      </c>
      <c r="E2125" s="24">
        <v>0</v>
      </c>
      <c r="F2125" s="24">
        <v>2</v>
      </c>
      <c r="G2125" s="24">
        <v>0</v>
      </c>
      <c r="H2125" s="25">
        <v>22.98</v>
      </c>
      <c r="I2125">
        <v>0</v>
      </c>
      <c r="J2125" s="26">
        <v>0</v>
      </c>
      <c r="K2125" s="26">
        <v>0</v>
      </c>
      <c r="L2125" s="26">
        <v>0</v>
      </c>
      <c r="M2125">
        <v>0</v>
      </c>
      <c r="N2125">
        <v>0</v>
      </c>
      <c r="O2125">
        <v>0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8</v>
      </c>
      <c r="AK2125">
        <v>14</v>
      </c>
      <c r="AL2125">
        <v>10</v>
      </c>
      <c r="AM2125">
        <v>6</v>
      </c>
      <c r="AN2125" s="18">
        <v>0</v>
      </c>
      <c r="AO2125" s="18">
        <v>0</v>
      </c>
      <c r="AP2125" s="18">
        <v>0.2</v>
      </c>
      <c r="AQ2125" s="18">
        <v>0</v>
      </c>
      <c r="AR2125" s="29">
        <v>0</v>
      </c>
      <c r="AS2125" s="29">
        <v>0</v>
      </c>
      <c r="AT2125" s="29">
        <v>0</v>
      </c>
      <c r="AU2125" s="24" t="str">
        <f t="shared" si="34"/>
        <v>库存为0</v>
      </c>
      <c r="AV2125" s="31" t="str">
        <f>IFERROR(时间!$B$4+AU2125,"上周无销量")</f>
        <v>上周无销量</v>
      </c>
    </row>
    <row r="2126" spans="1:48">
      <c r="A2126" s="16" t="s">
        <v>3733</v>
      </c>
      <c r="B2126" t="s">
        <v>3734</v>
      </c>
      <c r="C2126" t="s">
        <v>3683</v>
      </c>
      <c r="D2126" s="24">
        <v>1</v>
      </c>
      <c r="E2126" s="24">
        <v>3</v>
      </c>
      <c r="F2126" s="24">
        <v>3</v>
      </c>
      <c r="G2126" s="24">
        <v>0</v>
      </c>
      <c r="H2126" s="25">
        <v>22.98</v>
      </c>
      <c r="I2126">
        <v>0</v>
      </c>
      <c r="J2126" s="26">
        <v>0</v>
      </c>
      <c r="K2126" s="26">
        <v>0</v>
      </c>
      <c r="L2126" s="26">
        <v>0</v>
      </c>
      <c r="M2126">
        <v>0</v>
      </c>
      <c r="N2126">
        <v>0</v>
      </c>
      <c r="O2126">
        <v>0</v>
      </c>
      <c r="P2126">
        <v>780</v>
      </c>
      <c r="Q2126">
        <v>0</v>
      </c>
      <c r="R2126">
        <v>0</v>
      </c>
      <c r="S2126">
        <v>0</v>
      </c>
      <c r="T2126">
        <v>6</v>
      </c>
      <c r="U2126">
        <v>0</v>
      </c>
      <c r="V2126">
        <v>0</v>
      </c>
      <c r="W2126">
        <v>0</v>
      </c>
      <c r="X2126" s="18">
        <v>0.00769230769230769</v>
      </c>
      <c r="Y2126" s="18" t="s">
        <v>52</v>
      </c>
      <c r="Z2126" s="18" t="s">
        <v>52</v>
      </c>
      <c r="AA2126" s="18" t="s">
        <v>52</v>
      </c>
      <c r="AB2126">
        <v>3.73</v>
      </c>
      <c r="AC2126">
        <v>0</v>
      </c>
      <c r="AD2126">
        <v>0</v>
      </c>
      <c r="AE2126">
        <v>0</v>
      </c>
      <c r="AF2126" s="18">
        <v>0.162315056570931</v>
      </c>
      <c r="AG2126" s="18" t="s">
        <v>52</v>
      </c>
      <c r="AH2126" s="18" t="s">
        <v>52</v>
      </c>
      <c r="AI2126" s="18" t="s">
        <v>52</v>
      </c>
      <c r="AJ2126">
        <v>13</v>
      </c>
      <c r="AK2126">
        <v>15</v>
      </c>
      <c r="AL2126">
        <v>13</v>
      </c>
      <c r="AM2126">
        <v>6</v>
      </c>
      <c r="AN2126" s="18">
        <v>0.0769230769230769</v>
      </c>
      <c r="AO2126" s="18">
        <v>0.2</v>
      </c>
      <c r="AP2126" s="18">
        <v>0.230769230769231</v>
      </c>
      <c r="AQ2126" s="18">
        <v>0</v>
      </c>
      <c r="AR2126" s="29">
        <v>0.142857142857143</v>
      </c>
      <c r="AS2126" s="29">
        <v>8.57142857142857</v>
      </c>
      <c r="AT2126" s="29">
        <v>-8.57142857142857</v>
      </c>
      <c r="AU2126" s="24">
        <f t="shared" si="34"/>
        <v>0</v>
      </c>
      <c r="AV2126" s="31">
        <f>IFERROR(时间!$B$4+AU2126,"上周无销量")</f>
        <v>43318</v>
      </c>
    </row>
    <row r="2127" spans="1:48">
      <c r="A2127" s="16" t="s">
        <v>3735</v>
      </c>
      <c r="B2127" t="s">
        <v>3736</v>
      </c>
      <c r="C2127" t="s">
        <v>3683</v>
      </c>
      <c r="D2127" s="24">
        <v>1</v>
      </c>
      <c r="E2127" s="24">
        <v>4</v>
      </c>
      <c r="F2127" s="24">
        <v>2</v>
      </c>
      <c r="G2127" s="24">
        <v>4</v>
      </c>
      <c r="H2127" s="25">
        <v>22.98</v>
      </c>
      <c r="I2127">
        <v>0</v>
      </c>
      <c r="J2127" s="26">
        <v>0</v>
      </c>
      <c r="K2127" s="26">
        <v>0</v>
      </c>
      <c r="L2127" s="26">
        <v>0</v>
      </c>
      <c r="M2127">
        <v>0</v>
      </c>
      <c r="N2127">
        <v>0</v>
      </c>
      <c r="O2127">
        <v>0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2</v>
      </c>
      <c r="AK2127">
        <v>11</v>
      </c>
      <c r="AL2127">
        <v>19</v>
      </c>
      <c r="AM2127">
        <v>5</v>
      </c>
      <c r="AN2127" s="18">
        <v>0.5</v>
      </c>
      <c r="AO2127" s="18">
        <v>0.363636363636364</v>
      </c>
      <c r="AP2127" s="18">
        <v>0.105263157894737</v>
      </c>
      <c r="AQ2127" s="18">
        <v>0.8</v>
      </c>
      <c r="AR2127" s="29">
        <v>0.142857142857143</v>
      </c>
      <c r="AS2127" s="29">
        <v>8.57142857142857</v>
      </c>
      <c r="AT2127" s="29">
        <v>-8.57142857142857</v>
      </c>
      <c r="AU2127" s="24">
        <f t="shared" si="34"/>
        <v>0</v>
      </c>
      <c r="AV2127" s="31">
        <f>IFERROR(时间!$B$4+AU2127,"上周无销量")</f>
        <v>43318</v>
      </c>
    </row>
    <row r="2128" spans="1:48">
      <c r="A2128" s="16" t="s">
        <v>3737</v>
      </c>
      <c r="B2128" t="s">
        <v>3738</v>
      </c>
      <c r="C2128" t="s">
        <v>3683</v>
      </c>
      <c r="D2128" s="24">
        <v>3</v>
      </c>
      <c r="E2128" s="24">
        <v>0</v>
      </c>
      <c r="F2128" s="24">
        <v>3</v>
      </c>
      <c r="G2128" s="24">
        <v>0</v>
      </c>
      <c r="H2128" s="25">
        <v>22.98</v>
      </c>
      <c r="I2128">
        <v>10</v>
      </c>
      <c r="J2128" s="26">
        <v>0</v>
      </c>
      <c r="K2128" s="26">
        <v>0</v>
      </c>
      <c r="L2128" s="26">
        <v>0</v>
      </c>
      <c r="M2128">
        <v>10</v>
      </c>
      <c r="N2128">
        <v>0</v>
      </c>
      <c r="O2128">
        <v>0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12</v>
      </c>
      <c r="AK2128">
        <v>4</v>
      </c>
      <c r="AL2128">
        <v>10</v>
      </c>
      <c r="AM2128">
        <v>2</v>
      </c>
      <c r="AN2128" s="18">
        <v>0.25</v>
      </c>
      <c r="AO2128" s="18">
        <v>0</v>
      </c>
      <c r="AP2128" s="18">
        <v>0.3</v>
      </c>
      <c r="AQ2128" s="18">
        <v>0</v>
      </c>
      <c r="AR2128" s="29">
        <v>0.428571428571429</v>
      </c>
      <c r="AS2128" s="29">
        <v>25.7142857142857</v>
      </c>
      <c r="AT2128" s="29">
        <v>-15.7142857142857</v>
      </c>
      <c r="AU2128" s="24">
        <f t="shared" si="34"/>
        <v>23</v>
      </c>
      <c r="AV2128" s="31">
        <f>IFERROR(时间!$B$4+AU2128,"上周无销量")</f>
        <v>43341</v>
      </c>
    </row>
    <row r="2129" spans="1:48">
      <c r="A2129" s="16" t="s">
        <v>3739</v>
      </c>
      <c r="B2129" t="s">
        <v>3740</v>
      </c>
      <c r="C2129" t="s">
        <v>3683</v>
      </c>
      <c r="D2129" s="24">
        <v>0</v>
      </c>
      <c r="E2129" s="24">
        <v>0</v>
      </c>
      <c r="F2129" s="24">
        <v>0</v>
      </c>
      <c r="G2129" s="24">
        <v>0</v>
      </c>
      <c r="H2129" s="25">
        <v>0</v>
      </c>
      <c r="I2129">
        <v>0</v>
      </c>
      <c r="J2129" s="26">
        <v>0</v>
      </c>
      <c r="K2129" s="26">
        <v>0</v>
      </c>
      <c r="L2129" s="26">
        <v>0</v>
      </c>
      <c r="M2129">
        <v>0</v>
      </c>
      <c r="N2129">
        <v>0</v>
      </c>
      <c r="O2129">
        <v>0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0</v>
      </c>
      <c r="AK2129">
        <v>0</v>
      </c>
      <c r="AL2129">
        <v>0</v>
      </c>
      <c r="AM2129">
        <v>0</v>
      </c>
      <c r="AN2129" s="18" t="s">
        <v>52</v>
      </c>
      <c r="AO2129" s="18" t="s">
        <v>52</v>
      </c>
      <c r="AP2129" s="18" t="s">
        <v>52</v>
      </c>
      <c r="AQ2129" s="18" t="s">
        <v>52</v>
      </c>
      <c r="AR2129" s="29">
        <v>0</v>
      </c>
      <c r="AS2129" s="29">
        <v>0</v>
      </c>
      <c r="AT2129" s="29">
        <v>0</v>
      </c>
      <c r="AU2129" s="24" t="str">
        <f t="shared" si="34"/>
        <v>库存为0</v>
      </c>
      <c r="AV2129" s="31" t="str">
        <f>IFERROR(时间!$B$4+AU2129,"上周无销量")</f>
        <v>上周无销量</v>
      </c>
    </row>
    <row r="2130" spans="1:48">
      <c r="A2130" s="16" t="s">
        <v>3741</v>
      </c>
      <c r="B2130" t="s">
        <v>3742</v>
      </c>
      <c r="C2130" t="s">
        <v>3683</v>
      </c>
      <c r="D2130" s="24">
        <v>0</v>
      </c>
      <c r="E2130" s="24">
        <v>0</v>
      </c>
      <c r="F2130" s="24">
        <v>0</v>
      </c>
      <c r="G2130" s="24">
        <v>0</v>
      </c>
      <c r="H2130" s="25">
        <v>0</v>
      </c>
      <c r="I2130">
        <v>0</v>
      </c>
      <c r="J2130" s="26">
        <v>0</v>
      </c>
      <c r="K2130" s="26">
        <v>0</v>
      </c>
      <c r="L2130" s="26">
        <v>0</v>
      </c>
      <c r="M2130">
        <v>0</v>
      </c>
      <c r="N2130">
        <v>0</v>
      </c>
      <c r="O2130">
        <v>0</v>
      </c>
      <c r="P2130" t="s">
        <v>52</v>
      </c>
      <c r="Q2130" t="s">
        <v>52</v>
      </c>
      <c r="R2130" t="s">
        <v>52</v>
      </c>
      <c r="S2130" t="s">
        <v>52</v>
      </c>
      <c r="T2130" t="s">
        <v>52</v>
      </c>
      <c r="U2130" t="s">
        <v>52</v>
      </c>
      <c r="V2130" t="s">
        <v>52</v>
      </c>
      <c r="W2130" t="s">
        <v>52</v>
      </c>
      <c r="X2130" s="18" t="s">
        <v>52</v>
      </c>
      <c r="Y2130" s="18" t="s">
        <v>52</v>
      </c>
      <c r="Z2130" s="18" t="s">
        <v>52</v>
      </c>
      <c r="AA2130" s="18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0</v>
      </c>
      <c r="AK2130">
        <v>0</v>
      </c>
      <c r="AL2130">
        <v>0</v>
      </c>
      <c r="AM2130">
        <v>0</v>
      </c>
      <c r="AN2130" s="18" t="s">
        <v>52</v>
      </c>
      <c r="AO2130" s="18" t="s">
        <v>52</v>
      </c>
      <c r="AP2130" s="18" t="s">
        <v>52</v>
      </c>
      <c r="AQ2130" s="18" t="s">
        <v>52</v>
      </c>
      <c r="AR2130" s="29">
        <v>0</v>
      </c>
      <c r="AS2130" s="29">
        <v>0</v>
      </c>
      <c r="AT2130" s="29">
        <v>0</v>
      </c>
      <c r="AU2130" s="24" t="str">
        <f t="shared" si="34"/>
        <v>库存为0</v>
      </c>
      <c r="AV2130" s="31" t="str">
        <f>IFERROR(时间!$B$4+AU2130,"上周无销量")</f>
        <v>上周无销量</v>
      </c>
    </row>
    <row r="2131" spans="1:48">
      <c r="A2131" s="16" t="s">
        <v>3743</v>
      </c>
      <c r="B2131" t="s">
        <v>3744</v>
      </c>
      <c r="C2131" t="s">
        <v>3683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1</v>
      </c>
      <c r="J2131" s="26">
        <v>0</v>
      </c>
      <c r="K2131" s="26">
        <v>0</v>
      </c>
      <c r="L2131" s="26">
        <v>0</v>
      </c>
      <c r="M2131">
        <v>1</v>
      </c>
      <c r="N2131">
        <v>0</v>
      </c>
      <c r="O2131">
        <v>0</v>
      </c>
      <c r="P2131" t="s">
        <v>52</v>
      </c>
      <c r="Q2131" t="s">
        <v>52</v>
      </c>
      <c r="R2131" t="s">
        <v>52</v>
      </c>
      <c r="S2131" t="s">
        <v>52</v>
      </c>
      <c r="T2131" t="s">
        <v>52</v>
      </c>
      <c r="U2131" t="s">
        <v>52</v>
      </c>
      <c r="V2131" t="s">
        <v>52</v>
      </c>
      <c r="W2131" t="s">
        <v>52</v>
      </c>
      <c r="X2131" s="18" t="s">
        <v>52</v>
      </c>
      <c r="Y2131" s="18" t="s">
        <v>52</v>
      </c>
      <c r="Z2131" s="18" t="s">
        <v>52</v>
      </c>
      <c r="AA2131" s="18" t="s">
        <v>52</v>
      </c>
      <c r="AB2131" t="s">
        <v>52</v>
      </c>
      <c r="AC2131" t="s">
        <v>52</v>
      </c>
      <c r="AD2131" t="s">
        <v>52</v>
      </c>
      <c r="AE2131" t="s">
        <v>52</v>
      </c>
      <c r="AF2131" s="18" t="s">
        <v>52</v>
      </c>
      <c r="AG2131" s="18" t="s">
        <v>52</v>
      </c>
      <c r="AH2131" s="18" t="s">
        <v>52</v>
      </c>
      <c r="AI2131" s="18" t="s">
        <v>52</v>
      </c>
      <c r="AJ2131">
        <v>10</v>
      </c>
      <c r="AK2131">
        <v>11</v>
      </c>
      <c r="AL2131">
        <v>13</v>
      </c>
      <c r="AM2131">
        <v>6</v>
      </c>
      <c r="AN2131" s="18">
        <v>0</v>
      </c>
      <c r="AO2131" s="18">
        <v>0</v>
      </c>
      <c r="AP2131" s="18">
        <v>0</v>
      </c>
      <c r="AQ2131" s="18">
        <v>0</v>
      </c>
      <c r="AR2131" s="29">
        <v>0</v>
      </c>
      <c r="AS2131" s="29">
        <v>0</v>
      </c>
      <c r="AT2131" s="29">
        <v>1</v>
      </c>
      <c r="AU2131" s="24" t="str">
        <f t="shared" si="34"/>
        <v>库存为1</v>
      </c>
      <c r="AV2131" s="31" t="str">
        <f>IFERROR(时间!$B$4+AU2131,"上周无销量")</f>
        <v>上周无销量</v>
      </c>
    </row>
    <row r="2132" spans="1:48">
      <c r="A2132" s="16" t="s">
        <v>3745</v>
      </c>
      <c r="B2132" t="s">
        <v>3746</v>
      </c>
      <c r="C2132" t="s">
        <v>3683</v>
      </c>
      <c r="D2132" s="24">
        <v>0</v>
      </c>
      <c r="E2132" s="24">
        <v>2</v>
      </c>
      <c r="F2132" s="24">
        <v>2</v>
      </c>
      <c r="G2132" s="24">
        <v>1</v>
      </c>
      <c r="H2132" s="25">
        <v>22.98</v>
      </c>
      <c r="I2132">
        <v>6</v>
      </c>
      <c r="J2132" s="26">
        <v>0</v>
      </c>
      <c r="K2132" s="26">
        <v>0</v>
      </c>
      <c r="L2132" s="26">
        <v>3</v>
      </c>
      <c r="M2132">
        <v>9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20</v>
      </c>
      <c r="AK2132">
        <v>8</v>
      </c>
      <c r="AL2132">
        <v>11</v>
      </c>
      <c r="AM2132">
        <v>9</v>
      </c>
      <c r="AN2132" s="18">
        <v>0</v>
      </c>
      <c r="AO2132" s="18">
        <v>0.25</v>
      </c>
      <c r="AP2132" s="18">
        <v>0.181818181818182</v>
      </c>
      <c r="AQ2132" s="18">
        <v>0.111111111111111</v>
      </c>
      <c r="AR2132" s="29">
        <v>0</v>
      </c>
      <c r="AS2132" s="29">
        <v>0</v>
      </c>
      <c r="AT2132" s="29">
        <v>9</v>
      </c>
      <c r="AU2132" s="24" t="str">
        <f t="shared" si="34"/>
        <v>库存为9</v>
      </c>
      <c r="AV2132" s="31" t="str">
        <f>IFERROR(时间!$B$4+AU2132,"上周无销量")</f>
        <v>上周无销量</v>
      </c>
    </row>
    <row r="2133" spans="1:48">
      <c r="A2133" s="16" t="s">
        <v>3747</v>
      </c>
      <c r="B2133" t="s">
        <v>3748</v>
      </c>
      <c r="C2133" t="s">
        <v>3683</v>
      </c>
      <c r="D2133" s="24">
        <v>3</v>
      </c>
      <c r="E2133" s="24">
        <v>1</v>
      </c>
      <c r="F2133" s="24">
        <v>0</v>
      </c>
      <c r="G2133" s="24">
        <v>2</v>
      </c>
      <c r="H2133" s="25">
        <v>22.98</v>
      </c>
      <c r="I2133">
        <v>1</v>
      </c>
      <c r="J2133" s="26">
        <v>0</v>
      </c>
      <c r="K2133" s="26">
        <v>0</v>
      </c>
      <c r="L2133" s="26">
        <v>0</v>
      </c>
      <c r="M2133">
        <v>1</v>
      </c>
      <c r="N2133">
        <v>0</v>
      </c>
      <c r="O2133">
        <v>0</v>
      </c>
      <c r="P2133">
        <v>16690</v>
      </c>
      <c r="Q2133">
        <v>7763</v>
      </c>
      <c r="R2133">
        <v>31436</v>
      </c>
      <c r="S2133">
        <v>29715</v>
      </c>
      <c r="T2133">
        <v>41</v>
      </c>
      <c r="U2133">
        <v>25</v>
      </c>
      <c r="V2133">
        <v>46</v>
      </c>
      <c r="W2133">
        <v>38</v>
      </c>
      <c r="X2133" s="18">
        <v>0.0024565608148592</v>
      </c>
      <c r="Y2133" s="18">
        <v>0.00322040448280304</v>
      </c>
      <c r="Z2133" s="18">
        <v>0.00146329049497392</v>
      </c>
      <c r="AA2133" s="18">
        <v>0.00127881541309103</v>
      </c>
      <c r="AB2133">
        <v>29.1</v>
      </c>
      <c r="AC2133">
        <v>11.77</v>
      </c>
      <c r="AD2133">
        <v>28.43</v>
      </c>
      <c r="AE2133">
        <v>26.82</v>
      </c>
      <c r="AF2133" s="18">
        <v>0.422106179286336</v>
      </c>
      <c r="AG2133" s="18">
        <v>0.512184508268059</v>
      </c>
      <c r="AH2133" s="18" t="s">
        <v>3749</v>
      </c>
      <c r="AI2133" s="18">
        <v>0.58355091383812</v>
      </c>
      <c r="AJ2133">
        <v>36</v>
      </c>
      <c r="AK2133">
        <v>40</v>
      </c>
      <c r="AL2133">
        <v>35</v>
      </c>
      <c r="AM2133">
        <v>32</v>
      </c>
      <c r="AN2133" s="18">
        <v>0.0833333333333333</v>
      </c>
      <c r="AO2133" s="18">
        <v>0.025</v>
      </c>
      <c r="AP2133" s="18">
        <v>0</v>
      </c>
      <c r="AQ2133" s="18">
        <v>0.0625</v>
      </c>
      <c r="AR2133" s="29">
        <v>0.428571428571429</v>
      </c>
      <c r="AS2133" s="29">
        <v>25.7142857142857</v>
      </c>
      <c r="AT2133" s="29">
        <v>-24.7142857142857</v>
      </c>
      <c r="AU2133" s="24">
        <f t="shared" si="34"/>
        <v>2</v>
      </c>
      <c r="AV2133" s="31">
        <f>IFERROR(时间!$B$4+AU2133,"上周无销量")</f>
        <v>43320</v>
      </c>
    </row>
    <row r="2134" spans="1:48">
      <c r="A2134" s="16" t="s">
        <v>3750</v>
      </c>
      <c r="B2134" t="s">
        <v>3751</v>
      </c>
      <c r="C2134" t="s">
        <v>3683</v>
      </c>
      <c r="D2134" s="24">
        <v>0</v>
      </c>
      <c r="E2134" s="24">
        <v>0</v>
      </c>
      <c r="F2134" s="24">
        <v>0</v>
      </c>
      <c r="G2134" s="24">
        <v>1</v>
      </c>
      <c r="H2134" s="25">
        <v>22.98</v>
      </c>
      <c r="I2134">
        <v>0</v>
      </c>
      <c r="J2134" s="26">
        <v>0</v>
      </c>
      <c r="K2134" s="26">
        <v>0</v>
      </c>
      <c r="L2134" s="26">
        <v>0</v>
      </c>
      <c r="M2134">
        <v>0</v>
      </c>
      <c r="N2134">
        <v>0</v>
      </c>
      <c r="O2134">
        <v>0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0</v>
      </c>
      <c r="AK2134">
        <v>0</v>
      </c>
      <c r="AL2134">
        <v>0</v>
      </c>
      <c r="AM2134">
        <v>4</v>
      </c>
      <c r="AN2134" s="18" t="s">
        <v>52</v>
      </c>
      <c r="AO2134" s="18" t="s">
        <v>52</v>
      </c>
      <c r="AP2134" s="18" t="s">
        <v>52</v>
      </c>
      <c r="AQ2134" s="18">
        <v>0.25</v>
      </c>
      <c r="AR2134" s="29">
        <v>0</v>
      </c>
      <c r="AS2134" s="29">
        <v>0</v>
      </c>
      <c r="AT2134" s="29">
        <v>0</v>
      </c>
      <c r="AU2134" s="24" t="str">
        <f t="shared" si="34"/>
        <v>库存为0</v>
      </c>
      <c r="AV2134" s="31" t="str">
        <f>IFERROR(时间!$B$4+AU2134,"上周无销量")</f>
        <v>上周无销量</v>
      </c>
    </row>
    <row r="2135" spans="1:48">
      <c r="A2135" s="16" t="s">
        <v>3752</v>
      </c>
      <c r="B2135" t="s">
        <v>3753</v>
      </c>
      <c r="C2135" t="s">
        <v>3683</v>
      </c>
      <c r="D2135" s="24">
        <v>1</v>
      </c>
      <c r="E2135" s="24">
        <v>1</v>
      </c>
      <c r="F2135" s="24">
        <v>0</v>
      </c>
      <c r="G2135" s="24">
        <v>0</v>
      </c>
      <c r="H2135" s="25">
        <v>22.98</v>
      </c>
      <c r="I2135">
        <v>17</v>
      </c>
      <c r="J2135" s="26">
        <v>0</v>
      </c>
      <c r="K2135" s="26">
        <v>0</v>
      </c>
      <c r="L2135" s="26">
        <v>0</v>
      </c>
      <c r="M2135">
        <v>17</v>
      </c>
      <c r="N2135">
        <v>1</v>
      </c>
      <c r="O2135">
        <v>0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8</v>
      </c>
      <c r="AK2135">
        <v>3</v>
      </c>
      <c r="AL2135">
        <v>7</v>
      </c>
      <c r="AM2135">
        <v>4</v>
      </c>
      <c r="AN2135" s="18">
        <v>0.125</v>
      </c>
      <c r="AO2135" s="18">
        <v>0.333333333333333</v>
      </c>
      <c r="AP2135" s="18">
        <v>0</v>
      </c>
      <c r="AQ2135" s="18">
        <v>0</v>
      </c>
      <c r="AR2135" s="29">
        <v>0.142857142857143</v>
      </c>
      <c r="AS2135" s="29">
        <v>8.57142857142857</v>
      </c>
      <c r="AT2135" s="29">
        <v>8.42857142857143</v>
      </c>
      <c r="AU2135" s="24">
        <f t="shared" si="34"/>
        <v>119</v>
      </c>
      <c r="AV2135" s="31">
        <f>IFERROR(时间!$B$4+AU2135,"上周无销量")</f>
        <v>43437</v>
      </c>
    </row>
    <row r="2136" spans="1:48">
      <c r="A2136" s="16" t="s">
        <v>3754</v>
      </c>
      <c r="B2136" t="s">
        <v>3755</v>
      </c>
      <c r="C2136" t="s">
        <v>3683</v>
      </c>
      <c r="D2136" s="24">
        <v>0</v>
      </c>
      <c r="E2136" s="24">
        <v>0</v>
      </c>
      <c r="F2136" s="24">
        <v>1</v>
      </c>
      <c r="G2136" s="24">
        <v>0</v>
      </c>
      <c r="H2136" s="25">
        <v>22.98</v>
      </c>
      <c r="I2136">
        <v>21</v>
      </c>
      <c r="J2136" s="26">
        <v>0</v>
      </c>
      <c r="K2136" s="26">
        <v>0</v>
      </c>
      <c r="L2136" s="26">
        <v>0</v>
      </c>
      <c r="M2136">
        <v>21</v>
      </c>
      <c r="N2136">
        <v>0</v>
      </c>
      <c r="O2136">
        <v>8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8</v>
      </c>
      <c r="AK2136">
        <v>7</v>
      </c>
      <c r="AL2136">
        <v>7</v>
      </c>
      <c r="AM2136">
        <v>3</v>
      </c>
      <c r="AN2136" s="18">
        <v>0</v>
      </c>
      <c r="AO2136" s="18">
        <v>0</v>
      </c>
      <c r="AP2136" s="18">
        <v>0.142857142857143</v>
      </c>
      <c r="AQ2136" s="18">
        <v>0</v>
      </c>
      <c r="AR2136" s="29">
        <v>0</v>
      </c>
      <c r="AS2136" s="29">
        <v>0</v>
      </c>
      <c r="AT2136" s="29">
        <v>21</v>
      </c>
      <c r="AU2136" s="24" t="str">
        <f t="shared" si="34"/>
        <v>库存为21</v>
      </c>
      <c r="AV2136" s="31" t="str">
        <f>IFERROR(时间!$B$4+AU2136,"上周无销量")</f>
        <v>上周无销量</v>
      </c>
    </row>
    <row r="2137" spans="1:48">
      <c r="A2137" s="16" t="s">
        <v>3756</v>
      </c>
      <c r="B2137" t="s">
        <v>3757</v>
      </c>
      <c r="C2137" t="s">
        <v>3683</v>
      </c>
      <c r="D2137" s="24">
        <v>4</v>
      </c>
      <c r="E2137" s="24">
        <v>1</v>
      </c>
      <c r="F2137" s="24">
        <v>1</v>
      </c>
      <c r="G2137" s="24">
        <v>0</v>
      </c>
      <c r="H2137" s="25">
        <v>22.98</v>
      </c>
      <c r="I2137">
        <v>13</v>
      </c>
      <c r="J2137" s="26">
        <v>0</v>
      </c>
      <c r="K2137" s="26">
        <v>0</v>
      </c>
      <c r="L2137" s="26">
        <v>0</v>
      </c>
      <c r="M2137">
        <v>13</v>
      </c>
      <c r="N2137">
        <v>0</v>
      </c>
      <c r="O2137">
        <v>1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8</v>
      </c>
      <c r="AK2137">
        <v>10</v>
      </c>
      <c r="AL2137">
        <v>8</v>
      </c>
      <c r="AM2137">
        <v>9</v>
      </c>
      <c r="AN2137" s="18">
        <v>0.5</v>
      </c>
      <c r="AO2137" s="18">
        <v>0.1</v>
      </c>
      <c r="AP2137" s="18">
        <v>0.125</v>
      </c>
      <c r="AQ2137" s="18">
        <v>0</v>
      </c>
      <c r="AR2137" s="29">
        <v>0.571428571428571</v>
      </c>
      <c r="AS2137" s="29">
        <v>34.2857142857143</v>
      </c>
      <c r="AT2137" s="29">
        <v>-21.2857142857143</v>
      </c>
      <c r="AU2137" s="24">
        <f t="shared" si="34"/>
        <v>22</v>
      </c>
      <c r="AV2137" s="31">
        <f>IFERROR(时间!$B$4+AU2137,"上周无销量")</f>
        <v>43340</v>
      </c>
    </row>
    <row r="2138" spans="1:48">
      <c r="A2138" s="16" t="s">
        <v>3758</v>
      </c>
      <c r="B2138" t="s">
        <v>3759</v>
      </c>
      <c r="C2138" t="s">
        <v>3683</v>
      </c>
      <c r="D2138" s="24">
        <v>0</v>
      </c>
      <c r="E2138" s="24">
        <v>0</v>
      </c>
      <c r="F2138" s="24">
        <v>0</v>
      </c>
      <c r="G2138" s="24">
        <v>1</v>
      </c>
      <c r="H2138" s="25">
        <v>22.98</v>
      </c>
      <c r="I2138">
        <v>0</v>
      </c>
      <c r="J2138" s="26">
        <v>0</v>
      </c>
      <c r="K2138" s="26">
        <v>0</v>
      </c>
      <c r="L2138" s="26">
        <v>0</v>
      </c>
      <c r="M2138">
        <v>0</v>
      </c>
      <c r="N2138">
        <v>0</v>
      </c>
      <c r="O2138">
        <v>0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0</v>
      </c>
      <c r="AK2138">
        <v>0</v>
      </c>
      <c r="AL2138">
        <v>0</v>
      </c>
      <c r="AM2138">
        <v>2</v>
      </c>
      <c r="AN2138" s="18" t="s">
        <v>52</v>
      </c>
      <c r="AO2138" s="18" t="s">
        <v>52</v>
      </c>
      <c r="AP2138" s="18" t="s">
        <v>52</v>
      </c>
      <c r="AQ2138" s="18">
        <v>0.5</v>
      </c>
      <c r="AR2138" s="29">
        <v>0</v>
      </c>
      <c r="AS2138" s="29">
        <v>0</v>
      </c>
      <c r="AT2138" s="29">
        <v>0</v>
      </c>
      <c r="AU2138" s="24" t="str">
        <f t="shared" si="34"/>
        <v>库存为0</v>
      </c>
      <c r="AV2138" s="31" t="str">
        <f>IFERROR(时间!$B$4+AU2138,"上周无销量")</f>
        <v>上周无销量</v>
      </c>
    </row>
    <row r="2139" spans="1:48">
      <c r="A2139" s="16" t="s">
        <v>3760</v>
      </c>
      <c r="B2139" t="s">
        <v>3761</v>
      </c>
      <c r="C2139" t="s">
        <v>3683</v>
      </c>
      <c r="D2139" s="24">
        <v>1</v>
      </c>
      <c r="E2139" s="24">
        <v>0</v>
      </c>
      <c r="F2139" s="24">
        <v>0</v>
      </c>
      <c r="G2139" s="24">
        <v>1</v>
      </c>
      <c r="H2139" s="25">
        <v>22.98</v>
      </c>
      <c r="I2139">
        <v>10</v>
      </c>
      <c r="J2139" s="26">
        <v>0</v>
      </c>
      <c r="K2139" s="26">
        <v>0</v>
      </c>
      <c r="L2139" s="26">
        <v>0</v>
      </c>
      <c r="M2139">
        <v>10</v>
      </c>
      <c r="N2139">
        <v>0</v>
      </c>
      <c r="O2139">
        <v>3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6</v>
      </c>
      <c r="AK2139">
        <v>1</v>
      </c>
      <c r="AL2139">
        <v>1</v>
      </c>
      <c r="AM2139">
        <v>6</v>
      </c>
      <c r="AN2139" s="18">
        <v>0.166666666666667</v>
      </c>
      <c r="AO2139" s="18">
        <v>0</v>
      </c>
      <c r="AP2139" s="18">
        <v>0</v>
      </c>
      <c r="AQ2139" s="18">
        <v>0.166666666666667</v>
      </c>
      <c r="AR2139" s="29">
        <v>0.142857142857143</v>
      </c>
      <c r="AS2139" s="29">
        <v>8.57142857142857</v>
      </c>
      <c r="AT2139" s="29">
        <v>1.42857142857143</v>
      </c>
      <c r="AU2139" s="24">
        <f t="shared" si="34"/>
        <v>70</v>
      </c>
      <c r="AV2139" s="31">
        <f>IFERROR(时间!$B$4+AU2139,"上周无销量")</f>
        <v>43388</v>
      </c>
    </row>
    <row r="2140" spans="1:48">
      <c r="A2140" s="16" t="s">
        <v>3762</v>
      </c>
      <c r="B2140" t="s">
        <v>3763</v>
      </c>
      <c r="C2140" t="s">
        <v>3764</v>
      </c>
      <c r="D2140" s="24">
        <v>0</v>
      </c>
      <c r="E2140" s="24">
        <v>0</v>
      </c>
      <c r="F2140" s="24">
        <v>1</v>
      </c>
      <c r="G2140" s="24">
        <v>0</v>
      </c>
      <c r="H2140" s="25">
        <v>23.98</v>
      </c>
      <c r="I2140">
        <v>13</v>
      </c>
      <c r="J2140" s="26">
        <v>0</v>
      </c>
      <c r="K2140" s="26">
        <v>0</v>
      </c>
      <c r="L2140" s="26">
        <v>0</v>
      </c>
      <c r="M2140">
        <v>13</v>
      </c>
      <c r="N2140">
        <v>0</v>
      </c>
      <c r="O2140">
        <v>9</v>
      </c>
      <c r="P2140" t="s">
        <v>52</v>
      </c>
      <c r="Q2140" t="s">
        <v>52</v>
      </c>
      <c r="R2140" t="s">
        <v>52</v>
      </c>
      <c r="S2140" t="s">
        <v>52</v>
      </c>
      <c r="T2140" t="s">
        <v>52</v>
      </c>
      <c r="U2140" t="s">
        <v>52</v>
      </c>
      <c r="V2140" t="s">
        <v>52</v>
      </c>
      <c r="W2140" t="s">
        <v>52</v>
      </c>
      <c r="X2140" s="18" t="s">
        <v>52</v>
      </c>
      <c r="Y2140" s="18" t="s">
        <v>52</v>
      </c>
      <c r="Z2140" s="18" t="s">
        <v>52</v>
      </c>
      <c r="AA2140" s="18" t="s">
        <v>52</v>
      </c>
      <c r="AB2140" t="s">
        <v>52</v>
      </c>
      <c r="AC2140" t="s">
        <v>52</v>
      </c>
      <c r="AD2140" t="s">
        <v>52</v>
      </c>
      <c r="AE2140" t="s">
        <v>52</v>
      </c>
      <c r="AF2140" s="18" t="s">
        <v>52</v>
      </c>
      <c r="AG2140" s="18" t="s">
        <v>52</v>
      </c>
      <c r="AH2140" s="18" t="s">
        <v>52</v>
      </c>
      <c r="AI2140" s="18" t="s">
        <v>52</v>
      </c>
      <c r="AJ2140">
        <v>4</v>
      </c>
      <c r="AK2140">
        <v>6</v>
      </c>
      <c r="AL2140">
        <v>9</v>
      </c>
      <c r="AM2140">
        <v>3</v>
      </c>
      <c r="AN2140" s="18">
        <v>0</v>
      </c>
      <c r="AO2140" s="18">
        <v>0</v>
      </c>
      <c r="AP2140" s="18">
        <v>0.111111111111111</v>
      </c>
      <c r="AQ2140" s="18">
        <v>0</v>
      </c>
      <c r="AR2140" s="29">
        <v>0</v>
      </c>
      <c r="AS2140" s="29">
        <v>0</v>
      </c>
      <c r="AT2140" s="29">
        <v>13</v>
      </c>
      <c r="AU2140" s="24" t="str">
        <f t="shared" si="34"/>
        <v>库存为13</v>
      </c>
      <c r="AV2140" s="31" t="str">
        <f>IFERROR(时间!$B$4+AU2140,"上周无销量")</f>
        <v>上周无销量</v>
      </c>
    </row>
    <row r="2141" spans="1:48">
      <c r="A2141" s="16" t="s">
        <v>3765</v>
      </c>
      <c r="B2141" t="s">
        <v>3766</v>
      </c>
      <c r="C2141" t="s">
        <v>3764</v>
      </c>
      <c r="D2141" s="24">
        <v>0</v>
      </c>
      <c r="E2141" s="24">
        <v>0</v>
      </c>
      <c r="F2141" s="24">
        <v>0</v>
      </c>
      <c r="G2141" s="24">
        <v>0</v>
      </c>
      <c r="H2141" s="25">
        <v>0</v>
      </c>
      <c r="I2141">
        <v>14</v>
      </c>
      <c r="J2141" s="26">
        <v>0</v>
      </c>
      <c r="K2141" s="26">
        <v>0</v>
      </c>
      <c r="L2141" s="26">
        <v>0</v>
      </c>
      <c r="M2141">
        <v>14</v>
      </c>
      <c r="N2141">
        <v>0</v>
      </c>
      <c r="O2141">
        <v>0</v>
      </c>
      <c r="P2141">
        <v>2912</v>
      </c>
      <c r="Q2141">
        <v>1585</v>
      </c>
      <c r="R2141">
        <v>1675</v>
      </c>
      <c r="S2141">
        <v>3494</v>
      </c>
      <c r="T2141">
        <v>5</v>
      </c>
      <c r="U2141">
        <v>3</v>
      </c>
      <c r="V2141">
        <v>4</v>
      </c>
      <c r="W2141">
        <v>7</v>
      </c>
      <c r="X2141" s="18">
        <v>0.00171703296703297</v>
      </c>
      <c r="Y2141" s="18">
        <v>0.00189274447949527</v>
      </c>
      <c r="Z2141" s="18">
        <v>0.00238805970149254</v>
      </c>
      <c r="AA2141" s="18">
        <v>0.0020034344590727</v>
      </c>
      <c r="AB2141">
        <v>2.66</v>
      </c>
      <c r="AC2141">
        <v>1</v>
      </c>
      <c r="AD2141">
        <v>1.03</v>
      </c>
      <c r="AE2141">
        <v>2.08</v>
      </c>
      <c r="AF2141" s="18" t="s">
        <v>3767</v>
      </c>
      <c r="AG2141" s="18" t="s">
        <v>3768</v>
      </c>
      <c r="AH2141" s="18" t="s">
        <v>3769</v>
      </c>
      <c r="AI2141" s="18" t="s">
        <v>3770</v>
      </c>
      <c r="AJ2141">
        <v>16</v>
      </c>
      <c r="AK2141">
        <v>10</v>
      </c>
      <c r="AL2141">
        <v>16</v>
      </c>
      <c r="AM2141">
        <v>9</v>
      </c>
      <c r="AN2141" s="18">
        <v>0</v>
      </c>
      <c r="AO2141" s="18">
        <v>0</v>
      </c>
      <c r="AP2141" s="18">
        <v>0</v>
      </c>
      <c r="AQ2141" s="18">
        <v>0</v>
      </c>
      <c r="AR2141" s="29">
        <v>0</v>
      </c>
      <c r="AS2141" s="29">
        <v>0</v>
      </c>
      <c r="AT2141" s="29">
        <v>14</v>
      </c>
      <c r="AU2141" s="24" t="str">
        <f t="shared" si="34"/>
        <v>库存为14</v>
      </c>
      <c r="AV2141" s="31" t="str">
        <f>IFERROR(时间!$B$4+AU2141,"上周无销量")</f>
        <v>上周无销量</v>
      </c>
    </row>
    <row r="2142" spans="1:48">
      <c r="A2142" s="16" t="s">
        <v>3771</v>
      </c>
      <c r="B2142" t="s">
        <v>3772</v>
      </c>
      <c r="C2142" t="s">
        <v>3764</v>
      </c>
      <c r="D2142" s="24">
        <v>0</v>
      </c>
      <c r="E2142" s="24">
        <v>0</v>
      </c>
      <c r="F2142" s="24">
        <v>0</v>
      </c>
      <c r="G2142" s="24">
        <v>1</v>
      </c>
      <c r="H2142" s="25">
        <v>23.98</v>
      </c>
      <c r="I2142">
        <v>1</v>
      </c>
      <c r="J2142" s="26">
        <v>0</v>
      </c>
      <c r="K2142" s="26">
        <v>0</v>
      </c>
      <c r="L2142" s="26">
        <v>0</v>
      </c>
      <c r="M2142">
        <v>1</v>
      </c>
      <c r="N2142">
        <v>0</v>
      </c>
      <c r="O2142">
        <v>0</v>
      </c>
      <c r="P2142" t="s">
        <v>52</v>
      </c>
      <c r="Q2142" t="s">
        <v>52</v>
      </c>
      <c r="R2142" t="s">
        <v>52</v>
      </c>
      <c r="S2142" t="s">
        <v>52</v>
      </c>
      <c r="T2142" t="s">
        <v>52</v>
      </c>
      <c r="U2142" t="s">
        <v>52</v>
      </c>
      <c r="V2142" t="s">
        <v>52</v>
      </c>
      <c r="W2142" t="s">
        <v>52</v>
      </c>
      <c r="X2142" s="18" t="s">
        <v>52</v>
      </c>
      <c r="Y2142" s="18" t="s">
        <v>52</v>
      </c>
      <c r="Z2142" s="18" t="s">
        <v>52</v>
      </c>
      <c r="AA2142" s="18" t="s">
        <v>52</v>
      </c>
      <c r="AB2142" t="s">
        <v>52</v>
      </c>
      <c r="AC2142" t="s">
        <v>52</v>
      </c>
      <c r="AD2142" t="s">
        <v>52</v>
      </c>
      <c r="AE2142" t="s">
        <v>52</v>
      </c>
      <c r="AF2142" s="18" t="s">
        <v>52</v>
      </c>
      <c r="AG2142" s="18" t="s">
        <v>52</v>
      </c>
      <c r="AH2142" s="18" t="s">
        <v>52</v>
      </c>
      <c r="AI2142" s="18" t="s">
        <v>52</v>
      </c>
      <c r="AJ2142">
        <v>5</v>
      </c>
      <c r="AK2142">
        <v>12</v>
      </c>
      <c r="AL2142">
        <v>18</v>
      </c>
      <c r="AM2142">
        <v>16</v>
      </c>
      <c r="AN2142" s="18">
        <v>0</v>
      </c>
      <c r="AO2142" s="18">
        <v>0</v>
      </c>
      <c r="AP2142" s="18">
        <v>0</v>
      </c>
      <c r="AQ2142" s="18">
        <v>0.0625</v>
      </c>
      <c r="AR2142" s="29">
        <v>0</v>
      </c>
      <c r="AS2142" s="29">
        <v>0</v>
      </c>
      <c r="AT2142" s="29">
        <v>1</v>
      </c>
      <c r="AU2142" s="24" t="str">
        <f t="shared" si="34"/>
        <v>库存为1</v>
      </c>
      <c r="AV2142" s="31" t="str">
        <f>IFERROR(时间!$B$4+AU2142,"上周无销量")</f>
        <v>上周无销量</v>
      </c>
    </row>
    <row r="2143" spans="1:48">
      <c r="A2143" s="16" t="s">
        <v>3773</v>
      </c>
      <c r="B2143" t="s">
        <v>3774</v>
      </c>
      <c r="C2143" t="s">
        <v>3764</v>
      </c>
      <c r="D2143" s="24">
        <v>0</v>
      </c>
      <c r="E2143" s="24">
        <v>0</v>
      </c>
      <c r="F2143" s="24">
        <v>0</v>
      </c>
      <c r="G2143" s="24">
        <v>0</v>
      </c>
      <c r="H2143" s="25">
        <v>0</v>
      </c>
      <c r="I2143">
        <v>23</v>
      </c>
      <c r="J2143" s="26">
        <v>0</v>
      </c>
      <c r="K2143" s="26">
        <v>0</v>
      </c>
      <c r="L2143" s="26">
        <v>0</v>
      </c>
      <c r="M2143">
        <v>23</v>
      </c>
      <c r="N2143">
        <v>0</v>
      </c>
      <c r="O2143">
        <v>4</v>
      </c>
      <c r="P2143" t="s">
        <v>52</v>
      </c>
      <c r="Q2143" t="s">
        <v>52</v>
      </c>
      <c r="R2143" t="s">
        <v>52</v>
      </c>
      <c r="S2143" t="s">
        <v>52</v>
      </c>
      <c r="T2143" t="s">
        <v>52</v>
      </c>
      <c r="U2143" t="s">
        <v>52</v>
      </c>
      <c r="V2143" t="s">
        <v>52</v>
      </c>
      <c r="W2143" t="s">
        <v>52</v>
      </c>
      <c r="X2143" s="18" t="s">
        <v>52</v>
      </c>
      <c r="Y2143" s="18" t="s">
        <v>52</v>
      </c>
      <c r="Z2143" s="18" t="s">
        <v>52</v>
      </c>
      <c r="AA2143" s="18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s="18" t="s">
        <v>52</v>
      </c>
      <c r="AG2143" s="18" t="s">
        <v>52</v>
      </c>
      <c r="AH2143" s="18" t="s">
        <v>52</v>
      </c>
      <c r="AI2143" s="18" t="s">
        <v>52</v>
      </c>
      <c r="AJ2143">
        <v>2</v>
      </c>
      <c r="AK2143">
        <v>5</v>
      </c>
      <c r="AL2143">
        <v>6</v>
      </c>
      <c r="AM2143">
        <v>3</v>
      </c>
      <c r="AN2143" s="18">
        <v>0</v>
      </c>
      <c r="AO2143" s="18">
        <v>0</v>
      </c>
      <c r="AP2143" s="18">
        <v>0</v>
      </c>
      <c r="AQ2143" s="18">
        <v>0</v>
      </c>
      <c r="AR2143" s="29">
        <v>0</v>
      </c>
      <c r="AS2143" s="29">
        <v>0</v>
      </c>
      <c r="AT2143" s="29">
        <v>23</v>
      </c>
      <c r="AU2143" s="24" t="str">
        <f t="shared" si="34"/>
        <v>库存为23</v>
      </c>
      <c r="AV2143" s="31" t="str">
        <f>IFERROR(时间!$B$4+AU2143,"上周无销量")</f>
        <v>上周无销量</v>
      </c>
    </row>
    <row r="2144" spans="1:48">
      <c r="A2144" s="16" t="s">
        <v>3775</v>
      </c>
      <c r="B2144" t="s">
        <v>3776</v>
      </c>
      <c r="C2144" t="s">
        <v>3764</v>
      </c>
      <c r="D2144" s="24">
        <v>1</v>
      </c>
      <c r="E2144" s="24">
        <v>0</v>
      </c>
      <c r="F2144" s="24">
        <v>0</v>
      </c>
      <c r="G2144" s="24">
        <v>0</v>
      </c>
      <c r="H2144" s="25">
        <v>23.98</v>
      </c>
      <c r="I2144">
        <v>17</v>
      </c>
      <c r="J2144" s="26">
        <v>0</v>
      </c>
      <c r="K2144" s="26">
        <v>0</v>
      </c>
      <c r="L2144" s="26">
        <v>0</v>
      </c>
      <c r="M2144">
        <v>17</v>
      </c>
      <c r="N2144">
        <v>0</v>
      </c>
      <c r="O2144">
        <v>10</v>
      </c>
      <c r="P2144" t="s">
        <v>52</v>
      </c>
      <c r="Q2144" t="s">
        <v>52</v>
      </c>
      <c r="R2144" t="s">
        <v>52</v>
      </c>
      <c r="S2144" t="s">
        <v>52</v>
      </c>
      <c r="T2144" t="s">
        <v>52</v>
      </c>
      <c r="U2144" t="s">
        <v>52</v>
      </c>
      <c r="V2144" t="s">
        <v>52</v>
      </c>
      <c r="W2144" t="s">
        <v>52</v>
      </c>
      <c r="X2144" s="18" t="s">
        <v>52</v>
      </c>
      <c r="Y2144" s="18" t="s">
        <v>52</v>
      </c>
      <c r="Z2144" s="18" t="s">
        <v>52</v>
      </c>
      <c r="AA2144" s="18" t="s">
        <v>52</v>
      </c>
      <c r="AB2144" t="s">
        <v>52</v>
      </c>
      <c r="AC2144" t="s">
        <v>52</v>
      </c>
      <c r="AD2144" t="s">
        <v>52</v>
      </c>
      <c r="AE2144" t="s">
        <v>52</v>
      </c>
      <c r="AF2144" s="18" t="s">
        <v>52</v>
      </c>
      <c r="AG2144" s="18" t="s">
        <v>52</v>
      </c>
      <c r="AH2144" s="18" t="s">
        <v>52</v>
      </c>
      <c r="AI2144" s="18" t="s">
        <v>52</v>
      </c>
      <c r="AJ2144">
        <v>9</v>
      </c>
      <c r="AK2144">
        <v>3</v>
      </c>
      <c r="AL2144">
        <v>3</v>
      </c>
      <c r="AM2144">
        <v>7</v>
      </c>
      <c r="AN2144" s="18">
        <v>0.111111111111111</v>
      </c>
      <c r="AO2144" s="18">
        <v>0</v>
      </c>
      <c r="AP2144" s="18">
        <v>0</v>
      </c>
      <c r="AQ2144" s="18">
        <v>0</v>
      </c>
      <c r="AR2144" s="29">
        <v>0.142857142857143</v>
      </c>
      <c r="AS2144" s="29">
        <v>8.57142857142857</v>
      </c>
      <c r="AT2144" s="29">
        <v>8.42857142857143</v>
      </c>
      <c r="AU2144" s="24">
        <f t="shared" si="34"/>
        <v>119</v>
      </c>
      <c r="AV2144" s="31">
        <f>IFERROR(时间!$B$4+AU2144,"上周无销量")</f>
        <v>43437</v>
      </c>
    </row>
    <row r="2145" spans="1:48">
      <c r="A2145" s="16" t="s">
        <v>3777</v>
      </c>
      <c r="B2145" t="s">
        <v>3778</v>
      </c>
      <c r="C2145" t="s">
        <v>3764</v>
      </c>
      <c r="D2145" s="24">
        <v>1</v>
      </c>
      <c r="E2145" s="24">
        <v>0</v>
      </c>
      <c r="F2145" s="24">
        <v>0</v>
      </c>
      <c r="G2145" s="24">
        <v>0</v>
      </c>
      <c r="H2145" s="25">
        <v>23.98</v>
      </c>
      <c r="I2145">
        <v>14</v>
      </c>
      <c r="J2145" s="26">
        <v>0</v>
      </c>
      <c r="K2145" s="26">
        <v>0</v>
      </c>
      <c r="L2145" s="26">
        <v>0</v>
      </c>
      <c r="M2145">
        <v>14</v>
      </c>
      <c r="N2145">
        <v>0</v>
      </c>
      <c r="O2145">
        <v>7</v>
      </c>
      <c r="P2145" t="s">
        <v>52</v>
      </c>
      <c r="Q2145" t="s">
        <v>52</v>
      </c>
      <c r="R2145" t="s">
        <v>52</v>
      </c>
      <c r="S2145" t="s">
        <v>52</v>
      </c>
      <c r="T2145" t="s">
        <v>52</v>
      </c>
      <c r="U2145" t="s">
        <v>52</v>
      </c>
      <c r="V2145" t="s">
        <v>52</v>
      </c>
      <c r="W2145" t="s">
        <v>52</v>
      </c>
      <c r="X2145" s="18" t="s">
        <v>52</v>
      </c>
      <c r="Y2145" s="18" t="s">
        <v>52</v>
      </c>
      <c r="Z2145" s="18" t="s">
        <v>52</v>
      </c>
      <c r="AA2145" s="18" t="s">
        <v>52</v>
      </c>
      <c r="AB2145" t="s">
        <v>52</v>
      </c>
      <c r="AC2145" t="s">
        <v>52</v>
      </c>
      <c r="AD2145" t="s">
        <v>52</v>
      </c>
      <c r="AE2145" t="s">
        <v>52</v>
      </c>
      <c r="AF2145" s="18" t="s">
        <v>52</v>
      </c>
      <c r="AG2145" s="18" t="s">
        <v>52</v>
      </c>
      <c r="AH2145" s="18" t="s">
        <v>52</v>
      </c>
      <c r="AI2145" s="18" t="s">
        <v>52</v>
      </c>
      <c r="AJ2145">
        <v>8</v>
      </c>
      <c r="AK2145">
        <v>5</v>
      </c>
      <c r="AL2145">
        <v>3</v>
      </c>
      <c r="AM2145">
        <v>4</v>
      </c>
      <c r="AN2145" s="18">
        <v>0.125</v>
      </c>
      <c r="AO2145" s="18">
        <v>0</v>
      </c>
      <c r="AP2145" s="18">
        <v>0</v>
      </c>
      <c r="AQ2145" s="18">
        <v>0</v>
      </c>
      <c r="AR2145" s="29">
        <v>0.142857142857143</v>
      </c>
      <c r="AS2145" s="29">
        <v>8.57142857142857</v>
      </c>
      <c r="AT2145" s="29">
        <v>5.42857142857143</v>
      </c>
      <c r="AU2145" s="24">
        <f t="shared" si="34"/>
        <v>98</v>
      </c>
      <c r="AV2145" s="31">
        <f>IFERROR(时间!$B$4+AU2145,"上周无销量")</f>
        <v>43416</v>
      </c>
    </row>
    <row r="2146" spans="1:48">
      <c r="A2146" s="16" t="s">
        <v>3779</v>
      </c>
      <c r="B2146" t="s">
        <v>3780</v>
      </c>
      <c r="C2146" t="s">
        <v>3764</v>
      </c>
      <c r="D2146" s="24">
        <v>0</v>
      </c>
      <c r="E2146" s="24">
        <v>0</v>
      </c>
      <c r="F2146" s="24">
        <v>0</v>
      </c>
      <c r="G2146" s="24">
        <v>0</v>
      </c>
      <c r="H2146" s="25">
        <v>0</v>
      </c>
      <c r="I2146">
        <v>9</v>
      </c>
      <c r="J2146" s="26">
        <v>0</v>
      </c>
      <c r="K2146" s="26">
        <v>0</v>
      </c>
      <c r="L2146" s="26">
        <v>0</v>
      </c>
      <c r="M2146">
        <v>9</v>
      </c>
      <c r="N2146">
        <v>0</v>
      </c>
      <c r="O2146">
        <v>3</v>
      </c>
      <c r="P2146" t="s">
        <v>52</v>
      </c>
      <c r="Q2146" t="s">
        <v>52</v>
      </c>
      <c r="R2146" t="s">
        <v>52</v>
      </c>
      <c r="S2146" t="s">
        <v>52</v>
      </c>
      <c r="T2146" t="s">
        <v>52</v>
      </c>
      <c r="U2146" t="s">
        <v>52</v>
      </c>
      <c r="V2146" t="s">
        <v>52</v>
      </c>
      <c r="W2146" t="s">
        <v>52</v>
      </c>
      <c r="X2146" s="18" t="s">
        <v>52</v>
      </c>
      <c r="Y2146" s="18" t="s">
        <v>52</v>
      </c>
      <c r="Z2146" s="18" t="s">
        <v>52</v>
      </c>
      <c r="AA2146" s="18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s="18" t="s">
        <v>52</v>
      </c>
      <c r="AG2146" s="18" t="s">
        <v>52</v>
      </c>
      <c r="AH2146" s="18" t="s">
        <v>52</v>
      </c>
      <c r="AI2146" s="18" t="s">
        <v>52</v>
      </c>
      <c r="AJ2146">
        <v>2</v>
      </c>
      <c r="AK2146">
        <v>4</v>
      </c>
      <c r="AL2146">
        <v>6</v>
      </c>
      <c r="AM2146">
        <v>2</v>
      </c>
      <c r="AN2146" s="18">
        <v>0</v>
      </c>
      <c r="AO2146" s="18">
        <v>0</v>
      </c>
      <c r="AP2146" s="18">
        <v>0</v>
      </c>
      <c r="AQ2146" s="18">
        <v>0</v>
      </c>
      <c r="AR2146" s="29">
        <v>0</v>
      </c>
      <c r="AS2146" s="29">
        <v>0</v>
      </c>
      <c r="AT2146" s="29">
        <v>9</v>
      </c>
      <c r="AU2146" s="24" t="str">
        <f t="shared" si="34"/>
        <v>库存为9</v>
      </c>
      <c r="AV2146" s="31" t="str">
        <f>IFERROR(时间!$B$4+AU2146,"上周无销量")</f>
        <v>上周无销量</v>
      </c>
    </row>
    <row r="2147" spans="1:48">
      <c r="A2147" s="16" t="s">
        <v>3781</v>
      </c>
      <c r="B2147" t="s">
        <v>3782</v>
      </c>
      <c r="C2147" t="s">
        <v>3764</v>
      </c>
      <c r="D2147" s="24">
        <v>0</v>
      </c>
      <c r="E2147" s="24">
        <v>0</v>
      </c>
      <c r="F2147" s="24">
        <v>0</v>
      </c>
      <c r="G2147" s="24">
        <v>0</v>
      </c>
      <c r="H2147" s="25">
        <v>0</v>
      </c>
      <c r="I2147">
        <v>18</v>
      </c>
      <c r="J2147" s="26">
        <v>0</v>
      </c>
      <c r="K2147" s="26">
        <v>0</v>
      </c>
      <c r="L2147" s="26">
        <v>0</v>
      </c>
      <c r="M2147">
        <v>18</v>
      </c>
      <c r="N2147">
        <v>0</v>
      </c>
      <c r="O2147">
        <v>11</v>
      </c>
      <c r="P2147" t="s">
        <v>52</v>
      </c>
      <c r="Q2147" t="s">
        <v>52</v>
      </c>
      <c r="R2147" t="s">
        <v>52</v>
      </c>
      <c r="S2147" t="s">
        <v>52</v>
      </c>
      <c r="T2147" t="s">
        <v>52</v>
      </c>
      <c r="U2147" t="s">
        <v>52</v>
      </c>
      <c r="V2147" t="s">
        <v>52</v>
      </c>
      <c r="W2147" t="s">
        <v>52</v>
      </c>
      <c r="X2147" s="18" t="s">
        <v>52</v>
      </c>
      <c r="Y2147" s="18" t="s">
        <v>52</v>
      </c>
      <c r="Z2147" s="18" t="s">
        <v>52</v>
      </c>
      <c r="AA2147" s="18" t="s">
        <v>52</v>
      </c>
      <c r="AB2147" t="s">
        <v>52</v>
      </c>
      <c r="AC2147" t="s">
        <v>52</v>
      </c>
      <c r="AD2147" t="s">
        <v>52</v>
      </c>
      <c r="AE2147" t="s">
        <v>52</v>
      </c>
      <c r="AF2147" s="18" t="s">
        <v>52</v>
      </c>
      <c r="AG2147" s="18" t="s">
        <v>52</v>
      </c>
      <c r="AH2147" s="18" t="s">
        <v>52</v>
      </c>
      <c r="AI2147" s="18" t="s">
        <v>52</v>
      </c>
      <c r="AJ2147">
        <v>4</v>
      </c>
      <c r="AK2147">
        <v>6</v>
      </c>
      <c r="AL2147">
        <v>3</v>
      </c>
      <c r="AM2147">
        <v>3</v>
      </c>
      <c r="AN2147" s="18">
        <v>0</v>
      </c>
      <c r="AO2147" s="18">
        <v>0</v>
      </c>
      <c r="AP2147" s="18">
        <v>0</v>
      </c>
      <c r="AQ2147" s="18">
        <v>0</v>
      </c>
      <c r="AR2147" s="29">
        <v>0</v>
      </c>
      <c r="AS2147" s="29">
        <v>0</v>
      </c>
      <c r="AT2147" s="29">
        <v>18</v>
      </c>
      <c r="AU2147" s="24" t="str">
        <f t="shared" si="34"/>
        <v>库存为18</v>
      </c>
      <c r="AV2147" s="31" t="str">
        <f>IFERROR(时间!$B$4+AU2147,"上周无销量")</f>
        <v>上周无销量</v>
      </c>
    </row>
    <row r="2148" spans="1:48">
      <c r="A2148" s="16" t="s">
        <v>3783</v>
      </c>
      <c r="B2148" t="s">
        <v>3784</v>
      </c>
      <c r="C2148" t="s">
        <v>3764</v>
      </c>
      <c r="D2148" s="24">
        <v>0</v>
      </c>
      <c r="E2148" s="24">
        <v>0</v>
      </c>
      <c r="F2148" s="24">
        <v>0</v>
      </c>
      <c r="G2148" s="24">
        <v>0</v>
      </c>
      <c r="H2148" s="25">
        <v>0</v>
      </c>
      <c r="I2148">
        <v>15</v>
      </c>
      <c r="J2148" s="26">
        <v>0</v>
      </c>
      <c r="K2148" s="26">
        <v>0</v>
      </c>
      <c r="L2148" s="26">
        <v>0</v>
      </c>
      <c r="M2148">
        <v>15</v>
      </c>
      <c r="N2148">
        <v>0</v>
      </c>
      <c r="O2148">
        <v>15</v>
      </c>
      <c r="P2148" t="s">
        <v>52</v>
      </c>
      <c r="Q2148" t="s">
        <v>52</v>
      </c>
      <c r="R2148" t="s">
        <v>52</v>
      </c>
      <c r="S2148" t="s">
        <v>52</v>
      </c>
      <c r="T2148" t="s">
        <v>52</v>
      </c>
      <c r="U2148" t="s">
        <v>52</v>
      </c>
      <c r="V2148" t="s">
        <v>52</v>
      </c>
      <c r="W2148" t="s">
        <v>52</v>
      </c>
      <c r="X2148" s="18" t="s">
        <v>52</v>
      </c>
      <c r="Y2148" s="18" t="s">
        <v>52</v>
      </c>
      <c r="Z2148" s="18" t="s">
        <v>52</v>
      </c>
      <c r="AA2148" s="1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s="18" t="s">
        <v>52</v>
      </c>
      <c r="AG2148" s="18" t="s">
        <v>52</v>
      </c>
      <c r="AH2148" s="18" t="s">
        <v>52</v>
      </c>
      <c r="AI2148" s="18" t="s">
        <v>52</v>
      </c>
      <c r="AJ2148">
        <v>5</v>
      </c>
      <c r="AK2148">
        <v>7</v>
      </c>
      <c r="AL2148">
        <v>4</v>
      </c>
      <c r="AM2148">
        <v>2</v>
      </c>
      <c r="AN2148" s="18">
        <v>0</v>
      </c>
      <c r="AO2148" s="18">
        <v>0</v>
      </c>
      <c r="AP2148" s="18">
        <v>0</v>
      </c>
      <c r="AQ2148" s="18">
        <v>0</v>
      </c>
      <c r="AR2148" s="29">
        <v>0</v>
      </c>
      <c r="AS2148" s="29">
        <v>0</v>
      </c>
      <c r="AT2148" s="29">
        <v>15</v>
      </c>
      <c r="AU2148" s="24" t="str">
        <f t="shared" si="34"/>
        <v>库存为15</v>
      </c>
      <c r="AV2148" s="31" t="str">
        <f>IFERROR(时间!$B$4+AU2148,"上周无销量")</f>
        <v>上周无销量</v>
      </c>
    </row>
    <row r="2149" spans="1:48">
      <c r="A2149" s="16" t="s">
        <v>3785</v>
      </c>
      <c r="B2149" t="s">
        <v>3786</v>
      </c>
      <c r="C2149" t="s">
        <v>3764</v>
      </c>
      <c r="D2149" s="24">
        <v>0</v>
      </c>
      <c r="E2149" s="24">
        <v>0</v>
      </c>
      <c r="F2149" s="24">
        <v>0</v>
      </c>
      <c r="G2149" s="24">
        <v>1</v>
      </c>
      <c r="H2149" s="25">
        <v>23.98</v>
      </c>
      <c r="I2149">
        <v>11</v>
      </c>
      <c r="J2149" s="26">
        <v>0</v>
      </c>
      <c r="K2149" s="26">
        <v>0</v>
      </c>
      <c r="L2149" s="26">
        <v>0</v>
      </c>
      <c r="M2149">
        <v>11</v>
      </c>
      <c r="N2149">
        <v>0</v>
      </c>
      <c r="O2149">
        <v>11</v>
      </c>
      <c r="P2149" t="s">
        <v>52</v>
      </c>
      <c r="Q2149" t="s">
        <v>52</v>
      </c>
      <c r="R2149" t="s">
        <v>52</v>
      </c>
      <c r="S2149" t="s">
        <v>52</v>
      </c>
      <c r="T2149" t="s">
        <v>52</v>
      </c>
      <c r="U2149" t="s">
        <v>52</v>
      </c>
      <c r="V2149" t="s">
        <v>52</v>
      </c>
      <c r="W2149" t="s">
        <v>52</v>
      </c>
      <c r="X2149" s="18" t="s">
        <v>52</v>
      </c>
      <c r="Y2149" s="18" t="s">
        <v>52</v>
      </c>
      <c r="Z2149" s="18" t="s">
        <v>52</v>
      </c>
      <c r="AA2149" s="18" t="s">
        <v>52</v>
      </c>
      <c r="AB2149" t="s">
        <v>52</v>
      </c>
      <c r="AC2149" t="s">
        <v>52</v>
      </c>
      <c r="AD2149" t="s">
        <v>52</v>
      </c>
      <c r="AE2149" t="s">
        <v>52</v>
      </c>
      <c r="AF2149" s="18" t="s">
        <v>52</v>
      </c>
      <c r="AG2149" s="18" t="s">
        <v>52</v>
      </c>
      <c r="AH2149" s="18" t="s">
        <v>52</v>
      </c>
      <c r="AI2149" s="18" t="s">
        <v>52</v>
      </c>
      <c r="AJ2149">
        <v>9</v>
      </c>
      <c r="AK2149">
        <v>5</v>
      </c>
      <c r="AL2149">
        <v>10</v>
      </c>
      <c r="AM2149">
        <v>8</v>
      </c>
      <c r="AN2149" s="18">
        <v>0</v>
      </c>
      <c r="AO2149" s="18">
        <v>0</v>
      </c>
      <c r="AP2149" s="18">
        <v>0</v>
      </c>
      <c r="AQ2149" s="18">
        <v>0.125</v>
      </c>
      <c r="AR2149" s="29">
        <v>0</v>
      </c>
      <c r="AS2149" s="29">
        <v>0</v>
      </c>
      <c r="AT2149" s="29">
        <v>11</v>
      </c>
      <c r="AU2149" s="24" t="str">
        <f t="shared" si="34"/>
        <v>库存为11</v>
      </c>
      <c r="AV2149" s="31" t="str">
        <f>IFERROR(时间!$B$4+AU2149,"上周无销量")</f>
        <v>上周无销量</v>
      </c>
    </row>
    <row r="2150" spans="1:48">
      <c r="A2150" s="16" t="s">
        <v>3787</v>
      </c>
      <c r="B2150" t="s">
        <v>3788</v>
      </c>
      <c r="C2150" t="s">
        <v>3764</v>
      </c>
      <c r="D2150" s="24">
        <v>0</v>
      </c>
      <c r="E2150" s="24">
        <v>0</v>
      </c>
      <c r="F2150" s="24">
        <v>0</v>
      </c>
      <c r="G2150" s="24">
        <v>0</v>
      </c>
      <c r="H2150" s="25">
        <v>0</v>
      </c>
      <c r="I2150">
        <v>2</v>
      </c>
      <c r="J2150" s="26">
        <v>0</v>
      </c>
      <c r="K2150" s="26">
        <v>0</v>
      </c>
      <c r="L2150" s="26">
        <v>0</v>
      </c>
      <c r="M2150">
        <v>2</v>
      </c>
      <c r="N2150">
        <v>0</v>
      </c>
      <c r="O2150">
        <v>2</v>
      </c>
      <c r="P2150">
        <v>1578</v>
      </c>
      <c r="Q2150">
        <v>0</v>
      </c>
      <c r="R2150">
        <v>0</v>
      </c>
      <c r="S2150">
        <v>0</v>
      </c>
      <c r="T2150">
        <v>3</v>
      </c>
      <c r="U2150">
        <v>0</v>
      </c>
      <c r="V2150">
        <v>0</v>
      </c>
      <c r="W2150">
        <v>0</v>
      </c>
      <c r="X2150" s="18">
        <v>0.00190114068441065</v>
      </c>
      <c r="Y2150" s="18" t="s">
        <v>52</v>
      </c>
      <c r="Z2150" s="18" t="s">
        <v>52</v>
      </c>
      <c r="AA2150" s="18" t="s">
        <v>52</v>
      </c>
      <c r="AB2150">
        <v>1.68</v>
      </c>
      <c r="AC2150">
        <v>0</v>
      </c>
      <c r="AD2150">
        <v>0</v>
      </c>
      <c r="AE2150">
        <v>0</v>
      </c>
      <c r="AF2150" s="18" t="s">
        <v>2310</v>
      </c>
      <c r="AG2150" s="18" t="s">
        <v>52</v>
      </c>
      <c r="AH2150" s="18" t="s">
        <v>52</v>
      </c>
      <c r="AI2150" s="18" t="s">
        <v>52</v>
      </c>
      <c r="AJ2150">
        <v>4</v>
      </c>
      <c r="AK2150">
        <v>8</v>
      </c>
      <c r="AL2150">
        <v>5</v>
      </c>
      <c r="AM2150">
        <v>2</v>
      </c>
      <c r="AN2150" s="18">
        <v>0</v>
      </c>
      <c r="AO2150" s="18">
        <v>0</v>
      </c>
      <c r="AP2150" s="18">
        <v>0</v>
      </c>
      <c r="AQ2150" s="18">
        <v>0</v>
      </c>
      <c r="AR2150" s="29">
        <v>0</v>
      </c>
      <c r="AS2150" s="29">
        <v>0</v>
      </c>
      <c r="AT2150" s="29">
        <v>2</v>
      </c>
      <c r="AU2150" s="24" t="str">
        <f t="shared" si="34"/>
        <v>库存为2</v>
      </c>
      <c r="AV2150" s="31" t="str">
        <f>IFERROR(时间!$B$4+AU2150,"上周无销量")</f>
        <v>上周无销量</v>
      </c>
    </row>
    <row r="2151" spans="1:48">
      <c r="A2151" s="16" t="s">
        <v>3789</v>
      </c>
      <c r="B2151" t="s">
        <v>3790</v>
      </c>
      <c r="C2151" t="s">
        <v>3764</v>
      </c>
      <c r="D2151" s="24">
        <v>0</v>
      </c>
      <c r="E2151" s="24">
        <v>1</v>
      </c>
      <c r="F2151" s="24">
        <v>0</v>
      </c>
      <c r="G2151" s="24">
        <v>0</v>
      </c>
      <c r="H2151" s="25">
        <v>23.98</v>
      </c>
      <c r="I2151">
        <v>16</v>
      </c>
      <c r="J2151" s="26">
        <v>0</v>
      </c>
      <c r="K2151" s="26">
        <v>0</v>
      </c>
      <c r="L2151" s="26">
        <v>0</v>
      </c>
      <c r="M2151">
        <v>16</v>
      </c>
      <c r="N2151">
        <v>0</v>
      </c>
      <c r="O2151">
        <v>16</v>
      </c>
      <c r="P2151" t="s">
        <v>52</v>
      </c>
      <c r="Q2151" t="s">
        <v>52</v>
      </c>
      <c r="R2151" t="s">
        <v>52</v>
      </c>
      <c r="S2151" t="s">
        <v>52</v>
      </c>
      <c r="T2151" t="s">
        <v>52</v>
      </c>
      <c r="U2151" t="s">
        <v>52</v>
      </c>
      <c r="V2151" t="s">
        <v>52</v>
      </c>
      <c r="W2151" t="s">
        <v>52</v>
      </c>
      <c r="X2151" s="18" t="s">
        <v>52</v>
      </c>
      <c r="Y2151" s="18" t="s">
        <v>52</v>
      </c>
      <c r="Z2151" s="18" t="s">
        <v>52</v>
      </c>
      <c r="AA2151" s="18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s="18" t="s">
        <v>52</v>
      </c>
      <c r="AG2151" s="18" t="s">
        <v>52</v>
      </c>
      <c r="AH2151" s="18" t="s">
        <v>52</v>
      </c>
      <c r="AI2151" s="18" t="s">
        <v>52</v>
      </c>
      <c r="AJ2151">
        <v>2</v>
      </c>
      <c r="AK2151">
        <v>4</v>
      </c>
      <c r="AL2151">
        <v>2</v>
      </c>
      <c r="AM2151">
        <v>3</v>
      </c>
      <c r="AN2151" s="18">
        <v>0</v>
      </c>
      <c r="AO2151" s="18">
        <v>0.25</v>
      </c>
      <c r="AP2151" s="18">
        <v>0</v>
      </c>
      <c r="AQ2151" s="18">
        <v>0</v>
      </c>
      <c r="AR2151" s="29">
        <v>0</v>
      </c>
      <c r="AS2151" s="29">
        <v>0</v>
      </c>
      <c r="AT2151" s="29">
        <v>16</v>
      </c>
      <c r="AU2151" s="24" t="str">
        <f t="shared" si="34"/>
        <v>库存为16</v>
      </c>
      <c r="AV2151" s="31" t="str">
        <f>IFERROR(时间!$B$4+AU2151,"上周无销量")</f>
        <v>上周无销量</v>
      </c>
    </row>
    <row r="2152" spans="1:48">
      <c r="A2152" s="16" t="s">
        <v>3791</v>
      </c>
      <c r="B2152" t="s">
        <v>3792</v>
      </c>
      <c r="C2152" t="s">
        <v>3764</v>
      </c>
      <c r="D2152" s="24">
        <v>1</v>
      </c>
      <c r="E2152" s="24">
        <v>1</v>
      </c>
      <c r="F2152" s="24">
        <v>0</v>
      </c>
      <c r="G2152" s="24">
        <v>0</v>
      </c>
      <c r="H2152" s="25">
        <v>23.98</v>
      </c>
      <c r="I2152">
        <v>20</v>
      </c>
      <c r="J2152" s="26">
        <v>0</v>
      </c>
      <c r="K2152" s="26">
        <v>0</v>
      </c>
      <c r="L2152" s="26">
        <v>0</v>
      </c>
      <c r="M2152">
        <v>20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7746</v>
      </c>
      <c r="T2152">
        <v>0</v>
      </c>
      <c r="U2152">
        <v>0</v>
      </c>
      <c r="V2152">
        <v>0</v>
      </c>
      <c r="W2152">
        <v>18</v>
      </c>
      <c r="X2152" s="18" t="s">
        <v>52</v>
      </c>
      <c r="Y2152" s="18" t="s">
        <v>52</v>
      </c>
      <c r="Z2152" s="18" t="s">
        <v>52</v>
      </c>
      <c r="AA2152" s="18">
        <v>0.00232378001549187</v>
      </c>
      <c r="AB2152">
        <v>0</v>
      </c>
      <c r="AC2152">
        <v>0</v>
      </c>
      <c r="AD2152">
        <v>0</v>
      </c>
      <c r="AE2152">
        <v>10.96</v>
      </c>
      <c r="AF2152" s="18" t="s">
        <v>52</v>
      </c>
      <c r="AG2152" s="18" t="s">
        <v>52</v>
      </c>
      <c r="AH2152" s="18" t="s">
        <v>52</v>
      </c>
      <c r="AI2152" s="18" t="s">
        <v>3793</v>
      </c>
      <c r="AJ2152">
        <v>8</v>
      </c>
      <c r="AK2152">
        <v>6</v>
      </c>
      <c r="AL2152">
        <v>9</v>
      </c>
      <c r="AM2152">
        <v>6</v>
      </c>
      <c r="AN2152" s="18">
        <v>0.125</v>
      </c>
      <c r="AO2152" s="18">
        <v>0.166666666666667</v>
      </c>
      <c r="AP2152" s="18">
        <v>0</v>
      </c>
      <c r="AQ2152" s="18">
        <v>0</v>
      </c>
      <c r="AR2152" s="29">
        <v>0.142857142857143</v>
      </c>
      <c r="AS2152" s="29">
        <v>8.57142857142857</v>
      </c>
      <c r="AT2152" s="29">
        <v>11.4285714285714</v>
      </c>
      <c r="AU2152" s="24">
        <f t="shared" si="34"/>
        <v>140</v>
      </c>
      <c r="AV2152" s="31">
        <f>IFERROR(时间!$B$4+AU2152,"上周无销量")</f>
        <v>43458</v>
      </c>
    </row>
    <row r="2153" spans="1:48">
      <c r="A2153" s="16" t="s">
        <v>3794</v>
      </c>
      <c r="B2153" t="s">
        <v>3795</v>
      </c>
      <c r="C2153" t="s">
        <v>3764</v>
      </c>
      <c r="D2153" s="24">
        <v>0</v>
      </c>
      <c r="E2153" s="24">
        <v>4</v>
      </c>
      <c r="F2153" s="24">
        <v>2</v>
      </c>
      <c r="G2153" s="24">
        <v>2</v>
      </c>
      <c r="H2153" s="25">
        <v>23.98</v>
      </c>
      <c r="I2153">
        <v>0</v>
      </c>
      <c r="J2153" s="26">
        <v>0</v>
      </c>
      <c r="K2153" s="26">
        <v>0</v>
      </c>
      <c r="L2153" s="26">
        <v>0</v>
      </c>
      <c r="M2153">
        <v>0</v>
      </c>
      <c r="N2153">
        <v>0</v>
      </c>
      <c r="O2153">
        <v>0</v>
      </c>
      <c r="P2153" t="s">
        <v>52</v>
      </c>
      <c r="Q2153" t="s">
        <v>52</v>
      </c>
      <c r="R2153" t="s">
        <v>52</v>
      </c>
      <c r="S2153" t="s">
        <v>52</v>
      </c>
      <c r="T2153" t="s">
        <v>52</v>
      </c>
      <c r="U2153" t="s">
        <v>52</v>
      </c>
      <c r="V2153" t="s">
        <v>52</v>
      </c>
      <c r="W2153" t="s">
        <v>52</v>
      </c>
      <c r="X2153" s="18" t="s">
        <v>52</v>
      </c>
      <c r="Y2153" s="18" t="s">
        <v>52</v>
      </c>
      <c r="Z2153" s="18" t="s">
        <v>52</v>
      </c>
      <c r="AA2153" s="18" t="s">
        <v>52</v>
      </c>
      <c r="AB2153" t="s">
        <v>52</v>
      </c>
      <c r="AC2153" t="s">
        <v>52</v>
      </c>
      <c r="AD2153" t="s">
        <v>52</v>
      </c>
      <c r="AE2153" t="s">
        <v>52</v>
      </c>
      <c r="AF2153" s="18" t="s">
        <v>52</v>
      </c>
      <c r="AG2153" s="18" t="s">
        <v>52</v>
      </c>
      <c r="AH2153" s="18" t="s">
        <v>52</v>
      </c>
      <c r="AI2153" s="18" t="s">
        <v>52</v>
      </c>
      <c r="AJ2153">
        <v>0</v>
      </c>
      <c r="AK2153">
        <v>9</v>
      </c>
      <c r="AL2153">
        <v>5</v>
      </c>
      <c r="AM2153">
        <v>8</v>
      </c>
      <c r="AN2153" s="18" t="s">
        <v>52</v>
      </c>
      <c r="AO2153" s="18">
        <v>0.444444444444444</v>
      </c>
      <c r="AP2153" s="18">
        <v>0.4</v>
      </c>
      <c r="AQ2153" s="18">
        <v>0.25</v>
      </c>
      <c r="AR2153" s="29">
        <v>0</v>
      </c>
      <c r="AS2153" s="29">
        <v>0</v>
      </c>
      <c r="AT2153" s="29">
        <v>0</v>
      </c>
      <c r="AU2153" s="24" t="str">
        <f t="shared" si="34"/>
        <v>库存为0</v>
      </c>
      <c r="AV2153" s="31" t="str">
        <f>IFERROR(时间!$B$4+AU2153,"上周无销量")</f>
        <v>上周无销量</v>
      </c>
    </row>
    <row r="2154" spans="1:48">
      <c r="A2154" s="16" t="s">
        <v>3796</v>
      </c>
      <c r="B2154" t="s">
        <v>3797</v>
      </c>
      <c r="C2154" t="s">
        <v>3764</v>
      </c>
      <c r="D2154" s="24">
        <v>1</v>
      </c>
      <c r="E2154" s="24">
        <v>0</v>
      </c>
      <c r="F2154" s="24">
        <v>0</v>
      </c>
      <c r="G2154" s="24">
        <v>0</v>
      </c>
      <c r="H2154" s="25">
        <v>23.98</v>
      </c>
      <c r="I2154">
        <v>0</v>
      </c>
      <c r="J2154" s="26">
        <v>0</v>
      </c>
      <c r="K2154" s="26">
        <v>0</v>
      </c>
      <c r="L2154" s="26">
        <v>0</v>
      </c>
      <c r="M2154">
        <v>0</v>
      </c>
      <c r="N2154">
        <v>0</v>
      </c>
      <c r="O2154">
        <v>0</v>
      </c>
      <c r="P2154" t="s">
        <v>52</v>
      </c>
      <c r="Q2154" t="s">
        <v>52</v>
      </c>
      <c r="R2154" t="s">
        <v>52</v>
      </c>
      <c r="S2154" t="s">
        <v>52</v>
      </c>
      <c r="T2154" t="s">
        <v>52</v>
      </c>
      <c r="U2154" t="s">
        <v>52</v>
      </c>
      <c r="V2154" t="s">
        <v>52</v>
      </c>
      <c r="W2154" t="s">
        <v>52</v>
      </c>
      <c r="X2154" s="18" t="s">
        <v>52</v>
      </c>
      <c r="Y2154" s="18" t="s">
        <v>52</v>
      </c>
      <c r="Z2154" s="18" t="s">
        <v>52</v>
      </c>
      <c r="AA2154" s="18" t="s">
        <v>52</v>
      </c>
      <c r="AB2154" t="s">
        <v>52</v>
      </c>
      <c r="AC2154" t="s">
        <v>52</v>
      </c>
      <c r="AD2154" t="s">
        <v>52</v>
      </c>
      <c r="AE2154" t="s">
        <v>52</v>
      </c>
      <c r="AF2154" s="18" t="s">
        <v>52</v>
      </c>
      <c r="AG2154" s="18" t="s">
        <v>52</v>
      </c>
      <c r="AH2154" s="18" t="s">
        <v>52</v>
      </c>
      <c r="AI2154" s="18" t="s">
        <v>52</v>
      </c>
      <c r="AJ2154">
        <v>15</v>
      </c>
      <c r="AK2154">
        <v>7</v>
      </c>
      <c r="AL2154">
        <v>6</v>
      </c>
      <c r="AM2154">
        <v>8</v>
      </c>
      <c r="AN2154" s="18">
        <v>0.0666666666666667</v>
      </c>
      <c r="AO2154" s="18">
        <v>0</v>
      </c>
      <c r="AP2154" s="18">
        <v>0</v>
      </c>
      <c r="AQ2154" s="18">
        <v>0</v>
      </c>
      <c r="AR2154" s="29">
        <v>0.142857142857143</v>
      </c>
      <c r="AS2154" s="29">
        <v>8.57142857142857</v>
      </c>
      <c r="AT2154" s="29">
        <v>-8.57142857142857</v>
      </c>
      <c r="AU2154" s="24">
        <f t="shared" si="34"/>
        <v>0</v>
      </c>
      <c r="AV2154" s="31">
        <f>IFERROR(时间!$B$4+AU2154,"上周无销量")</f>
        <v>43318</v>
      </c>
    </row>
    <row r="2155" spans="1:48">
      <c r="A2155" s="16" t="s">
        <v>3798</v>
      </c>
      <c r="B2155" t="s">
        <v>3799</v>
      </c>
      <c r="C2155" t="s">
        <v>3764</v>
      </c>
      <c r="D2155" s="24">
        <v>0</v>
      </c>
      <c r="E2155" s="24">
        <v>0</v>
      </c>
      <c r="F2155" s="24">
        <v>0</v>
      </c>
      <c r="G2155" s="24">
        <v>0</v>
      </c>
      <c r="H2155" s="25">
        <v>0</v>
      </c>
      <c r="I2155">
        <v>27</v>
      </c>
      <c r="J2155" s="26">
        <v>0</v>
      </c>
      <c r="K2155" s="26">
        <v>0</v>
      </c>
      <c r="L2155" s="26">
        <v>0</v>
      </c>
      <c r="M2155">
        <v>27</v>
      </c>
      <c r="N2155">
        <v>0</v>
      </c>
      <c r="O2155">
        <v>12</v>
      </c>
      <c r="P2155" t="s">
        <v>52</v>
      </c>
      <c r="Q2155" t="s">
        <v>52</v>
      </c>
      <c r="R2155" t="s">
        <v>52</v>
      </c>
      <c r="S2155" t="s">
        <v>52</v>
      </c>
      <c r="T2155" t="s">
        <v>52</v>
      </c>
      <c r="U2155" t="s">
        <v>52</v>
      </c>
      <c r="V2155" t="s">
        <v>52</v>
      </c>
      <c r="W2155" t="s">
        <v>52</v>
      </c>
      <c r="X2155" s="18" t="s">
        <v>52</v>
      </c>
      <c r="Y2155" s="18" t="s">
        <v>52</v>
      </c>
      <c r="Z2155" s="18" t="s">
        <v>52</v>
      </c>
      <c r="AA2155" s="18" t="s">
        <v>52</v>
      </c>
      <c r="AB2155" t="s">
        <v>52</v>
      </c>
      <c r="AC2155" t="s">
        <v>52</v>
      </c>
      <c r="AD2155" t="s">
        <v>52</v>
      </c>
      <c r="AE2155" t="s">
        <v>52</v>
      </c>
      <c r="AF2155" s="18" t="s">
        <v>52</v>
      </c>
      <c r="AG2155" s="18" t="s">
        <v>52</v>
      </c>
      <c r="AH2155" s="18" t="s">
        <v>52</v>
      </c>
      <c r="AI2155" s="18" t="s">
        <v>52</v>
      </c>
      <c r="AJ2155">
        <v>7</v>
      </c>
      <c r="AK2155">
        <v>6</v>
      </c>
      <c r="AL2155">
        <v>7</v>
      </c>
      <c r="AM2155">
        <v>5</v>
      </c>
      <c r="AN2155" s="18">
        <v>0</v>
      </c>
      <c r="AO2155" s="18">
        <v>0</v>
      </c>
      <c r="AP2155" s="18">
        <v>0</v>
      </c>
      <c r="AQ2155" s="18">
        <v>0</v>
      </c>
      <c r="AR2155" s="29">
        <v>0</v>
      </c>
      <c r="AS2155" s="29">
        <v>0</v>
      </c>
      <c r="AT2155" s="29">
        <v>27</v>
      </c>
      <c r="AU2155" s="24" t="str">
        <f t="shared" si="34"/>
        <v>库存为27</v>
      </c>
      <c r="AV2155" s="31" t="str">
        <f>IFERROR(时间!$B$4+AU2155,"上周无销量")</f>
        <v>上周无销量</v>
      </c>
    </row>
    <row r="2156" spans="1:48">
      <c r="A2156" s="16" t="s">
        <v>3800</v>
      </c>
      <c r="B2156" t="s">
        <v>3801</v>
      </c>
      <c r="C2156" t="s">
        <v>3764</v>
      </c>
      <c r="D2156" s="24">
        <v>2</v>
      </c>
      <c r="E2156" s="24">
        <v>2</v>
      </c>
      <c r="F2156" s="24">
        <v>3</v>
      </c>
      <c r="G2156" s="24">
        <v>0</v>
      </c>
      <c r="H2156" s="25">
        <v>23.98</v>
      </c>
      <c r="I2156">
        <v>18</v>
      </c>
      <c r="J2156" s="26">
        <v>0</v>
      </c>
      <c r="K2156" s="26">
        <v>0</v>
      </c>
      <c r="L2156" s="26">
        <v>0</v>
      </c>
      <c r="M2156">
        <v>18</v>
      </c>
      <c r="N2156">
        <v>0</v>
      </c>
      <c r="O2156">
        <v>0</v>
      </c>
      <c r="P2156">
        <v>0</v>
      </c>
      <c r="Q2156">
        <v>0</v>
      </c>
      <c r="R2156">
        <v>176</v>
      </c>
      <c r="S2156">
        <v>1088</v>
      </c>
      <c r="T2156">
        <v>0</v>
      </c>
      <c r="U2156">
        <v>0</v>
      </c>
      <c r="V2156">
        <v>2</v>
      </c>
      <c r="W2156">
        <v>10</v>
      </c>
      <c r="X2156" s="18" t="s">
        <v>52</v>
      </c>
      <c r="Y2156" s="18" t="s">
        <v>52</v>
      </c>
      <c r="Z2156" s="18">
        <v>0.0113636363636364</v>
      </c>
      <c r="AA2156" s="18">
        <v>0.00919117647058824</v>
      </c>
      <c r="AB2156">
        <v>0</v>
      </c>
      <c r="AC2156">
        <v>0</v>
      </c>
      <c r="AD2156">
        <v>0.84</v>
      </c>
      <c r="AE2156">
        <v>6.19</v>
      </c>
      <c r="AF2156" s="18" t="s">
        <v>52</v>
      </c>
      <c r="AG2156" s="18" t="s">
        <v>52</v>
      </c>
      <c r="AH2156" s="18">
        <v>0.0116763969974979</v>
      </c>
      <c r="AI2156" s="18" t="s">
        <v>3802</v>
      </c>
      <c r="AJ2156">
        <v>7</v>
      </c>
      <c r="AK2156">
        <v>9</v>
      </c>
      <c r="AL2156">
        <v>9</v>
      </c>
      <c r="AM2156">
        <v>5</v>
      </c>
      <c r="AN2156" s="18">
        <v>0.285714285714286</v>
      </c>
      <c r="AO2156" s="18">
        <v>0.222222222222222</v>
      </c>
      <c r="AP2156" s="18">
        <v>0.333333333333333</v>
      </c>
      <c r="AQ2156" s="18">
        <v>0</v>
      </c>
      <c r="AR2156" s="29">
        <v>0.285714285714286</v>
      </c>
      <c r="AS2156" s="29">
        <v>17.1428571428571</v>
      </c>
      <c r="AT2156" s="29">
        <v>0.857142857142858</v>
      </c>
      <c r="AU2156" s="24">
        <f t="shared" si="34"/>
        <v>63</v>
      </c>
      <c r="AV2156" s="31">
        <f>IFERROR(时间!$B$4+AU2156,"上周无销量")</f>
        <v>43381</v>
      </c>
    </row>
    <row r="2157" spans="1:48">
      <c r="A2157" s="16" t="s">
        <v>3803</v>
      </c>
      <c r="B2157" t="s">
        <v>3804</v>
      </c>
      <c r="C2157" t="s">
        <v>3764</v>
      </c>
      <c r="D2157" s="24">
        <v>1</v>
      </c>
      <c r="E2157" s="24">
        <v>2</v>
      </c>
      <c r="F2157" s="24">
        <v>0</v>
      </c>
      <c r="G2157" s="24">
        <v>0</v>
      </c>
      <c r="H2157" s="25">
        <v>23.98</v>
      </c>
      <c r="I2157">
        <v>3</v>
      </c>
      <c r="J2157" s="26">
        <v>0</v>
      </c>
      <c r="K2157" s="26">
        <v>0</v>
      </c>
      <c r="L2157" s="26">
        <v>0</v>
      </c>
      <c r="M2157">
        <v>3</v>
      </c>
      <c r="N2157">
        <v>0</v>
      </c>
      <c r="O2157">
        <v>0</v>
      </c>
      <c r="P2157">
        <v>380</v>
      </c>
      <c r="Q2157">
        <v>0</v>
      </c>
      <c r="R2157">
        <v>0</v>
      </c>
      <c r="S2157">
        <v>0</v>
      </c>
      <c r="T2157">
        <v>2</v>
      </c>
      <c r="U2157">
        <v>0</v>
      </c>
      <c r="V2157">
        <v>0</v>
      </c>
      <c r="W2157">
        <v>0</v>
      </c>
      <c r="X2157" s="18">
        <v>0.00526315789473684</v>
      </c>
      <c r="Y2157" s="18" t="s">
        <v>52</v>
      </c>
      <c r="Z2157" s="18" t="s">
        <v>52</v>
      </c>
      <c r="AA2157" s="18" t="s">
        <v>52</v>
      </c>
      <c r="AB2157">
        <v>1.09</v>
      </c>
      <c r="AC2157">
        <v>0</v>
      </c>
      <c r="AD2157">
        <v>0</v>
      </c>
      <c r="AE2157">
        <v>0</v>
      </c>
      <c r="AF2157" s="18">
        <v>0.0454545454545455</v>
      </c>
      <c r="AG2157" s="18" t="s">
        <v>52</v>
      </c>
      <c r="AH2157" s="18" t="s">
        <v>52</v>
      </c>
      <c r="AI2157" s="18" t="s">
        <v>52</v>
      </c>
      <c r="AJ2157">
        <v>11</v>
      </c>
      <c r="AK2157">
        <v>9</v>
      </c>
      <c r="AL2157">
        <v>11</v>
      </c>
      <c r="AM2157">
        <v>8</v>
      </c>
      <c r="AN2157" s="18">
        <v>0.0909090909090909</v>
      </c>
      <c r="AO2157" s="18">
        <v>0.222222222222222</v>
      </c>
      <c r="AP2157" s="18">
        <v>0</v>
      </c>
      <c r="AQ2157" s="18">
        <v>0</v>
      </c>
      <c r="AR2157" s="29">
        <v>0.142857142857143</v>
      </c>
      <c r="AS2157" s="29">
        <v>8.57142857142857</v>
      </c>
      <c r="AT2157" s="29">
        <v>-5.57142857142857</v>
      </c>
      <c r="AU2157" s="24">
        <f t="shared" si="34"/>
        <v>21</v>
      </c>
      <c r="AV2157" s="31">
        <f>IFERROR(时间!$B$4+AU2157,"上周无销量")</f>
        <v>43339</v>
      </c>
    </row>
    <row r="2158" spans="1:48">
      <c r="A2158" s="16" t="s">
        <v>3805</v>
      </c>
      <c r="B2158" t="s">
        <v>3806</v>
      </c>
      <c r="C2158" t="s">
        <v>3764</v>
      </c>
      <c r="D2158" s="24">
        <v>0</v>
      </c>
      <c r="E2158" s="24">
        <v>0</v>
      </c>
      <c r="F2158" s="24">
        <v>0</v>
      </c>
      <c r="G2158" s="24">
        <v>0</v>
      </c>
      <c r="H2158" s="25">
        <v>0</v>
      </c>
      <c r="I2158">
        <v>1</v>
      </c>
      <c r="J2158" s="26">
        <v>0</v>
      </c>
      <c r="K2158" s="26">
        <v>0</v>
      </c>
      <c r="L2158" s="26">
        <v>0</v>
      </c>
      <c r="M2158">
        <v>1</v>
      </c>
      <c r="N2158">
        <v>0</v>
      </c>
      <c r="O2158">
        <v>0</v>
      </c>
      <c r="P2158" t="s">
        <v>52</v>
      </c>
      <c r="Q2158" t="s">
        <v>52</v>
      </c>
      <c r="R2158" t="s">
        <v>52</v>
      </c>
      <c r="S2158" t="s">
        <v>52</v>
      </c>
      <c r="T2158" t="s">
        <v>52</v>
      </c>
      <c r="U2158" t="s">
        <v>52</v>
      </c>
      <c r="V2158" t="s">
        <v>52</v>
      </c>
      <c r="W2158" t="s">
        <v>52</v>
      </c>
      <c r="X2158" s="18" t="s">
        <v>52</v>
      </c>
      <c r="Y2158" s="18" t="s">
        <v>52</v>
      </c>
      <c r="Z2158" s="18" t="s">
        <v>52</v>
      </c>
      <c r="AA2158" s="1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s="18" t="s">
        <v>52</v>
      </c>
      <c r="AG2158" s="18" t="s">
        <v>52</v>
      </c>
      <c r="AH2158" s="18" t="s">
        <v>52</v>
      </c>
      <c r="AI2158" s="18" t="s">
        <v>52</v>
      </c>
      <c r="AJ2158">
        <v>20</v>
      </c>
      <c r="AK2158">
        <v>8</v>
      </c>
      <c r="AL2158">
        <v>0</v>
      </c>
      <c r="AM2158">
        <v>0</v>
      </c>
      <c r="AN2158" s="18">
        <v>0</v>
      </c>
      <c r="AO2158" s="18">
        <v>0</v>
      </c>
      <c r="AP2158" s="18" t="s">
        <v>52</v>
      </c>
      <c r="AQ2158" s="18" t="s">
        <v>52</v>
      </c>
      <c r="AR2158" s="29">
        <v>0</v>
      </c>
      <c r="AS2158" s="29">
        <v>0</v>
      </c>
      <c r="AT2158" s="29">
        <v>1</v>
      </c>
      <c r="AU2158" s="24" t="str">
        <f t="shared" si="34"/>
        <v>库存为1</v>
      </c>
      <c r="AV2158" s="31" t="str">
        <f>IFERROR(时间!$B$4+AU2158,"上周无销量")</f>
        <v>上周无销量</v>
      </c>
    </row>
    <row r="2159" spans="1:48">
      <c r="A2159" s="16" t="s">
        <v>3807</v>
      </c>
      <c r="B2159" t="s">
        <v>3808</v>
      </c>
      <c r="C2159" t="s">
        <v>3764</v>
      </c>
      <c r="D2159" s="24">
        <v>1</v>
      </c>
      <c r="E2159" s="24">
        <v>0</v>
      </c>
      <c r="F2159" s="24">
        <v>2</v>
      </c>
      <c r="G2159" s="24">
        <v>0</v>
      </c>
      <c r="H2159" s="25">
        <v>23.98</v>
      </c>
      <c r="I2159">
        <v>17</v>
      </c>
      <c r="J2159" s="26">
        <v>0</v>
      </c>
      <c r="K2159" s="26">
        <v>0</v>
      </c>
      <c r="L2159" s="26">
        <v>0</v>
      </c>
      <c r="M2159">
        <v>17</v>
      </c>
      <c r="N2159">
        <v>0</v>
      </c>
      <c r="O2159">
        <v>1</v>
      </c>
      <c r="P2159" t="s">
        <v>52</v>
      </c>
      <c r="Q2159" t="s">
        <v>52</v>
      </c>
      <c r="R2159" t="s">
        <v>52</v>
      </c>
      <c r="S2159" t="s">
        <v>52</v>
      </c>
      <c r="T2159" t="s">
        <v>52</v>
      </c>
      <c r="U2159" t="s">
        <v>52</v>
      </c>
      <c r="V2159" t="s">
        <v>52</v>
      </c>
      <c r="W2159" t="s">
        <v>52</v>
      </c>
      <c r="X2159" s="18" t="s">
        <v>52</v>
      </c>
      <c r="Y2159" s="18" t="s">
        <v>52</v>
      </c>
      <c r="Z2159" s="18" t="s">
        <v>52</v>
      </c>
      <c r="AA2159" s="18" t="s">
        <v>52</v>
      </c>
      <c r="AB2159" t="s">
        <v>52</v>
      </c>
      <c r="AC2159" t="s">
        <v>52</v>
      </c>
      <c r="AD2159" t="s">
        <v>52</v>
      </c>
      <c r="AE2159" t="s">
        <v>52</v>
      </c>
      <c r="AF2159" s="18" t="s">
        <v>52</v>
      </c>
      <c r="AG2159" s="18" t="s">
        <v>52</v>
      </c>
      <c r="AH2159" s="18" t="s">
        <v>52</v>
      </c>
      <c r="AI2159" s="18" t="s">
        <v>52</v>
      </c>
      <c r="AJ2159">
        <v>3</v>
      </c>
      <c r="AK2159">
        <v>5</v>
      </c>
      <c r="AL2159">
        <v>8</v>
      </c>
      <c r="AM2159">
        <v>5</v>
      </c>
      <c r="AN2159" s="18">
        <v>0.333333333333333</v>
      </c>
      <c r="AO2159" s="18">
        <v>0</v>
      </c>
      <c r="AP2159" s="18">
        <v>0.25</v>
      </c>
      <c r="AQ2159" s="18">
        <v>0</v>
      </c>
      <c r="AR2159" s="29">
        <v>0.142857142857143</v>
      </c>
      <c r="AS2159" s="29">
        <v>8.57142857142857</v>
      </c>
      <c r="AT2159" s="29">
        <v>8.42857142857143</v>
      </c>
      <c r="AU2159" s="24">
        <f t="shared" si="34"/>
        <v>119</v>
      </c>
      <c r="AV2159" s="31">
        <f>IFERROR(时间!$B$4+AU2159,"上周无销量")</f>
        <v>43437</v>
      </c>
    </row>
    <row r="2160" spans="1:48">
      <c r="A2160" s="16" t="s">
        <v>3809</v>
      </c>
      <c r="B2160" t="s">
        <v>3810</v>
      </c>
      <c r="C2160" t="s">
        <v>3764</v>
      </c>
      <c r="D2160" s="24">
        <v>0</v>
      </c>
      <c r="E2160" s="24">
        <v>0</v>
      </c>
      <c r="F2160" s="24">
        <v>0</v>
      </c>
      <c r="G2160" s="24">
        <v>0</v>
      </c>
      <c r="H2160" s="25">
        <v>0</v>
      </c>
      <c r="I2160">
        <v>16</v>
      </c>
      <c r="J2160" s="26">
        <v>0</v>
      </c>
      <c r="K2160" s="26">
        <v>0</v>
      </c>
      <c r="L2160" s="26">
        <v>0</v>
      </c>
      <c r="M2160">
        <v>16</v>
      </c>
      <c r="N2160">
        <v>0</v>
      </c>
      <c r="O2160">
        <v>16</v>
      </c>
      <c r="P2160" t="s">
        <v>52</v>
      </c>
      <c r="Q2160" t="s">
        <v>52</v>
      </c>
      <c r="R2160" t="s">
        <v>52</v>
      </c>
      <c r="S2160" t="s">
        <v>52</v>
      </c>
      <c r="T2160" t="s">
        <v>52</v>
      </c>
      <c r="U2160" t="s">
        <v>52</v>
      </c>
      <c r="V2160" t="s">
        <v>52</v>
      </c>
      <c r="W2160" t="s">
        <v>52</v>
      </c>
      <c r="X2160" s="18" t="s">
        <v>52</v>
      </c>
      <c r="Y2160" s="18" t="s">
        <v>52</v>
      </c>
      <c r="Z2160" s="18" t="s">
        <v>52</v>
      </c>
      <c r="AA2160" s="18" t="s">
        <v>52</v>
      </c>
      <c r="AB2160" t="s">
        <v>52</v>
      </c>
      <c r="AC2160" t="s">
        <v>52</v>
      </c>
      <c r="AD2160" t="s">
        <v>52</v>
      </c>
      <c r="AE2160" t="s">
        <v>52</v>
      </c>
      <c r="AF2160" s="18" t="s">
        <v>52</v>
      </c>
      <c r="AG2160" s="18" t="s">
        <v>52</v>
      </c>
      <c r="AH2160" s="18" t="s">
        <v>52</v>
      </c>
      <c r="AI2160" s="18" t="s">
        <v>52</v>
      </c>
      <c r="AJ2160">
        <v>0</v>
      </c>
      <c r="AK2160">
        <v>8</v>
      </c>
      <c r="AL2160">
        <v>3</v>
      </c>
      <c r="AM2160">
        <v>3</v>
      </c>
      <c r="AN2160" s="18" t="s">
        <v>52</v>
      </c>
      <c r="AO2160" s="18">
        <v>0</v>
      </c>
      <c r="AP2160" s="18">
        <v>0</v>
      </c>
      <c r="AQ2160" s="18">
        <v>0</v>
      </c>
      <c r="AR2160" s="29">
        <v>0</v>
      </c>
      <c r="AS2160" s="29">
        <v>0</v>
      </c>
      <c r="AT2160" s="29">
        <v>16</v>
      </c>
      <c r="AU2160" s="24" t="str">
        <f t="shared" si="34"/>
        <v>库存为16</v>
      </c>
      <c r="AV2160" s="31" t="str">
        <f>IFERROR(时间!$B$4+AU2160,"上周无销量")</f>
        <v>上周无销量</v>
      </c>
    </row>
    <row r="2161" spans="1:48">
      <c r="A2161" s="16" t="s">
        <v>3811</v>
      </c>
      <c r="B2161" t="s">
        <v>3812</v>
      </c>
      <c r="C2161" t="s">
        <v>3764</v>
      </c>
      <c r="D2161" s="24">
        <v>1</v>
      </c>
      <c r="E2161" s="24">
        <v>0</v>
      </c>
      <c r="F2161" s="24">
        <v>0</v>
      </c>
      <c r="G2161" s="24">
        <v>0</v>
      </c>
      <c r="H2161" s="25">
        <v>23.98</v>
      </c>
      <c r="I2161">
        <v>11</v>
      </c>
      <c r="J2161" s="26">
        <v>0</v>
      </c>
      <c r="K2161" s="26">
        <v>0</v>
      </c>
      <c r="L2161" s="26">
        <v>1</v>
      </c>
      <c r="M2161">
        <v>12</v>
      </c>
      <c r="N2161">
        <v>0</v>
      </c>
      <c r="O2161">
        <v>12</v>
      </c>
      <c r="P2161" t="s">
        <v>52</v>
      </c>
      <c r="Q2161" t="s">
        <v>52</v>
      </c>
      <c r="R2161" t="s">
        <v>52</v>
      </c>
      <c r="S2161" t="s">
        <v>52</v>
      </c>
      <c r="T2161" t="s">
        <v>52</v>
      </c>
      <c r="U2161" t="s">
        <v>52</v>
      </c>
      <c r="V2161" t="s">
        <v>52</v>
      </c>
      <c r="W2161" t="s">
        <v>52</v>
      </c>
      <c r="X2161" s="18" t="s">
        <v>52</v>
      </c>
      <c r="Y2161" s="18" t="s">
        <v>52</v>
      </c>
      <c r="Z2161" s="18" t="s">
        <v>52</v>
      </c>
      <c r="AA2161" s="18" t="s">
        <v>52</v>
      </c>
      <c r="AB2161" t="s">
        <v>52</v>
      </c>
      <c r="AC2161" t="s">
        <v>52</v>
      </c>
      <c r="AD2161" t="s">
        <v>52</v>
      </c>
      <c r="AE2161" t="s">
        <v>52</v>
      </c>
      <c r="AF2161" s="18" t="s">
        <v>52</v>
      </c>
      <c r="AG2161" s="18" t="s">
        <v>52</v>
      </c>
      <c r="AH2161" s="18" t="s">
        <v>52</v>
      </c>
      <c r="AI2161" s="18" t="s">
        <v>52</v>
      </c>
      <c r="AJ2161">
        <v>3</v>
      </c>
      <c r="AK2161">
        <v>6</v>
      </c>
      <c r="AL2161">
        <v>7</v>
      </c>
      <c r="AM2161">
        <v>8</v>
      </c>
      <c r="AN2161" s="18">
        <v>0.333333333333333</v>
      </c>
      <c r="AO2161" s="18">
        <v>0</v>
      </c>
      <c r="AP2161" s="18">
        <v>0</v>
      </c>
      <c r="AQ2161" s="18">
        <v>0</v>
      </c>
      <c r="AR2161" s="29">
        <v>0.142857142857143</v>
      </c>
      <c r="AS2161" s="29">
        <v>8.57142857142857</v>
      </c>
      <c r="AT2161" s="29">
        <v>3.42857142857143</v>
      </c>
      <c r="AU2161" s="24">
        <f t="shared" si="34"/>
        <v>84</v>
      </c>
      <c r="AV2161" s="31">
        <f>IFERROR(时间!$B$4+AU2161,"上周无销量")</f>
        <v>43402</v>
      </c>
    </row>
    <row r="2162" spans="1:48">
      <c r="A2162" s="16" t="s">
        <v>3813</v>
      </c>
      <c r="B2162" t="s">
        <v>3814</v>
      </c>
      <c r="C2162" t="s">
        <v>3764</v>
      </c>
      <c r="D2162" s="24">
        <v>0</v>
      </c>
      <c r="E2162" s="24">
        <v>0</v>
      </c>
      <c r="F2162" s="24">
        <v>0</v>
      </c>
      <c r="G2162" s="24">
        <v>0</v>
      </c>
      <c r="H2162" s="25">
        <v>0</v>
      </c>
      <c r="I2162">
        <v>0</v>
      </c>
      <c r="J2162" s="26">
        <v>0</v>
      </c>
      <c r="K2162" s="26">
        <v>0</v>
      </c>
      <c r="L2162" s="26">
        <v>0</v>
      </c>
      <c r="M2162">
        <v>0</v>
      </c>
      <c r="N2162">
        <v>0</v>
      </c>
      <c r="O2162">
        <v>1</v>
      </c>
      <c r="P2162" t="s">
        <v>52</v>
      </c>
      <c r="Q2162" t="s">
        <v>52</v>
      </c>
      <c r="R2162" t="s">
        <v>52</v>
      </c>
      <c r="S2162" t="s">
        <v>52</v>
      </c>
      <c r="T2162" t="s">
        <v>52</v>
      </c>
      <c r="U2162" t="s">
        <v>52</v>
      </c>
      <c r="V2162" t="s">
        <v>52</v>
      </c>
      <c r="W2162" t="s">
        <v>52</v>
      </c>
      <c r="X2162" s="18" t="s">
        <v>52</v>
      </c>
      <c r="Y2162" s="18" t="s">
        <v>52</v>
      </c>
      <c r="Z2162" s="18" t="s">
        <v>52</v>
      </c>
      <c r="AA2162" s="18" t="s">
        <v>52</v>
      </c>
      <c r="AB2162" t="s">
        <v>52</v>
      </c>
      <c r="AC2162" t="s">
        <v>52</v>
      </c>
      <c r="AD2162" t="s">
        <v>52</v>
      </c>
      <c r="AE2162" t="s">
        <v>52</v>
      </c>
      <c r="AF2162" s="18" t="s">
        <v>52</v>
      </c>
      <c r="AG2162" s="18" t="s">
        <v>52</v>
      </c>
      <c r="AH2162" s="18" t="s">
        <v>52</v>
      </c>
      <c r="AI2162" s="18" t="s">
        <v>52</v>
      </c>
      <c r="AJ2162">
        <v>2</v>
      </c>
      <c r="AK2162">
        <v>8</v>
      </c>
      <c r="AL2162">
        <v>7</v>
      </c>
      <c r="AM2162">
        <v>4</v>
      </c>
      <c r="AN2162" s="18">
        <v>0</v>
      </c>
      <c r="AO2162" s="18">
        <v>0</v>
      </c>
      <c r="AP2162" s="18">
        <v>0</v>
      </c>
      <c r="AQ2162" s="18">
        <v>0</v>
      </c>
      <c r="AR2162" s="29">
        <v>0</v>
      </c>
      <c r="AS2162" s="29">
        <v>0</v>
      </c>
      <c r="AT2162" s="29">
        <v>0</v>
      </c>
      <c r="AU2162" s="24" t="str">
        <f t="shared" si="34"/>
        <v>库存为0</v>
      </c>
      <c r="AV2162" s="31" t="str">
        <f>IFERROR(时间!$B$4+AU2162,"上周无销量")</f>
        <v>上周无销量</v>
      </c>
    </row>
    <row r="2163" spans="1:48">
      <c r="A2163" s="16" t="s">
        <v>3815</v>
      </c>
      <c r="B2163" t="s">
        <v>3816</v>
      </c>
      <c r="C2163" t="s">
        <v>3764</v>
      </c>
      <c r="D2163" s="24">
        <v>0</v>
      </c>
      <c r="E2163" s="24">
        <v>0</v>
      </c>
      <c r="F2163" s="24">
        <v>0</v>
      </c>
      <c r="G2163" s="24">
        <v>0</v>
      </c>
      <c r="H2163" s="25">
        <v>0</v>
      </c>
      <c r="I2163">
        <v>19</v>
      </c>
      <c r="J2163" s="26">
        <v>0</v>
      </c>
      <c r="K2163" s="26">
        <v>0</v>
      </c>
      <c r="L2163" s="26">
        <v>0</v>
      </c>
      <c r="M2163">
        <v>19</v>
      </c>
      <c r="N2163">
        <v>0</v>
      </c>
      <c r="O2163">
        <v>19</v>
      </c>
      <c r="P2163" t="s">
        <v>52</v>
      </c>
      <c r="Q2163" t="s">
        <v>52</v>
      </c>
      <c r="R2163" t="s">
        <v>52</v>
      </c>
      <c r="S2163" t="s">
        <v>52</v>
      </c>
      <c r="T2163" t="s">
        <v>52</v>
      </c>
      <c r="U2163" t="s">
        <v>52</v>
      </c>
      <c r="V2163" t="s">
        <v>52</v>
      </c>
      <c r="W2163" t="s">
        <v>52</v>
      </c>
      <c r="X2163" s="18" t="s">
        <v>52</v>
      </c>
      <c r="Y2163" s="18" t="s">
        <v>52</v>
      </c>
      <c r="Z2163" s="18" t="s">
        <v>52</v>
      </c>
      <c r="AA2163" s="18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s="18" t="s">
        <v>52</v>
      </c>
      <c r="AG2163" s="18" t="s">
        <v>52</v>
      </c>
      <c r="AH2163" s="18" t="s">
        <v>52</v>
      </c>
      <c r="AI2163" s="18" t="s">
        <v>52</v>
      </c>
      <c r="AJ2163">
        <v>2</v>
      </c>
      <c r="AK2163">
        <v>4</v>
      </c>
      <c r="AL2163">
        <v>5</v>
      </c>
      <c r="AM2163">
        <v>2</v>
      </c>
      <c r="AN2163" s="18">
        <v>0</v>
      </c>
      <c r="AO2163" s="18">
        <v>0</v>
      </c>
      <c r="AP2163" s="18">
        <v>0</v>
      </c>
      <c r="AQ2163" s="18">
        <v>0</v>
      </c>
      <c r="AR2163" s="29">
        <v>0</v>
      </c>
      <c r="AS2163" s="29">
        <v>0</v>
      </c>
      <c r="AT2163" s="29">
        <v>19</v>
      </c>
      <c r="AU2163" s="24" t="str">
        <f t="shared" si="34"/>
        <v>库存为19</v>
      </c>
      <c r="AV2163" s="31" t="str">
        <f>IFERROR(时间!$B$4+AU2163,"上周无销量")</f>
        <v>上周无销量</v>
      </c>
    </row>
    <row r="2164" spans="1:48">
      <c r="A2164" s="16" t="s">
        <v>3817</v>
      </c>
      <c r="B2164" t="s">
        <v>3818</v>
      </c>
      <c r="C2164" t="s">
        <v>3764</v>
      </c>
      <c r="D2164" s="24">
        <v>1</v>
      </c>
      <c r="E2164" s="24">
        <v>0</v>
      </c>
      <c r="F2164" s="24">
        <v>0</v>
      </c>
      <c r="G2164" s="24">
        <v>1</v>
      </c>
      <c r="H2164" s="25">
        <v>23.98</v>
      </c>
      <c r="I2164">
        <v>21</v>
      </c>
      <c r="J2164" s="26">
        <v>0</v>
      </c>
      <c r="K2164" s="26">
        <v>0</v>
      </c>
      <c r="L2164" s="26">
        <v>0</v>
      </c>
      <c r="M2164">
        <v>21</v>
      </c>
      <c r="N2164">
        <v>0</v>
      </c>
      <c r="O2164">
        <v>9</v>
      </c>
      <c r="P2164" t="s">
        <v>52</v>
      </c>
      <c r="Q2164" t="s">
        <v>52</v>
      </c>
      <c r="R2164" t="s">
        <v>52</v>
      </c>
      <c r="S2164" t="s">
        <v>52</v>
      </c>
      <c r="T2164" t="s">
        <v>52</v>
      </c>
      <c r="U2164" t="s">
        <v>52</v>
      </c>
      <c r="V2164" t="s">
        <v>52</v>
      </c>
      <c r="W2164" t="s">
        <v>52</v>
      </c>
      <c r="X2164" s="18" t="s">
        <v>52</v>
      </c>
      <c r="Y2164" s="18" t="s">
        <v>52</v>
      </c>
      <c r="Z2164" s="18" t="s">
        <v>52</v>
      </c>
      <c r="AA2164" s="18" t="s">
        <v>52</v>
      </c>
      <c r="AB2164" t="s">
        <v>52</v>
      </c>
      <c r="AC2164" t="s">
        <v>52</v>
      </c>
      <c r="AD2164" t="s">
        <v>52</v>
      </c>
      <c r="AE2164" t="s">
        <v>52</v>
      </c>
      <c r="AF2164" s="18" t="s">
        <v>52</v>
      </c>
      <c r="AG2164" s="18" t="s">
        <v>52</v>
      </c>
      <c r="AH2164" s="18" t="s">
        <v>52</v>
      </c>
      <c r="AI2164" s="18" t="s">
        <v>52</v>
      </c>
      <c r="AJ2164">
        <v>3</v>
      </c>
      <c r="AK2164">
        <v>5</v>
      </c>
      <c r="AL2164">
        <v>4</v>
      </c>
      <c r="AM2164">
        <v>5</v>
      </c>
      <c r="AN2164" s="18">
        <v>0.333333333333333</v>
      </c>
      <c r="AO2164" s="18">
        <v>0</v>
      </c>
      <c r="AP2164" s="18">
        <v>0</v>
      </c>
      <c r="AQ2164" s="18">
        <v>0.2</v>
      </c>
      <c r="AR2164" s="29">
        <v>0.142857142857143</v>
      </c>
      <c r="AS2164" s="29">
        <v>8.57142857142857</v>
      </c>
      <c r="AT2164" s="29">
        <v>12.4285714285714</v>
      </c>
      <c r="AU2164" s="24">
        <f t="shared" si="34"/>
        <v>147</v>
      </c>
      <c r="AV2164" s="31">
        <f>IFERROR(时间!$B$4+AU2164,"上周无销量")</f>
        <v>43465</v>
      </c>
    </row>
    <row r="2165" spans="1:48">
      <c r="A2165" s="16" t="s">
        <v>3819</v>
      </c>
      <c r="B2165" t="s">
        <v>3820</v>
      </c>
      <c r="C2165" t="s">
        <v>3764</v>
      </c>
      <c r="D2165" s="24">
        <v>1</v>
      </c>
      <c r="E2165" s="24">
        <v>0</v>
      </c>
      <c r="F2165" s="24">
        <v>1</v>
      </c>
      <c r="G2165" s="24">
        <v>0</v>
      </c>
      <c r="H2165" s="25">
        <v>23.98</v>
      </c>
      <c r="I2165">
        <v>26</v>
      </c>
      <c r="J2165" s="26">
        <v>0</v>
      </c>
      <c r="K2165" s="26">
        <v>0</v>
      </c>
      <c r="L2165" s="26">
        <v>0</v>
      </c>
      <c r="M2165">
        <v>26</v>
      </c>
      <c r="N2165">
        <v>0</v>
      </c>
      <c r="O2165">
        <v>5</v>
      </c>
      <c r="P2165" t="s">
        <v>52</v>
      </c>
      <c r="Q2165" t="s">
        <v>52</v>
      </c>
      <c r="R2165" t="s">
        <v>52</v>
      </c>
      <c r="S2165" t="s">
        <v>52</v>
      </c>
      <c r="T2165" t="s">
        <v>52</v>
      </c>
      <c r="U2165" t="s">
        <v>52</v>
      </c>
      <c r="V2165" t="s">
        <v>52</v>
      </c>
      <c r="W2165" t="s">
        <v>52</v>
      </c>
      <c r="X2165" s="18" t="s">
        <v>52</v>
      </c>
      <c r="Y2165" s="18" t="s">
        <v>52</v>
      </c>
      <c r="Z2165" s="18" t="s">
        <v>52</v>
      </c>
      <c r="AA2165" s="18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s="18" t="s">
        <v>52</v>
      </c>
      <c r="AG2165" s="18" t="s">
        <v>52</v>
      </c>
      <c r="AH2165" s="18" t="s">
        <v>52</v>
      </c>
      <c r="AI2165" s="18" t="s">
        <v>52</v>
      </c>
      <c r="AJ2165">
        <v>9</v>
      </c>
      <c r="AK2165">
        <v>17</v>
      </c>
      <c r="AL2165">
        <v>8</v>
      </c>
      <c r="AM2165">
        <v>8</v>
      </c>
      <c r="AN2165" s="18">
        <v>0.111111111111111</v>
      </c>
      <c r="AO2165" s="18">
        <v>0</v>
      </c>
      <c r="AP2165" s="18">
        <v>0.125</v>
      </c>
      <c r="AQ2165" s="18">
        <v>0</v>
      </c>
      <c r="AR2165" s="29">
        <v>0.142857142857143</v>
      </c>
      <c r="AS2165" s="29">
        <v>8.57142857142857</v>
      </c>
      <c r="AT2165" s="29">
        <v>17.4285714285714</v>
      </c>
      <c r="AU2165" s="24">
        <f t="shared" si="34"/>
        <v>182</v>
      </c>
      <c r="AV2165" s="31">
        <f>IFERROR(时间!$B$4+AU2165,"上周无销量")</f>
        <v>43500</v>
      </c>
    </row>
    <row r="2166" spans="1:48">
      <c r="A2166" s="16" t="s">
        <v>3821</v>
      </c>
      <c r="B2166" t="s">
        <v>3822</v>
      </c>
      <c r="C2166" t="s">
        <v>3764</v>
      </c>
      <c r="D2166" s="24">
        <v>0</v>
      </c>
      <c r="E2166" s="24">
        <v>1</v>
      </c>
      <c r="F2166" s="24">
        <v>0</v>
      </c>
      <c r="G2166" s="24">
        <v>0</v>
      </c>
      <c r="H2166" s="25">
        <v>23.98</v>
      </c>
      <c r="I2166">
        <v>5</v>
      </c>
      <c r="J2166" s="26">
        <v>0</v>
      </c>
      <c r="K2166" s="26">
        <v>0</v>
      </c>
      <c r="L2166" s="26">
        <v>0</v>
      </c>
      <c r="M2166">
        <v>5</v>
      </c>
      <c r="N2166">
        <v>0</v>
      </c>
      <c r="O2166">
        <v>0</v>
      </c>
      <c r="P2166" t="s">
        <v>52</v>
      </c>
      <c r="Q2166" t="s">
        <v>52</v>
      </c>
      <c r="R2166" t="s">
        <v>52</v>
      </c>
      <c r="S2166" t="s">
        <v>52</v>
      </c>
      <c r="T2166" t="s">
        <v>52</v>
      </c>
      <c r="U2166" t="s">
        <v>52</v>
      </c>
      <c r="V2166" t="s">
        <v>52</v>
      </c>
      <c r="W2166" t="s">
        <v>52</v>
      </c>
      <c r="X2166" s="18" t="s">
        <v>52</v>
      </c>
      <c r="Y2166" s="18" t="s">
        <v>52</v>
      </c>
      <c r="Z2166" s="18" t="s">
        <v>52</v>
      </c>
      <c r="AA2166" s="18" t="s">
        <v>52</v>
      </c>
      <c r="AB2166" t="s">
        <v>52</v>
      </c>
      <c r="AC2166" t="s">
        <v>52</v>
      </c>
      <c r="AD2166" t="s">
        <v>52</v>
      </c>
      <c r="AE2166" t="s">
        <v>52</v>
      </c>
      <c r="AF2166" s="18" t="s">
        <v>52</v>
      </c>
      <c r="AG2166" s="18" t="s">
        <v>52</v>
      </c>
      <c r="AH2166" s="18" t="s">
        <v>52</v>
      </c>
      <c r="AI2166" s="18" t="s">
        <v>52</v>
      </c>
      <c r="AJ2166">
        <v>1</v>
      </c>
      <c r="AK2166">
        <v>3</v>
      </c>
      <c r="AL2166">
        <v>2</v>
      </c>
      <c r="AM2166">
        <v>6</v>
      </c>
      <c r="AN2166" s="18">
        <v>0</v>
      </c>
      <c r="AO2166" s="18">
        <v>0.333333333333333</v>
      </c>
      <c r="AP2166" s="18">
        <v>0</v>
      </c>
      <c r="AQ2166" s="18">
        <v>0</v>
      </c>
      <c r="AR2166" s="29">
        <v>0</v>
      </c>
      <c r="AS2166" s="29">
        <v>0</v>
      </c>
      <c r="AT2166" s="29">
        <v>5</v>
      </c>
      <c r="AU2166" s="24" t="str">
        <f t="shared" si="34"/>
        <v>库存为5</v>
      </c>
      <c r="AV2166" s="31" t="str">
        <f>IFERROR(时间!$B$4+AU2166,"上周无销量")</f>
        <v>上周无销量</v>
      </c>
    </row>
    <row r="2167" spans="1:48">
      <c r="A2167" s="16" t="s">
        <v>3823</v>
      </c>
      <c r="B2167" t="s">
        <v>3824</v>
      </c>
      <c r="C2167" t="s">
        <v>3764</v>
      </c>
      <c r="D2167" s="24">
        <v>0</v>
      </c>
      <c r="E2167" s="24">
        <v>3</v>
      </c>
      <c r="F2167" s="24">
        <v>0</v>
      </c>
      <c r="G2167" s="24">
        <v>0</v>
      </c>
      <c r="H2167" s="25">
        <v>23.98</v>
      </c>
      <c r="I2167">
        <v>14</v>
      </c>
      <c r="J2167" s="26">
        <v>0</v>
      </c>
      <c r="K2167" s="26">
        <v>0</v>
      </c>
      <c r="L2167" s="26">
        <v>0</v>
      </c>
      <c r="M2167">
        <v>14</v>
      </c>
      <c r="N2167">
        <v>0</v>
      </c>
      <c r="O2167">
        <v>0</v>
      </c>
      <c r="P2167" t="s">
        <v>52</v>
      </c>
      <c r="Q2167" t="s">
        <v>52</v>
      </c>
      <c r="R2167" t="s">
        <v>52</v>
      </c>
      <c r="S2167" t="s">
        <v>52</v>
      </c>
      <c r="T2167" t="s">
        <v>52</v>
      </c>
      <c r="U2167" t="s">
        <v>52</v>
      </c>
      <c r="V2167" t="s">
        <v>52</v>
      </c>
      <c r="W2167" t="s">
        <v>52</v>
      </c>
      <c r="X2167" s="18" t="s">
        <v>52</v>
      </c>
      <c r="Y2167" s="18" t="s">
        <v>52</v>
      </c>
      <c r="Z2167" s="18" t="s">
        <v>52</v>
      </c>
      <c r="AA2167" s="18" t="s">
        <v>52</v>
      </c>
      <c r="AB2167" t="s">
        <v>52</v>
      </c>
      <c r="AC2167" t="s">
        <v>52</v>
      </c>
      <c r="AD2167" t="s">
        <v>52</v>
      </c>
      <c r="AE2167" t="s">
        <v>52</v>
      </c>
      <c r="AF2167" s="18" t="s">
        <v>52</v>
      </c>
      <c r="AG2167" s="18" t="s">
        <v>52</v>
      </c>
      <c r="AH2167" s="18" t="s">
        <v>52</v>
      </c>
      <c r="AI2167" s="18" t="s">
        <v>52</v>
      </c>
      <c r="AJ2167">
        <v>5</v>
      </c>
      <c r="AK2167">
        <v>5</v>
      </c>
      <c r="AL2167">
        <v>4</v>
      </c>
      <c r="AM2167">
        <v>3</v>
      </c>
      <c r="AN2167" s="18">
        <v>0</v>
      </c>
      <c r="AO2167" s="18">
        <v>0.6</v>
      </c>
      <c r="AP2167" s="18">
        <v>0</v>
      </c>
      <c r="AQ2167" s="18">
        <v>0</v>
      </c>
      <c r="AR2167" s="29">
        <v>0</v>
      </c>
      <c r="AS2167" s="29">
        <v>0</v>
      </c>
      <c r="AT2167" s="29">
        <v>14</v>
      </c>
      <c r="AU2167" s="24" t="str">
        <f t="shared" si="34"/>
        <v>库存为14</v>
      </c>
      <c r="AV2167" s="31" t="str">
        <f>IFERROR(时间!$B$4+AU2167,"上周无销量")</f>
        <v>上周无销量</v>
      </c>
    </row>
    <row r="2168" spans="1:48">
      <c r="A2168" s="16" t="s">
        <v>3825</v>
      </c>
      <c r="B2168" t="s">
        <v>3826</v>
      </c>
      <c r="C2168" t="s">
        <v>3764</v>
      </c>
      <c r="D2168" s="24">
        <v>0</v>
      </c>
      <c r="E2168" s="24">
        <v>2</v>
      </c>
      <c r="F2168" s="24">
        <v>0</v>
      </c>
      <c r="G2168" s="24">
        <v>0</v>
      </c>
      <c r="H2168" s="25">
        <v>23.98</v>
      </c>
      <c r="I2168">
        <v>21</v>
      </c>
      <c r="J2168" s="26">
        <v>0</v>
      </c>
      <c r="K2168" s="26">
        <v>0</v>
      </c>
      <c r="L2168" s="26">
        <v>0</v>
      </c>
      <c r="M2168">
        <v>21</v>
      </c>
      <c r="N2168">
        <v>0</v>
      </c>
      <c r="O2168">
        <v>2</v>
      </c>
      <c r="P2168" t="s">
        <v>52</v>
      </c>
      <c r="Q2168" t="s">
        <v>52</v>
      </c>
      <c r="R2168" t="s">
        <v>52</v>
      </c>
      <c r="S2168" t="s">
        <v>52</v>
      </c>
      <c r="T2168" t="s">
        <v>52</v>
      </c>
      <c r="U2168" t="s">
        <v>52</v>
      </c>
      <c r="V2168" t="s">
        <v>52</v>
      </c>
      <c r="W2168" t="s">
        <v>52</v>
      </c>
      <c r="X2168" s="18" t="s">
        <v>52</v>
      </c>
      <c r="Y2168" s="18" t="s">
        <v>52</v>
      </c>
      <c r="Z2168" s="18" t="s">
        <v>52</v>
      </c>
      <c r="AA2168" s="18" t="s">
        <v>52</v>
      </c>
      <c r="AB2168" t="s">
        <v>52</v>
      </c>
      <c r="AC2168" t="s">
        <v>52</v>
      </c>
      <c r="AD2168" t="s">
        <v>52</v>
      </c>
      <c r="AE2168" t="s">
        <v>52</v>
      </c>
      <c r="AF2168" s="18" t="s">
        <v>52</v>
      </c>
      <c r="AG2168" s="18" t="s">
        <v>52</v>
      </c>
      <c r="AH2168" s="18" t="s">
        <v>52</v>
      </c>
      <c r="AI2168" s="18" t="s">
        <v>52</v>
      </c>
      <c r="AJ2168">
        <v>6</v>
      </c>
      <c r="AK2168">
        <v>3</v>
      </c>
      <c r="AL2168">
        <v>5</v>
      </c>
      <c r="AM2168">
        <v>4</v>
      </c>
      <c r="AN2168" s="18">
        <v>0</v>
      </c>
      <c r="AO2168" s="18">
        <v>0.666666666666667</v>
      </c>
      <c r="AP2168" s="18">
        <v>0</v>
      </c>
      <c r="AQ2168" s="18">
        <v>0</v>
      </c>
      <c r="AR2168" s="29">
        <v>0</v>
      </c>
      <c r="AS2168" s="29">
        <v>0</v>
      </c>
      <c r="AT2168" s="29">
        <v>21</v>
      </c>
      <c r="AU2168" s="24" t="str">
        <f t="shared" si="34"/>
        <v>库存为21</v>
      </c>
      <c r="AV2168" s="31" t="str">
        <f>IFERROR(时间!$B$4+AU2168,"上周无销量")</f>
        <v>上周无销量</v>
      </c>
    </row>
    <row r="2169" spans="1:48">
      <c r="A2169" s="16" t="s">
        <v>3827</v>
      </c>
      <c r="B2169" t="s">
        <v>3828</v>
      </c>
      <c r="C2169" t="s">
        <v>3764</v>
      </c>
      <c r="D2169" s="24">
        <v>1</v>
      </c>
      <c r="E2169" s="24">
        <v>2</v>
      </c>
      <c r="F2169" s="24">
        <v>0</v>
      </c>
      <c r="G2169" s="24">
        <v>1</v>
      </c>
      <c r="H2169" s="25">
        <v>23.98</v>
      </c>
      <c r="I2169">
        <v>12</v>
      </c>
      <c r="J2169" s="26">
        <v>0</v>
      </c>
      <c r="K2169" s="26">
        <v>0</v>
      </c>
      <c r="L2169" s="26">
        <v>0</v>
      </c>
      <c r="M2169">
        <v>12</v>
      </c>
      <c r="N2169">
        <v>0</v>
      </c>
      <c r="O2169">
        <v>0</v>
      </c>
      <c r="P2169" t="s">
        <v>52</v>
      </c>
      <c r="Q2169" t="s">
        <v>52</v>
      </c>
      <c r="R2169" t="s">
        <v>52</v>
      </c>
      <c r="S2169" t="s">
        <v>52</v>
      </c>
      <c r="T2169" t="s">
        <v>52</v>
      </c>
      <c r="U2169" t="s">
        <v>52</v>
      </c>
      <c r="V2169" t="s">
        <v>52</v>
      </c>
      <c r="W2169" t="s">
        <v>52</v>
      </c>
      <c r="X2169" s="18" t="s">
        <v>52</v>
      </c>
      <c r="Y2169" s="18" t="s">
        <v>52</v>
      </c>
      <c r="Z2169" s="18" t="s">
        <v>52</v>
      </c>
      <c r="AA2169" s="18" t="s">
        <v>52</v>
      </c>
      <c r="AB2169" t="s">
        <v>52</v>
      </c>
      <c r="AC2169" t="s">
        <v>52</v>
      </c>
      <c r="AD2169" t="s">
        <v>52</v>
      </c>
      <c r="AE2169" t="s">
        <v>52</v>
      </c>
      <c r="AF2169" s="18" t="s">
        <v>52</v>
      </c>
      <c r="AG2169" s="18" t="s">
        <v>52</v>
      </c>
      <c r="AH2169" s="18" t="s">
        <v>52</v>
      </c>
      <c r="AI2169" s="18" t="s">
        <v>52</v>
      </c>
      <c r="AJ2169">
        <v>14</v>
      </c>
      <c r="AK2169">
        <v>9</v>
      </c>
      <c r="AL2169">
        <v>10</v>
      </c>
      <c r="AM2169">
        <v>5</v>
      </c>
      <c r="AN2169" s="18">
        <v>0.0714285714285714</v>
      </c>
      <c r="AO2169" s="18">
        <v>0.222222222222222</v>
      </c>
      <c r="AP2169" s="18">
        <v>0</v>
      </c>
      <c r="AQ2169" s="18">
        <v>0.2</v>
      </c>
      <c r="AR2169" s="29">
        <v>0.142857142857143</v>
      </c>
      <c r="AS2169" s="29">
        <v>8.57142857142857</v>
      </c>
      <c r="AT2169" s="29">
        <v>3.42857142857143</v>
      </c>
      <c r="AU2169" s="24">
        <f t="shared" si="34"/>
        <v>84</v>
      </c>
      <c r="AV2169" s="31">
        <f>IFERROR(时间!$B$4+AU2169,"上周无销量")</f>
        <v>43402</v>
      </c>
    </row>
    <row r="2170" spans="1:48">
      <c r="A2170" s="16" t="s">
        <v>3829</v>
      </c>
      <c r="B2170" t="s">
        <v>3830</v>
      </c>
      <c r="C2170" t="s">
        <v>3764</v>
      </c>
      <c r="D2170" s="24">
        <v>0</v>
      </c>
      <c r="E2170" s="24">
        <v>0</v>
      </c>
      <c r="F2170" s="24">
        <v>0</v>
      </c>
      <c r="G2170" s="24">
        <v>0</v>
      </c>
      <c r="H2170" s="25">
        <v>0</v>
      </c>
      <c r="I2170">
        <v>6</v>
      </c>
      <c r="J2170" s="26">
        <v>0</v>
      </c>
      <c r="K2170" s="26">
        <v>0</v>
      </c>
      <c r="L2170" s="26">
        <v>0</v>
      </c>
      <c r="M2170">
        <v>6</v>
      </c>
      <c r="N2170">
        <v>0</v>
      </c>
      <c r="O2170">
        <v>1</v>
      </c>
      <c r="P2170">
        <v>465</v>
      </c>
      <c r="Q2170">
        <v>0</v>
      </c>
      <c r="R2170">
        <v>0</v>
      </c>
      <c r="S2170">
        <v>0</v>
      </c>
      <c r="T2170">
        <v>3</v>
      </c>
      <c r="U2170">
        <v>0</v>
      </c>
      <c r="V2170">
        <v>0</v>
      </c>
      <c r="W2170">
        <v>0</v>
      </c>
      <c r="X2170" s="18">
        <v>0.00645161290322581</v>
      </c>
      <c r="Y2170" s="18" t="s">
        <v>52</v>
      </c>
      <c r="Z2170" s="18" t="s">
        <v>52</v>
      </c>
      <c r="AA2170" s="18" t="s">
        <v>52</v>
      </c>
      <c r="AB2170">
        <v>1.78</v>
      </c>
      <c r="AC2170">
        <v>0</v>
      </c>
      <c r="AD2170">
        <v>0</v>
      </c>
      <c r="AE2170">
        <v>0</v>
      </c>
      <c r="AF2170" s="18" t="s">
        <v>3831</v>
      </c>
      <c r="AG2170" s="18" t="s">
        <v>52</v>
      </c>
      <c r="AH2170" s="18" t="s">
        <v>52</v>
      </c>
      <c r="AI2170" s="18" t="s">
        <v>52</v>
      </c>
      <c r="AJ2170">
        <v>14</v>
      </c>
      <c r="AK2170">
        <v>8</v>
      </c>
      <c r="AL2170">
        <v>13</v>
      </c>
      <c r="AM2170">
        <v>2</v>
      </c>
      <c r="AN2170" s="18">
        <v>0</v>
      </c>
      <c r="AO2170" s="18">
        <v>0</v>
      </c>
      <c r="AP2170" s="18">
        <v>0</v>
      </c>
      <c r="AQ2170" s="18">
        <v>0</v>
      </c>
      <c r="AR2170" s="29">
        <v>0</v>
      </c>
      <c r="AS2170" s="29">
        <v>0</v>
      </c>
      <c r="AT2170" s="29">
        <v>6</v>
      </c>
      <c r="AU2170" s="24" t="str">
        <f t="shared" si="34"/>
        <v>库存为6</v>
      </c>
      <c r="AV2170" s="31" t="str">
        <f>IFERROR(时间!$B$4+AU2170,"上周无销量")</f>
        <v>上周无销量</v>
      </c>
    </row>
    <row r="2171" spans="1:48">
      <c r="A2171" s="16" t="s">
        <v>3832</v>
      </c>
      <c r="B2171" t="s">
        <v>3833</v>
      </c>
      <c r="C2171" t="s">
        <v>3764</v>
      </c>
      <c r="D2171" s="24">
        <v>0</v>
      </c>
      <c r="E2171" s="24">
        <v>0</v>
      </c>
      <c r="F2171" s="24">
        <v>0</v>
      </c>
      <c r="G2171" s="24">
        <v>0</v>
      </c>
      <c r="H2171" s="25">
        <v>0</v>
      </c>
      <c r="I2171">
        <v>22</v>
      </c>
      <c r="J2171" s="26">
        <v>0</v>
      </c>
      <c r="K2171" s="26">
        <v>0</v>
      </c>
      <c r="L2171" s="26">
        <v>0</v>
      </c>
      <c r="M2171">
        <v>22</v>
      </c>
      <c r="N2171">
        <v>0</v>
      </c>
      <c r="O2171">
        <v>22</v>
      </c>
      <c r="P2171" t="s">
        <v>52</v>
      </c>
      <c r="Q2171" t="s">
        <v>52</v>
      </c>
      <c r="R2171" t="s">
        <v>52</v>
      </c>
      <c r="S2171" t="s">
        <v>52</v>
      </c>
      <c r="T2171" t="s">
        <v>52</v>
      </c>
      <c r="U2171" t="s">
        <v>52</v>
      </c>
      <c r="V2171" t="s">
        <v>52</v>
      </c>
      <c r="W2171" t="s">
        <v>52</v>
      </c>
      <c r="X2171" s="18" t="s">
        <v>52</v>
      </c>
      <c r="Y2171" s="18" t="s">
        <v>52</v>
      </c>
      <c r="Z2171" s="18" t="s">
        <v>52</v>
      </c>
      <c r="AA2171" s="18" t="s">
        <v>52</v>
      </c>
      <c r="AB2171" t="s">
        <v>52</v>
      </c>
      <c r="AC2171" t="s">
        <v>52</v>
      </c>
      <c r="AD2171" t="s">
        <v>52</v>
      </c>
      <c r="AE2171" t="s">
        <v>52</v>
      </c>
      <c r="AF2171" s="18" t="s">
        <v>52</v>
      </c>
      <c r="AG2171" s="18" t="s">
        <v>52</v>
      </c>
      <c r="AH2171" s="18" t="s">
        <v>52</v>
      </c>
      <c r="AI2171" s="18" t="s">
        <v>52</v>
      </c>
      <c r="AJ2171">
        <v>4</v>
      </c>
      <c r="AK2171">
        <v>2</v>
      </c>
      <c r="AL2171">
        <v>2</v>
      </c>
      <c r="AM2171">
        <v>4</v>
      </c>
      <c r="AN2171" s="18">
        <v>0</v>
      </c>
      <c r="AO2171" s="18">
        <v>0</v>
      </c>
      <c r="AP2171" s="18">
        <v>0</v>
      </c>
      <c r="AQ2171" s="18">
        <v>0</v>
      </c>
      <c r="AR2171" s="29">
        <v>0</v>
      </c>
      <c r="AS2171" s="29">
        <v>0</v>
      </c>
      <c r="AT2171" s="29">
        <v>22</v>
      </c>
      <c r="AU2171" s="24" t="str">
        <f t="shared" si="34"/>
        <v>库存为22</v>
      </c>
      <c r="AV2171" s="31" t="str">
        <f>IFERROR(时间!$B$4+AU2171,"上周无销量")</f>
        <v>上周无销量</v>
      </c>
    </row>
    <row r="2172" spans="1:48">
      <c r="A2172" s="16" t="s">
        <v>3834</v>
      </c>
      <c r="B2172" t="s">
        <v>3835</v>
      </c>
      <c r="C2172" t="s">
        <v>3764</v>
      </c>
      <c r="D2172" s="24">
        <v>0</v>
      </c>
      <c r="E2172" s="24">
        <v>0</v>
      </c>
      <c r="F2172" s="24">
        <v>0</v>
      </c>
      <c r="G2172" s="24">
        <v>0</v>
      </c>
      <c r="H2172" s="25">
        <v>0</v>
      </c>
      <c r="I2172">
        <v>7</v>
      </c>
      <c r="J2172" s="26">
        <v>0</v>
      </c>
      <c r="K2172" s="26">
        <v>0</v>
      </c>
      <c r="L2172" s="26">
        <v>0</v>
      </c>
      <c r="M2172">
        <v>7</v>
      </c>
      <c r="N2172">
        <v>0</v>
      </c>
      <c r="O2172">
        <v>7</v>
      </c>
      <c r="P2172" t="s">
        <v>52</v>
      </c>
      <c r="Q2172" t="s">
        <v>52</v>
      </c>
      <c r="R2172" t="s">
        <v>52</v>
      </c>
      <c r="S2172" t="s">
        <v>52</v>
      </c>
      <c r="T2172" t="s">
        <v>52</v>
      </c>
      <c r="U2172" t="s">
        <v>52</v>
      </c>
      <c r="V2172" t="s">
        <v>52</v>
      </c>
      <c r="W2172" t="s">
        <v>52</v>
      </c>
      <c r="X2172" s="18" t="s">
        <v>52</v>
      </c>
      <c r="Y2172" s="18" t="s">
        <v>52</v>
      </c>
      <c r="Z2172" s="18" t="s">
        <v>52</v>
      </c>
      <c r="AA2172" s="18" t="s">
        <v>52</v>
      </c>
      <c r="AB2172" t="s">
        <v>52</v>
      </c>
      <c r="AC2172" t="s">
        <v>52</v>
      </c>
      <c r="AD2172" t="s">
        <v>52</v>
      </c>
      <c r="AE2172" t="s">
        <v>52</v>
      </c>
      <c r="AF2172" s="18" t="s">
        <v>52</v>
      </c>
      <c r="AG2172" s="18" t="s">
        <v>52</v>
      </c>
      <c r="AH2172" s="18" t="s">
        <v>52</v>
      </c>
      <c r="AI2172" s="18" t="s">
        <v>52</v>
      </c>
      <c r="AJ2172">
        <v>2</v>
      </c>
      <c r="AK2172">
        <v>2</v>
      </c>
      <c r="AL2172">
        <v>2</v>
      </c>
      <c r="AM2172">
        <v>3</v>
      </c>
      <c r="AN2172" s="18">
        <v>0</v>
      </c>
      <c r="AO2172" s="18">
        <v>0</v>
      </c>
      <c r="AP2172" s="18">
        <v>0</v>
      </c>
      <c r="AQ2172" s="18">
        <v>0</v>
      </c>
      <c r="AR2172" s="29">
        <v>0</v>
      </c>
      <c r="AS2172" s="29">
        <v>0</v>
      </c>
      <c r="AT2172" s="29">
        <v>7</v>
      </c>
      <c r="AU2172" s="24" t="str">
        <f t="shared" si="34"/>
        <v>库存为7</v>
      </c>
      <c r="AV2172" s="31" t="str">
        <f>IFERROR(时间!$B$4+AU2172,"上周无销量")</f>
        <v>上周无销量</v>
      </c>
    </row>
    <row r="2173" spans="1:48">
      <c r="A2173" s="16" t="s">
        <v>3836</v>
      </c>
      <c r="B2173" t="s">
        <v>3837</v>
      </c>
      <c r="C2173" t="s">
        <v>3764</v>
      </c>
      <c r="D2173" s="24">
        <v>0</v>
      </c>
      <c r="E2173" s="24">
        <v>0</v>
      </c>
      <c r="F2173" s="24">
        <v>0</v>
      </c>
      <c r="G2173" s="24">
        <v>0</v>
      </c>
      <c r="H2173" s="25">
        <v>0</v>
      </c>
      <c r="I2173">
        <v>18</v>
      </c>
      <c r="J2173" s="26">
        <v>0</v>
      </c>
      <c r="K2173" s="26">
        <v>0</v>
      </c>
      <c r="L2173" s="26">
        <v>0</v>
      </c>
      <c r="M2173">
        <v>18</v>
      </c>
      <c r="N2173">
        <v>0</v>
      </c>
      <c r="O2173">
        <v>18</v>
      </c>
      <c r="P2173" t="s">
        <v>52</v>
      </c>
      <c r="Q2173" t="s">
        <v>52</v>
      </c>
      <c r="R2173" t="s">
        <v>52</v>
      </c>
      <c r="S2173" t="s">
        <v>52</v>
      </c>
      <c r="T2173" t="s">
        <v>52</v>
      </c>
      <c r="U2173" t="s">
        <v>52</v>
      </c>
      <c r="V2173" t="s">
        <v>52</v>
      </c>
      <c r="W2173" t="s">
        <v>52</v>
      </c>
      <c r="X2173" s="18" t="s">
        <v>52</v>
      </c>
      <c r="Y2173" s="18" t="s">
        <v>52</v>
      </c>
      <c r="Z2173" s="18" t="s">
        <v>52</v>
      </c>
      <c r="AA2173" s="18" t="s">
        <v>52</v>
      </c>
      <c r="AB2173" t="s">
        <v>52</v>
      </c>
      <c r="AC2173" t="s">
        <v>52</v>
      </c>
      <c r="AD2173" t="s">
        <v>52</v>
      </c>
      <c r="AE2173" t="s">
        <v>52</v>
      </c>
      <c r="AF2173" s="18" t="s">
        <v>52</v>
      </c>
      <c r="AG2173" s="18" t="s">
        <v>52</v>
      </c>
      <c r="AH2173" s="18" t="s">
        <v>52</v>
      </c>
      <c r="AI2173" s="18" t="s">
        <v>52</v>
      </c>
      <c r="AJ2173">
        <v>2</v>
      </c>
      <c r="AK2173">
        <v>3</v>
      </c>
      <c r="AL2173">
        <v>4</v>
      </c>
      <c r="AM2173">
        <v>3</v>
      </c>
      <c r="AN2173" s="18">
        <v>0</v>
      </c>
      <c r="AO2173" s="18">
        <v>0</v>
      </c>
      <c r="AP2173" s="18">
        <v>0</v>
      </c>
      <c r="AQ2173" s="18">
        <v>0</v>
      </c>
      <c r="AR2173" s="29">
        <v>0</v>
      </c>
      <c r="AS2173" s="29">
        <v>0</v>
      </c>
      <c r="AT2173" s="29">
        <v>18</v>
      </c>
      <c r="AU2173" s="24" t="str">
        <f t="shared" si="34"/>
        <v>库存为18</v>
      </c>
      <c r="AV2173" s="31" t="str">
        <f>IFERROR(时间!$B$4+AU2173,"上周无销量")</f>
        <v>上周无销量</v>
      </c>
    </row>
    <row r="2174" spans="1:48">
      <c r="A2174" s="16" t="s">
        <v>3838</v>
      </c>
      <c r="B2174" t="s">
        <v>3839</v>
      </c>
      <c r="C2174" t="s">
        <v>3764</v>
      </c>
      <c r="D2174" s="24">
        <v>1</v>
      </c>
      <c r="E2174" s="24">
        <v>0</v>
      </c>
      <c r="F2174" s="24">
        <v>0</v>
      </c>
      <c r="G2174" s="24">
        <v>0</v>
      </c>
      <c r="H2174" s="25">
        <v>23.98</v>
      </c>
      <c r="I2174">
        <v>11</v>
      </c>
      <c r="J2174" s="26">
        <v>0</v>
      </c>
      <c r="K2174" s="26">
        <v>0</v>
      </c>
      <c r="L2174" s="26">
        <v>0</v>
      </c>
      <c r="M2174">
        <v>11</v>
      </c>
      <c r="N2174">
        <v>0</v>
      </c>
      <c r="O2174">
        <v>11</v>
      </c>
      <c r="P2174" t="s">
        <v>52</v>
      </c>
      <c r="Q2174" t="s">
        <v>52</v>
      </c>
      <c r="R2174" t="s">
        <v>52</v>
      </c>
      <c r="S2174" t="s">
        <v>52</v>
      </c>
      <c r="T2174" t="s">
        <v>52</v>
      </c>
      <c r="U2174" t="s">
        <v>52</v>
      </c>
      <c r="V2174" t="s">
        <v>52</v>
      </c>
      <c r="W2174" t="s">
        <v>52</v>
      </c>
      <c r="X2174" s="18" t="s">
        <v>52</v>
      </c>
      <c r="Y2174" s="18" t="s">
        <v>52</v>
      </c>
      <c r="Z2174" s="18" t="s">
        <v>52</v>
      </c>
      <c r="AA2174" s="18" t="s">
        <v>52</v>
      </c>
      <c r="AB2174" t="s">
        <v>52</v>
      </c>
      <c r="AC2174" t="s">
        <v>52</v>
      </c>
      <c r="AD2174" t="s">
        <v>52</v>
      </c>
      <c r="AE2174" t="s">
        <v>52</v>
      </c>
      <c r="AF2174" s="18" t="s">
        <v>52</v>
      </c>
      <c r="AG2174" s="18" t="s">
        <v>52</v>
      </c>
      <c r="AH2174" s="18" t="s">
        <v>52</v>
      </c>
      <c r="AI2174" s="18" t="s">
        <v>52</v>
      </c>
      <c r="AJ2174">
        <v>2</v>
      </c>
      <c r="AK2174">
        <v>1</v>
      </c>
      <c r="AL2174">
        <v>1</v>
      </c>
      <c r="AM2174">
        <v>6</v>
      </c>
      <c r="AN2174" s="18">
        <v>0.5</v>
      </c>
      <c r="AO2174" s="18">
        <v>0</v>
      </c>
      <c r="AP2174" s="18">
        <v>0</v>
      </c>
      <c r="AQ2174" s="18">
        <v>0</v>
      </c>
      <c r="AR2174" s="29">
        <v>0.142857142857143</v>
      </c>
      <c r="AS2174" s="29">
        <v>8.57142857142857</v>
      </c>
      <c r="AT2174" s="29">
        <v>2.42857142857143</v>
      </c>
      <c r="AU2174" s="24">
        <f t="shared" si="34"/>
        <v>77</v>
      </c>
      <c r="AV2174" s="31">
        <f>IFERROR(时间!$B$4+AU2174,"上周无销量")</f>
        <v>43395</v>
      </c>
    </row>
    <row r="2175" spans="1:48">
      <c r="A2175" s="16" t="s">
        <v>3840</v>
      </c>
      <c r="B2175" t="s">
        <v>3841</v>
      </c>
      <c r="C2175" t="s">
        <v>3764</v>
      </c>
      <c r="D2175" s="24">
        <v>1</v>
      </c>
      <c r="E2175" s="24">
        <v>0</v>
      </c>
      <c r="F2175" s="24">
        <v>0</v>
      </c>
      <c r="G2175" s="24">
        <v>0</v>
      </c>
      <c r="H2175" s="25">
        <v>23.98</v>
      </c>
      <c r="I2175">
        <v>16</v>
      </c>
      <c r="J2175" s="26">
        <v>0</v>
      </c>
      <c r="K2175" s="26">
        <v>0</v>
      </c>
      <c r="L2175" s="26">
        <v>0</v>
      </c>
      <c r="M2175">
        <v>16</v>
      </c>
      <c r="N2175">
        <v>0</v>
      </c>
      <c r="O2175">
        <v>3</v>
      </c>
      <c r="P2175" t="s">
        <v>52</v>
      </c>
      <c r="Q2175" t="s">
        <v>52</v>
      </c>
      <c r="R2175" t="s">
        <v>52</v>
      </c>
      <c r="S2175" t="s">
        <v>52</v>
      </c>
      <c r="T2175" t="s">
        <v>52</v>
      </c>
      <c r="U2175" t="s">
        <v>52</v>
      </c>
      <c r="V2175" t="s">
        <v>52</v>
      </c>
      <c r="W2175" t="s">
        <v>52</v>
      </c>
      <c r="X2175" s="18" t="s">
        <v>52</v>
      </c>
      <c r="Y2175" s="18" t="s">
        <v>52</v>
      </c>
      <c r="Z2175" s="18" t="s">
        <v>52</v>
      </c>
      <c r="AA2175" s="18" t="s">
        <v>52</v>
      </c>
      <c r="AB2175" t="s">
        <v>52</v>
      </c>
      <c r="AC2175" t="s">
        <v>52</v>
      </c>
      <c r="AD2175" t="s">
        <v>52</v>
      </c>
      <c r="AE2175" t="s">
        <v>52</v>
      </c>
      <c r="AF2175" s="18" t="s">
        <v>52</v>
      </c>
      <c r="AG2175" s="18" t="s">
        <v>52</v>
      </c>
      <c r="AH2175" s="18" t="s">
        <v>52</v>
      </c>
      <c r="AI2175" s="18" t="s">
        <v>52</v>
      </c>
      <c r="AJ2175">
        <v>4</v>
      </c>
      <c r="AK2175">
        <v>4</v>
      </c>
      <c r="AL2175">
        <v>4</v>
      </c>
      <c r="AM2175">
        <v>6</v>
      </c>
      <c r="AN2175" s="18">
        <v>0.25</v>
      </c>
      <c r="AO2175" s="18">
        <v>0</v>
      </c>
      <c r="AP2175" s="18">
        <v>0</v>
      </c>
      <c r="AQ2175" s="18">
        <v>0</v>
      </c>
      <c r="AR2175" s="29">
        <v>0.142857142857143</v>
      </c>
      <c r="AS2175" s="29">
        <v>8.57142857142857</v>
      </c>
      <c r="AT2175" s="29">
        <v>7.42857142857143</v>
      </c>
      <c r="AU2175" s="24">
        <f t="shared" si="34"/>
        <v>112</v>
      </c>
      <c r="AV2175" s="31">
        <f>IFERROR(时间!$B$4+AU2175,"上周无销量")</f>
        <v>43430</v>
      </c>
    </row>
    <row r="2176" spans="1:48">
      <c r="A2176" s="16" t="s">
        <v>3842</v>
      </c>
      <c r="B2176" t="s">
        <v>3843</v>
      </c>
      <c r="C2176" t="s">
        <v>3764</v>
      </c>
      <c r="D2176" s="24">
        <v>2</v>
      </c>
      <c r="E2176" s="24">
        <v>1</v>
      </c>
      <c r="F2176" s="24">
        <v>0</v>
      </c>
      <c r="G2176" s="24">
        <v>0</v>
      </c>
      <c r="H2176" s="25">
        <v>23.98</v>
      </c>
      <c r="I2176">
        <v>25</v>
      </c>
      <c r="J2176" s="26">
        <v>0</v>
      </c>
      <c r="K2176" s="26">
        <v>0</v>
      </c>
      <c r="L2176" s="26">
        <v>0</v>
      </c>
      <c r="M2176">
        <v>25</v>
      </c>
      <c r="N2176">
        <v>0</v>
      </c>
      <c r="O2176">
        <v>10</v>
      </c>
      <c r="P2176" t="s">
        <v>52</v>
      </c>
      <c r="Q2176" t="s">
        <v>52</v>
      </c>
      <c r="R2176" t="s">
        <v>52</v>
      </c>
      <c r="S2176" t="s">
        <v>52</v>
      </c>
      <c r="T2176" t="s">
        <v>52</v>
      </c>
      <c r="U2176" t="s">
        <v>52</v>
      </c>
      <c r="V2176" t="s">
        <v>52</v>
      </c>
      <c r="W2176" t="s">
        <v>52</v>
      </c>
      <c r="X2176" s="18" t="s">
        <v>52</v>
      </c>
      <c r="Y2176" s="18" t="s">
        <v>52</v>
      </c>
      <c r="Z2176" s="18" t="s">
        <v>52</v>
      </c>
      <c r="AA2176" s="18" t="s">
        <v>52</v>
      </c>
      <c r="AB2176" t="s">
        <v>52</v>
      </c>
      <c r="AC2176" t="s">
        <v>52</v>
      </c>
      <c r="AD2176" t="s">
        <v>52</v>
      </c>
      <c r="AE2176" t="s">
        <v>52</v>
      </c>
      <c r="AF2176" s="18" t="s">
        <v>52</v>
      </c>
      <c r="AG2176" s="18" t="s">
        <v>52</v>
      </c>
      <c r="AH2176" s="18" t="s">
        <v>52</v>
      </c>
      <c r="AI2176" s="18" t="s">
        <v>52</v>
      </c>
      <c r="AJ2176">
        <v>7</v>
      </c>
      <c r="AK2176">
        <v>1</v>
      </c>
      <c r="AL2176">
        <v>5</v>
      </c>
      <c r="AM2176">
        <v>5</v>
      </c>
      <c r="AN2176" s="18">
        <v>0.285714285714286</v>
      </c>
      <c r="AO2176" s="18">
        <v>1</v>
      </c>
      <c r="AP2176" s="18">
        <v>0</v>
      </c>
      <c r="AQ2176" s="18">
        <v>0</v>
      </c>
      <c r="AR2176" s="29">
        <v>0.285714285714286</v>
      </c>
      <c r="AS2176" s="29">
        <v>17.1428571428571</v>
      </c>
      <c r="AT2176" s="29">
        <v>7.85714285714286</v>
      </c>
      <c r="AU2176" s="24">
        <f t="shared" si="34"/>
        <v>87</v>
      </c>
      <c r="AV2176" s="31">
        <f>IFERROR(时间!$B$4+AU2176,"上周无销量")</f>
        <v>43405</v>
      </c>
    </row>
    <row r="2177" spans="1:48">
      <c r="A2177" s="16" t="s">
        <v>3844</v>
      </c>
      <c r="B2177" t="s">
        <v>3845</v>
      </c>
      <c r="C2177" t="s">
        <v>3764</v>
      </c>
      <c r="D2177" s="24">
        <v>1</v>
      </c>
      <c r="E2177" s="24">
        <v>1</v>
      </c>
      <c r="F2177" s="24">
        <v>0</v>
      </c>
      <c r="G2177" s="24">
        <v>0</v>
      </c>
      <c r="H2177" s="25">
        <v>23.98</v>
      </c>
      <c r="I2177">
        <v>6</v>
      </c>
      <c r="J2177" s="26">
        <v>0</v>
      </c>
      <c r="K2177" s="26">
        <v>0</v>
      </c>
      <c r="L2177" s="26">
        <v>0</v>
      </c>
      <c r="M2177">
        <v>6</v>
      </c>
      <c r="N2177">
        <v>0</v>
      </c>
      <c r="O2177">
        <v>0</v>
      </c>
      <c r="P2177" t="s">
        <v>52</v>
      </c>
      <c r="Q2177" t="s">
        <v>52</v>
      </c>
      <c r="R2177" t="s">
        <v>52</v>
      </c>
      <c r="S2177" t="s">
        <v>52</v>
      </c>
      <c r="T2177" t="s">
        <v>52</v>
      </c>
      <c r="U2177" t="s">
        <v>52</v>
      </c>
      <c r="V2177" t="s">
        <v>52</v>
      </c>
      <c r="W2177" t="s">
        <v>52</v>
      </c>
      <c r="X2177" s="18" t="s">
        <v>52</v>
      </c>
      <c r="Y2177" s="18" t="s">
        <v>52</v>
      </c>
      <c r="Z2177" s="18" t="s">
        <v>52</v>
      </c>
      <c r="AA2177" s="18" t="s">
        <v>52</v>
      </c>
      <c r="AB2177" t="s">
        <v>52</v>
      </c>
      <c r="AC2177" t="s">
        <v>52</v>
      </c>
      <c r="AD2177" t="s">
        <v>52</v>
      </c>
      <c r="AE2177" t="s">
        <v>52</v>
      </c>
      <c r="AF2177" s="18" t="s">
        <v>52</v>
      </c>
      <c r="AG2177" s="18" t="s">
        <v>52</v>
      </c>
      <c r="AH2177" s="18" t="s">
        <v>52</v>
      </c>
      <c r="AI2177" s="18" t="s">
        <v>52</v>
      </c>
      <c r="AJ2177">
        <v>5</v>
      </c>
      <c r="AK2177">
        <v>3</v>
      </c>
      <c r="AL2177">
        <v>7</v>
      </c>
      <c r="AM2177">
        <v>2</v>
      </c>
      <c r="AN2177" s="18">
        <v>0.2</v>
      </c>
      <c r="AO2177" s="18">
        <v>0.333333333333333</v>
      </c>
      <c r="AP2177" s="18">
        <v>0</v>
      </c>
      <c r="AQ2177" s="18">
        <v>0</v>
      </c>
      <c r="AR2177" s="29">
        <v>0.142857142857143</v>
      </c>
      <c r="AS2177" s="29">
        <v>8.57142857142857</v>
      </c>
      <c r="AT2177" s="29">
        <v>-2.57142857142857</v>
      </c>
      <c r="AU2177" s="24">
        <f t="shared" si="34"/>
        <v>42</v>
      </c>
      <c r="AV2177" s="31">
        <f>IFERROR(时间!$B$4+AU2177,"上周无销量")</f>
        <v>43360</v>
      </c>
    </row>
    <row r="2178" spans="1:48">
      <c r="A2178" s="16" t="s">
        <v>3846</v>
      </c>
      <c r="B2178" t="s">
        <v>3847</v>
      </c>
      <c r="C2178" t="s">
        <v>3764</v>
      </c>
      <c r="D2178" s="24">
        <v>0</v>
      </c>
      <c r="E2178" s="24">
        <v>0</v>
      </c>
      <c r="F2178" s="24">
        <v>0</v>
      </c>
      <c r="G2178" s="24">
        <v>0</v>
      </c>
      <c r="H2178" s="25">
        <v>0</v>
      </c>
      <c r="I2178">
        <v>26</v>
      </c>
      <c r="J2178" s="26">
        <v>0</v>
      </c>
      <c r="K2178" s="26">
        <v>0</v>
      </c>
      <c r="L2178" s="26">
        <v>0</v>
      </c>
      <c r="M2178">
        <v>26</v>
      </c>
      <c r="N2178">
        <v>0</v>
      </c>
      <c r="O2178">
        <v>5</v>
      </c>
      <c r="P2178" t="s">
        <v>52</v>
      </c>
      <c r="Q2178" t="s">
        <v>52</v>
      </c>
      <c r="R2178" t="s">
        <v>52</v>
      </c>
      <c r="S2178" t="s">
        <v>52</v>
      </c>
      <c r="T2178" t="s">
        <v>52</v>
      </c>
      <c r="U2178" t="s">
        <v>52</v>
      </c>
      <c r="V2178" t="s">
        <v>52</v>
      </c>
      <c r="W2178" t="s">
        <v>52</v>
      </c>
      <c r="X2178" s="18" t="s">
        <v>52</v>
      </c>
      <c r="Y2178" s="18" t="s">
        <v>52</v>
      </c>
      <c r="Z2178" s="18" t="s">
        <v>52</v>
      </c>
      <c r="AA2178" s="18" t="s">
        <v>52</v>
      </c>
      <c r="AB2178" t="s">
        <v>52</v>
      </c>
      <c r="AC2178" t="s">
        <v>52</v>
      </c>
      <c r="AD2178" t="s">
        <v>52</v>
      </c>
      <c r="AE2178" t="s">
        <v>52</v>
      </c>
      <c r="AF2178" s="18" t="s">
        <v>52</v>
      </c>
      <c r="AG2178" s="18" t="s">
        <v>52</v>
      </c>
      <c r="AH2178" s="18" t="s">
        <v>52</v>
      </c>
      <c r="AI2178" s="18" t="s">
        <v>52</v>
      </c>
      <c r="AJ2178">
        <v>2</v>
      </c>
      <c r="AK2178">
        <v>5</v>
      </c>
      <c r="AL2178">
        <v>3</v>
      </c>
      <c r="AM2178">
        <v>1</v>
      </c>
      <c r="AN2178" s="18">
        <v>0</v>
      </c>
      <c r="AO2178" s="18">
        <v>0</v>
      </c>
      <c r="AP2178" s="18">
        <v>0</v>
      </c>
      <c r="AQ2178" s="18">
        <v>0</v>
      </c>
      <c r="AR2178" s="29">
        <v>0</v>
      </c>
      <c r="AS2178" s="29">
        <v>0</v>
      </c>
      <c r="AT2178" s="29">
        <v>26</v>
      </c>
      <c r="AU2178" s="24" t="str">
        <f t="shared" si="34"/>
        <v>库存为26</v>
      </c>
      <c r="AV2178" s="31" t="str">
        <f>IFERROR(时间!$B$4+AU2178,"上周无销量")</f>
        <v>上周无销量</v>
      </c>
    </row>
    <row r="2179" spans="1:48">
      <c r="A2179" s="16" t="s">
        <v>3848</v>
      </c>
      <c r="B2179" t="s">
        <v>3849</v>
      </c>
      <c r="C2179" t="s">
        <v>3764</v>
      </c>
      <c r="D2179" s="24">
        <v>0</v>
      </c>
      <c r="E2179" s="24">
        <v>1</v>
      </c>
      <c r="F2179" s="24">
        <v>2</v>
      </c>
      <c r="G2179" s="24">
        <v>1</v>
      </c>
      <c r="H2179" s="25">
        <v>23.98</v>
      </c>
      <c r="I2179">
        <v>21</v>
      </c>
      <c r="J2179" s="26">
        <v>0</v>
      </c>
      <c r="K2179" s="26">
        <v>0</v>
      </c>
      <c r="L2179" s="26">
        <v>0</v>
      </c>
      <c r="M2179">
        <v>21</v>
      </c>
      <c r="N2179">
        <v>0</v>
      </c>
      <c r="O2179">
        <v>8</v>
      </c>
      <c r="P2179">
        <v>1906</v>
      </c>
      <c r="Q2179">
        <v>569</v>
      </c>
      <c r="R2179">
        <v>489</v>
      </c>
      <c r="S2179">
        <v>0</v>
      </c>
      <c r="T2179">
        <v>12</v>
      </c>
      <c r="U2179">
        <v>3</v>
      </c>
      <c r="V2179">
        <v>2</v>
      </c>
      <c r="W2179">
        <v>0</v>
      </c>
      <c r="X2179" s="18">
        <v>0.00629590766002099</v>
      </c>
      <c r="Y2179" s="18">
        <v>0.00527240773286467</v>
      </c>
      <c r="Z2179" s="18">
        <v>0.00408997955010225</v>
      </c>
      <c r="AA2179" s="18" t="s">
        <v>52</v>
      </c>
      <c r="AB2179">
        <v>8.41</v>
      </c>
      <c r="AC2179">
        <v>1.12</v>
      </c>
      <c r="AD2179">
        <v>1.09</v>
      </c>
      <c r="AE2179">
        <v>0</v>
      </c>
      <c r="AF2179" s="18" t="s">
        <v>3850</v>
      </c>
      <c r="AG2179" s="18">
        <v>0.0467055879899917</v>
      </c>
      <c r="AH2179" s="18">
        <v>0.0227272727272727</v>
      </c>
      <c r="AI2179" s="18" t="s">
        <v>52</v>
      </c>
      <c r="AJ2179">
        <v>16</v>
      </c>
      <c r="AK2179">
        <v>4</v>
      </c>
      <c r="AL2179">
        <v>8</v>
      </c>
      <c r="AM2179">
        <v>5</v>
      </c>
      <c r="AN2179" s="18">
        <v>0</v>
      </c>
      <c r="AO2179" s="18">
        <v>0.25</v>
      </c>
      <c r="AP2179" s="18">
        <v>0.25</v>
      </c>
      <c r="AQ2179" s="18">
        <v>0.2</v>
      </c>
      <c r="AR2179" s="29">
        <v>0</v>
      </c>
      <c r="AS2179" s="29">
        <v>0</v>
      </c>
      <c r="AT2179" s="29">
        <v>21</v>
      </c>
      <c r="AU2179" s="24" t="str">
        <f t="shared" si="34"/>
        <v>库存为21</v>
      </c>
      <c r="AV2179" s="31" t="str">
        <f>IFERROR(时间!$B$4+AU2179,"上周无销量")</f>
        <v>上周无销量</v>
      </c>
    </row>
    <row r="2180" spans="1:48">
      <c r="A2180" s="16" t="s">
        <v>3851</v>
      </c>
      <c r="B2180" t="s">
        <v>3852</v>
      </c>
      <c r="C2180" t="s">
        <v>3764</v>
      </c>
      <c r="D2180" s="24">
        <v>3</v>
      </c>
      <c r="E2180" s="24">
        <v>2</v>
      </c>
      <c r="F2180" s="24">
        <v>0</v>
      </c>
      <c r="G2180" s="24">
        <v>0</v>
      </c>
      <c r="H2180" s="25">
        <v>23.98</v>
      </c>
      <c r="I2180">
        <v>6</v>
      </c>
      <c r="J2180" s="26">
        <v>0</v>
      </c>
      <c r="K2180" s="26">
        <v>0</v>
      </c>
      <c r="L2180" s="26">
        <v>0</v>
      </c>
      <c r="M2180">
        <v>6</v>
      </c>
      <c r="N2180">
        <v>0</v>
      </c>
      <c r="O2180">
        <v>6</v>
      </c>
      <c r="P2180" t="s">
        <v>52</v>
      </c>
      <c r="Q2180" t="s">
        <v>52</v>
      </c>
      <c r="R2180" t="s">
        <v>52</v>
      </c>
      <c r="S2180" t="s">
        <v>52</v>
      </c>
      <c r="T2180" t="s">
        <v>52</v>
      </c>
      <c r="U2180" t="s">
        <v>52</v>
      </c>
      <c r="V2180" t="s">
        <v>52</v>
      </c>
      <c r="W2180" t="s">
        <v>52</v>
      </c>
      <c r="X2180" s="18" t="s">
        <v>52</v>
      </c>
      <c r="Y2180" s="18" t="s">
        <v>52</v>
      </c>
      <c r="Z2180" s="18" t="s">
        <v>52</v>
      </c>
      <c r="AA2180" s="18" t="s">
        <v>52</v>
      </c>
      <c r="AB2180" t="s">
        <v>52</v>
      </c>
      <c r="AC2180" t="s">
        <v>52</v>
      </c>
      <c r="AD2180" t="s">
        <v>52</v>
      </c>
      <c r="AE2180" t="s">
        <v>52</v>
      </c>
      <c r="AF2180" s="18" t="s">
        <v>52</v>
      </c>
      <c r="AG2180" s="18" t="s">
        <v>52</v>
      </c>
      <c r="AH2180" s="18" t="s">
        <v>52</v>
      </c>
      <c r="AI2180" s="18" t="s">
        <v>52</v>
      </c>
      <c r="AJ2180">
        <v>11</v>
      </c>
      <c r="AK2180">
        <v>15</v>
      </c>
      <c r="AL2180">
        <v>14</v>
      </c>
      <c r="AM2180">
        <v>4</v>
      </c>
      <c r="AN2180" s="18">
        <v>0.272727272727273</v>
      </c>
      <c r="AO2180" s="18">
        <v>0.133333333333333</v>
      </c>
      <c r="AP2180" s="18">
        <v>0</v>
      </c>
      <c r="AQ2180" s="18">
        <v>0</v>
      </c>
      <c r="AR2180" s="29">
        <v>0.428571428571429</v>
      </c>
      <c r="AS2180" s="29">
        <v>25.7142857142857</v>
      </c>
      <c r="AT2180" s="29">
        <v>-19.7142857142857</v>
      </c>
      <c r="AU2180" s="24">
        <f t="shared" si="34"/>
        <v>14</v>
      </c>
      <c r="AV2180" s="31">
        <f>IFERROR(时间!$B$4+AU2180,"上周无销量")</f>
        <v>43332</v>
      </c>
    </row>
    <row r="2181" spans="1:48">
      <c r="A2181" s="16" t="s">
        <v>3853</v>
      </c>
      <c r="B2181" t="s">
        <v>3854</v>
      </c>
      <c r="C2181" t="s">
        <v>3764</v>
      </c>
      <c r="D2181" s="24">
        <v>0</v>
      </c>
      <c r="E2181" s="24">
        <v>0</v>
      </c>
      <c r="F2181" s="24">
        <v>0</v>
      </c>
      <c r="G2181" s="24">
        <v>0</v>
      </c>
      <c r="H2181" s="25">
        <v>0</v>
      </c>
      <c r="I2181">
        <v>5</v>
      </c>
      <c r="J2181" s="26">
        <v>0</v>
      </c>
      <c r="K2181" s="26">
        <v>0</v>
      </c>
      <c r="L2181" s="26">
        <v>0</v>
      </c>
      <c r="M2181">
        <v>5</v>
      </c>
      <c r="N2181">
        <v>0</v>
      </c>
      <c r="O2181">
        <v>2</v>
      </c>
      <c r="P2181" t="s">
        <v>52</v>
      </c>
      <c r="Q2181" t="s">
        <v>52</v>
      </c>
      <c r="R2181" t="s">
        <v>52</v>
      </c>
      <c r="S2181" t="s">
        <v>52</v>
      </c>
      <c r="T2181" t="s">
        <v>52</v>
      </c>
      <c r="U2181" t="s">
        <v>52</v>
      </c>
      <c r="V2181" t="s">
        <v>52</v>
      </c>
      <c r="W2181" t="s">
        <v>52</v>
      </c>
      <c r="X2181" s="18" t="s">
        <v>52</v>
      </c>
      <c r="Y2181" s="18" t="s">
        <v>52</v>
      </c>
      <c r="Z2181" s="18" t="s">
        <v>52</v>
      </c>
      <c r="AA2181" s="18" t="s">
        <v>52</v>
      </c>
      <c r="AB2181" t="s">
        <v>52</v>
      </c>
      <c r="AC2181" t="s">
        <v>52</v>
      </c>
      <c r="AD2181" t="s">
        <v>52</v>
      </c>
      <c r="AE2181" t="s">
        <v>52</v>
      </c>
      <c r="AF2181" s="18" t="s">
        <v>52</v>
      </c>
      <c r="AG2181" s="18" t="s">
        <v>52</v>
      </c>
      <c r="AH2181" s="18" t="s">
        <v>52</v>
      </c>
      <c r="AI2181" s="18" t="s">
        <v>52</v>
      </c>
      <c r="AJ2181">
        <v>4</v>
      </c>
      <c r="AK2181">
        <v>6</v>
      </c>
      <c r="AL2181">
        <v>2</v>
      </c>
      <c r="AM2181">
        <v>2</v>
      </c>
      <c r="AN2181" s="18">
        <v>0</v>
      </c>
      <c r="AO2181" s="18">
        <v>0</v>
      </c>
      <c r="AP2181" s="18">
        <v>0</v>
      </c>
      <c r="AQ2181" s="18">
        <v>0</v>
      </c>
      <c r="AR2181" s="29">
        <v>0</v>
      </c>
      <c r="AS2181" s="29">
        <v>0</v>
      </c>
      <c r="AT2181" s="29">
        <v>5</v>
      </c>
      <c r="AU2181" s="24" t="str">
        <f t="shared" si="34"/>
        <v>库存为5</v>
      </c>
      <c r="AV2181" s="31" t="str">
        <f>IFERROR(时间!$B$4+AU2181,"上周无销量")</f>
        <v>上周无销量</v>
      </c>
    </row>
    <row r="2182" spans="1:48">
      <c r="A2182" s="16" t="s">
        <v>3855</v>
      </c>
      <c r="B2182" t="s">
        <v>3856</v>
      </c>
      <c r="C2182" t="s">
        <v>3764</v>
      </c>
      <c r="D2182" s="24">
        <v>0</v>
      </c>
      <c r="E2182" s="24">
        <v>0</v>
      </c>
      <c r="F2182" s="24">
        <v>0</v>
      </c>
      <c r="G2182" s="24">
        <v>0</v>
      </c>
      <c r="H2182" s="25">
        <v>0</v>
      </c>
      <c r="I2182">
        <v>25</v>
      </c>
      <c r="J2182" s="26">
        <v>0</v>
      </c>
      <c r="K2182" s="26">
        <v>0</v>
      </c>
      <c r="L2182" s="26">
        <v>0</v>
      </c>
      <c r="M2182">
        <v>25</v>
      </c>
      <c r="N2182">
        <v>0</v>
      </c>
      <c r="O2182">
        <v>15</v>
      </c>
      <c r="P2182" t="s">
        <v>52</v>
      </c>
      <c r="Q2182" t="s">
        <v>52</v>
      </c>
      <c r="R2182" t="s">
        <v>52</v>
      </c>
      <c r="S2182" t="s">
        <v>52</v>
      </c>
      <c r="T2182" t="s">
        <v>52</v>
      </c>
      <c r="U2182" t="s">
        <v>52</v>
      </c>
      <c r="V2182" t="s">
        <v>52</v>
      </c>
      <c r="W2182" t="s">
        <v>52</v>
      </c>
      <c r="X2182" s="18" t="s">
        <v>52</v>
      </c>
      <c r="Y2182" s="18" t="s">
        <v>52</v>
      </c>
      <c r="Z2182" s="18" t="s">
        <v>52</v>
      </c>
      <c r="AA2182" s="18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s="18" t="s">
        <v>52</v>
      </c>
      <c r="AG2182" s="18" t="s">
        <v>52</v>
      </c>
      <c r="AH2182" s="18" t="s">
        <v>52</v>
      </c>
      <c r="AI2182" s="18" t="s">
        <v>52</v>
      </c>
      <c r="AJ2182">
        <v>1</v>
      </c>
      <c r="AK2182">
        <v>4</v>
      </c>
      <c r="AL2182">
        <v>9</v>
      </c>
      <c r="AM2182">
        <v>4</v>
      </c>
      <c r="AN2182" s="18">
        <v>0</v>
      </c>
      <c r="AO2182" s="18">
        <v>0</v>
      </c>
      <c r="AP2182" s="18">
        <v>0</v>
      </c>
      <c r="AQ2182" s="18">
        <v>0</v>
      </c>
      <c r="AR2182" s="29">
        <v>0</v>
      </c>
      <c r="AS2182" s="29">
        <v>0</v>
      </c>
      <c r="AT2182" s="29">
        <v>25</v>
      </c>
      <c r="AU2182" s="24" t="str">
        <f t="shared" ref="AU2182:AU2245" si="35">IF(AR2182="","库存为"&amp;M2182,IF(AS2182=0,"库存为"&amp;M2182,INT(M2182/AR2182)))</f>
        <v>库存为25</v>
      </c>
      <c r="AV2182" s="31" t="str">
        <f>IFERROR(时间!$B$4+AU2182,"上周无销量")</f>
        <v>上周无销量</v>
      </c>
    </row>
    <row r="2183" spans="1:48">
      <c r="A2183" s="16" t="s">
        <v>3857</v>
      </c>
      <c r="B2183" t="s">
        <v>3858</v>
      </c>
      <c r="C2183" t="s">
        <v>3857</v>
      </c>
      <c r="D2183" s="24">
        <v>1</v>
      </c>
      <c r="E2183" s="24">
        <v>0</v>
      </c>
      <c r="F2183" s="24">
        <v>2</v>
      </c>
      <c r="G2183" s="24">
        <v>0</v>
      </c>
      <c r="H2183" s="25">
        <v>22.98</v>
      </c>
      <c r="I2183">
        <v>0</v>
      </c>
      <c r="J2183" s="26">
        <v>0</v>
      </c>
      <c r="K2183" s="26">
        <v>0</v>
      </c>
      <c r="L2183" s="26">
        <v>0</v>
      </c>
      <c r="M2183">
        <v>0</v>
      </c>
      <c r="N2183">
        <v>0</v>
      </c>
      <c r="O2183">
        <v>0</v>
      </c>
      <c r="P2183" t="s">
        <v>52</v>
      </c>
      <c r="Q2183" t="s">
        <v>52</v>
      </c>
      <c r="R2183" t="s">
        <v>52</v>
      </c>
      <c r="S2183" t="s">
        <v>52</v>
      </c>
      <c r="T2183" t="s">
        <v>52</v>
      </c>
      <c r="U2183" t="s">
        <v>52</v>
      </c>
      <c r="V2183" t="s">
        <v>52</v>
      </c>
      <c r="W2183" t="s">
        <v>52</v>
      </c>
      <c r="X2183" s="18" t="s">
        <v>52</v>
      </c>
      <c r="Y2183" s="18" t="s">
        <v>52</v>
      </c>
      <c r="Z2183" s="18" t="s">
        <v>52</v>
      </c>
      <c r="AA2183" s="18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s="18" t="s">
        <v>52</v>
      </c>
      <c r="AG2183" s="18" t="s">
        <v>52</v>
      </c>
      <c r="AH2183" s="18" t="s">
        <v>52</v>
      </c>
      <c r="AI2183" s="18" t="s">
        <v>52</v>
      </c>
      <c r="AJ2183">
        <v>8</v>
      </c>
      <c r="AK2183">
        <v>3</v>
      </c>
      <c r="AL2183">
        <v>7</v>
      </c>
      <c r="AM2183">
        <v>3</v>
      </c>
      <c r="AN2183" s="18">
        <v>0.125</v>
      </c>
      <c r="AO2183" s="18">
        <v>0</v>
      </c>
      <c r="AP2183" s="18">
        <v>0.285714285714286</v>
      </c>
      <c r="AQ2183" s="18">
        <v>0</v>
      </c>
      <c r="AR2183" s="29">
        <v>0.142857142857143</v>
      </c>
      <c r="AS2183" s="29">
        <v>8.57142857142857</v>
      </c>
      <c r="AT2183" s="29">
        <v>-8.57142857142857</v>
      </c>
      <c r="AU2183" s="24">
        <f t="shared" si="35"/>
        <v>0</v>
      </c>
      <c r="AV2183" s="31">
        <f>IFERROR(时间!$B$4+AU2183,"上周无销量")</f>
        <v>43318</v>
      </c>
    </row>
    <row r="2184" spans="1:48">
      <c r="A2184" s="16" t="s">
        <v>3859</v>
      </c>
      <c r="B2184" t="s">
        <v>3081</v>
      </c>
      <c r="C2184" t="s">
        <v>3860</v>
      </c>
      <c r="D2184" s="24">
        <v>1</v>
      </c>
      <c r="E2184" s="24">
        <v>0</v>
      </c>
      <c r="F2184" s="24">
        <v>0</v>
      </c>
      <c r="G2184" s="24">
        <v>0</v>
      </c>
      <c r="H2184" s="25">
        <v>22.98</v>
      </c>
      <c r="I2184">
        <v>2</v>
      </c>
      <c r="J2184" s="26">
        <v>0</v>
      </c>
      <c r="K2184" s="26">
        <v>0</v>
      </c>
      <c r="L2184" s="26">
        <v>0</v>
      </c>
      <c r="M2184">
        <v>2</v>
      </c>
      <c r="N2184">
        <v>0</v>
      </c>
      <c r="O2184">
        <v>2</v>
      </c>
      <c r="P2184" t="s">
        <v>52</v>
      </c>
      <c r="Q2184" t="s">
        <v>52</v>
      </c>
      <c r="R2184" t="s">
        <v>52</v>
      </c>
      <c r="S2184" t="s">
        <v>52</v>
      </c>
      <c r="T2184" t="s">
        <v>52</v>
      </c>
      <c r="U2184" t="s">
        <v>52</v>
      </c>
      <c r="V2184" t="s">
        <v>52</v>
      </c>
      <c r="W2184" t="s">
        <v>52</v>
      </c>
      <c r="X2184" s="18" t="s">
        <v>52</v>
      </c>
      <c r="Y2184" s="18" t="s">
        <v>52</v>
      </c>
      <c r="Z2184" s="18" t="s">
        <v>52</v>
      </c>
      <c r="AA2184" s="18" t="s">
        <v>52</v>
      </c>
      <c r="AB2184" t="s">
        <v>52</v>
      </c>
      <c r="AC2184" t="s">
        <v>52</v>
      </c>
      <c r="AD2184" t="s">
        <v>52</v>
      </c>
      <c r="AE2184" t="s">
        <v>52</v>
      </c>
      <c r="AF2184" s="18" t="s">
        <v>52</v>
      </c>
      <c r="AG2184" s="18" t="s">
        <v>52</v>
      </c>
      <c r="AH2184" s="18" t="s">
        <v>52</v>
      </c>
      <c r="AI2184" s="18" t="s">
        <v>52</v>
      </c>
      <c r="AJ2184">
        <v>2</v>
      </c>
      <c r="AK2184">
        <v>0</v>
      </c>
      <c r="AL2184">
        <v>4</v>
      </c>
      <c r="AM2184">
        <v>6</v>
      </c>
      <c r="AN2184" s="18">
        <v>0.5</v>
      </c>
      <c r="AO2184" s="18" t="s">
        <v>52</v>
      </c>
      <c r="AP2184" s="18">
        <v>0</v>
      </c>
      <c r="AQ2184" s="18">
        <v>0</v>
      </c>
      <c r="AR2184" s="29">
        <v>0.142857142857143</v>
      </c>
      <c r="AS2184" s="29">
        <v>8.57142857142857</v>
      </c>
      <c r="AT2184" s="29">
        <v>-6.57142857142857</v>
      </c>
      <c r="AU2184" s="24">
        <f t="shared" si="35"/>
        <v>14</v>
      </c>
      <c r="AV2184" s="31">
        <f>IFERROR(时间!$B$4+AU2184,"上周无销量")</f>
        <v>43332</v>
      </c>
    </row>
    <row r="2185" spans="1:48">
      <c r="A2185" s="16" t="s">
        <v>3861</v>
      </c>
      <c r="B2185" t="s">
        <v>3084</v>
      </c>
      <c r="C2185" t="s">
        <v>3860</v>
      </c>
      <c r="D2185" s="24">
        <v>0</v>
      </c>
      <c r="E2185" s="24">
        <v>0</v>
      </c>
      <c r="F2185" s="24">
        <v>0</v>
      </c>
      <c r="G2185" s="24">
        <v>0</v>
      </c>
      <c r="H2185" s="25">
        <v>0</v>
      </c>
      <c r="I2185">
        <v>1</v>
      </c>
      <c r="J2185" s="26">
        <v>0</v>
      </c>
      <c r="K2185" s="26">
        <v>0</v>
      </c>
      <c r="L2185" s="26">
        <v>0</v>
      </c>
      <c r="M2185">
        <v>1</v>
      </c>
      <c r="N2185">
        <v>0</v>
      </c>
      <c r="O2185">
        <v>0</v>
      </c>
      <c r="P2185" t="s">
        <v>52</v>
      </c>
      <c r="Q2185" t="s">
        <v>52</v>
      </c>
      <c r="R2185" t="s">
        <v>52</v>
      </c>
      <c r="S2185" t="s">
        <v>52</v>
      </c>
      <c r="T2185" t="s">
        <v>52</v>
      </c>
      <c r="U2185" t="s">
        <v>52</v>
      </c>
      <c r="V2185" t="s">
        <v>52</v>
      </c>
      <c r="W2185" t="s">
        <v>52</v>
      </c>
      <c r="X2185" s="18" t="s">
        <v>52</v>
      </c>
      <c r="Y2185" s="18" t="s">
        <v>52</v>
      </c>
      <c r="Z2185" s="18" t="s">
        <v>52</v>
      </c>
      <c r="AA2185" s="18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s="18" t="s">
        <v>52</v>
      </c>
      <c r="AG2185" s="18" t="s">
        <v>52</v>
      </c>
      <c r="AH2185" s="18" t="s">
        <v>52</v>
      </c>
      <c r="AI2185" s="18" t="s">
        <v>52</v>
      </c>
      <c r="AJ2185">
        <v>3</v>
      </c>
      <c r="AK2185">
        <v>5</v>
      </c>
      <c r="AL2185">
        <v>4</v>
      </c>
      <c r="AM2185">
        <v>12</v>
      </c>
      <c r="AN2185" s="18">
        <v>0</v>
      </c>
      <c r="AO2185" s="18">
        <v>0</v>
      </c>
      <c r="AP2185" s="18">
        <v>0</v>
      </c>
      <c r="AQ2185" s="18">
        <v>0</v>
      </c>
      <c r="AR2185" s="29">
        <v>0</v>
      </c>
      <c r="AS2185" s="29">
        <v>0</v>
      </c>
      <c r="AT2185" s="29">
        <v>1</v>
      </c>
      <c r="AU2185" s="24" t="str">
        <f t="shared" si="35"/>
        <v>库存为1</v>
      </c>
      <c r="AV2185" s="31" t="str">
        <f>IFERROR(时间!$B$4+AU2185,"上周无销量")</f>
        <v>上周无销量</v>
      </c>
    </row>
    <row r="2186" spans="1:48">
      <c r="A2186" s="16" t="s">
        <v>3862</v>
      </c>
      <c r="B2186" t="s">
        <v>3086</v>
      </c>
      <c r="C2186" t="s">
        <v>3860</v>
      </c>
      <c r="D2186" s="24">
        <v>0</v>
      </c>
      <c r="E2186" s="24">
        <v>0</v>
      </c>
      <c r="F2186" s="24">
        <v>0</v>
      </c>
      <c r="G2186" s="24">
        <v>0</v>
      </c>
      <c r="H2186" s="25">
        <v>0</v>
      </c>
      <c r="I2186">
        <v>0</v>
      </c>
      <c r="J2186" s="26">
        <v>0</v>
      </c>
      <c r="K2186" s="26">
        <v>0</v>
      </c>
      <c r="L2186" s="26">
        <v>0</v>
      </c>
      <c r="M2186">
        <v>0</v>
      </c>
      <c r="N2186">
        <v>0</v>
      </c>
      <c r="O2186">
        <v>0</v>
      </c>
      <c r="P2186" t="s">
        <v>52</v>
      </c>
      <c r="Q2186" t="s">
        <v>52</v>
      </c>
      <c r="R2186" t="s">
        <v>52</v>
      </c>
      <c r="S2186" t="s">
        <v>52</v>
      </c>
      <c r="T2186" t="s">
        <v>52</v>
      </c>
      <c r="U2186" t="s">
        <v>52</v>
      </c>
      <c r="V2186" t="s">
        <v>52</v>
      </c>
      <c r="W2186" t="s">
        <v>52</v>
      </c>
      <c r="X2186" s="18" t="s">
        <v>52</v>
      </c>
      <c r="Y2186" s="18" t="s">
        <v>52</v>
      </c>
      <c r="Z2186" s="18" t="s">
        <v>52</v>
      </c>
      <c r="AA2186" s="18" t="s">
        <v>52</v>
      </c>
      <c r="AB2186" t="s">
        <v>52</v>
      </c>
      <c r="AC2186" t="s">
        <v>52</v>
      </c>
      <c r="AD2186" t="s">
        <v>52</v>
      </c>
      <c r="AE2186" t="s">
        <v>52</v>
      </c>
      <c r="AF2186" s="18" t="s">
        <v>52</v>
      </c>
      <c r="AG2186" s="18" t="s">
        <v>52</v>
      </c>
      <c r="AH2186" s="18" t="s">
        <v>52</v>
      </c>
      <c r="AI2186" s="18" t="s">
        <v>52</v>
      </c>
      <c r="AJ2186">
        <v>0</v>
      </c>
      <c r="AK2186">
        <v>0</v>
      </c>
      <c r="AL2186">
        <v>0</v>
      </c>
      <c r="AM2186">
        <v>0</v>
      </c>
      <c r="AN2186" s="18" t="s">
        <v>52</v>
      </c>
      <c r="AO2186" s="18" t="s">
        <v>52</v>
      </c>
      <c r="AP2186" s="18" t="s">
        <v>52</v>
      </c>
      <c r="AQ2186" s="18" t="s">
        <v>52</v>
      </c>
      <c r="AR2186" s="29">
        <v>0</v>
      </c>
      <c r="AS2186" s="29">
        <v>0</v>
      </c>
      <c r="AT2186" s="29">
        <v>0</v>
      </c>
      <c r="AU2186" s="24" t="str">
        <f t="shared" si="35"/>
        <v>库存为0</v>
      </c>
      <c r="AV2186" s="31" t="str">
        <f>IFERROR(时间!$B$4+AU2186,"上周无销量")</f>
        <v>上周无销量</v>
      </c>
    </row>
    <row r="2187" spans="1:48">
      <c r="A2187" s="16" t="s">
        <v>3863</v>
      </c>
      <c r="B2187" t="s">
        <v>3088</v>
      </c>
      <c r="C2187" t="s">
        <v>3860</v>
      </c>
      <c r="D2187" s="24">
        <v>0</v>
      </c>
      <c r="E2187" s="24">
        <v>0</v>
      </c>
      <c r="F2187" s="24">
        <v>0</v>
      </c>
      <c r="G2187" s="24">
        <v>0</v>
      </c>
      <c r="H2187" s="25">
        <v>0</v>
      </c>
      <c r="I2187">
        <v>0</v>
      </c>
      <c r="J2187" s="26">
        <v>0</v>
      </c>
      <c r="K2187" s="26">
        <v>0</v>
      </c>
      <c r="L2187" s="26">
        <v>0</v>
      </c>
      <c r="M2187">
        <v>0</v>
      </c>
      <c r="N2187">
        <v>0</v>
      </c>
      <c r="O2187">
        <v>0</v>
      </c>
      <c r="P2187" t="s">
        <v>52</v>
      </c>
      <c r="Q2187" t="s">
        <v>52</v>
      </c>
      <c r="R2187" t="s">
        <v>52</v>
      </c>
      <c r="S2187" t="s">
        <v>52</v>
      </c>
      <c r="T2187" t="s">
        <v>52</v>
      </c>
      <c r="U2187" t="s">
        <v>52</v>
      </c>
      <c r="V2187" t="s">
        <v>52</v>
      </c>
      <c r="W2187" t="s">
        <v>52</v>
      </c>
      <c r="X2187" s="18" t="s">
        <v>52</v>
      </c>
      <c r="Y2187" s="18" t="s">
        <v>52</v>
      </c>
      <c r="Z2187" s="18" t="s">
        <v>52</v>
      </c>
      <c r="AA2187" s="18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s="18" t="s">
        <v>52</v>
      </c>
      <c r="AG2187" s="18" t="s">
        <v>52</v>
      </c>
      <c r="AH2187" s="18" t="s">
        <v>52</v>
      </c>
      <c r="AI2187" s="18" t="s">
        <v>52</v>
      </c>
      <c r="AJ2187">
        <v>0</v>
      </c>
      <c r="AK2187">
        <v>0</v>
      </c>
      <c r="AL2187">
        <v>0</v>
      </c>
      <c r="AM2187">
        <v>0</v>
      </c>
      <c r="AN2187" s="18" t="s">
        <v>52</v>
      </c>
      <c r="AO2187" s="18" t="s">
        <v>52</v>
      </c>
      <c r="AP2187" s="18" t="s">
        <v>52</v>
      </c>
      <c r="AQ2187" s="18" t="s">
        <v>52</v>
      </c>
      <c r="AR2187" s="29">
        <v>0</v>
      </c>
      <c r="AS2187" s="29">
        <v>0</v>
      </c>
      <c r="AT2187" s="29">
        <v>0</v>
      </c>
      <c r="AU2187" s="24" t="str">
        <f t="shared" si="35"/>
        <v>库存为0</v>
      </c>
      <c r="AV2187" s="31" t="str">
        <f>IFERROR(时间!$B$4+AU2187,"上周无销量")</f>
        <v>上周无销量</v>
      </c>
    </row>
    <row r="2188" spans="1:48">
      <c r="A2188" s="16" t="s">
        <v>3864</v>
      </c>
      <c r="B2188" t="s">
        <v>3090</v>
      </c>
      <c r="C2188" t="s">
        <v>3860</v>
      </c>
      <c r="D2188" s="24">
        <v>0</v>
      </c>
      <c r="E2188" s="24">
        <v>0</v>
      </c>
      <c r="F2188" s="24">
        <v>0</v>
      </c>
      <c r="G2188" s="24">
        <v>0</v>
      </c>
      <c r="H2188" s="25">
        <v>0</v>
      </c>
      <c r="I2188">
        <v>0</v>
      </c>
      <c r="J2188" s="26">
        <v>0</v>
      </c>
      <c r="K2188" s="26">
        <v>0</v>
      </c>
      <c r="L2188" s="26">
        <v>0</v>
      </c>
      <c r="M2188">
        <v>0</v>
      </c>
      <c r="N2188">
        <v>0</v>
      </c>
      <c r="O2188">
        <v>0</v>
      </c>
      <c r="P2188" t="s">
        <v>52</v>
      </c>
      <c r="Q2188" t="s">
        <v>52</v>
      </c>
      <c r="R2188" t="s">
        <v>52</v>
      </c>
      <c r="S2188" t="s">
        <v>52</v>
      </c>
      <c r="T2188" t="s">
        <v>52</v>
      </c>
      <c r="U2188" t="s">
        <v>52</v>
      </c>
      <c r="V2188" t="s">
        <v>52</v>
      </c>
      <c r="W2188" t="s">
        <v>52</v>
      </c>
      <c r="X2188" s="18" t="s">
        <v>52</v>
      </c>
      <c r="Y2188" s="18" t="s">
        <v>52</v>
      </c>
      <c r="Z2188" s="18" t="s">
        <v>52</v>
      </c>
      <c r="AA2188" s="18" t="s">
        <v>52</v>
      </c>
      <c r="AB2188" t="s">
        <v>52</v>
      </c>
      <c r="AC2188" t="s">
        <v>52</v>
      </c>
      <c r="AD2188" t="s">
        <v>52</v>
      </c>
      <c r="AE2188" t="s">
        <v>52</v>
      </c>
      <c r="AF2188" s="18" t="s">
        <v>52</v>
      </c>
      <c r="AG2188" s="18" t="s">
        <v>52</v>
      </c>
      <c r="AH2188" s="18" t="s">
        <v>52</v>
      </c>
      <c r="AI2188" s="18" t="s">
        <v>52</v>
      </c>
      <c r="AJ2188">
        <v>0</v>
      </c>
      <c r="AK2188">
        <v>0</v>
      </c>
      <c r="AL2188">
        <v>0</v>
      </c>
      <c r="AM2188">
        <v>0</v>
      </c>
      <c r="AN2188" s="18" t="s">
        <v>52</v>
      </c>
      <c r="AO2188" s="18" t="s">
        <v>52</v>
      </c>
      <c r="AP2188" s="18" t="s">
        <v>52</v>
      </c>
      <c r="AQ2188" s="18" t="s">
        <v>52</v>
      </c>
      <c r="AR2188" s="29">
        <v>0</v>
      </c>
      <c r="AS2188" s="29">
        <v>0</v>
      </c>
      <c r="AT2188" s="29">
        <v>0</v>
      </c>
      <c r="AU2188" s="24" t="str">
        <f t="shared" si="35"/>
        <v>库存为0</v>
      </c>
      <c r="AV2188" s="31" t="str">
        <f>IFERROR(时间!$B$4+AU2188,"上周无销量")</f>
        <v>上周无销量</v>
      </c>
    </row>
    <row r="2189" spans="1:48">
      <c r="A2189" s="16" t="s">
        <v>3865</v>
      </c>
      <c r="B2189" t="s">
        <v>3092</v>
      </c>
      <c r="C2189" t="s">
        <v>3860</v>
      </c>
      <c r="D2189" s="24">
        <v>0</v>
      </c>
      <c r="E2189" s="24">
        <v>0</v>
      </c>
      <c r="F2189" s="24">
        <v>1</v>
      </c>
      <c r="G2189" s="24">
        <v>0</v>
      </c>
      <c r="H2189" s="25">
        <v>22.98</v>
      </c>
      <c r="I2189">
        <v>6</v>
      </c>
      <c r="J2189" s="26">
        <v>0</v>
      </c>
      <c r="K2189" s="26">
        <v>0</v>
      </c>
      <c r="L2189" s="26">
        <v>0</v>
      </c>
      <c r="M2189">
        <v>6</v>
      </c>
      <c r="N2189">
        <v>0</v>
      </c>
      <c r="O2189">
        <v>4</v>
      </c>
      <c r="P2189" t="s">
        <v>52</v>
      </c>
      <c r="Q2189" t="s">
        <v>52</v>
      </c>
      <c r="R2189" t="s">
        <v>52</v>
      </c>
      <c r="S2189" t="s">
        <v>52</v>
      </c>
      <c r="T2189" t="s">
        <v>52</v>
      </c>
      <c r="U2189" t="s">
        <v>52</v>
      </c>
      <c r="V2189" t="s">
        <v>52</v>
      </c>
      <c r="W2189" t="s">
        <v>52</v>
      </c>
      <c r="X2189" s="18" t="s">
        <v>52</v>
      </c>
      <c r="Y2189" s="18" t="s">
        <v>52</v>
      </c>
      <c r="Z2189" s="18" t="s">
        <v>52</v>
      </c>
      <c r="AA2189" s="18" t="s">
        <v>52</v>
      </c>
      <c r="AB2189" t="s">
        <v>52</v>
      </c>
      <c r="AC2189" t="s">
        <v>52</v>
      </c>
      <c r="AD2189" t="s">
        <v>52</v>
      </c>
      <c r="AE2189" t="s">
        <v>52</v>
      </c>
      <c r="AF2189" s="18" t="s">
        <v>52</v>
      </c>
      <c r="AG2189" s="18" t="s">
        <v>52</v>
      </c>
      <c r="AH2189" s="18" t="s">
        <v>52</v>
      </c>
      <c r="AI2189" s="18" t="s">
        <v>52</v>
      </c>
      <c r="AJ2189">
        <v>1</v>
      </c>
      <c r="AK2189">
        <v>6</v>
      </c>
      <c r="AL2189">
        <v>3</v>
      </c>
      <c r="AM2189">
        <v>10</v>
      </c>
      <c r="AN2189" s="18">
        <v>0</v>
      </c>
      <c r="AO2189" s="18">
        <v>0</v>
      </c>
      <c r="AP2189" s="18">
        <v>0.333333333333333</v>
      </c>
      <c r="AQ2189" s="18">
        <v>0</v>
      </c>
      <c r="AR2189" s="29">
        <v>0</v>
      </c>
      <c r="AS2189" s="29">
        <v>0</v>
      </c>
      <c r="AT2189" s="29">
        <v>6</v>
      </c>
      <c r="AU2189" s="24" t="str">
        <f t="shared" si="35"/>
        <v>库存为6</v>
      </c>
      <c r="AV2189" s="31" t="str">
        <f>IFERROR(时间!$B$4+AU2189,"上周无销量")</f>
        <v>上周无销量</v>
      </c>
    </row>
    <row r="2190" spans="1:48">
      <c r="A2190" s="16" t="s">
        <v>3866</v>
      </c>
      <c r="B2190" t="s">
        <v>3094</v>
      </c>
      <c r="C2190" t="s">
        <v>3860</v>
      </c>
      <c r="D2190" s="24">
        <v>0</v>
      </c>
      <c r="E2190" s="24">
        <v>0</v>
      </c>
      <c r="F2190" s="24">
        <v>0</v>
      </c>
      <c r="G2190" s="24">
        <v>0</v>
      </c>
      <c r="H2190" s="25">
        <v>0</v>
      </c>
      <c r="I2190">
        <v>3</v>
      </c>
      <c r="J2190" s="26">
        <v>0</v>
      </c>
      <c r="K2190" s="26">
        <v>0</v>
      </c>
      <c r="L2190" s="26">
        <v>0</v>
      </c>
      <c r="M2190">
        <v>3</v>
      </c>
      <c r="N2190">
        <v>0</v>
      </c>
      <c r="O2190">
        <v>3</v>
      </c>
      <c r="P2190" t="s">
        <v>52</v>
      </c>
      <c r="Q2190" t="s">
        <v>52</v>
      </c>
      <c r="R2190" t="s">
        <v>52</v>
      </c>
      <c r="S2190" t="s">
        <v>52</v>
      </c>
      <c r="T2190" t="s">
        <v>52</v>
      </c>
      <c r="U2190" t="s">
        <v>52</v>
      </c>
      <c r="V2190" t="s">
        <v>52</v>
      </c>
      <c r="W2190" t="s">
        <v>52</v>
      </c>
      <c r="X2190" s="18" t="s">
        <v>52</v>
      </c>
      <c r="Y2190" s="18" t="s">
        <v>52</v>
      </c>
      <c r="Z2190" s="18" t="s">
        <v>52</v>
      </c>
      <c r="AA2190" s="18" t="s">
        <v>52</v>
      </c>
      <c r="AB2190" t="s">
        <v>52</v>
      </c>
      <c r="AC2190" t="s">
        <v>52</v>
      </c>
      <c r="AD2190" t="s">
        <v>52</v>
      </c>
      <c r="AE2190" t="s">
        <v>52</v>
      </c>
      <c r="AF2190" s="18" t="s">
        <v>52</v>
      </c>
      <c r="AG2190" s="18" t="s">
        <v>52</v>
      </c>
      <c r="AH2190" s="18" t="s">
        <v>52</v>
      </c>
      <c r="AI2190" s="18" t="s">
        <v>52</v>
      </c>
      <c r="AJ2190">
        <v>7</v>
      </c>
      <c r="AK2190">
        <v>4</v>
      </c>
      <c r="AL2190">
        <v>7</v>
      </c>
      <c r="AM2190">
        <v>5</v>
      </c>
      <c r="AN2190" s="18">
        <v>0</v>
      </c>
      <c r="AO2190" s="18">
        <v>0</v>
      </c>
      <c r="AP2190" s="18">
        <v>0</v>
      </c>
      <c r="AQ2190" s="18">
        <v>0</v>
      </c>
      <c r="AR2190" s="29">
        <v>0</v>
      </c>
      <c r="AS2190" s="29">
        <v>0</v>
      </c>
      <c r="AT2190" s="29">
        <v>3</v>
      </c>
      <c r="AU2190" s="24" t="str">
        <f t="shared" si="35"/>
        <v>库存为3</v>
      </c>
      <c r="AV2190" s="31" t="str">
        <f>IFERROR(时间!$B$4+AU2190,"上周无销量")</f>
        <v>上周无销量</v>
      </c>
    </row>
    <row r="2191" spans="1:48">
      <c r="A2191" s="16" t="s">
        <v>3867</v>
      </c>
      <c r="B2191" t="s">
        <v>3096</v>
      </c>
      <c r="C2191" t="s">
        <v>3860</v>
      </c>
      <c r="D2191" s="24">
        <v>0</v>
      </c>
      <c r="E2191" s="24">
        <v>0</v>
      </c>
      <c r="F2191" s="24">
        <v>0</v>
      </c>
      <c r="G2191" s="24">
        <v>0</v>
      </c>
      <c r="H2191" s="25">
        <v>0</v>
      </c>
      <c r="I2191">
        <v>15</v>
      </c>
      <c r="J2191" s="26">
        <v>0</v>
      </c>
      <c r="K2191" s="26">
        <v>0</v>
      </c>
      <c r="L2191" s="26">
        <v>0</v>
      </c>
      <c r="M2191">
        <v>15</v>
      </c>
      <c r="N2191">
        <v>0</v>
      </c>
      <c r="O2191">
        <v>15</v>
      </c>
      <c r="P2191" t="s">
        <v>52</v>
      </c>
      <c r="Q2191" t="s">
        <v>52</v>
      </c>
      <c r="R2191" t="s">
        <v>52</v>
      </c>
      <c r="S2191" t="s">
        <v>52</v>
      </c>
      <c r="T2191" t="s">
        <v>52</v>
      </c>
      <c r="U2191" t="s">
        <v>52</v>
      </c>
      <c r="V2191" t="s">
        <v>52</v>
      </c>
      <c r="W2191" t="s">
        <v>52</v>
      </c>
      <c r="X2191" s="18" t="s">
        <v>52</v>
      </c>
      <c r="Y2191" s="18" t="s">
        <v>52</v>
      </c>
      <c r="Z2191" s="18" t="s">
        <v>52</v>
      </c>
      <c r="AA2191" s="18" t="s">
        <v>52</v>
      </c>
      <c r="AB2191" t="s">
        <v>52</v>
      </c>
      <c r="AC2191" t="s">
        <v>52</v>
      </c>
      <c r="AD2191" t="s">
        <v>52</v>
      </c>
      <c r="AE2191" t="s">
        <v>52</v>
      </c>
      <c r="AF2191" s="18" t="s">
        <v>52</v>
      </c>
      <c r="AG2191" s="18" t="s">
        <v>52</v>
      </c>
      <c r="AH2191" s="18" t="s">
        <v>52</v>
      </c>
      <c r="AI2191" s="18" t="s">
        <v>52</v>
      </c>
      <c r="AJ2191">
        <v>1</v>
      </c>
      <c r="AK2191">
        <v>3</v>
      </c>
      <c r="AL2191">
        <v>4</v>
      </c>
      <c r="AM2191">
        <v>2</v>
      </c>
      <c r="AN2191" s="18">
        <v>0</v>
      </c>
      <c r="AO2191" s="18">
        <v>0</v>
      </c>
      <c r="AP2191" s="18">
        <v>0</v>
      </c>
      <c r="AQ2191" s="18">
        <v>0</v>
      </c>
      <c r="AR2191" s="29">
        <v>0</v>
      </c>
      <c r="AS2191" s="29">
        <v>0</v>
      </c>
      <c r="AT2191" s="29">
        <v>15</v>
      </c>
      <c r="AU2191" s="24" t="str">
        <f t="shared" si="35"/>
        <v>库存为15</v>
      </c>
      <c r="AV2191" s="31" t="str">
        <f>IFERROR(时间!$B$4+AU2191,"上周无销量")</f>
        <v>上周无销量</v>
      </c>
    </row>
    <row r="2192" spans="1:48">
      <c r="A2192" s="16" t="s">
        <v>3868</v>
      </c>
      <c r="B2192" t="s">
        <v>3098</v>
      </c>
      <c r="C2192" t="s">
        <v>3860</v>
      </c>
      <c r="D2192" s="24">
        <v>0</v>
      </c>
      <c r="E2192" s="24">
        <v>0</v>
      </c>
      <c r="F2192" s="24">
        <v>0</v>
      </c>
      <c r="G2192" s="24">
        <v>0</v>
      </c>
      <c r="H2192" s="25">
        <v>0</v>
      </c>
      <c r="I2192">
        <v>12</v>
      </c>
      <c r="J2192" s="26">
        <v>0</v>
      </c>
      <c r="K2192" s="26">
        <v>0</v>
      </c>
      <c r="L2192" s="26">
        <v>0</v>
      </c>
      <c r="M2192">
        <v>12</v>
      </c>
      <c r="N2192">
        <v>0</v>
      </c>
      <c r="O2192">
        <v>10</v>
      </c>
      <c r="P2192" t="s">
        <v>52</v>
      </c>
      <c r="Q2192" t="s">
        <v>52</v>
      </c>
      <c r="R2192" t="s">
        <v>52</v>
      </c>
      <c r="S2192" t="s">
        <v>52</v>
      </c>
      <c r="T2192" t="s">
        <v>52</v>
      </c>
      <c r="U2192" t="s">
        <v>52</v>
      </c>
      <c r="V2192" t="s">
        <v>52</v>
      </c>
      <c r="W2192" t="s">
        <v>52</v>
      </c>
      <c r="X2192" s="18" t="s">
        <v>52</v>
      </c>
      <c r="Y2192" s="18" t="s">
        <v>52</v>
      </c>
      <c r="Z2192" s="18" t="s">
        <v>52</v>
      </c>
      <c r="AA2192" s="18" t="s">
        <v>52</v>
      </c>
      <c r="AB2192" t="s">
        <v>52</v>
      </c>
      <c r="AC2192" t="s">
        <v>52</v>
      </c>
      <c r="AD2192" t="s">
        <v>52</v>
      </c>
      <c r="AE2192" t="s">
        <v>52</v>
      </c>
      <c r="AF2192" s="18" t="s">
        <v>52</v>
      </c>
      <c r="AG2192" s="18" t="s">
        <v>52</v>
      </c>
      <c r="AH2192" s="18" t="s">
        <v>52</v>
      </c>
      <c r="AI2192" s="18" t="s">
        <v>52</v>
      </c>
      <c r="AJ2192">
        <v>2</v>
      </c>
      <c r="AK2192">
        <v>4</v>
      </c>
      <c r="AL2192">
        <v>4</v>
      </c>
      <c r="AM2192">
        <v>2</v>
      </c>
      <c r="AN2192" s="18">
        <v>0</v>
      </c>
      <c r="AO2192" s="18">
        <v>0</v>
      </c>
      <c r="AP2192" s="18">
        <v>0</v>
      </c>
      <c r="AQ2192" s="18">
        <v>0</v>
      </c>
      <c r="AR2192" s="29">
        <v>0</v>
      </c>
      <c r="AS2192" s="29">
        <v>0</v>
      </c>
      <c r="AT2192" s="29">
        <v>12</v>
      </c>
      <c r="AU2192" s="24" t="str">
        <f t="shared" si="35"/>
        <v>库存为12</v>
      </c>
      <c r="AV2192" s="31" t="str">
        <f>IFERROR(时间!$B$4+AU2192,"上周无销量")</f>
        <v>上周无销量</v>
      </c>
    </row>
    <row r="2193" spans="1:48">
      <c r="A2193" s="16" t="s">
        <v>3869</v>
      </c>
      <c r="B2193" t="s">
        <v>3100</v>
      </c>
      <c r="C2193" t="s">
        <v>3860</v>
      </c>
      <c r="D2193" s="24">
        <v>0</v>
      </c>
      <c r="E2193" s="24">
        <v>0</v>
      </c>
      <c r="F2193" s="24">
        <v>0</v>
      </c>
      <c r="G2193" s="24">
        <v>0</v>
      </c>
      <c r="H2193" s="25">
        <v>0</v>
      </c>
      <c r="I2193">
        <v>9</v>
      </c>
      <c r="J2193" s="26">
        <v>0</v>
      </c>
      <c r="K2193" s="26">
        <v>0</v>
      </c>
      <c r="L2193" s="26">
        <v>0</v>
      </c>
      <c r="M2193">
        <v>9</v>
      </c>
      <c r="N2193">
        <v>0</v>
      </c>
      <c r="O2193">
        <v>9</v>
      </c>
      <c r="P2193" t="s">
        <v>52</v>
      </c>
      <c r="Q2193" t="s">
        <v>52</v>
      </c>
      <c r="R2193" t="s">
        <v>52</v>
      </c>
      <c r="S2193" t="s">
        <v>52</v>
      </c>
      <c r="T2193" t="s">
        <v>52</v>
      </c>
      <c r="U2193" t="s">
        <v>52</v>
      </c>
      <c r="V2193" t="s">
        <v>52</v>
      </c>
      <c r="W2193" t="s">
        <v>52</v>
      </c>
      <c r="X2193" s="18" t="s">
        <v>52</v>
      </c>
      <c r="Y2193" s="18" t="s">
        <v>52</v>
      </c>
      <c r="Z2193" s="18" t="s">
        <v>52</v>
      </c>
      <c r="AA2193" s="18" t="s">
        <v>52</v>
      </c>
      <c r="AB2193" t="s">
        <v>52</v>
      </c>
      <c r="AC2193" t="s">
        <v>52</v>
      </c>
      <c r="AD2193" t="s">
        <v>52</v>
      </c>
      <c r="AE2193" t="s">
        <v>52</v>
      </c>
      <c r="AF2193" s="18" t="s">
        <v>52</v>
      </c>
      <c r="AG2193" s="18" t="s">
        <v>52</v>
      </c>
      <c r="AH2193" s="18" t="s">
        <v>52</v>
      </c>
      <c r="AI2193" s="18" t="s">
        <v>52</v>
      </c>
      <c r="AJ2193">
        <v>2</v>
      </c>
      <c r="AK2193">
        <v>7</v>
      </c>
      <c r="AL2193">
        <v>5</v>
      </c>
      <c r="AM2193">
        <v>7</v>
      </c>
      <c r="AN2193" s="18">
        <v>0</v>
      </c>
      <c r="AO2193" s="18">
        <v>0</v>
      </c>
      <c r="AP2193" s="18">
        <v>0</v>
      </c>
      <c r="AQ2193" s="18">
        <v>0</v>
      </c>
      <c r="AR2193" s="29">
        <v>0</v>
      </c>
      <c r="AS2193" s="29">
        <v>0</v>
      </c>
      <c r="AT2193" s="29">
        <v>9</v>
      </c>
      <c r="AU2193" s="24" t="str">
        <f t="shared" si="35"/>
        <v>库存为9</v>
      </c>
      <c r="AV2193" s="31" t="str">
        <f>IFERROR(时间!$B$4+AU2193,"上周无销量")</f>
        <v>上周无销量</v>
      </c>
    </row>
    <row r="2194" spans="1:48">
      <c r="A2194" s="16" t="s">
        <v>3870</v>
      </c>
      <c r="B2194" t="s">
        <v>3102</v>
      </c>
      <c r="C2194" t="s">
        <v>3860</v>
      </c>
      <c r="D2194" s="24">
        <v>0</v>
      </c>
      <c r="E2194" s="24">
        <v>0</v>
      </c>
      <c r="F2194" s="24">
        <v>0</v>
      </c>
      <c r="G2194" s="24">
        <v>0</v>
      </c>
      <c r="H2194" s="25">
        <v>0</v>
      </c>
      <c r="I2194">
        <v>18</v>
      </c>
      <c r="J2194" s="26">
        <v>0</v>
      </c>
      <c r="K2194" s="26">
        <v>0</v>
      </c>
      <c r="L2194" s="26">
        <v>0</v>
      </c>
      <c r="M2194">
        <v>18</v>
      </c>
      <c r="N2194">
        <v>0</v>
      </c>
      <c r="O2194">
        <v>18</v>
      </c>
      <c r="P2194" t="s">
        <v>52</v>
      </c>
      <c r="Q2194" t="s">
        <v>52</v>
      </c>
      <c r="R2194" t="s">
        <v>52</v>
      </c>
      <c r="S2194" t="s">
        <v>52</v>
      </c>
      <c r="T2194" t="s">
        <v>52</v>
      </c>
      <c r="U2194" t="s">
        <v>52</v>
      </c>
      <c r="V2194" t="s">
        <v>52</v>
      </c>
      <c r="W2194" t="s">
        <v>52</v>
      </c>
      <c r="X2194" s="18" t="s">
        <v>52</v>
      </c>
      <c r="Y2194" s="18" t="s">
        <v>52</v>
      </c>
      <c r="Z2194" s="18" t="s">
        <v>52</v>
      </c>
      <c r="AA2194" s="18" t="s">
        <v>52</v>
      </c>
      <c r="AB2194" t="s">
        <v>52</v>
      </c>
      <c r="AC2194" t="s">
        <v>52</v>
      </c>
      <c r="AD2194" t="s">
        <v>52</v>
      </c>
      <c r="AE2194" t="s">
        <v>52</v>
      </c>
      <c r="AF2194" s="18" t="s">
        <v>52</v>
      </c>
      <c r="AG2194" s="18" t="s">
        <v>52</v>
      </c>
      <c r="AH2194" s="18" t="s">
        <v>52</v>
      </c>
      <c r="AI2194" s="18" t="s">
        <v>52</v>
      </c>
      <c r="AJ2194">
        <v>1</v>
      </c>
      <c r="AK2194">
        <v>4</v>
      </c>
      <c r="AL2194">
        <v>4</v>
      </c>
      <c r="AM2194">
        <v>3</v>
      </c>
      <c r="AN2194" s="18">
        <v>0</v>
      </c>
      <c r="AO2194" s="18">
        <v>0</v>
      </c>
      <c r="AP2194" s="18">
        <v>0</v>
      </c>
      <c r="AQ2194" s="18">
        <v>0</v>
      </c>
      <c r="AR2194" s="29">
        <v>0</v>
      </c>
      <c r="AS2194" s="29">
        <v>0</v>
      </c>
      <c r="AT2194" s="29">
        <v>18</v>
      </c>
      <c r="AU2194" s="24" t="str">
        <f t="shared" si="35"/>
        <v>库存为18</v>
      </c>
      <c r="AV2194" s="31" t="str">
        <f>IFERROR(时间!$B$4+AU2194,"上周无销量")</f>
        <v>上周无销量</v>
      </c>
    </row>
    <row r="2195" spans="1:48">
      <c r="A2195" s="16" t="s">
        <v>3871</v>
      </c>
      <c r="B2195" t="s">
        <v>3104</v>
      </c>
      <c r="C2195" t="s">
        <v>3860</v>
      </c>
      <c r="D2195" s="24">
        <v>0</v>
      </c>
      <c r="E2195" s="24">
        <v>0</v>
      </c>
      <c r="F2195" s="24">
        <v>0</v>
      </c>
      <c r="G2195" s="24">
        <v>0</v>
      </c>
      <c r="H2195" s="25">
        <v>0</v>
      </c>
      <c r="I2195">
        <v>18</v>
      </c>
      <c r="J2195" s="26">
        <v>0</v>
      </c>
      <c r="K2195" s="26">
        <v>0</v>
      </c>
      <c r="L2195" s="26">
        <v>0</v>
      </c>
      <c r="M2195">
        <v>18</v>
      </c>
      <c r="N2195">
        <v>0</v>
      </c>
      <c r="O2195">
        <v>16</v>
      </c>
      <c r="P2195" t="s">
        <v>52</v>
      </c>
      <c r="Q2195" t="s">
        <v>52</v>
      </c>
      <c r="R2195" t="s">
        <v>52</v>
      </c>
      <c r="S2195" t="s">
        <v>52</v>
      </c>
      <c r="T2195" t="s">
        <v>52</v>
      </c>
      <c r="U2195" t="s">
        <v>52</v>
      </c>
      <c r="V2195" t="s">
        <v>52</v>
      </c>
      <c r="W2195" t="s">
        <v>52</v>
      </c>
      <c r="X2195" s="18" t="s">
        <v>52</v>
      </c>
      <c r="Y2195" s="18" t="s">
        <v>52</v>
      </c>
      <c r="Z2195" s="18" t="s">
        <v>52</v>
      </c>
      <c r="AA2195" s="18" t="s">
        <v>52</v>
      </c>
      <c r="AB2195" t="s">
        <v>52</v>
      </c>
      <c r="AC2195" t="s">
        <v>52</v>
      </c>
      <c r="AD2195" t="s">
        <v>52</v>
      </c>
      <c r="AE2195" t="s">
        <v>52</v>
      </c>
      <c r="AF2195" s="18" t="s">
        <v>52</v>
      </c>
      <c r="AG2195" s="18" t="s">
        <v>52</v>
      </c>
      <c r="AH2195" s="18" t="s">
        <v>52</v>
      </c>
      <c r="AI2195" s="18" t="s">
        <v>52</v>
      </c>
      <c r="AJ2195">
        <v>1</v>
      </c>
      <c r="AK2195">
        <v>3</v>
      </c>
      <c r="AL2195">
        <v>4</v>
      </c>
      <c r="AM2195">
        <v>4</v>
      </c>
      <c r="AN2195" s="18">
        <v>0</v>
      </c>
      <c r="AO2195" s="18">
        <v>0</v>
      </c>
      <c r="AP2195" s="18">
        <v>0</v>
      </c>
      <c r="AQ2195" s="18">
        <v>0</v>
      </c>
      <c r="AR2195" s="29">
        <v>0</v>
      </c>
      <c r="AS2195" s="29">
        <v>0</v>
      </c>
      <c r="AT2195" s="29">
        <v>18</v>
      </c>
      <c r="AU2195" s="24" t="str">
        <f t="shared" si="35"/>
        <v>库存为18</v>
      </c>
      <c r="AV2195" s="31" t="str">
        <f>IFERROR(时间!$B$4+AU2195,"上周无销量")</f>
        <v>上周无销量</v>
      </c>
    </row>
    <row r="2196" spans="1:48">
      <c r="A2196" s="16" t="s">
        <v>3872</v>
      </c>
      <c r="B2196" t="s">
        <v>3108</v>
      </c>
      <c r="C2196" t="s">
        <v>3860</v>
      </c>
      <c r="D2196" s="24">
        <v>0</v>
      </c>
      <c r="E2196" s="24">
        <v>0</v>
      </c>
      <c r="F2196" s="24">
        <v>0</v>
      </c>
      <c r="G2196" s="24">
        <v>0</v>
      </c>
      <c r="H2196" s="25">
        <v>0</v>
      </c>
      <c r="I2196">
        <v>2</v>
      </c>
      <c r="J2196" s="26">
        <v>0</v>
      </c>
      <c r="K2196" s="26">
        <v>0</v>
      </c>
      <c r="L2196" s="26">
        <v>0</v>
      </c>
      <c r="M2196">
        <v>2</v>
      </c>
      <c r="N2196">
        <v>1</v>
      </c>
      <c r="O2196">
        <v>1</v>
      </c>
      <c r="P2196" t="s">
        <v>52</v>
      </c>
      <c r="Q2196" t="s">
        <v>52</v>
      </c>
      <c r="R2196" t="s">
        <v>52</v>
      </c>
      <c r="S2196" t="s">
        <v>52</v>
      </c>
      <c r="T2196" t="s">
        <v>52</v>
      </c>
      <c r="U2196" t="s">
        <v>52</v>
      </c>
      <c r="V2196" t="s">
        <v>52</v>
      </c>
      <c r="W2196" t="s">
        <v>52</v>
      </c>
      <c r="X2196" s="18" t="s">
        <v>52</v>
      </c>
      <c r="Y2196" s="18" t="s">
        <v>52</v>
      </c>
      <c r="Z2196" s="18" t="s">
        <v>52</v>
      </c>
      <c r="AA2196" s="18" t="s">
        <v>52</v>
      </c>
      <c r="AB2196" t="s">
        <v>52</v>
      </c>
      <c r="AC2196" t="s">
        <v>52</v>
      </c>
      <c r="AD2196" t="s">
        <v>52</v>
      </c>
      <c r="AE2196" t="s">
        <v>52</v>
      </c>
      <c r="AF2196" s="18" t="s">
        <v>52</v>
      </c>
      <c r="AG2196" s="18" t="s">
        <v>52</v>
      </c>
      <c r="AH2196" s="18" t="s">
        <v>52</v>
      </c>
      <c r="AI2196" s="18" t="s">
        <v>52</v>
      </c>
      <c r="AJ2196">
        <v>1</v>
      </c>
      <c r="AK2196">
        <v>4</v>
      </c>
      <c r="AL2196">
        <v>8</v>
      </c>
      <c r="AM2196">
        <v>3</v>
      </c>
      <c r="AN2196" s="18">
        <v>0</v>
      </c>
      <c r="AO2196" s="18">
        <v>0</v>
      </c>
      <c r="AP2196" s="18">
        <v>0</v>
      </c>
      <c r="AQ2196" s="18">
        <v>0</v>
      </c>
      <c r="AR2196" s="29">
        <v>0</v>
      </c>
      <c r="AS2196" s="29">
        <v>0</v>
      </c>
      <c r="AT2196" s="29">
        <v>2</v>
      </c>
      <c r="AU2196" s="24" t="str">
        <f t="shared" si="35"/>
        <v>库存为2</v>
      </c>
      <c r="AV2196" s="31" t="str">
        <f>IFERROR(时间!$B$4+AU2196,"上周无销量")</f>
        <v>上周无销量</v>
      </c>
    </row>
    <row r="2197" spans="1:48">
      <c r="A2197" s="16" t="s">
        <v>3873</v>
      </c>
      <c r="B2197" t="s">
        <v>3110</v>
      </c>
      <c r="C2197" t="s">
        <v>3860</v>
      </c>
      <c r="D2197" s="24">
        <v>0</v>
      </c>
      <c r="E2197" s="24">
        <v>0</v>
      </c>
      <c r="F2197" s="24">
        <v>0</v>
      </c>
      <c r="G2197" s="24">
        <v>0</v>
      </c>
      <c r="H2197" s="25">
        <v>0</v>
      </c>
      <c r="I2197">
        <v>0</v>
      </c>
      <c r="J2197" s="26">
        <v>0</v>
      </c>
      <c r="K2197" s="26">
        <v>0</v>
      </c>
      <c r="L2197" s="26">
        <v>0</v>
      </c>
      <c r="M2197">
        <v>0</v>
      </c>
      <c r="N2197">
        <v>0</v>
      </c>
      <c r="O2197">
        <v>0</v>
      </c>
      <c r="P2197" t="s">
        <v>52</v>
      </c>
      <c r="Q2197" t="s">
        <v>52</v>
      </c>
      <c r="R2197" t="s">
        <v>52</v>
      </c>
      <c r="S2197" t="s">
        <v>52</v>
      </c>
      <c r="T2197" t="s">
        <v>52</v>
      </c>
      <c r="U2197" t="s">
        <v>52</v>
      </c>
      <c r="V2197" t="s">
        <v>52</v>
      </c>
      <c r="W2197" t="s">
        <v>52</v>
      </c>
      <c r="X2197" s="18" t="s">
        <v>52</v>
      </c>
      <c r="Y2197" s="18" t="s">
        <v>52</v>
      </c>
      <c r="Z2197" s="18" t="s">
        <v>52</v>
      </c>
      <c r="AA2197" s="18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s="18" t="s">
        <v>52</v>
      </c>
      <c r="AG2197" s="18" t="s">
        <v>52</v>
      </c>
      <c r="AH2197" s="18" t="s">
        <v>52</v>
      </c>
      <c r="AI2197" s="18" t="s">
        <v>52</v>
      </c>
      <c r="AJ2197">
        <v>0</v>
      </c>
      <c r="AK2197">
        <v>0</v>
      </c>
      <c r="AL2197">
        <v>0</v>
      </c>
      <c r="AM2197">
        <v>0</v>
      </c>
      <c r="AN2197" s="18" t="s">
        <v>52</v>
      </c>
      <c r="AO2197" s="18" t="s">
        <v>52</v>
      </c>
      <c r="AP2197" s="18" t="s">
        <v>52</v>
      </c>
      <c r="AQ2197" s="18" t="s">
        <v>52</v>
      </c>
      <c r="AR2197" s="29">
        <v>0</v>
      </c>
      <c r="AS2197" s="29">
        <v>0</v>
      </c>
      <c r="AT2197" s="29">
        <v>0</v>
      </c>
      <c r="AU2197" s="24" t="str">
        <f t="shared" si="35"/>
        <v>库存为0</v>
      </c>
      <c r="AV2197" s="31" t="str">
        <f>IFERROR(时间!$B$4+AU2197,"上周无销量")</f>
        <v>上周无销量</v>
      </c>
    </row>
    <row r="2198" spans="1:48">
      <c r="A2198" s="16" t="s">
        <v>3874</v>
      </c>
      <c r="B2198" t="s">
        <v>3112</v>
      </c>
      <c r="C2198" t="s">
        <v>3860</v>
      </c>
      <c r="D2198" s="24">
        <v>0</v>
      </c>
      <c r="E2198" s="24">
        <v>0</v>
      </c>
      <c r="F2198" s="24">
        <v>0</v>
      </c>
      <c r="G2198" s="24">
        <v>1</v>
      </c>
      <c r="H2198" s="25">
        <v>22.98</v>
      </c>
      <c r="I2198">
        <v>6</v>
      </c>
      <c r="J2198" s="26">
        <v>0</v>
      </c>
      <c r="K2198" s="26">
        <v>0</v>
      </c>
      <c r="L2198" s="26">
        <v>0</v>
      </c>
      <c r="M2198">
        <v>6</v>
      </c>
      <c r="N2198">
        <v>0</v>
      </c>
      <c r="O2198">
        <v>3</v>
      </c>
      <c r="P2198">
        <v>2085</v>
      </c>
      <c r="Q2198">
        <v>3335</v>
      </c>
      <c r="R2198">
        <v>2633</v>
      </c>
      <c r="S2198">
        <v>9285</v>
      </c>
      <c r="T2198">
        <v>12</v>
      </c>
      <c r="U2198">
        <v>23</v>
      </c>
      <c r="V2198">
        <v>19</v>
      </c>
      <c r="W2198">
        <v>30</v>
      </c>
      <c r="X2198" s="18">
        <v>0.00575539568345324</v>
      </c>
      <c r="Y2198" s="18">
        <v>0.00689655172413793</v>
      </c>
      <c r="Z2198" s="18">
        <v>0.00721610330421572</v>
      </c>
      <c r="AA2198" s="18">
        <v>0.00323101777059774</v>
      </c>
      <c r="AB2198">
        <v>7.75</v>
      </c>
      <c r="AC2198">
        <v>10.01</v>
      </c>
      <c r="AD2198">
        <v>10.13</v>
      </c>
      <c r="AE2198">
        <v>21.35</v>
      </c>
      <c r="AF2198" s="18" t="s">
        <v>3875</v>
      </c>
      <c r="AG2198" s="18" t="s">
        <v>3876</v>
      </c>
      <c r="AH2198" s="18" t="s">
        <v>3877</v>
      </c>
      <c r="AI2198" s="18">
        <v>0.929068755439513</v>
      </c>
      <c r="AJ2198">
        <v>5</v>
      </c>
      <c r="AK2198">
        <v>7</v>
      </c>
      <c r="AL2198">
        <v>16</v>
      </c>
      <c r="AM2198">
        <v>16</v>
      </c>
      <c r="AN2198" s="18">
        <v>0</v>
      </c>
      <c r="AO2198" s="18">
        <v>0</v>
      </c>
      <c r="AP2198" s="18">
        <v>0</v>
      </c>
      <c r="AQ2198" s="18">
        <v>0.0625</v>
      </c>
      <c r="AR2198" s="29">
        <v>0</v>
      </c>
      <c r="AS2198" s="29">
        <v>0</v>
      </c>
      <c r="AT2198" s="29">
        <v>6</v>
      </c>
      <c r="AU2198" s="24" t="str">
        <f t="shared" si="35"/>
        <v>库存为6</v>
      </c>
      <c r="AV2198" s="31" t="str">
        <f>IFERROR(时间!$B$4+AU2198,"上周无销量")</f>
        <v>上周无销量</v>
      </c>
    </row>
    <row r="2199" spans="1:48">
      <c r="A2199" s="16" t="s">
        <v>3878</v>
      </c>
      <c r="B2199" t="s">
        <v>3114</v>
      </c>
      <c r="C2199" t="s">
        <v>3860</v>
      </c>
      <c r="D2199" s="24">
        <v>0</v>
      </c>
      <c r="E2199" s="24">
        <v>0</v>
      </c>
      <c r="F2199" s="24">
        <v>0</v>
      </c>
      <c r="G2199" s="24">
        <v>0</v>
      </c>
      <c r="H2199" s="25">
        <v>0</v>
      </c>
      <c r="I2199">
        <v>4</v>
      </c>
      <c r="J2199" s="26">
        <v>0</v>
      </c>
      <c r="K2199" s="26">
        <v>0</v>
      </c>
      <c r="L2199" s="26">
        <v>0</v>
      </c>
      <c r="M2199">
        <v>4</v>
      </c>
      <c r="N2199">
        <v>0</v>
      </c>
      <c r="O2199">
        <v>3</v>
      </c>
      <c r="P2199" t="s">
        <v>52</v>
      </c>
      <c r="Q2199" t="s">
        <v>52</v>
      </c>
      <c r="R2199" t="s">
        <v>52</v>
      </c>
      <c r="S2199" t="s">
        <v>52</v>
      </c>
      <c r="T2199" t="s">
        <v>52</v>
      </c>
      <c r="U2199" t="s">
        <v>52</v>
      </c>
      <c r="V2199" t="s">
        <v>52</v>
      </c>
      <c r="W2199" t="s">
        <v>52</v>
      </c>
      <c r="X2199" s="18" t="s">
        <v>52</v>
      </c>
      <c r="Y2199" s="18" t="s">
        <v>52</v>
      </c>
      <c r="Z2199" s="18" t="s">
        <v>52</v>
      </c>
      <c r="AA2199" s="18" t="s">
        <v>52</v>
      </c>
      <c r="AB2199" t="s">
        <v>52</v>
      </c>
      <c r="AC2199" t="s">
        <v>52</v>
      </c>
      <c r="AD2199" t="s">
        <v>52</v>
      </c>
      <c r="AE2199" t="s">
        <v>52</v>
      </c>
      <c r="AF2199" s="18" t="s">
        <v>52</v>
      </c>
      <c r="AG2199" s="18" t="s">
        <v>52</v>
      </c>
      <c r="AH2199" s="18" t="s">
        <v>52</v>
      </c>
      <c r="AI2199" s="18" t="s">
        <v>52</v>
      </c>
      <c r="AJ2199">
        <v>3</v>
      </c>
      <c r="AK2199">
        <v>1</v>
      </c>
      <c r="AL2199">
        <v>6</v>
      </c>
      <c r="AM2199">
        <v>3</v>
      </c>
      <c r="AN2199" s="18">
        <v>0</v>
      </c>
      <c r="AO2199" s="18">
        <v>0</v>
      </c>
      <c r="AP2199" s="18">
        <v>0</v>
      </c>
      <c r="AQ2199" s="18">
        <v>0</v>
      </c>
      <c r="AR2199" s="29">
        <v>0</v>
      </c>
      <c r="AS2199" s="29">
        <v>0</v>
      </c>
      <c r="AT2199" s="29">
        <v>4</v>
      </c>
      <c r="AU2199" s="24" t="str">
        <f t="shared" si="35"/>
        <v>库存为4</v>
      </c>
      <c r="AV2199" s="31" t="str">
        <f>IFERROR(时间!$B$4+AU2199,"上周无销量")</f>
        <v>上周无销量</v>
      </c>
    </row>
    <row r="2200" spans="1:48">
      <c r="A2200" s="16" t="s">
        <v>3879</v>
      </c>
      <c r="B2200" t="s">
        <v>3116</v>
      </c>
      <c r="C2200" t="s">
        <v>3860</v>
      </c>
      <c r="D2200" s="24">
        <v>1</v>
      </c>
      <c r="E2200" s="24">
        <v>0</v>
      </c>
      <c r="F2200" s="24">
        <v>0</v>
      </c>
      <c r="G2200" s="24">
        <v>0</v>
      </c>
      <c r="H2200" s="25">
        <v>22.98</v>
      </c>
      <c r="I2200">
        <v>2</v>
      </c>
      <c r="J2200" s="26">
        <v>0</v>
      </c>
      <c r="K2200" s="26">
        <v>0</v>
      </c>
      <c r="L2200" s="26">
        <v>0</v>
      </c>
      <c r="M2200">
        <v>2</v>
      </c>
      <c r="N2200">
        <v>0</v>
      </c>
      <c r="O2200">
        <v>1</v>
      </c>
      <c r="P2200" t="s">
        <v>52</v>
      </c>
      <c r="Q2200" t="s">
        <v>52</v>
      </c>
      <c r="R2200" t="s">
        <v>52</v>
      </c>
      <c r="S2200" t="s">
        <v>52</v>
      </c>
      <c r="T2200" t="s">
        <v>52</v>
      </c>
      <c r="U2200" t="s">
        <v>52</v>
      </c>
      <c r="V2200" t="s">
        <v>52</v>
      </c>
      <c r="W2200" t="s">
        <v>52</v>
      </c>
      <c r="X2200" s="18" t="s">
        <v>52</v>
      </c>
      <c r="Y2200" s="18" t="s">
        <v>52</v>
      </c>
      <c r="Z2200" s="18" t="s">
        <v>52</v>
      </c>
      <c r="AA2200" s="18" t="s">
        <v>52</v>
      </c>
      <c r="AB2200" t="s">
        <v>52</v>
      </c>
      <c r="AC2200" t="s">
        <v>52</v>
      </c>
      <c r="AD2200" t="s">
        <v>52</v>
      </c>
      <c r="AE2200" t="s">
        <v>52</v>
      </c>
      <c r="AF2200" s="18" t="s">
        <v>52</v>
      </c>
      <c r="AG2200" s="18" t="s">
        <v>52</v>
      </c>
      <c r="AH2200" s="18" t="s">
        <v>52</v>
      </c>
      <c r="AI2200" s="18" t="s">
        <v>52</v>
      </c>
      <c r="AJ2200">
        <v>3</v>
      </c>
      <c r="AK2200">
        <v>3</v>
      </c>
      <c r="AL2200">
        <v>3</v>
      </c>
      <c r="AM2200">
        <v>2</v>
      </c>
      <c r="AN2200" s="18">
        <v>0.333333333333333</v>
      </c>
      <c r="AO2200" s="18">
        <v>0</v>
      </c>
      <c r="AP2200" s="18">
        <v>0</v>
      </c>
      <c r="AQ2200" s="18">
        <v>0</v>
      </c>
      <c r="AR2200" s="29">
        <v>0.142857142857143</v>
      </c>
      <c r="AS2200" s="29">
        <v>8.57142857142857</v>
      </c>
      <c r="AT2200" s="29">
        <v>-6.57142857142857</v>
      </c>
      <c r="AU2200" s="24">
        <f t="shared" si="35"/>
        <v>14</v>
      </c>
      <c r="AV2200" s="31">
        <f>IFERROR(时间!$B$4+AU2200,"上周无销量")</f>
        <v>43332</v>
      </c>
    </row>
    <row r="2201" spans="1:48">
      <c r="A2201" s="16" t="s">
        <v>3880</v>
      </c>
      <c r="B2201" t="s">
        <v>3120</v>
      </c>
      <c r="C2201" t="s">
        <v>3860</v>
      </c>
      <c r="D2201" s="24">
        <v>0</v>
      </c>
      <c r="E2201" s="24">
        <v>0</v>
      </c>
      <c r="F2201" s="24">
        <v>0</v>
      </c>
      <c r="G2201" s="24">
        <v>0</v>
      </c>
      <c r="H2201" s="25">
        <v>0</v>
      </c>
      <c r="I2201">
        <v>4</v>
      </c>
      <c r="J2201" s="26">
        <v>0</v>
      </c>
      <c r="K2201" s="26">
        <v>0</v>
      </c>
      <c r="L2201" s="26">
        <v>0</v>
      </c>
      <c r="M2201">
        <v>4</v>
      </c>
      <c r="N2201">
        <v>0</v>
      </c>
      <c r="O2201">
        <v>4</v>
      </c>
      <c r="P2201" t="s">
        <v>52</v>
      </c>
      <c r="Q2201" t="s">
        <v>52</v>
      </c>
      <c r="R2201" t="s">
        <v>52</v>
      </c>
      <c r="S2201" t="s">
        <v>52</v>
      </c>
      <c r="T2201" t="s">
        <v>52</v>
      </c>
      <c r="U2201" t="s">
        <v>52</v>
      </c>
      <c r="V2201" t="s">
        <v>52</v>
      </c>
      <c r="W2201" t="s">
        <v>52</v>
      </c>
      <c r="X2201" s="18" t="s">
        <v>52</v>
      </c>
      <c r="Y2201" s="18" t="s">
        <v>52</v>
      </c>
      <c r="Z2201" s="18" t="s">
        <v>52</v>
      </c>
      <c r="AA2201" s="18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s="18" t="s">
        <v>52</v>
      </c>
      <c r="AG2201" s="18" t="s">
        <v>52</v>
      </c>
      <c r="AH2201" s="18" t="s">
        <v>52</v>
      </c>
      <c r="AI2201" s="18" t="s">
        <v>52</v>
      </c>
      <c r="AJ2201">
        <v>0</v>
      </c>
      <c r="AK2201">
        <v>0</v>
      </c>
      <c r="AL2201">
        <v>7</v>
      </c>
      <c r="AM2201">
        <v>2</v>
      </c>
      <c r="AN2201" s="18" t="s">
        <v>52</v>
      </c>
      <c r="AO2201" s="18" t="s">
        <v>52</v>
      </c>
      <c r="AP2201" s="18">
        <v>0</v>
      </c>
      <c r="AQ2201" s="18">
        <v>0</v>
      </c>
      <c r="AR2201" s="29">
        <v>0</v>
      </c>
      <c r="AS2201" s="29">
        <v>0</v>
      </c>
      <c r="AT2201" s="29">
        <v>4</v>
      </c>
      <c r="AU2201" s="24" t="str">
        <f t="shared" si="35"/>
        <v>库存为4</v>
      </c>
      <c r="AV2201" s="31" t="str">
        <f>IFERROR(时间!$B$4+AU2201,"上周无销量")</f>
        <v>上周无销量</v>
      </c>
    </row>
    <row r="2202" spans="1:48">
      <c r="A2202" s="16" t="s">
        <v>3881</v>
      </c>
      <c r="B2202" t="s">
        <v>3122</v>
      </c>
      <c r="C2202" t="s">
        <v>3860</v>
      </c>
      <c r="D2202" s="24">
        <v>0</v>
      </c>
      <c r="E2202" s="24">
        <v>0</v>
      </c>
      <c r="F2202" s="24">
        <v>0</v>
      </c>
      <c r="G2202" s="24">
        <v>0</v>
      </c>
      <c r="H2202" s="25">
        <v>0</v>
      </c>
      <c r="I2202">
        <v>0</v>
      </c>
      <c r="J2202" s="26">
        <v>0</v>
      </c>
      <c r="K2202" s="26">
        <v>0</v>
      </c>
      <c r="L2202" s="26">
        <v>0</v>
      </c>
      <c r="M2202">
        <v>0</v>
      </c>
      <c r="N2202">
        <v>0</v>
      </c>
      <c r="O2202">
        <v>1</v>
      </c>
      <c r="P2202">
        <v>0</v>
      </c>
      <c r="Q2202">
        <v>0</v>
      </c>
      <c r="R2202">
        <v>0</v>
      </c>
      <c r="S2202">
        <v>1256</v>
      </c>
      <c r="T2202">
        <v>0</v>
      </c>
      <c r="U2202">
        <v>0</v>
      </c>
      <c r="V2202">
        <v>0</v>
      </c>
      <c r="W2202">
        <v>5</v>
      </c>
      <c r="X2202" s="18" t="s">
        <v>52</v>
      </c>
      <c r="Y2202" s="18" t="s">
        <v>52</v>
      </c>
      <c r="Z2202" s="18" t="s">
        <v>52</v>
      </c>
      <c r="AA2202" s="18">
        <v>0.00398089171974522</v>
      </c>
      <c r="AB2202">
        <v>0</v>
      </c>
      <c r="AC2202">
        <v>0</v>
      </c>
      <c r="AD2202">
        <v>0</v>
      </c>
      <c r="AE2202">
        <v>3.59</v>
      </c>
      <c r="AF2202" s="18" t="s">
        <v>52</v>
      </c>
      <c r="AG2202" s="18" t="s">
        <v>52</v>
      </c>
      <c r="AH2202" s="18" t="s">
        <v>52</v>
      </c>
      <c r="AI2202" s="18" t="s">
        <v>3882</v>
      </c>
      <c r="AJ2202">
        <v>5</v>
      </c>
      <c r="AK2202">
        <v>9</v>
      </c>
      <c r="AL2202">
        <v>4</v>
      </c>
      <c r="AM2202">
        <v>6</v>
      </c>
      <c r="AN2202" s="18">
        <v>0</v>
      </c>
      <c r="AO2202" s="18">
        <v>0</v>
      </c>
      <c r="AP2202" s="18">
        <v>0</v>
      </c>
      <c r="AQ2202" s="18">
        <v>0</v>
      </c>
      <c r="AR2202" s="29">
        <v>0</v>
      </c>
      <c r="AS2202" s="29">
        <v>0</v>
      </c>
      <c r="AT2202" s="29">
        <v>0</v>
      </c>
      <c r="AU2202" s="24" t="str">
        <f t="shared" si="35"/>
        <v>库存为0</v>
      </c>
      <c r="AV2202" s="31" t="str">
        <f>IFERROR(时间!$B$4+AU2202,"上周无销量")</f>
        <v>上周无销量</v>
      </c>
    </row>
    <row r="2203" spans="1:48">
      <c r="A2203" s="16" t="s">
        <v>3883</v>
      </c>
      <c r="B2203" t="s">
        <v>3124</v>
      </c>
      <c r="C2203" t="s">
        <v>3860</v>
      </c>
      <c r="D2203" s="24">
        <v>0</v>
      </c>
      <c r="E2203" s="24">
        <v>0</v>
      </c>
      <c r="F2203" s="24">
        <v>0</v>
      </c>
      <c r="G2203" s="24">
        <v>0</v>
      </c>
      <c r="H2203" s="25">
        <v>0</v>
      </c>
      <c r="I2203">
        <v>1</v>
      </c>
      <c r="J2203" s="26">
        <v>0</v>
      </c>
      <c r="K2203" s="26">
        <v>0</v>
      </c>
      <c r="L2203" s="26">
        <v>0</v>
      </c>
      <c r="M2203">
        <v>1</v>
      </c>
      <c r="N2203">
        <v>0</v>
      </c>
      <c r="O2203">
        <v>1</v>
      </c>
      <c r="P2203" t="s">
        <v>52</v>
      </c>
      <c r="Q2203" t="s">
        <v>52</v>
      </c>
      <c r="R2203" t="s">
        <v>52</v>
      </c>
      <c r="S2203" t="s">
        <v>52</v>
      </c>
      <c r="T2203" t="s">
        <v>52</v>
      </c>
      <c r="U2203" t="s">
        <v>52</v>
      </c>
      <c r="V2203" t="s">
        <v>52</v>
      </c>
      <c r="W2203" t="s">
        <v>52</v>
      </c>
      <c r="X2203" s="18" t="s">
        <v>52</v>
      </c>
      <c r="Y2203" s="18" t="s">
        <v>52</v>
      </c>
      <c r="Z2203" s="18" t="s">
        <v>52</v>
      </c>
      <c r="AA2203" s="18" t="s">
        <v>52</v>
      </c>
      <c r="AB2203" t="s">
        <v>52</v>
      </c>
      <c r="AC2203" t="s">
        <v>52</v>
      </c>
      <c r="AD2203" t="s">
        <v>52</v>
      </c>
      <c r="AE2203" t="s">
        <v>52</v>
      </c>
      <c r="AF2203" s="18" t="s">
        <v>52</v>
      </c>
      <c r="AG2203" s="18" t="s">
        <v>52</v>
      </c>
      <c r="AH2203" s="18" t="s">
        <v>52</v>
      </c>
      <c r="AI2203" s="18" t="s">
        <v>52</v>
      </c>
      <c r="AJ2203">
        <v>2</v>
      </c>
      <c r="AK2203">
        <v>1</v>
      </c>
      <c r="AL2203">
        <v>6</v>
      </c>
      <c r="AM2203">
        <v>2</v>
      </c>
      <c r="AN2203" s="18">
        <v>0</v>
      </c>
      <c r="AO2203" s="18">
        <v>0</v>
      </c>
      <c r="AP2203" s="18">
        <v>0</v>
      </c>
      <c r="AQ2203" s="18">
        <v>0</v>
      </c>
      <c r="AR2203" s="29">
        <v>0</v>
      </c>
      <c r="AS2203" s="29">
        <v>0</v>
      </c>
      <c r="AT2203" s="29">
        <v>1</v>
      </c>
      <c r="AU2203" s="24" t="str">
        <f t="shared" si="35"/>
        <v>库存为1</v>
      </c>
      <c r="AV2203" s="31" t="str">
        <f>IFERROR(时间!$B$4+AU2203,"上周无销量")</f>
        <v>上周无销量</v>
      </c>
    </row>
    <row r="2204" spans="1:48">
      <c r="A2204" s="16" t="s">
        <v>3884</v>
      </c>
      <c r="B2204" t="s">
        <v>3126</v>
      </c>
      <c r="C2204" t="s">
        <v>3860</v>
      </c>
      <c r="D2204" s="24">
        <v>0</v>
      </c>
      <c r="E2204" s="24">
        <v>0</v>
      </c>
      <c r="F2204" s="24">
        <v>0</v>
      </c>
      <c r="G2204" s="24">
        <v>0</v>
      </c>
      <c r="H2204" s="25">
        <v>0</v>
      </c>
      <c r="I2204">
        <v>11</v>
      </c>
      <c r="J2204" s="26">
        <v>0</v>
      </c>
      <c r="K2204" s="26">
        <v>0</v>
      </c>
      <c r="L2204" s="26">
        <v>0</v>
      </c>
      <c r="M2204">
        <v>11</v>
      </c>
      <c r="N2204">
        <v>0</v>
      </c>
      <c r="O2204">
        <v>11</v>
      </c>
      <c r="P2204" t="s">
        <v>52</v>
      </c>
      <c r="Q2204" t="s">
        <v>52</v>
      </c>
      <c r="R2204" t="s">
        <v>52</v>
      </c>
      <c r="S2204" t="s">
        <v>52</v>
      </c>
      <c r="T2204" t="s">
        <v>52</v>
      </c>
      <c r="U2204" t="s">
        <v>52</v>
      </c>
      <c r="V2204" t="s">
        <v>52</v>
      </c>
      <c r="W2204" t="s">
        <v>52</v>
      </c>
      <c r="X2204" s="18" t="s">
        <v>52</v>
      </c>
      <c r="Y2204" s="18" t="s">
        <v>52</v>
      </c>
      <c r="Z2204" s="18" t="s">
        <v>52</v>
      </c>
      <c r="AA2204" s="18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s="18" t="s">
        <v>52</v>
      </c>
      <c r="AG2204" s="18" t="s">
        <v>52</v>
      </c>
      <c r="AH2204" s="18" t="s">
        <v>52</v>
      </c>
      <c r="AI2204" s="18" t="s">
        <v>52</v>
      </c>
      <c r="AJ2204">
        <v>5</v>
      </c>
      <c r="AK2204">
        <v>1</v>
      </c>
      <c r="AL2204">
        <v>2</v>
      </c>
      <c r="AM2204">
        <v>5</v>
      </c>
      <c r="AN2204" s="18">
        <v>0</v>
      </c>
      <c r="AO2204" s="18">
        <v>0</v>
      </c>
      <c r="AP2204" s="18">
        <v>0</v>
      </c>
      <c r="AQ2204" s="18">
        <v>0</v>
      </c>
      <c r="AR2204" s="29">
        <v>0</v>
      </c>
      <c r="AS2204" s="29">
        <v>0</v>
      </c>
      <c r="AT2204" s="29">
        <v>11</v>
      </c>
      <c r="AU2204" s="24" t="str">
        <f t="shared" si="35"/>
        <v>库存为11</v>
      </c>
      <c r="AV2204" s="31" t="str">
        <f>IFERROR(时间!$B$4+AU2204,"上周无销量")</f>
        <v>上周无销量</v>
      </c>
    </row>
    <row r="2205" spans="1:48">
      <c r="A2205" s="16" t="s">
        <v>3885</v>
      </c>
      <c r="B2205" t="s">
        <v>3128</v>
      </c>
      <c r="C2205" t="s">
        <v>3860</v>
      </c>
      <c r="D2205" s="24">
        <v>0</v>
      </c>
      <c r="E2205" s="24">
        <v>0</v>
      </c>
      <c r="F2205" s="24">
        <v>0</v>
      </c>
      <c r="G2205" s="24">
        <v>0</v>
      </c>
      <c r="H2205" s="25">
        <v>0</v>
      </c>
      <c r="I2205">
        <v>11</v>
      </c>
      <c r="J2205" s="26">
        <v>0</v>
      </c>
      <c r="K2205" s="26">
        <v>0</v>
      </c>
      <c r="L2205" s="26">
        <v>0</v>
      </c>
      <c r="M2205">
        <v>11</v>
      </c>
      <c r="N2205">
        <v>0</v>
      </c>
      <c r="O2205">
        <v>11</v>
      </c>
      <c r="P2205">
        <v>327</v>
      </c>
      <c r="Q2205">
        <v>0</v>
      </c>
      <c r="R2205">
        <v>0</v>
      </c>
      <c r="S2205">
        <v>0</v>
      </c>
      <c r="T2205">
        <v>3</v>
      </c>
      <c r="U2205">
        <v>0</v>
      </c>
      <c r="V2205">
        <v>0</v>
      </c>
      <c r="W2205">
        <v>0</v>
      </c>
      <c r="X2205" s="18">
        <v>0.00917431192660551</v>
      </c>
      <c r="Y2205" s="18" t="s">
        <v>52</v>
      </c>
      <c r="Z2205" s="18" t="s">
        <v>52</v>
      </c>
      <c r="AA2205" s="18" t="s">
        <v>52</v>
      </c>
      <c r="AB2205">
        <v>2.42</v>
      </c>
      <c r="AC2205">
        <v>0</v>
      </c>
      <c r="AD2205">
        <v>0</v>
      </c>
      <c r="AE2205">
        <v>0</v>
      </c>
      <c r="AF2205" s="18" t="s">
        <v>3886</v>
      </c>
      <c r="AG2205" s="18" t="s">
        <v>52</v>
      </c>
      <c r="AH2205" s="18" t="s">
        <v>52</v>
      </c>
      <c r="AI2205" s="18" t="s">
        <v>52</v>
      </c>
      <c r="AJ2205">
        <v>5</v>
      </c>
      <c r="AK2205">
        <v>2</v>
      </c>
      <c r="AL2205">
        <v>5</v>
      </c>
      <c r="AM2205">
        <v>4</v>
      </c>
      <c r="AN2205" s="18">
        <v>0</v>
      </c>
      <c r="AO2205" s="18">
        <v>0</v>
      </c>
      <c r="AP2205" s="18">
        <v>0</v>
      </c>
      <c r="AQ2205" s="18">
        <v>0</v>
      </c>
      <c r="AR2205" s="29">
        <v>0</v>
      </c>
      <c r="AS2205" s="29">
        <v>0</v>
      </c>
      <c r="AT2205" s="29">
        <v>11</v>
      </c>
      <c r="AU2205" s="24" t="str">
        <f t="shared" si="35"/>
        <v>库存为11</v>
      </c>
      <c r="AV2205" s="31" t="str">
        <f>IFERROR(时间!$B$4+AU2205,"上周无销量")</f>
        <v>上周无销量</v>
      </c>
    </row>
    <row r="2206" spans="1:48">
      <c r="A2206" s="16" t="s">
        <v>3887</v>
      </c>
      <c r="B2206" t="s">
        <v>3130</v>
      </c>
      <c r="C2206" t="s">
        <v>3860</v>
      </c>
      <c r="D2206" s="24">
        <v>1</v>
      </c>
      <c r="E2206" s="24">
        <v>0</v>
      </c>
      <c r="F2206" s="24">
        <v>0</v>
      </c>
      <c r="G2206" s="24">
        <v>0</v>
      </c>
      <c r="H2206" s="25">
        <v>22.98</v>
      </c>
      <c r="I2206">
        <v>0</v>
      </c>
      <c r="J2206" s="26">
        <v>0</v>
      </c>
      <c r="K2206" s="26">
        <v>0</v>
      </c>
      <c r="L2206" s="26">
        <v>0</v>
      </c>
      <c r="M2206">
        <v>0</v>
      </c>
      <c r="N2206">
        <v>1</v>
      </c>
      <c r="O2206">
        <v>0</v>
      </c>
      <c r="P2206" t="s">
        <v>52</v>
      </c>
      <c r="Q2206" t="s">
        <v>52</v>
      </c>
      <c r="R2206" t="s">
        <v>52</v>
      </c>
      <c r="S2206" t="s">
        <v>52</v>
      </c>
      <c r="T2206" t="s">
        <v>52</v>
      </c>
      <c r="U2206" t="s">
        <v>52</v>
      </c>
      <c r="V2206" t="s">
        <v>52</v>
      </c>
      <c r="W2206" t="s">
        <v>52</v>
      </c>
      <c r="X2206" s="18" t="s">
        <v>52</v>
      </c>
      <c r="Y2206" s="18" t="s">
        <v>52</v>
      </c>
      <c r="Z2206" s="18" t="s">
        <v>52</v>
      </c>
      <c r="AA2206" s="18" t="s">
        <v>52</v>
      </c>
      <c r="AB2206" t="s">
        <v>52</v>
      </c>
      <c r="AC2206" t="s">
        <v>52</v>
      </c>
      <c r="AD2206" t="s">
        <v>52</v>
      </c>
      <c r="AE2206" t="s">
        <v>52</v>
      </c>
      <c r="AF2206" s="18" t="s">
        <v>52</v>
      </c>
      <c r="AG2206" s="18" t="s">
        <v>52</v>
      </c>
      <c r="AH2206" s="18" t="s">
        <v>52</v>
      </c>
      <c r="AI2206" s="18" t="s">
        <v>52</v>
      </c>
      <c r="AJ2206">
        <v>0</v>
      </c>
      <c r="AK2206">
        <v>3</v>
      </c>
      <c r="AL2206">
        <v>7</v>
      </c>
      <c r="AM2206">
        <v>2</v>
      </c>
      <c r="AN2206" s="18" t="s">
        <v>52</v>
      </c>
      <c r="AO2206" s="18">
        <v>0</v>
      </c>
      <c r="AP2206" s="18">
        <v>0</v>
      </c>
      <c r="AQ2206" s="18">
        <v>0</v>
      </c>
      <c r="AR2206" s="29">
        <v>0.142857142857143</v>
      </c>
      <c r="AS2206" s="29">
        <v>8.57142857142857</v>
      </c>
      <c r="AT2206" s="29">
        <v>-8.57142857142857</v>
      </c>
      <c r="AU2206" s="24">
        <f t="shared" si="35"/>
        <v>0</v>
      </c>
      <c r="AV2206" s="31">
        <f>IFERROR(时间!$B$4+AU2206,"上周无销量")</f>
        <v>43318</v>
      </c>
    </row>
    <row r="2207" spans="1:48">
      <c r="A2207" s="16" t="s">
        <v>3888</v>
      </c>
      <c r="B2207" t="s">
        <v>3132</v>
      </c>
      <c r="C2207" t="s">
        <v>3860</v>
      </c>
      <c r="D2207" s="24">
        <v>2</v>
      </c>
      <c r="E2207" s="24">
        <v>0</v>
      </c>
      <c r="F2207" s="24">
        <v>0</v>
      </c>
      <c r="G2207" s="24">
        <v>0</v>
      </c>
      <c r="H2207" s="25">
        <v>22.98</v>
      </c>
      <c r="I2207">
        <v>1</v>
      </c>
      <c r="J2207" s="26">
        <v>0</v>
      </c>
      <c r="K2207" s="26">
        <v>0</v>
      </c>
      <c r="L2207" s="26">
        <v>0</v>
      </c>
      <c r="M2207">
        <v>1</v>
      </c>
      <c r="N2207">
        <v>1</v>
      </c>
      <c r="O2207">
        <v>1</v>
      </c>
      <c r="P2207" t="s">
        <v>52</v>
      </c>
      <c r="Q2207" t="s">
        <v>52</v>
      </c>
      <c r="R2207" t="s">
        <v>52</v>
      </c>
      <c r="S2207" t="s">
        <v>52</v>
      </c>
      <c r="T2207" t="s">
        <v>52</v>
      </c>
      <c r="U2207" t="s">
        <v>52</v>
      </c>
      <c r="V2207" t="s">
        <v>52</v>
      </c>
      <c r="W2207" t="s">
        <v>52</v>
      </c>
      <c r="X2207" s="18" t="s">
        <v>52</v>
      </c>
      <c r="Y2207" s="18" t="s">
        <v>52</v>
      </c>
      <c r="Z2207" s="18" t="s">
        <v>52</v>
      </c>
      <c r="AA2207" s="18" t="s">
        <v>52</v>
      </c>
      <c r="AB2207" t="s">
        <v>52</v>
      </c>
      <c r="AC2207" t="s">
        <v>52</v>
      </c>
      <c r="AD2207" t="s">
        <v>52</v>
      </c>
      <c r="AE2207" t="s">
        <v>52</v>
      </c>
      <c r="AF2207" s="18" t="s">
        <v>52</v>
      </c>
      <c r="AG2207" s="18" t="s">
        <v>52</v>
      </c>
      <c r="AH2207" s="18" t="s">
        <v>52</v>
      </c>
      <c r="AI2207" s="18" t="s">
        <v>52</v>
      </c>
      <c r="AJ2207">
        <v>4</v>
      </c>
      <c r="AK2207">
        <v>6</v>
      </c>
      <c r="AL2207">
        <v>4</v>
      </c>
      <c r="AM2207">
        <v>9</v>
      </c>
      <c r="AN2207" s="18">
        <v>0.5</v>
      </c>
      <c r="AO2207" s="18">
        <v>0</v>
      </c>
      <c r="AP2207" s="18">
        <v>0</v>
      </c>
      <c r="AQ2207" s="18">
        <v>0</v>
      </c>
      <c r="AR2207" s="29">
        <v>0.285714285714286</v>
      </c>
      <c r="AS2207" s="29">
        <v>17.1428571428571</v>
      </c>
      <c r="AT2207" s="29">
        <v>-16.1428571428571</v>
      </c>
      <c r="AU2207" s="24">
        <f t="shared" si="35"/>
        <v>3</v>
      </c>
      <c r="AV2207" s="31">
        <f>IFERROR(时间!$B$4+AU2207,"上周无销量")</f>
        <v>43321</v>
      </c>
    </row>
    <row r="2208" spans="1:48">
      <c r="A2208" s="16" t="s">
        <v>3889</v>
      </c>
      <c r="B2208" t="s">
        <v>3136</v>
      </c>
      <c r="C2208" t="s">
        <v>3860</v>
      </c>
      <c r="D2208" s="24">
        <v>0</v>
      </c>
      <c r="E2208" s="24">
        <v>0</v>
      </c>
      <c r="F2208" s="24">
        <v>0</v>
      </c>
      <c r="G2208" s="24">
        <v>0</v>
      </c>
      <c r="H2208" s="25">
        <v>0</v>
      </c>
      <c r="I2208">
        <v>0</v>
      </c>
      <c r="J2208" s="26">
        <v>0</v>
      </c>
      <c r="K2208" s="26">
        <v>0</v>
      </c>
      <c r="L2208" s="26">
        <v>0</v>
      </c>
      <c r="M2208">
        <v>0</v>
      </c>
      <c r="N2208">
        <v>0</v>
      </c>
      <c r="O2208">
        <v>0</v>
      </c>
      <c r="P2208" t="s">
        <v>52</v>
      </c>
      <c r="Q2208" t="s">
        <v>52</v>
      </c>
      <c r="R2208" t="s">
        <v>52</v>
      </c>
      <c r="S2208" t="s">
        <v>52</v>
      </c>
      <c r="T2208" t="s">
        <v>52</v>
      </c>
      <c r="U2208" t="s">
        <v>52</v>
      </c>
      <c r="V2208" t="s">
        <v>52</v>
      </c>
      <c r="W2208" t="s">
        <v>52</v>
      </c>
      <c r="X2208" s="18" t="s">
        <v>52</v>
      </c>
      <c r="Y2208" s="18" t="s">
        <v>52</v>
      </c>
      <c r="Z2208" s="18" t="s">
        <v>52</v>
      </c>
      <c r="AA2208" s="1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s="18" t="s">
        <v>52</v>
      </c>
      <c r="AG2208" s="18" t="s">
        <v>52</v>
      </c>
      <c r="AH2208" s="18" t="s">
        <v>52</v>
      </c>
      <c r="AI2208" s="18" t="s">
        <v>52</v>
      </c>
      <c r="AJ2208">
        <v>0</v>
      </c>
      <c r="AK2208">
        <v>0</v>
      </c>
      <c r="AL2208">
        <v>0</v>
      </c>
      <c r="AM2208">
        <v>0</v>
      </c>
      <c r="AN2208" s="18" t="s">
        <v>52</v>
      </c>
      <c r="AO2208" s="18" t="s">
        <v>52</v>
      </c>
      <c r="AP2208" s="18" t="s">
        <v>52</v>
      </c>
      <c r="AQ2208" s="18" t="s">
        <v>52</v>
      </c>
      <c r="AR2208" s="29">
        <v>0</v>
      </c>
      <c r="AS2208" s="29">
        <v>0</v>
      </c>
      <c r="AT2208" s="29">
        <v>0</v>
      </c>
      <c r="AU2208" s="24" t="str">
        <f t="shared" si="35"/>
        <v>库存为0</v>
      </c>
      <c r="AV2208" s="31" t="str">
        <f>IFERROR(时间!$B$4+AU2208,"上周无销量")</f>
        <v>上周无销量</v>
      </c>
    </row>
    <row r="2209" spans="1:48">
      <c r="A2209" s="16" t="s">
        <v>3890</v>
      </c>
      <c r="B2209" t="s">
        <v>3138</v>
      </c>
      <c r="C2209" t="s">
        <v>3860</v>
      </c>
      <c r="D2209" s="24">
        <v>0</v>
      </c>
      <c r="E2209" s="24">
        <v>0</v>
      </c>
      <c r="F2209" s="24">
        <v>0</v>
      </c>
      <c r="G2209" s="24">
        <v>0</v>
      </c>
      <c r="H2209" s="25">
        <v>0</v>
      </c>
      <c r="I2209">
        <v>4</v>
      </c>
      <c r="J2209" s="26">
        <v>0</v>
      </c>
      <c r="K2209" s="26">
        <v>0</v>
      </c>
      <c r="L2209" s="26">
        <v>0</v>
      </c>
      <c r="M2209">
        <v>4</v>
      </c>
      <c r="N2209">
        <v>0</v>
      </c>
      <c r="O2209">
        <v>4</v>
      </c>
      <c r="P2209" t="s">
        <v>52</v>
      </c>
      <c r="Q2209" t="s">
        <v>52</v>
      </c>
      <c r="R2209" t="s">
        <v>52</v>
      </c>
      <c r="S2209" t="s">
        <v>52</v>
      </c>
      <c r="T2209" t="s">
        <v>52</v>
      </c>
      <c r="U2209" t="s">
        <v>52</v>
      </c>
      <c r="V2209" t="s">
        <v>52</v>
      </c>
      <c r="W2209" t="s">
        <v>52</v>
      </c>
      <c r="X2209" s="18" t="s">
        <v>52</v>
      </c>
      <c r="Y2209" s="18" t="s">
        <v>52</v>
      </c>
      <c r="Z2209" s="18" t="s">
        <v>52</v>
      </c>
      <c r="AA2209" s="18" t="s">
        <v>52</v>
      </c>
      <c r="AB2209" t="s">
        <v>52</v>
      </c>
      <c r="AC2209" t="s">
        <v>52</v>
      </c>
      <c r="AD2209" t="s">
        <v>52</v>
      </c>
      <c r="AE2209" t="s">
        <v>52</v>
      </c>
      <c r="AF2209" s="18" t="s">
        <v>52</v>
      </c>
      <c r="AG2209" s="18" t="s">
        <v>52</v>
      </c>
      <c r="AH2209" s="18" t="s">
        <v>52</v>
      </c>
      <c r="AI2209" s="18" t="s">
        <v>52</v>
      </c>
      <c r="AJ2209">
        <v>0</v>
      </c>
      <c r="AK2209">
        <v>1</v>
      </c>
      <c r="AL2209">
        <v>3</v>
      </c>
      <c r="AM2209">
        <v>2</v>
      </c>
      <c r="AN2209" s="18" t="s">
        <v>52</v>
      </c>
      <c r="AO2209" s="18">
        <v>0</v>
      </c>
      <c r="AP2209" s="18">
        <v>0</v>
      </c>
      <c r="AQ2209" s="18">
        <v>0</v>
      </c>
      <c r="AR2209" s="29">
        <v>0</v>
      </c>
      <c r="AS2209" s="29">
        <v>0</v>
      </c>
      <c r="AT2209" s="29">
        <v>4</v>
      </c>
      <c r="AU2209" s="24" t="str">
        <f t="shared" si="35"/>
        <v>库存为4</v>
      </c>
      <c r="AV2209" s="31" t="str">
        <f>IFERROR(时间!$B$4+AU2209,"上周无销量")</f>
        <v>上周无销量</v>
      </c>
    </row>
    <row r="2210" spans="1:48">
      <c r="A2210" s="16" t="s">
        <v>3891</v>
      </c>
      <c r="B2210" t="s">
        <v>3140</v>
      </c>
      <c r="C2210" t="s">
        <v>3860</v>
      </c>
      <c r="D2210" s="24">
        <v>0</v>
      </c>
      <c r="E2210" s="24">
        <v>0</v>
      </c>
      <c r="F2210" s="24">
        <v>0</v>
      </c>
      <c r="G2210" s="24">
        <v>0</v>
      </c>
      <c r="H2210" s="25">
        <v>0</v>
      </c>
      <c r="I2210">
        <v>14</v>
      </c>
      <c r="J2210" s="26">
        <v>0</v>
      </c>
      <c r="K2210" s="26">
        <v>0</v>
      </c>
      <c r="L2210" s="26">
        <v>0</v>
      </c>
      <c r="M2210">
        <v>14</v>
      </c>
      <c r="N2210">
        <v>0</v>
      </c>
      <c r="O2210">
        <v>14</v>
      </c>
      <c r="P2210">
        <v>871</v>
      </c>
      <c r="Q2210">
        <v>0</v>
      </c>
      <c r="R2210">
        <v>0</v>
      </c>
      <c r="S2210">
        <v>0</v>
      </c>
      <c r="T2210">
        <v>3</v>
      </c>
      <c r="U2210">
        <v>0</v>
      </c>
      <c r="V2210">
        <v>0</v>
      </c>
      <c r="W2210">
        <v>0</v>
      </c>
      <c r="X2210" s="18">
        <v>0.0034443168771527</v>
      </c>
      <c r="Y2210" s="18" t="s">
        <v>52</v>
      </c>
      <c r="Z2210" s="18" t="s">
        <v>52</v>
      </c>
      <c r="AA2210" s="18" t="s">
        <v>52</v>
      </c>
      <c r="AB2210">
        <v>1.43</v>
      </c>
      <c r="AC2210">
        <v>0</v>
      </c>
      <c r="AD2210">
        <v>0</v>
      </c>
      <c r="AE2210">
        <v>0</v>
      </c>
      <c r="AF2210" s="18" t="s">
        <v>2610</v>
      </c>
      <c r="AG2210" s="18" t="s">
        <v>52</v>
      </c>
      <c r="AH2210" s="18" t="s">
        <v>52</v>
      </c>
      <c r="AI2210" s="18" t="s">
        <v>52</v>
      </c>
      <c r="AJ2210">
        <v>1</v>
      </c>
      <c r="AK2210">
        <v>6</v>
      </c>
      <c r="AL2210">
        <v>3</v>
      </c>
      <c r="AM2210">
        <v>3</v>
      </c>
      <c r="AN2210" s="18">
        <v>0</v>
      </c>
      <c r="AO2210" s="18">
        <v>0</v>
      </c>
      <c r="AP2210" s="18">
        <v>0</v>
      </c>
      <c r="AQ2210" s="18">
        <v>0</v>
      </c>
      <c r="AR2210" s="29">
        <v>0</v>
      </c>
      <c r="AS2210" s="29">
        <v>0</v>
      </c>
      <c r="AT2210" s="29">
        <v>14</v>
      </c>
      <c r="AU2210" s="24" t="str">
        <f t="shared" si="35"/>
        <v>库存为14</v>
      </c>
      <c r="AV2210" s="31" t="str">
        <f>IFERROR(时间!$B$4+AU2210,"上周无销量")</f>
        <v>上周无销量</v>
      </c>
    </row>
    <row r="2211" spans="1:48">
      <c r="A2211" s="16" t="s">
        <v>3892</v>
      </c>
      <c r="B2211" t="s">
        <v>3142</v>
      </c>
      <c r="C2211" t="s">
        <v>3860</v>
      </c>
      <c r="D2211" s="24">
        <v>0</v>
      </c>
      <c r="E2211" s="24">
        <v>0</v>
      </c>
      <c r="F2211" s="24">
        <v>0</v>
      </c>
      <c r="G2211" s="24">
        <v>0</v>
      </c>
      <c r="H2211" s="25">
        <v>0</v>
      </c>
      <c r="I2211">
        <v>10</v>
      </c>
      <c r="J2211" s="26">
        <v>0</v>
      </c>
      <c r="K2211" s="26">
        <v>0</v>
      </c>
      <c r="L2211" s="26">
        <v>0</v>
      </c>
      <c r="M2211">
        <v>10</v>
      </c>
      <c r="N2211">
        <v>1</v>
      </c>
      <c r="O2211">
        <v>9</v>
      </c>
      <c r="P2211" t="s">
        <v>52</v>
      </c>
      <c r="Q2211" t="s">
        <v>52</v>
      </c>
      <c r="R2211" t="s">
        <v>52</v>
      </c>
      <c r="S2211" t="s">
        <v>52</v>
      </c>
      <c r="T2211" t="s">
        <v>52</v>
      </c>
      <c r="U2211" t="s">
        <v>52</v>
      </c>
      <c r="V2211" t="s">
        <v>52</v>
      </c>
      <c r="W2211" t="s">
        <v>52</v>
      </c>
      <c r="X2211" s="18" t="s">
        <v>52</v>
      </c>
      <c r="Y2211" s="18" t="s">
        <v>52</v>
      </c>
      <c r="Z2211" s="18" t="s">
        <v>52</v>
      </c>
      <c r="AA2211" s="18" t="s">
        <v>52</v>
      </c>
      <c r="AB2211" t="s">
        <v>52</v>
      </c>
      <c r="AC2211" t="s">
        <v>52</v>
      </c>
      <c r="AD2211" t="s">
        <v>52</v>
      </c>
      <c r="AE2211" t="s">
        <v>52</v>
      </c>
      <c r="AF2211" s="18" t="s">
        <v>52</v>
      </c>
      <c r="AG2211" s="18" t="s">
        <v>52</v>
      </c>
      <c r="AH2211" s="18" t="s">
        <v>52</v>
      </c>
      <c r="AI2211" s="18" t="s">
        <v>52</v>
      </c>
      <c r="AJ2211">
        <v>6</v>
      </c>
      <c r="AK2211">
        <v>6</v>
      </c>
      <c r="AL2211">
        <v>3</v>
      </c>
      <c r="AM2211">
        <v>9</v>
      </c>
      <c r="AN2211" s="18">
        <v>0</v>
      </c>
      <c r="AO2211" s="18">
        <v>0</v>
      </c>
      <c r="AP2211" s="18">
        <v>0</v>
      </c>
      <c r="AQ2211" s="18">
        <v>0</v>
      </c>
      <c r="AR2211" s="29">
        <v>0</v>
      </c>
      <c r="AS2211" s="29">
        <v>0</v>
      </c>
      <c r="AT2211" s="29">
        <v>10</v>
      </c>
      <c r="AU2211" s="24" t="str">
        <f t="shared" si="35"/>
        <v>库存为10</v>
      </c>
      <c r="AV2211" s="31" t="str">
        <f>IFERROR(时间!$B$4+AU2211,"上周无销量")</f>
        <v>上周无销量</v>
      </c>
    </row>
    <row r="2212" spans="1:48">
      <c r="A2212" s="16" t="s">
        <v>3893</v>
      </c>
      <c r="B2212" t="s">
        <v>3144</v>
      </c>
      <c r="C2212" t="s">
        <v>3860</v>
      </c>
      <c r="D2212" s="24">
        <v>0</v>
      </c>
      <c r="E2212" s="24">
        <v>0</v>
      </c>
      <c r="F2212" s="24">
        <v>0</v>
      </c>
      <c r="G2212" s="24">
        <v>0</v>
      </c>
      <c r="H2212" s="25">
        <v>0</v>
      </c>
      <c r="I2212">
        <v>7</v>
      </c>
      <c r="J2212" s="26">
        <v>0</v>
      </c>
      <c r="K2212" s="26">
        <v>0</v>
      </c>
      <c r="L2212" s="26">
        <v>0</v>
      </c>
      <c r="M2212">
        <v>7</v>
      </c>
      <c r="N2212">
        <v>0</v>
      </c>
      <c r="O2212">
        <v>7</v>
      </c>
      <c r="P2212" t="s">
        <v>52</v>
      </c>
      <c r="Q2212" t="s">
        <v>52</v>
      </c>
      <c r="R2212" t="s">
        <v>52</v>
      </c>
      <c r="S2212" t="s">
        <v>52</v>
      </c>
      <c r="T2212" t="s">
        <v>52</v>
      </c>
      <c r="U2212" t="s">
        <v>52</v>
      </c>
      <c r="V2212" t="s">
        <v>52</v>
      </c>
      <c r="W2212" t="s">
        <v>52</v>
      </c>
      <c r="X2212" s="18" t="s">
        <v>52</v>
      </c>
      <c r="Y2212" s="18" t="s">
        <v>52</v>
      </c>
      <c r="Z2212" s="18" t="s">
        <v>52</v>
      </c>
      <c r="AA2212" s="18" t="s">
        <v>52</v>
      </c>
      <c r="AB2212" t="s">
        <v>52</v>
      </c>
      <c r="AC2212" t="s">
        <v>52</v>
      </c>
      <c r="AD2212" t="s">
        <v>52</v>
      </c>
      <c r="AE2212" t="s">
        <v>52</v>
      </c>
      <c r="AF2212" s="18" t="s">
        <v>52</v>
      </c>
      <c r="AG2212" s="18" t="s">
        <v>52</v>
      </c>
      <c r="AH2212" s="18" t="s">
        <v>52</v>
      </c>
      <c r="AI2212" s="18" t="s">
        <v>52</v>
      </c>
      <c r="AJ2212">
        <v>4</v>
      </c>
      <c r="AK2212">
        <v>2</v>
      </c>
      <c r="AL2212">
        <v>2</v>
      </c>
      <c r="AM2212">
        <v>1</v>
      </c>
      <c r="AN2212" s="18">
        <v>0</v>
      </c>
      <c r="AO2212" s="18">
        <v>0</v>
      </c>
      <c r="AP2212" s="18">
        <v>0</v>
      </c>
      <c r="AQ2212" s="18">
        <v>0</v>
      </c>
      <c r="AR2212" s="29">
        <v>0</v>
      </c>
      <c r="AS2212" s="29">
        <v>0</v>
      </c>
      <c r="AT2212" s="29">
        <v>7</v>
      </c>
      <c r="AU2212" s="24" t="str">
        <f t="shared" si="35"/>
        <v>库存为7</v>
      </c>
      <c r="AV2212" s="31" t="str">
        <f>IFERROR(时间!$B$4+AU2212,"上周无销量")</f>
        <v>上周无销量</v>
      </c>
    </row>
    <row r="2213" spans="1:48">
      <c r="A2213" s="16" t="s">
        <v>3894</v>
      </c>
      <c r="B2213" t="s">
        <v>3146</v>
      </c>
      <c r="C2213" t="s">
        <v>3860</v>
      </c>
      <c r="D2213" s="24">
        <v>0</v>
      </c>
      <c r="E2213" s="24">
        <v>0</v>
      </c>
      <c r="F2213" s="24">
        <v>0</v>
      </c>
      <c r="G2213" s="24">
        <v>0</v>
      </c>
      <c r="H2213" s="25">
        <v>0</v>
      </c>
      <c r="I2213">
        <v>0</v>
      </c>
      <c r="J2213" s="26">
        <v>0</v>
      </c>
      <c r="K2213" s="26">
        <v>0</v>
      </c>
      <c r="L2213" s="26">
        <v>0</v>
      </c>
      <c r="M2213">
        <v>0</v>
      </c>
      <c r="N2213">
        <v>0</v>
      </c>
      <c r="O2213">
        <v>0</v>
      </c>
      <c r="P2213" t="s">
        <v>52</v>
      </c>
      <c r="Q2213" t="s">
        <v>52</v>
      </c>
      <c r="R2213" t="s">
        <v>52</v>
      </c>
      <c r="S2213" t="s">
        <v>52</v>
      </c>
      <c r="T2213" t="s">
        <v>52</v>
      </c>
      <c r="U2213" t="s">
        <v>52</v>
      </c>
      <c r="V2213" t="s">
        <v>52</v>
      </c>
      <c r="W2213" t="s">
        <v>52</v>
      </c>
      <c r="X2213" s="18" t="s">
        <v>52</v>
      </c>
      <c r="Y2213" s="18" t="s">
        <v>52</v>
      </c>
      <c r="Z2213" s="18" t="s">
        <v>52</v>
      </c>
      <c r="AA2213" s="18" t="s">
        <v>52</v>
      </c>
      <c r="AB2213" t="s">
        <v>52</v>
      </c>
      <c r="AC2213" t="s">
        <v>52</v>
      </c>
      <c r="AD2213" t="s">
        <v>52</v>
      </c>
      <c r="AE2213" t="s">
        <v>52</v>
      </c>
      <c r="AF2213" s="18" t="s">
        <v>52</v>
      </c>
      <c r="AG2213" s="18" t="s">
        <v>52</v>
      </c>
      <c r="AH2213" s="18" t="s">
        <v>52</v>
      </c>
      <c r="AI2213" s="18" t="s">
        <v>52</v>
      </c>
      <c r="AJ2213">
        <v>0</v>
      </c>
      <c r="AK2213">
        <v>0</v>
      </c>
      <c r="AL2213">
        <v>0</v>
      </c>
      <c r="AM2213">
        <v>0</v>
      </c>
      <c r="AN2213" s="18" t="s">
        <v>52</v>
      </c>
      <c r="AO2213" s="18" t="s">
        <v>52</v>
      </c>
      <c r="AP2213" s="18" t="s">
        <v>52</v>
      </c>
      <c r="AQ2213" s="18" t="s">
        <v>52</v>
      </c>
      <c r="AR2213" s="29">
        <v>0</v>
      </c>
      <c r="AS2213" s="29">
        <v>0</v>
      </c>
      <c r="AT2213" s="29">
        <v>0</v>
      </c>
      <c r="AU2213" s="24" t="str">
        <f t="shared" si="35"/>
        <v>库存为0</v>
      </c>
      <c r="AV2213" s="31" t="str">
        <f>IFERROR(时间!$B$4+AU2213,"上周无销量")</f>
        <v>上周无销量</v>
      </c>
    </row>
    <row r="2214" spans="1:48">
      <c r="A2214" s="16" t="s">
        <v>3895</v>
      </c>
      <c r="B2214" t="s">
        <v>3150</v>
      </c>
      <c r="C2214" t="s">
        <v>3860</v>
      </c>
      <c r="D2214" s="24">
        <v>0</v>
      </c>
      <c r="E2214" s="24">
        <v>0</v>
      </c>
      <c r="F2214" s="24">
        <v>0</v>
      </c>
      <c r="G2214" s="24">
        <v>0</v>
      </c>
      <c r="H2214" s="25">
        <v>0</v>
      </c>
      <c r="I2214">
        <v>0</v>
      </c>
      <c r="J2214" s="26">
        <v>0</v>
      </c>
      <c r="K2214" s="26">
        <v>0</v>
      </c>
      <c r="L2214" s="26">
        <v>0</v>
      </c>
      <c r="M2214">
        <v>0</v>
      </c>
      <c r="N2214">
        <v>0</v>
      </c>
      <c r="O2214">
        <v>0</v>
      </c>
      <c r="P2214" t="s">
        <v>52</v>
      </c>
      <c r="Q2214" t="s">
        <v>52</v>
      </c>
      <c r="R2214" t="s">
        <v>52</v>
      </c>
      <c r="S2214" t="s">
        <v>52</v>
      </c>
      <c r="T2214" t="s">
        <v>52</v>
      </c>
      <c r="U2214" t="s">
        <v>52</v>
      </c>
      <c r="V2214" t="s">
        <v>52</v>
      </c>
      <c r="W2214" t="s">
        <v>52</v>
      </c>
      <c r="X2214" s="18" t="s">
        <v>52</v>
      </c>
      <c r="Y2214" s="18" t="s">
        <v>52</v>
      </c>
      <c r="Z2214" s="18" t="s">
        <v>52</v>
      </c>
      <c r="AA2214" s="18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s="18" t="s">
        <v>52</v>
      </c>
      <c r="AG2214" s="18" t="s">
        <v>52</v>
      </c>
      <c r="AH2214" s="18" t="s">
        <v>52</v>
      </c>
      <c r="AI2214" s="18" t="s">
        <v>52</v>
      </c>
      <c r="AJ2214">
        <v>0</v>
      </c>
      <c r="AK2214">
        <v>0</v>
      </c>
      <c r="AL2214">
        <v>0</v>
      </c>
      <c r="AM2214">
        <v>0</v>
      </c>
      <c r="AN2214" s="18" t="s">
        <v>52</v>
      </c>
      <c r="AO2214" s="18" t="s">
        <v>52</v>
      </c>
      <c r="AP2214" s="18" t="s">
        <v>52</v>
      </c>
      <c r="AQ2214" s="18" t="s">
        <v>52</v>
      </c>
      <c r="AR2214" s="29">
        <v>0</v>
      </c>
      <c r="AS2214" s="29">
        <v>0</v>
      </c>
      <c r="AT2214" s="29">
        <v>0</v>
      </c>
      <c r="AU2214" s="24" t="str">
        <f t="shared" si="35"/>
        <v>库存为0</v>
      </c>
      <c r="AV2214" s="31" t="str">
        <f>IFERROR(时间!$B$4+AU2214,"上周无销量")</f>
        <v>上周无销量</v>
      </c>
    </row>
    <row r="2215" spans="1:48">
      <c r="A2215" s="16" t="s">
        <v>3896</v>
      </c>
      <c r="B2215" t="s">
        <v>3152</v>
      </c>
      <c r="C2215" t="s">
        <v>3860</v>
      </c>
      <c r="D2215" s="24">
        <v>1</v>
      </c>
      <c r="E2215" s="24">
        <v>0</v>
      </c>
      <c r="F2215" s="24">
        <v>1</v>
      </c>
      <c r="G2215" s="24">
        <v>0</v>
      </c>
      <c r="H2215" s="25">
        <v>22.98</v>
      </c>
      <c r="I2215">
        <v>4</v>
      </c>
      <c r="J2215" s="26">
        <v>0</v>
      </c>
      <c r="K2215" s="26">
        <v>0</v>
      </c>
      <c r="L2215" s="26">
        <v>0</v>
      </c>
      <c r="M2215">
        <v>4</v>
      </c>
      <c r="N2215">
        <v>0</v>
      </c>
      <c r="O2215">
        <v>3</v>
      </c>
      <c r="P2215" t="s">
        <v>52</v>
      </c>
      <c r="Q2215" t="s">
        <v>52</v>
      </c>
      <c r="R2215" t="s">
        <v>52</v>
      </c>
      <c r="S2215" t="s">
        <v>52</v>
      </c>
      <c r="T2215" t="s">
        <v>52</v>
      </c>
      <c r="U2215" t="s">
        <v>52</v>
      </c>
      <c r="V2215" t="s">
        <v>52</v>
      </c>
      <c r="W2215" t="s">
        <v>52</v>
      </c>
      <c r="X2215" s="18" t="s">
        <v>52</v>
      </c>
      <c r="Y2215" s="18" t="s">
        <v>52</v>
      </c>
      <c r="Z2215" s="18" t="s">
        <v>52</v>
      </c>
      <c r="AA2215" s="18" t="s">
        <v>52</v>
      </c>
      <c r="AB2215" t="s">
        <v>52</v>
      </c>
      <c r="AC2215" t="s">
        <v>52</v>
      </c>
      <c r="AD2215" t="s">
        <v>52</v>
      </c>
      <c r="AE2215" t="s">
        <v>52</v>
      </c>
      <c r="AF2215" s="18" t="s">
        <v>52</v>
      </c>
      <c r="AG2215" s="18" t="s">
        <v>52</v>
      </c>
      <c r="AH2215" s="18" t="s">
        <v>52</v>
      </c>
      <c r="AI2215" s="18" t="s">
        <v>52</v>
      </c>
      <c r="AJ2215">
        <v>0</v>
      </c>
      <c r="AK2215">
        <v>5</v>
      </c>
      <c r="AL2215">
        <v>6</v>
      </c>
      <c r="AM2215">
        <v>4</v>
      </c>
      <c r="AN2215" s="18" t="s">
        <v>52</v>
      </c>
      <c r="AO2215" s="18">
        <v>0</v>
      </c>
      <c r="AP2215" s="18">
        <v>0.166666666666667</v>
      </c>
      <c r="AQ2215" s="18">
        <v>0</v>
      </c>
      <c r="AR2215" s="29">
        <v>0.142857142857143</v>
      </c>
      <c r="AS2215" s="29">
        <v>8.57142857142857</v>
      </c>
      <c r="AT2215" s="29">
        <v>-4.57142857142857</v>
      </c>
      <c r="AU2215" s="24">
        <f t="shared" si="35"/>
        <v>28</v>
      </c>
      <c r="AV2215" s="31">
        <f>IFERROR(时间!$B$4+AU2215,"上周无销量")</f>
        <v>43346</v>
      </c>
    </row>
    <row r="2216" spans="1:48">
      <c r="A2216" s="16" t="s">
        <v>3897</v>
      </c>
      <c r="B2216" t="s">
        <v>3154</v>
      </c>
      <c r="C2216" t="s">
        <v>3860</v>
      </c>
      <c r="D2216" s="24">
        <v>0</v>
      </c>
      <c r="E2216" s="24">
        <v>0</v>
      </c>
      <c r="F2216" s="24">
        <v>1</v>
      </c>
      <c r="G2216" s="24">
        <v>0</v>
      </c>
      <c r="H2216" s="25">
        <v>24.98</v>
      </c>
      <c r="I2216">
        <v>1</v>
      </c>
      <c r="J2216" s="26">
        <v>0</v>
      </c>
      <c r="K2216" s="26">
        <v>0</v>
      </c>
      <c r="L2216" s="26">
        <v>0</v>
      </c>
      <c r="M2216">
        <v>1</v>
      </c>
      <c r="N2216">
        <v>0</v>
      </c>
      <c r="O2216">
        <v>0</v>
      </c>
      <c r="P2216" t="s">
        <v>52</v>
      </c>
      <c r="Q2216" t="s">
        <v>52</v>
      </c>
      <c r="R2216" t="s">
        <v>52</v>
      </c>
      <c r="S2216" t="s">
        <v>52</v>
      </c>
      <c r="T2216" t="s">
        <v>52</v>
      </c>
      <c r="U2216" t="s">
        <v>52</v>
      </c>
      <c r="V2216" t="s">
        <v>52</v>
      </c>
      <c r="W2216" t="s">
        <v>52</v>
      </c>
      <c r="X2216" s="18" t="s">
        <v>52</v>
      </c>
      <c r="Y2216" s="18" t="s">
        <v>52</v>
      </c>
      <c r="Z2216" s="18" t="s">
        <v>52</v>
      </c>
      <c r="AA2216" s="18" t="s">
        <v>52</v>
      </c>
      <c r="AB2216" t="s">
        <v>52</v>
      </c>
      <c r="AC2216" t="s">
        <v>52</v>
      </c>
      <c r="AD2216" t="s">
        <v>52</v>
      </c>
      <c r="AE2216" t="s">
        <v>52</v>
      </c>
      <c r="AF2216" s="18" t="s">
        <v>52</v>
      </c>
      <c r="AG2216" s="18" t="s">
        <v>52</v>
      </c>
      <c r="AH2216" s="18" t="s">
        <v>52</v>
      </c>
      <c r="AI2216" s="18" t="s">
        <v>52</v>
      </c>
      <c r="AJ2216">
        <v>2</v>
      </c>
      <c r="AK2216">
        <v>3</v>
      </c>
      <c r="AL2216">
        <v>5</v>
      </c>
      <c r="AM2216">
        <v>1</v>
      </c>
      <c r="AN2216" s="18">
        <v>0</v>
      </c>
      <c r="AO2216" s="18">
        <v>0</v>
      </c>
      <c r="AP2216" s="18">
        <v>0.2</v>
      </c>
      <c r="AQ2216" s="18">
        <v>0</v>
      </c>
      <c r="AR2216" s="29">
        <v>0</v>
      </c>
      <c r="AS2216" s="29">
        <v>0</v>
      </c>
      <c r="AT2216" s="29">
        <v>1</v>
      </c>
      <c r="AU2216" s="24" t="str">
        <f t="shared" si="35"/>
        <v>库存为1</v>
      </c>
      <c r="AV2216" s="31" t="str">
        <f>IFERROR(时间!$B$4+AU2216,"上周无销量")</f>
        <v>上周无销量</v>
      </c>
    </row>
    <row r="2217" spans="1:48">
      <c r="A2217" s="16" t="s">
        <v>3898</v>
      </c>
      <c r="B2217" t="s">
        <v>3156</v>
      </c>
      <c r="C2217" t="s">
        <v>3860</v>
      </c>
      <c r="D2217" s="24">
        <v>0</v>
      </c>
      <c r="E2217" s="24">
        <v>0</v>
      </c>
      <c r="F2217" s="24">
        <v>1</v>
      </c>
      <c r="G2217" s="24">
        <v>0</v>
      </c>
      <c r="H2217" s="25">
        <v>24.98</v>
      </c>
      <c r="I2217">
        <v>1</v>
      </c>
      <c r="J2217" s="26">
        <v>0</v>
      </c>
      <c r="K2217" s="26">
        <v>0</v>
      </c>
      <c r="L2217" s="26">
        <v>0</v>
      </c>
      <c r="M2217">
        <v>1</v>
      </c>
      <c r="N2217">
        <v>0</v>
      </c>
      <c r="O2217">
        <v>1</v>
      </c>
      <c r="P2217" t="s">
        <v>52</v>
      </c>
      <c r="Q2217" t="s">
        <v>52</v>
      </c>
      <c r="R2217" t="s">
        <v>52</v>
      </c>
      <c r="S2217" t="s">
        <v>52</v>
      </c>
      <c r="T2217" t="s">
        <v>52</v>
      </c>
      <c r="U2217" t="s">
        <v>52</v>
      </c>
      <c r="V2217" t="s">
        <v>52</v>
      </c>
      <c r="W2217" t="s">
        <v>52</v>
      </c>
      <c r="X2217" s="18" t="s">
        <v>52</v>
      </c>
      <c r="Y2217" s="18" t="s">
        <v>52</v>
      </c>
      <c r="Z2217" s="18" t="s">
        <v>52</v>
      </c>
      <c r="AA2217" s="18" t="s">
        <v>52</v>
      </c>
      <c r="AB2217" t="s">
        <v>52</v>
      </c>
      <c r="AC2217" t="s">
        <v>52</v>
      </c>
      <c r="AD2217" t="s">
        <v>52</v>
      </c>
      <c r="AE2217" t="s">
        <v>52</v>
      </c>
      <c r="AF2217" s="18" t="s">
        <v>52</v>
      </c>
      <c r="AG2217" s="18" t="s">
        <v>52</v>
      </c>
      <c r="AH2217" s="18" t="s">
        <v>52</v>
      </c>
      <c r="AI2217" s="18" t="s">
        <v>52</v>
      </c>
      <c r="AJ2217">
        <v>5</v>
      </c>
      <c r="AK2217">
        <v>6</v>
      </c>
      <c r="AL2217">
        <v>6</v>
      </c>
      <c r="AM2217">
        <v>6</v>
      </c>
      <c r="AN2217" s="18">
        <v>0</v>
      </c>
      <c r="AO2217" s="18">
        <v>0</v>
      </c>
      <c r="AP2217" s="18">
        <v>0.166666666666667</v>
      </c>
      <c r="AQ2217" s="18">
        <v>0</v>
      </c>
      <c r="AR2217" s="29">
        <v>0</v>
      </c>
      <c r="AS2217" s="29">
        <v>0</v>
      </c>
      <c r="AT2217" s="29">
        <v>1</v>
      </c>
      <c r="AU2217" s="24" t="str">
        <f t="shared" si="35"/>
        <v>库存为1</v>
      </c>
      <c r="AV2217" s="31" t="str">
        <f>IFERROR(时间!$B$4+AU2217,"上周无销量")</f>
        <v>上周无销量</v>
      </c>
    </row>
    <row r="2218" spans="1:48">
      <c r="A2218" s="16" t="s">
        <v>3899</v>
      </c>
      <c r="B2218" t="s">
        <v>3158</v>
      </c>
      <c r="C2218" t="s">
        <v>3860</v>
      </c>
      <c r="D2218" s="24">
        <v>0</v>
      </c>
      <c r="E2218" s="24">
        <v>0</v>
      </c>
      <c r="F2218" s="24">
        <v>0</v>
      </c>
      <c r="G2218" s="24">
        <v>0</v>
      </c>
      <c r="H2218" s="25">
        <v>0</v>
      </c>
      <c r="I2218">
        <v>0</v>
      </c>
      <c r="J2218" s="26">
        <v>0</v>
      </c>
      <c r="K2218" s="26">
        <v>0</v>
      </c>
      <c r="L2218" s="26">
        <v>0</v>
      </c>
      <c r="M2218">
        <v>0</v>
      </c>
      <c r="N2218">
        <v>0</v>
      </c>
      <c r="O2218">
        <v>0</v>
      </c>
      <c r="P2218" t="s">
        <v>52</v>
      </c>
      <c r="Q2218" t="s">
        <v>52</v>
      </c>
      <c r="R2218" t="s">
        <v>52</v>
      </c>
      <c r="S2218" t="s">
        <v>52</v>
      </c>
      <c r="T2218" t="s">
        <v>52</v>
      </c>
      <c r="U2218" t="s">
        <v>52</v>
      </c>
      <c r="V2218" t="s">
        <v>52</v>
      </c>
      <c r="W2218" t="s">
        <v>52</v>
      </c>
      <c r="X2218" s="18" t="s">
        <v>52</v>
      </c>
      <c r="Y2218" s="18" t="s">
        <v>52</v>
      </c>
      <c r="Z2218" s="18" t="s">
        <v>52</v>
      </c>
      <c r="AA2218" s="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s="18" t="s">
        <v>52</v>
      </c>
      <c r="AG2218" s="18" t="s">
        <v>52</v>
      </c>
      <c r="AH2218" s="18" t="s">
        <v>52</v>
      </c>
      <c r="AI2218" s="18" t="s">
        <v>52</v>
      </c>
      <c r="AJ2218">
        <v>0</v>
      </c>
      <c r="AK2218">
        <v>0</v>
      </c>
      <c r="AL2218">
        <v>0</v>
      </c>
      <c r="AM2218">
        <v>0</v>
      </c>
      <c r="AN2218" s="18" t="s">
        <v>52</v>
      </c>
      <c r="AO2218" s="18" t="s">
        <v>52</v>
      </c>
      <c r="AP2218" s="18" t="s">
        <v>52</v>
      </c>
      <c r="AQ2218" s="18" t="s">
        <v>52</v>
      </c>
      <c r="AR2218" s="29">
        <v>0</v>
      </c>
      <c r="AS2218" s="29">
        <v>0</v>
      </c>
      <c r="AT2218" s="29">
        <v>0</v>
      </c>
      <c r="AU2218" s="24" t="str">
        <f t="shared" si="35"/>
        <v>库存为0</v>
      </c>
      <c r="AV2218" s="31" t="str">
        <f>IFERROR(时间!$B$4+AU2218,"上周无销量")</f>
        <v>上周无销量</v>
      </c>
    </row>
    <row r="2219" spans="1:48">
      <c r="A2219" s="16" t="s">
        <v>3900</v>
      </c>
      <c r="B2219" t="s">
        <v>3160</v>
      </c>
      <c r="C2219" t="s">
        <v>3860</v>
      </c>
      <c r="D2219" s="24">
        <v>0</v>
      </c>
      <c r="E2219" s="24">
        <v>0</v>
      </c>
      <c r="F2219" s="24">
        <v>0</v>
      </c>
      <c r="G2219" s="24">
        <v>0</v>
      </c>
      <c r="H2219" s="25">
        <v>0</v>
      </c>
      <c r="I2219">
        <v>4</v>
      </c>
      <c r="J2219" s="26">
        <v>0</v>
      </c>
      <c r="K2219" s="26">
        <v>0</v>
      </c>
      <c r="L2219" s="26">
        <v>0</v>
      </c>
      <c r="M2219">
        <v>4</v>
      </c>
      <c r="N2219">
        <v>0</v>
      </c>
      <c r="O2219">
        <v>4</v>
      </c>
      <c r="P2219" t="s">
        <v>52</v>
      </c>
      <c r="Q2219" t="s">
        <v>52</v>
      </c>
      <c r="R2219" t="s">
        <v>52</v>
      </c>
      <c r="S2219" t="s">
        <v>52</v>
      </c>
      <c r="T2219" t="s">
        <v>52</v>
      </c>
      <c r="U2219" t="s">
        <v>52</v>
      </c>
      <c r="V2219" t="s">
        <v>52</v>
      </c>
      <c r="W2219" t="s">
        <v>52</v>
      </c>
      <c r="X2219" s="18" t="s">
        <v>52</v>
      </c>
      <c r="Y2219" s="18" t="s">
        <v>52</v>
      </c>
      <c r="Z2219" s="18" t="s">
        <v>52</v>
      </c>
      <c r="AA2219" s="18" t="s">
        <v>52</v>
      </c>
      <c r="AB2219" t="s">
        <v>52</v>
      </c>
      <c r="AC2219" t="s">
        <v>52</v>
      </c>
      <c r="AD2219" t="s">
        <v>52</v>
      </c>
      <c r="AE2219" t="s">
        <v>52</v>
      </c>
      <c r="AF2219" s="18" t="s">
        <v>52</v>
      </c>
      <c r="AG2219" s="18" t="s">
        <v>52</v>
      </c>
      <c r="AH2219" s="18" t="s">
        <v>52</v>
      </c>
      <c r="AI2219" s="18" t="s">
        <v>52</v>
      </c>
      <c r="AJ2219">
        <v>1</v>
      </c>
      <c r="AK2219">
        <v>2</v>
      </c>
      <c r="AL2219">
        <v>4</v>
      </c>
      <c r="AM2219">
        <v>0</v>
      </c>
      <c r="AN2219" s="18">
        <v>0</v>
      </c>
      <c r="AO2219" s="18">
        <v>0</v>
      </c>
      <c r="AP2219" s="18">
        <v>0</v>
      </c>
      <c r="AQ2219" s="18" t="s">
        <v>52</v>
      </c>
      <c r="AR2219" s="29">
        <v>0</v>
      </c>
      <c r="AS2219" s="29">
        <v>0</v>
      </c>
      <c r="AT2219" s="29">
        <v>4</v>
      </c>
      <c r="AU2219" s="24" t="str">
        <f t="shared" si="35"/>
        <v>库存为4</v>
      </c>
      <c r="AV2219" s="31" t="str">
        <f>IFERROR(时间!$B$4+AU2219,"上周无销量")</f>
        <v>上周无销量</v>
      </c>
    </row>
    <row r="2220" spans="1:48">
      <c r="A2220" s="16" t="s">
        <v>3901</v>
      </c>
      <c r="B2220" t="s">
        <v>3162</v>
      </c>
      <c r="C2220" t="s">
        <v>3860</v>
      </c>
      <c r="D2220" s="24">
        <v>0</v>
      </c>
      <c r="E2220" s="24">
        <v>0</v>
      </c>
      <c r="F2220" s="24">
        <v>0</v>
      </c>
      <c r="G2220" s="24">
        <v>0</v>
      </c>
      <c r="H2220" s="25">
        <v>0</v>
      </c>
      <c r="I2220">
        <v>4</v>
      </c>
      <c r="J2220" s="26">
        <v>0</v>
      </c>
      <c r="K2220" s="26">
        <v>0</v>
      </c>
      <c r="L2220" s="26">
        <v>0</v>
      </c>
      <c r="M2220">
        <v>4</v>
      </c>
      <c r="N2220">
        <v>0</v>
      </c>
      <c r="O2220">
        <v>4</v>
      </c>
      <c r="P2220" t="s">
        <v>52</v>
      </c>
      <c r="Q2220" t="s">
        <v>52</v>
      </c>
      <c r="R2220" t="s">
        <v>52</v>
      </c>
      <c r="S2220" t="s">
        <v>52</v>
      </c>
      <c r="T2220" t="s">
        <v>52</v>
      </c>
      <c r="U2220" t="s">
        <v>52</v>
      </c>
      <c r="V2220" t="s">
        <v>52</v>
      </c>
      <c r="W2220" t="s">
        <v>52</v>
      </c>
      <c r="X2220" s="18" t="s">
        <v>52</v>
      </c>
      <c r="Y2220" s="18" t="s">
        <v>52</v>
      </c>
      <c r="Z2220" s="18" t="s">
        <v>52</v>
      </c>
      <c r="AA2220" s="18" t="s">
        <v>52</v>
      </c>
      <c r="AB2220" t="s">
        <v>52</v>
      </c>
      <c r="AC2220" t="s">
        <v>52</v>
      </c>
      <c r="AD2220" t="s">
        <v>52</v>
      </c>
      <c r="AE2220" t="s">
        <v>52</v>
      </c>
      <c r="AF2220" s="18" t="s">
        <v>52</v>
      </c>
      <c r="AG2220" s="18" t="s">
        <v>52</v>
      </c>
      <c r="AH2220" s="18" t="s">
        <v>52</v>
      </c>
      <c r="AI2220" s="18" t="s">
        <v>52</v>
      </c>
      <c r="AJ2220">
        <v>2</v>
      </c>
      <c r="AK2220">
        <v>5</v>
      </c>
      <c r="AL2220">
        <v>5</v>
      </c>
      <c r="AM2220">
        <v>3</v>
      </c>
      <c r="AN2220" s="18">
        <v>0</v>
      </c>
      <c r="AO2220" s="18">
        <v>0</v>
      </c>
      <c r="AP2220" s="18">
        <v>0</v>
      </c>
      <c r="AQ2220" s="18">
        <v>0</v>
      </c>
      <c r="AR2220" s="29">
        <v>0</v>
      </c>
      <c r="AS2220" s="29">
        <v>0</v>
      </c>
      <c r="AT2220" s="29">
        <v>4</v>
      </c>
      <c r="AU2220" s="24" t="str">
        <f t="shared" si="35"/>
        <v>库存为4</v>
      </c>
      <c r="AV2220" s="31" t="str">
        <f>IFERROR(时间!$B$4+AU2220,"上周无销量")</f>
        <v>上周无销量</v>
      </c>
    </row>
    <row r="2221" spans="1:48">
      <c r="A2221" s="16" t="s">
        <v>3902</v>
      </c>
      <c r="B2221" t="s">
        <v>3164</v>
      </c>
      <c r="C2221" t="s">
        <v>3860</v>
      </c>
      <c r="D2221" s="24">
        <v>0</v>
      </c>
      <c r="E2221" s="24">
        <v>0</v>
      </c>
      <c r="F2221" s="24">
        <v>2</v>
      </c>
      <c r="G2221" s="24">
        <v>0</v>
      </c>
      <c r="H2221" s="25">
        <v>24.98</v>
      </c>
      <c r="I2221">
        <v>4</v>
      </c>
      <c r="J2221" s="26">
        <v>0</v>
      </c>
      <c r="K2221" s="26">
        <v>0</v>
      </c>
      <c r="L2221" s="26">
        <v>0</v>
      </c>
      <c r="M2221">
        <v>4</v>
      </c>
      <c r="N2221">
        <v>0</v>
      </c>
      <c r="O2221">
        <v>4</v>
      </c>
      <c r="P2221" t="s">
        <v>52</v>
      </c>
      <c r="Q2221" t="s">
        <v>52</v>
      </c>
      <c r="R2221" t="s">
        <v>52</v>
      </c>
      <c r="S2221" t="s">
        <v>52</v>
      </c>
      <c r="T2221" t="s">
        <v>52</v>
      </c>
      <c r="U2221" t="s">
        <v>52</v>
      </c>
      <c r="V2221" t="s">
        <v>52</v>
      </c>
      <c r="W2221" t="s">
        <v>52</v>
      </c>
      <c r="X2221" s="18" t="s">
        <v>52</v>
      </c>
      <c r="Y2221" s="18" t="s">
        <v>52</v>
      </c>
      <c r="Z2221" s="18" t="s">
        <v>52</v>
      </c>
      <c r="AA2221" s="18" t="s">
        <v>52</v>
      </c>
      <c r="AB2221" t="s">
        <v>52</v>
      </c>
      <c r="AC2221" t="s">
        <v>52</v>
      </c>
      <c r="AD2221" t="s">
        <v>52</v>
      </c>
      <c r="AE2221" t="s">
        <v>52</v>
      </c>
      <c r="AF2221" s="18" t="s">
        <v>52</v>
      </c>
      <c r="AG2221" s="18" t="s">
        <v>52</v>
      </c>
      <c r="AH2221" s="18" t="s">
        <v>52</v>
      </c>
      <c r="AI2221" s="18" t="s">
        <v>52</v>
      </c>
      <c r="AJ2221">
        <v>4</v>
      </c>
      <c r="AK2221">
        <v>6</v>
      </c>
      <c r="AL2221">
        <v>10</v>
      </c>
      <c r="AM2221">
        <v>3</v>
      </c>
      <c r="AN2221" s="18">
        <v>0</v>
      </c>
      <c r="AO2221" s="18">
        <v>0</v>
      </c>
      <c r="AP2221" s="18">
        <v>0.2</v>
      </c>
      <c r="AQ2221" s="18">
        <v>0</v>
      </c>
      <c r="AR2221" s="29">
        <v>0</v>
      </c>
      <c r="AS2221" s="29">
        <v>0</v>
      </c>
      <c r="AT2221" s="29">
        <v>4</v>
      </c>
      <c r="AU2221" s="24" t="str">
        <f t="shared" si="35"/>
        <v>库存为4</v>
      </c>
      <c r="AV2221" s="31" t="str">
        <f>IFERROR(时间!$B$4+AU2221,"上周无销量")</f>
        <v>上周无销量</v>
      </c>
    </row>
    <row r="2222" spans="1:48">
      <c r="A2222" s="16" t="s">
        <v>3903</v>
      </c>
      <c r="B2222" t="s">
        <v>3166</v>
      </c>
      <c r="C2222" t="s">
        <v>3860</v>
      </c>
      <c r="D2222" s="24">
        <v>0</v>
      </c>
      <c r="E2222" s="24">
        <v>0</v>
      </c>
      <c r="F2222" s="24">
        <v>0</v>
      </c>
      <c r="G2222" s="24">
        <v>0</v>
      </c>
      <c r="H2222" s="25">
        <v>0</v>
      </c>
      <c r="I2222">
        <v>3</v>
      </c>
      <c r="J2222" s="26">
        <v>0</v>
      </c>
      <c r="K2222" s="26">
        <v>0</v>
      </c>
      <c r="L2222" s="26">
        <v>0</v>
      </c>
      <c r="M2222">
        <v>3</v>
      </c>
      <c r="N2222">
        <v>0</v>
      </c>
      <c r="O2222">
        <v>3</v>
      </c>
      <c r="P2222" t="s">
        <v>52</v>
      </c>
      <c r="Q2222" t="s">
        <v>52</v>
      </c>
      <c r="R2222" t="s">
        <v>52</v>
      </c>
      <c r="S2222" t="s">
        <v>52</v>
      </c>
      <c r="T2222" t="s">
        <v>52</v>
      </c>
      <c r="U2222" t="s">
        <v>52</v>
      </c>
      <c r="V2222" t="s">
        <v>52</v>
      </c>
      <c r="W2222" t="s">
        <v>52</v>
      </c>
      <c r="X2222" s="18" t="s">
        <v>52</v>
      </c>
      <c r="Y2222" s="18" t="s">
        <v>52</v>
      </c>
      <c r="Z2222" s="18" t="s">
        <v>52</v>
      </c>
      <c r="AA2222" s="18" t="s">
        <v>52</v>
      </c>
      <c r="AB2222" t="s">
        <v>52</v>
      </c>
      <c r="AC2222" t="s">
        <v>52</v>
      </c>
      <c r="AD2222" t="s">
        <v>52</v>
      </c>
      <c r="AE2222" t="s">
        <v>52</v>
      </c>
      <c r="AF2222" s="18" t="s">
        <v>52</v>
      </c>
      <c r="AG2222" s="18" t="s">
        <v>52</v>
      </c>
      <c r="AH2222" s="18" t="s">
        <v>52</v>
      </c>
      <c r="AI2222" s="18" t="s">
        <v>52</v>
      </c>
      <c r="AJ2222">
        <v>13</v>
      </c>
      <c r="AK2222">
        <v>5</v>
      </c>
      <c r="AL2222">
        <v>15</v>
      </c>
      <c r="AM2222">
        <v>13</v>
      </c>
      <c r="AN2222" s="18">
        <v>0</v>
      </c>
      <c r="AO2222" s="18">
        <v>0</v>
      </c>
      <c r="AP2222" s="18">
        <v>0</v>
      </c>
      <c r="AQ2222" s="18">
        <v>0</v>
      </c>
      <c r="AR2222" s="29">
        <v>0</v>
      </c>
      <c r="AS2222" s="29">
        <v>0</v>
      </c>
      <c r="AT2222" s="29">
        <v>3</v>
      </c>
      <c r="AU2222" s="24" t="str">
        <f t="shared" si="35"/>
        <v>库存为3</v>
      </c>
      <c r="AV2222" s="31" t="str">
        <f>IFERROR(时间!$B$4+AU2222,"上周无销量")</f>
        <v>上周无销量</v>
      </c>
    </row>
    <row r="2223" spans="1:48">
      <c r="A2223" s="16" t="s">
        <v>3904</v>
      </c>
      <c r="B2223" t="s">
        <v>3168</v>
      </c>
      <c r="C2223" t="s">
        <v>3860</v>
      </c>
      <c r="D2223" s="24">
        <v>0</v>
      </c>
      <c r="E2223" s="24">
        <v>0</v>
      </c>
      <c r="F2223" s="24">
        <v>0</v>
      </c>
      <c r="G2223" s="24">
        <v>0</v>
      </c>
      <c r="H2223" s="25">
        <v>0</v>
      </c>
      <c r="I2223">
        <v>6</v>
      </c>
      <c r="J2223" s="26">
        <v>0</v>
      </c>
      <c r="K2223" s="26">
        <v>0</v>
      </c>
      <c r="L2223" s="26">
        <v>0</v>
      </c>
      <c r="M2223">
        <v>6</v>
      </c>
      <c r="N2223">
        <v>0</v>
      </c>
      <c r="O2223">
        <v>6</v>
      </c>
      <c r="P2223" t="s">
        <v>52</v>
      </c>
      <c r="Q2223" t="s">
        <v>52</v>
      </c>
      <c r="R2223" t="s">
        <v>52</v>
      </c>
      <c r="S2223" t="s">
        <v>52</v>
      </c>
      <c r="T2223" t="s">
        <v>52</v>
      </c>
      <c r="U2223" t="s">
        <v>52</v>
      </c>
      <c r="V2223" t="s">
        <v>52</v>
      </c>
      <c r="W2223" t="s">
        <v>52</v>
      </c>
      <c r="X2223" s="18" t="s">
        <v>52</v>
      </c>
      <c r="Y2223" s="18" t="s">
        <v>52</v>
      </c>
      <c r="Z2223" s="18" t="s">
        <v>52</v>
      </c>
      <c r="AA2223" s="18" t="s">
        <v>52</v>
      </c>
      <c r="AB2223" t="s">
        <v>52</v>
      </c>
      <c r="AC2223" t="s">
        <v>52</v>
      </c>
      <c r="AD2223" t="s">
        <v>52</v>
      </c>
      <c r="AE2223" t="s">
        <v>52</v>
      </c>
      <c r="AF2223" s="18" t="s">
        <v>52</v>
      </c>
      <c r="AG2223" s="18" t="s">
        <v>52</v>
      </c>
      <c r="AH2223" s="18" t="s">
        <v>52</v>
      </c>
      <c r="AI2223" s="18" t="s">
        <v>52</v>
      </c>
      <c r="AJ2223">
        <v>3</v>
      </c>
      <c r="AK2223">
        <v>8</v>
      </c>
      <c r="AL2223">
        <v>6</v>
      </c>
      <c r="AM2223">
        <v>4</v>
      </c>
      <c r="AN2223" s="18">
        <v>0</v>
      </c>
      <c r="AO2223" s="18">
        <v>0</v>
      </c>
      <c r="AP2223" s="18">
        <v>0</v>
      </c>
      <c r="AQ2223" s="18">
        <v>0</v>
      </c>
      <c r="AR2223" s="29">
        <v>0</v>
      </c>
      <c r="AS2223" s="29">
        <v>0</v>
      </c>
      <c r="AT2223" s="29">
        <v>6</v>
      </c>
      <c r="AU2223" s="24" t="str">
        <f t="shared" si="35"/>
        <v>库存为6</v>
      </c>
      <c r="AV2223" s="31" t="str">
        <f>IFERROR(时间!$B$4+AU2223,"上周无销量")</f>
        <v>上周无销量</v>
      </c>
    </row>
    <row r="2224" spans="1:48">
      <c r="A2224" s="16" t="s">
        <v>3905</v>
      </c>
      <c r="B2224" t="s">
        <v>3170</v>
      </c>
      <c r="C2224" t="s">
        <v>3860</v>
      </c>
      <c r="D2224" s="24">
        <v>0</v>
      </c>
      <c r="E2224" s="24">
        <v>0</v>
      </c>
      <c r="F2224" s="24">
        <v>1</v>
      </c>
      <c r="G2224" s="24">
        <v>0</v>
      </c>
      <c r="H2224" s="25">
        <v>24.98</v>
      </c>
      <c r="I2224">
        <v>7</v>
      </c>
      <c r="J2224" s="26">
        <v>0</v>
      </c>
      <c r="K2224" s="26">
        <v>0</v>
      </c>
      <c r="L2224" s="26">
        <v>0</v>
      </c>
      <c r="M2224">
        <v>7</v>
      </c>
      <c r="N2224">
        <v>0</v>
      </c>
      <c r="O2224">
        <v>7</v>
      </c>
      <c r="P2224" t="s">
        <v>52</v>
      </c>
      <c r="Q2224" t="s">
        <v>52</v>
      </c>
      <c r="R2224" t="s">
        <v>52</v>
      </c>
      <c r="S2224" t="s">
        <v>52</v>
      </c>
      <c r="T2224" t="s">
        <v>52</v>
      </c>
      <c r="U2224" t="s">
        <v>52</v>
      </c>
      <c r="V2224" t="s">
        <v>52</v>
      </c>
      <c r="W2224" t="s">
        <v>52</v>
      </c>
      <c r="X2224" s="18" t="s">
        <v>52</v>
      </c>
      <c r="Y2224" s="18" t="s">
        <v>52</v>
      </c>
      <c r="Z2224" s="18" t="s">
        <v>52</v>
      </c>
      <c r="AA2224" s="18" t="s">
        <v>52</v>
      </c>
      <c r="AB2224" t="s">
        <v>52</v>
      </c>
      <c r="AC2224" t="s">
        <v>52</v>
      </c>
      <c r="AD2224" t="s">
        <v>52</v>
      </c>
      <c r="AE2224" t="s">
        <v>52</v>
      </c>
      <c r="AF2224" s="18" t="s">
        <v>52</v>
      </c>
      <c r="AG2224" s="18" t="s">
        <v>52</v>
      </c>
      <c r="AH2224" s="18" t="s">
        <v>52</v>
      </c>
      <c r="AI2224" s="18" t="s">
        <v>52</v>
      </c>
      <c r="AJ2224">
        <v>2</v>
      </c>
      <c r="AK2224">
        <v>4</v>
      </c>
      <c r="AL2224">
        <v>5</v>
      </c>
      <c r="AM2224">
        <v>3</v>
      </c>
      <c r="AN2224" s="18">
        <v>0</v>
      </c>
      <c r="AO2224" s="18">
        <v>0</v>
      </c>
      <c r="AP2224" s="18">
        <v>0.2</v>
      </c>
      <c r="AQ2224" s="18">
        <v>0</v>
      </c>
      <c r="AR2224" s="29">
        <v>0</v>
      </c>
      <c r="AS2224" s="29">
        <v>0</v>
      </c>
      <c r="AT2224" s="29">
        <v>7</v>
      </c>
      <c r="AU2224" s="24" t="str">
        <f t="shared" si="35"/>
        <v>库存为7</v>
      </c>
      <c r="AV2224" s="31" t="str">
        <f>IFERROR(时间!$B$4+AU2224,"上周无销量")</f>
        <v>上周无销量</v>
      </c>
    </row>
    <row r="2225" spans="1:48">
      <c r="A2225" s="16" t="s">
        <v>3906</v>
      </c>
      <c r="B2225" t="s">
        <v>3172</v>
      </c>
      <c r="C2225" t="s">
        <v>3860</v>
      </c>
      <c r="D2225" s="24">
        <v>0</v>
      </c>
      <c r="E2225" s="24">
        <v>0</v>
      </c>
      <c r="F2225" s="24">
        <v>0</v>
      </c>
      <c r="G2225" s="24">
        <v>0</v>
      </c>
      <c r="H2225" s="25">
        <v>0</v>
      </c>
      <c r="I2225">
        <v>8</v>
      </c>
      <c r="J2225" s="26">
        <v>0</v>
      </c>
      <c r="K2225" s="26">
        <v>0</v>
      </c>
      <c r="L2225" s="26">
        <v>0</v>
      </c>
      <c r="M2225">
        <v>8</v>
      </c>
      <c r="N2225">
        <v>0</v>
      </c>
      <c r="O2225">
        <v>7</v>
      </c>
      <c r="P2225" t="s">
        <v>52</v>
      </c>
      <c r="Q2225" t="s">
        <v>52</v>
      </c>
      <c r="R2225" t="s">
        <v>52</v>
      </c>
      <c r="S2225" t="s">
        <v>52</v>
      </c>
      <c r="T2225" t="s">
        <v>52</v>
      </c>
      <c r="U2225" t="s">
        <v>52</v>
      </c>
      <c r="V2225" t="s">
        <v>52</v>
      </c>
      <c r="W2225" t="s">
        <v>52</v>
      </c>
      <c r="X2225" s="18" t="s">
        <v>52</v>
      </c>
      <c r="Y2225" s="18" t="s">
        <v>52</v>
      </c>
      <c r="Z2225" s="18" t="s">
        <v>52</v>
      </c>
      <c r="AA2225" s="18" t="s">
        <v>52</v>
      </c>
      <c r="AB2225" t="s">
        <v>52</v>
      </c>
      <c r="AC2225" t="s">
        <v>52</v>
      </c>
      <c r="AD2225" t="s">
        <v>52</v>
      </c>
      <c r="AE2225" t="s">
        <v>52</v>
      </c>
      <c r="AF2225" s="18" t="s">
        <v>52</v>
      </c>
      <c r="AG2225" s="18" t="s">
        <v>52</v>
      </c>
      <c r="AH2225" s="18" t="s">
        <v>52</v>
      </c>
      <c r="AI2225" s="18" t="s">
        <v>52</v>
      </c>
      <c r="AJ2225">
        <v>3</v>
      </c>
      <c r="AK2225">
        <v>2</v>
      </c>
      <c r="AL2225">
        <v>2</v>
      </c>
      <c r="AM2225">
        <v>1</v>
      </c>
      <c r="AN2225" s="18">
        <v>0</v>
      </c>
      <c r="AO2225" s="18">
        <v>0</v>
      </c>
      <c r="AP2225" s="18">
        <v>0</v>
      </c>
      <c r="AQ2225" s="18">
        <v>0</v>
      </c>
      <c r="AR2225" s="29">
        <v>0</v>
      </c>
      <c r="AS2225" s="29">
        <v>0</v>
      </c>
      <c r="AT2225" s="29">
        <v>8</v>
      </c>
      <c r="AU2225" s="24" t="str">
        <f t="shared" si="35"/>
        <v>库存为8</v>
      </c>
      <c r="AV2225" s="31" t="str">
        <f>IFERROR(时间!$B$4+AU2225,"上周无销量")</f>
        <v>上周无销量</v>
      </c>
    </row>
    <row r="2226" spans="1:48">
      <c r="A2226" s="16" t="s">
        <v>3907</v>
      </c>
      <c r="B2226" t="s">
        <v>3174</v>
      </c>
      <c r="C2226" t="s">
        <v>3860</v>
      </c>
      <c r="D2226" s="24">
        <v>0</v>
      </c>
      <c r="E2226" s="24">
        <v>0</v>
      </c>
      <c r="F2226" s="24">
        <v>0</v>
      </c>
      <c r="G2226" s="24">
        <v>0</v>
      </c>
      <c r="H2226" s="25">
        <v>0</v>
      </c>
      <c r="I2226">
        <v>4</v>
      </c>
      <c r="J2226" s="26">
        <v>0</v>
      </c>
      <c r="K2226" s="26">
        <v>0</v>
      </c>
      <c r="L2226" s="26">
        <v>0</v>
      </c>
      <c r="M2226">
        <v>4</v>
      </c>
      <c r="N2226">
        <v>0</v>
      </c>
      <c r="O2226">
        <v>4</v>
      </c>
      <c r="P2226" t="s">
        <v>52</v>
      </c>
      <c r="Q2226" t="s">
        <v>52</v>
      </c>
      <c r="R2226" t="s">
        <v>52</v>
      </c>
      <c r="S2226" t="s">
        <v>52</v>
      </c>
      <c r="T2226" t="s">
        <v>52</v>
      </c>
      <c r="U2226" t="s">
        <v>52</v>
      </c>
      <c r="V2226" t="s">
        <v>52</v>
      </c>
      <c r="W2226" t="s">
        <v>52</v>
      </c>
      <c r="X2226" s="18" t="s">
        <v>52</v>
      </c>
      <c r="Y2226" s="18" t="s">
        <v>52</v>
      </c>
      <c r="Z2226" s="18" t="s">
        <v>52</v>
      </c>
      <c r="AA2226" s="18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s="18" t="s">
        <v>52</v>
      </c>
      <c r="AG2226" s="18" t="s">
        <v>52</v>
      </c>
      <c r="AH2226" s="18" t="s">
        <v>52</v>
      </c>
      <c r="AI2226" s="18" t="s">
        <v>52</v>
      </c>
      <c r="AJ2226">
        <v>3</v>
      </c>
      <c r="AK2226">
        <v>3</v>
      </c>
      <c r="AL2226">
        <v>3</v>
      </c>
      <c r="AM2226">
        <v>0</v>
      </c>
      <c r="AN2226" s="18">
        <v>0</v>
      </c>
      <c r="AO2226" s="18">
        <v>0</v>
      </c>
      <c r="AP2226" s="18">
        <v>0</v>
      </c>
      <c r="AQ2226" s="18" t="s">
        <v>52</v>
      </c>
      <c r="AR2226" s="29">
        <v>0</v>
      </c>
      <c r="AS2226" s="29">
        <v>0</v>
      </c>
      <c r="AT2226" s="29">
        <v>4</v>
      </c>
      <c r="AU2226" s="24" t="str">
        <f t="shared" si="35"/>
        <v>库存为4</v>
      </c>
      <c r="AV2226" s="31" t="str">
        <f>IFERROR(时间!$B$4+AU2226,"上周无销量")</f>
        <v>上周无销量</v>
      </c>
    </row>
    <row r="2227" spans="1:48">
      <c r="A2227" s="16" t="s">
        <v>3908</v>
      </c>
      <c r="B2227" t="s">
        <v>3176</v>
      </c>
      <c r="C2227" t="s">
        <v>3860</v>
      </c>
      <c r="D2227" s="24">
        <v>0</v>
      </c>
      <c r="E2227" s="24">
        <v>0</v>
      </c>
      <c r="F2227" s="24">
        <v>0</v>
      </c>
      <c r="G2227" s="24">
        <v>0</v>
      </c>
      <c r="H2227" s="25">
        <v>0</v>
      </c>
      <c r="I2227">
        <v>8</v>
      </c>
      <c r="J2227" s="26">
        <v>0</v>
      </c>
      <c r="K2227" s="26">
        <v>0</v>
      </c>
      <c r="L2227" s="26">
        <v>0</v>
      </c>
      <c r="M2227">
        <v>8</v>
      </c>
      <c r="N2227">
        <v>0</v>
      </c>
      <c r="O2227">
        <v>8</v>
      </c>
      <c r="P2227" t="s">
        <v>52</v>
      </c>
      <c r="Q2227" t="s">
        <v>52</v>
      </c>
      <c r="R2227" t="s">
        <v>52</v>
      </c>
      <c r="S2227" t="s">
        <v>52</v>
      </c>
      <c r="T2227" t="s">
        <v>52</v>
      </c>
      <c r="U2227" t="s">
        <v>52</v>
      </c>
      <c r="V2227" t="s">
        <v>52</v>
      </c>
      <c r="W2227" t="s">
        <v>52</v>
      </c>
      <c r="X2227" s="18" t="s">
        <v>52</v>
      </c>
      <c r="Y2227" s="18" t="s">
        <v>52</v>
      </c>
      <c r="Z2227" s="18" t="s">
        <v>52</v>
      </c>
      <c r="AA2227" s="18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s="18" t="s">
        <v>52</v>
      </c>
      <c r="AG2227" s="18" t="s">
        <v>52</v>
      </c>
      <c r="AH2227" s="18" t="s">
        <v>52</v>
      </c>
      <c r="AI2227" s="18" t="s">
        <v>52</v>
      </c>
      <c r="AJ2227">
        <v>2</v>
      </c>
      <c r="AK2227">
        <v>4</v>
      </c>
      <c r="AL2227">
        <v>5</v>
      </c>
      <c r="AM2227">
        <v>3</v>
      </c>
      <c r="AN2227" s="18">
        <v>0</v>
      </c>
      <c r="AO2227" s="18">
        <v>0</v>
      </c>
      <c r="AP2227" s="18">
        <v>0</v>
      </c>
      <c r="AQ2227" s="18">
        <v>0</v>
      </c>
      <c r="AR2227" s="29">
        <v>0</v>
      </c>
      <c r="AS2227" s="29">
        <v>0</v>
      </c>
      <c r="AT2227" s="29">
        <v>8</v>
      </c>
      <c r="AU2227" s="24" t="str">
        <f t="shared" si="35"/>
        <v>库存为8</v>
      </c>
      <c r="AV2227" s="31" t="str">
        <f>IFERROR(时间!$B$4+AU2227,"上周无销量")</f>
        <v>上周无销量</v>
      </c>
    </row>
    <row r="2228" spans="1:48">
      <c r="A2228" s="16" t="s">
        <v>3909</v>
      </c>
      <c r="B2228" t="s">
        <v>3178</v>
      </c>
      <c r="C2228" t="s">
        <v>3860</v>
      </c>
      <c r="D2228" s="24">
        <v>0</v>
      </c>
      <c r="E2228" s="24">
        <v>0</v>
      </c>
      <c r="F2228" s="24">
        <v>0</v>
      </c>
      <c r="G2228" s="24">
        <v>0</v>
      </c>
      <c r="H2228" s="25">
        <v>0</v>
      </c>
      <c r="I2228">
        <v>0</v>
      </c>
      <c r="J2228" s="26">
        <v>0</v>
      </c>
      <c r="K2228" s="26">
        <v>0</v>
      </c>
      <c r="L2228" s="26">
        <v>0</v>
      </c>
      <c r="M2228">
        <v>0</v>
      </c>
      <c r="N2228">
        <v>0</v>
      </c>
      <c r="O2228">
        <v>0</v>
      </c>
      <c r="P2228" t="s">
        <v>52</v>
      </c>
      <c r="Q2228" t="s">
        <v>52</v>
      </c>
      <c r="R2228" t="s">
        <v>52</v>
      </c>
      <c r="S2228" t="s">
        <v>52</v>
      </c>
      <c r="T2228" t="s">
        <v>52</v>
      </c>
      <c r="U2228" t="s">
        <v>52</v>
      </c>
      <c r="V2228" t="s">
        <v>52</v>
      </c>
      <c r="W2228" t="s">
        <v>52</v>
      </c>
      <c r="X2228" s="18" t="s">
        <v>52</v>
      </c>
      <c r="Y2228" s="18" t="s">
        <v>52</v>
      </c>
      <c r="Z2228" s="18" t="s">
        <v>52</v>
      </c>
      <c r="AA2228" s="18" t="s">
        <v>52</v>
      </c>
      <c r="AB2228" t="s">
        <v>52</v>
      </c>
      <c r="AC2228" t="s">
        <v>52</v>
      </c>
      <c r="AD2228" t="s">
        <v>52</v>
      </c>
      <c r="AE2228" t="s">
        <v>52</v>
      </c>
      <c r="AF2228" s="18" t="s">
        <v>52</v>
      </c>
      <c r="AG2228" s="18" t="s">
        <v>52</v>
      </c>
      <c r="AH2228" s="18" t="s">
        <v>52</v>
      </c>
      <c r="AI2228" s="18" t="s">
        <v>52</v>
      </c>
      <c r="AJ2228">
        <v>0</v>
      </c>
      <c r="AK2228">
        <v>0</v>
      </c>
      <c r="AL2228">
        <v>0</v>
      </c>
      <c r="AM2228">
        <v>0</v>
      </c>
      <c r="AN2228" s="18" t="s">
        <v>52</v>
      </c>
      <c r="AO2228" s="18" t="s">
        <v>52</v>
      </c>
      <c r="AP2228" s="18" t="s">
        <v>52</v>
      </c>
      <c r="AQ2228" s="18" t="s">
        <v>52</v>
      </c>
      <c r="AR2228" s="29">
        <v>0</v>
      </c>
      <c r="AS2228" s="29">
        <v>0</v>
      </c>
      <c r="AT2228" s="29">
        <v>0</v>
      </c>
      <c r="AU2228" s="24" t="str">
        <f t="shared" si="35"/>
        <v>库存为0</v>
      </c>
      <c r="AV2228" s="31" t="str">
        <f>IFERROR(时间!$B$4+AU2228,"上周无销量")</f>
        <v>上周无销量</v>
      </c>
    </row>
    <row r="2229" spans="1:48">
      <c r="A2229" s="16" t="s">
        <v>3910</v>
      </c>
      <c r="B2229" t="s">
        <v>3180</v>
      </c>
      <c r="C2229" t="s">
        <v>3860</v>
      </c>
      <c r="D2229" s="24">
        <v>0</v>
      </c>
      <c r="E2229" s="24">
        <v>0</v>
      </c>
      <c r="F2229" s="24">
        <v>0</v>
      </c>
      <c r="G2229" s="24">
        <v>0</v>
      </c>
      <c r="H2229" s="25">
        <v>0</v>
      </c>
      <c r="I2229">
        <v>7</v>
      </c>
      <c r="J2229" s="26">
        <v>0</v>
      </c>
      <c r="K2229" s="26">
        <v>0</v>
      </c>
      <c r="L2229" s="26">
        <v>0</v>
      </c>
      <c r="M2229">
        <v>7</v>
      </c>
      <c r="N2229">
        <v>0</v>
      </c>
      <c r="O2229">
        <v>7</v>
      </c>
      <c r="P2229" t="s">
        <v>52</v>
      </c>
      <c r="Q2229" t="s">
        <v>52</v>
      </c>
      <c r="R2229" t="s">
        <v>52</v>
      </c>
      <c r="S2229" t="s">
        <v>52</v>
      </c>
      <c r="T2229" t="s">
        <v>52</v>
      </c>
      <c r="U2229" t="s">
        <v>52</v>
      </c>
      <c r="V2229" t="s">
        <v>52</v>
      </c>
      <c r="W2229" t="s">
        <v>52</v>
      </c>
      <c r="X2229" s="18" t="s">
        <v>52</v>
      </c>
      <c r="Y2229" s="18" t="s">
        <v>52</v>
      </c>
      <c r="Z2229" s="18" t="s">
        <v>52</v>
      </c>
      <c r="AA2229" s="18" t="s">
        <v>52</v>
      </c>
      <c r="AB2229" t="s">
        <v>52</v>
      </c>
      <c r="AC2229" t="s">
        <v>52</v>
      </c>
      <c r="AD2229" t="s">
        <v>52</v>
      </c>
      <c r="AE2229" t="s">
        <v>52</v>
      </c>
      <c r="AF2229" s="18" t="s">
        <v>52</v>
      </c>
      <c r="AG2229" s="18" t="s">
        <v>52</v>
      </c>
      <c r="AH2229" s="18" t="s">
        <v>52</v>
      </c>
      <c r="AI2229" s="18" t="s">
        <v>52</v>
      </c>
      <c r="AJ2229">
        <v>3</v>
      </c>
      <c r="AK2229">
        <v>2</v>
      </c>
      <c r="AL2229">
        <v>3</v>
      </c>
      <c r="AM2229">
        <v>2</v>
      </c>
      <c r="AN2229" s="18">
        <v>0</v>
      </c>
      <c r="AO2229" s="18">
        <v>0</v>
      </c>
      <c r="AP2229" s="18">
        <v>0</v>
      </c>
      <c r="AQ2229" s="18">
        <v>0</v>
      </c>
      <c r="AR2229" s="29">
        <v>0</v>
      </c>
      <c r="AS2229" s="29">
        <v>0</v>
      </c>
      <c r="AT2229" s="29">
        <v>7</v>
      </c>
      <c r="AU2229" s="24" t="str">
        <f t="shared" si="35"/>
        <v>库存为7</v>
      </c>
      <c r="AV2229" s="31" t="str">
        <f>IFERROR(时间!$B$4+AU2229,"上周无销量")</f>
        <v>上周无销量</v>
      </c>
    </row>
    <row r="2230" spans="1:48">
      <c r="A2230" s="16" t="s">
        <v>3911</v>
      </c>
      <c r="B2230" t="s">
        <v>3182</v>
      </c>
      <c r="C2230" t="s">
        <v>3860</v>
      </c>
      <c r="D2230" s="24">
        <v>0</v>
      </c>
      <c r="E2230" s="24">
        <v>0</v>
      </c>
      <c r="F2230" s="24">
        <v>0</v>
      </c>
      <c r="G2230" s="24">
        <v>0</v>
      </c>
      <c r="H2230" s="25">
        <v>0</v>
      </c>
      <c r="I2230">
        <v>0</v>
      </c>
      <c r="J2230" s="26">
        <v>0</v>
      </c>
      <c r="K2230" s="26">
        <v>0</v>
      </c>
      <c r="L2230" s="26">
        <v>0</v>
      </c>
      <c r="M2230">
        <v>0</v>
      </c>
      <c r="N2230">
        <v>0</v>
      </c>
      <c r="O2230">
        <v>0</v>
      </c>
      <c r="P2230" t="s">
        <v>52</v>
      </c>
      <c r="Q2230" t="s">
        <v>52</v>
      </c>
      <c r="R2230" t="s">
        <v>52</v>
      </c>
      <c r="S2230" t="s">
        <v>52</v>
      </c>
      <c r="T2230" t="s">
        <v>52</v>
      </c>
      <c r="U2230" t="s">
        <v>52</v>
      </c>
      <c r="V2230" t="s">
        <v>52</v>
      </c>
      <c r="W2230" t="s">
        <v>52</v>
      </c>
      <c r="X2230" s="18" t="s">
        <v>52</v>
      </c>
      <c r="Y2230" s="18" t="s">
        <v>52</v>
      </c>
      <c r="Z2230" s="18" t="s">
        <v>52</v>
      </c>
      <c r="AA2230" s="18" t="s">
        <v>52</v>
      </c>
      <c r="AB2230" t="s">
        <v>52</v>
      </c>
      <c r="AC2230" t="s">
        <v>52</v>
      </c>
      <c r="AD2230" t="s">
        <v>52</v>
      </c>
      <c r="AE2230" t="s">
        <v>52</v>
      </c>
      <c r="AF2230" s="18" t="s">
        <v>52</v>
      </c>
      <c r="AG2230" s="18" t="s">
        <v>52</v>
      </c>
      <c r="AH2230" s="18" t="s">
        <v>52</v>
      </c>
      <c r="AI2230" s="18" t="s">
        <v>52</v>
      </c>
      <c r="AJ2230">
        <v>0</v>
      </c>
      <c r="AK2230">
        <v>0</v>
      </c>
      <c r="AL2230">
        <v>0</v>
      </c>
      <c r="AM2230">
        <v>0</v>
      </c>
      <c r="AN2230" s="18" t="s">
        <v>52</v>
      </c>
      <c r="AO2230" s="18" t="s">
        <v>52</v>
      </c>
      <c r="AP2230" s="18" t="s">
        <v>52</v>
      </c>
      <c r="AQ2230" s="18" t="s">
        <v>52</v>
      </c>
      <c r="AR2230" s="29">
        <v>0</v>
      </c>
      <c r="AS2230" s="29">
        <v>0</v>
      </c>
      <c r="AT2230" s="29">
        <v>0</v>
      </c>
      <c r="AU2230" s="24" t="str">
        <f t="shared" si="35"/>
        <v>库存为0</v>
      </c>
      <c r="AV2230" s="31" t="str">
        <f>IFERROR(时间!$B$4+AU2230,"上周无销量")</f>
        <v>上周无销量</v>
      </c>
    </row>
    <row r="2231" spans="1:48">
      <c r="A2231" s="16" t="s">
        <v>3912</v>
      </c>
      <c r="B2231" t="s">
        <v>3184</v>
      </c>
      <c r="C2231" t="s">
        <v>3860</v>
      </c>
      <c r="D2231" s="24">
        <v>0</v>
      </c>
      <c r="E2231" s="24">
        <v>0</v>
      </c>
      <c r="F2231" s="24">
        <v>0</v>
      </c>
      <c r="G2231" s="24">
        <v>0</v>
      </c>
      <c r="H2231" s="25">
        <v>0</v>
      </c>
      <c r="I2231">
        <v>2</v>
      </c>
      <c r="J2231" s="26">
        <v>0</v>
      </c>
      <c r="K2231" s="26">
        <v>0</v>
      </c>
      <c r="L2231" s="26">
        <v>0</v>
      </c>
      <c r="M2231">
        <v>2</v>
      </c>
      <c r="N2231">
        <v>0</v>
      </c>
      <c r="O2231">
        <v>2</v>
      </c>
      <c r="P2231" t="s">
        <v>52</v>
      </c>
      <c r="Q2231" t="s">
        <v>52</v>
      </c>
      <c r="R2231" t="s">
        <v>52</v>
      </c>
      <c r="S2231" t="s">
        <v>52</v>
      </c>
      <c r="T2231" t="s">
        <v>52</v>
      </c>
      <c r="U2231" t="s">
        <v>52</v>
      </c>
      <c r="V2231" t="s">
        <v>52</v>
      </c>
      <c r="W2231" t="s">
        <v>52</v>
      </c>
      <c r="X2231" s="18" t="s">
        <v>52</v>
      </c>
      <c r="Y2231" s="18" t="s">
        <v>52</v>
      </c>
      <c r="Z2231" s="18" t="s">
        <v>52</v>
      </c>
      <c r="AA2231" s="18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s="18" t="s">
        <v>52</v>
      </c>
      <c r="AG2231" s="18" t="s">
        <v>52</v>
      </c>
      <c r="AH2231" s="18" t="s">
        <v>52</v>
      </c>
      <c r="AI2231" s="18" t="s">
        <v>52</v>
      </c>
      <c r="AJ2231">
        <v>0</v>
      </c>
      <c r="AK2231">
        <v>4</v>
      </c>
      <c r="AL2231">
        <v>4</v>
      </c>
      <c r="AM2231">
        <v>1</v>
      </c>
      <c r="AN2231" s="18" t="s">
        <v>52</v>
      </c>
      <c r="AO2231" s="18">
        <v>0</v>
      </c>
      <c r="AP2231" s="18">
        <v>0</v>
      </c>
      <c r="AQ2231" s="18">
        <v>0</v>
      </c>
      <c r="AR2231" s="29">
        <v>0</v>
      </c>
      <c r="AS2231" s="29">
        <v>0</v>
      </c>
      <c r="AT2231" s="29">
        <v>2</v>
      </c>
      <c r="AU2231" s="24" t="str">
        <f t="shared" si="35"/>
        <v>库存为2</v>
      </c>
      <c r="AV2231" s="31" t="str">
        <f>IFERROR(时间!$B$4+AU2231,"上周无销量")</f>
        <v>上周无销量</v>
      </c>
    </row>
    <row r="2232" spans="1:48">
      <c r="A2232" s="16" t="s">
        <v>3913</v>
      </c>
      <c r="B2232" t="s">
        <v>3186</v>
      </c>
      <c r="C2232" t="s">
        <v>3860</v>
      </c>
      <c r="D2232" s="24">
        <v>0</v>
      </c>
      <c r="E2232" s="24">
        <v>0</v>
      </c>
      <c r="F2232" s="24">
        <v>0</v>
      </c>
      <c r="G2232" s="24">
        <v>0</v>
      </c>
      <c r="H2232" s="25">
        <v>0</v>
      </c>
      <c r="I2232">
        <v>3</v>
      </c>
      <c r="J2232" s="26">
        <v>0</v>
      </c>
      <c r="K2232" s="26">
        <v>0</v>
      </c>
      <c r="L2232" s="26">
        <v>0</v>
      </c>
      <c r="M2232">
        <v>3</v>
      </c>
      <c r="N2232">
        <v>0</v>
      </c>
      <c r="O2232">
        <v>3</v>
      </c>
      <c r="P2232">
        <v>47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 s="18">
        <v>0</v>
      </c>
      <c r="Y2232" s="18" t="s">
        <v>52</v>
      </c>
      <c r="Z2232" s="18" t="s">
        <v>52</v>
      </c>
      <c r="AA2232" s="18" t="s">
        <v>52</v>
      </c>
      <c r="AB2232">
        <v>0</v>
      </c>
      <c r="AC2232">
        <v>0</v>
      </c>
      <c r="AD2232">
        <v>0</v>
      </c>
      <c r="AE2232">
        <v>0</v>
      </c>
      <c r="AF2232" s="18" t="s">
        <v>52</v>
      </c>
      <c r="AG2232" s="18" t="s">
        <v>52</v>
      </c>
      <c r="AH2232" s="18" t="s">
        <v>52</v>
      </c>
      <c r="AI2232" s="18" t="s">
        <v>52</v>
      </c>
      <c r="AJ2232">
        <v>2</v>
      </c>
      <c r="AK2232">
        <v>5</v>
      </c>
      <c r="AL2232">
        <v>3</v>
      </c>
      <c r="AM2232">
        <v>0</v>
      </c>
      <c r="AN2232" s="18">
        <v>0</v>
      </c>
      <c r="AO2232" s="18">
        <v>0</v>
      </c>
      <c r="AP2232" s="18">
        <v>0</v>
      </c>
      <c r="AQ2232" s="18" t="s">
        <v>52</v>
      </c>
      <c r="AR2232" s="29">
        <v>0</v>
      </c>
      <c r="AS2232" s="29">
        <v>0</v>
      </c>
      <c r="AT2232" s="29">
        <v>3</v>
      </c>
      <c r="AU2232" s="24" t="str">
        <f t="shared" si="35"/>
        <v>库存为3</v>
      </c>
      <c r="AV2232" s="31" t="str">
        <f>IFERROR(时间!$B$4+AU2232,"上周无销量")</f>
        <v>上周无销量</v>
      </c>
    </row>
    <row r="2233" spans="1:48">
      <c r="A2233" s="16" t="s">
        <v>3914</v>
      </c>
      <c r="B2233" t="s">
        <v>3188</v>
      </c>
      <c r="C2233" t="s">
        <v>3860</v>
      </c>
      <c r="D2233" s="24">
        <v>0</v>
      </c>
      <c r="E2233" s="24">
        <v>0</v>
      </c>
      <c r="F2233" s="24">
        <v>0</v>
      </c>
      <c r="G2233" s="24">
        <v>0</v>
      </c>
      <c r="H2233" s="25">
        <v>0</v>
      </c>
      <c r="I2233">
        <v>3</v>
      </c>
      <c r="J2233" s="26">
        <v>0</v>
      </c>
      <c r="K2233" s="26">
        <v>0</v>
      </c>
      <c r="L2233" s="26">
        <v>0</v>
      </c>
      <c r="M2233">
        <v>3</v>
      </c>
      <c r="N2233">
        <v>0</v>
      </c>
      <c r="O2233">
        <v>2</v>
      </c>
      <c r="P2233" t="s">
        <v>52</v>
      </c>
      <c r="Q2233" t="s">
        <v>52</v>
      </c>
      <c r="R2233" t="s">
        <v>52</v>
      </c>
      <c r="S2233" t="s">
        <v>52</v>
      </c>
      <c r="T2233" t="s">
        <v>52</v>
      </c>
      <c r="U2233" t="s">
        <v>52</v>
      </c>
      <c r="V2233" t="s">
        <v>52</v>
      </c>
      <c r="W2233" t="s">
        <v>52</v>
      </c>
      <c r="X2233" s="18" t="s">
        <v>52</v>
      </c>
      <c r="Y2233" s="18" t="s">
        <v>52</v>
      </c>
      <c r="Z2233" s="18" t="s">
        <v>52</v>
      </c>
      <c r="AA2233" s="18" t="s">
        <v>52</v>
      </c>
      <c r="AB2233" t="s">
        <v>52</v>
      </c>
      <c r="AC2233" t="s">
        <v>52</v>
      </c>
      <c r="AD2233" t="s">
        <v>52</v>
      </c>
      <c r="AE2233" t="s">
        <v>52</v>
      </c>
      <c r="AF2233" s="18" t="s">
        <v>52</v>
      </c>
      <c r="AG2233" s="18" t="s">
        <v>52</v>
      </c>
      <c r="AH2233" s="18" t="s">
        <v>52</v>
      </c>
      <c r="AI2233" s="18" t="s">
        <v>52</v>
      </c>
      <c r="AJ2233">
        <v>2</v>
      </c>
      <c r="AK2233">
        <v>7</v>
      </c>
      <c r="AL2233">
        <v>3</v>
      </c>
      <c r="AM2233">
        <v>1</v>
      </c>
      <c r="AN2233" s="18">
        <v>0</v>
      </c>
      <c r="AO2233" s="18">
        <v>0</v>
      </c>
      <c r="AP2233" s="18">
        <v>0</v>
      </c>
      <c r="AQ2233" s="18">
        <v>0</v>
      </c>
      <c r="AR2233" s="29">
        <v>0</v>
      </c>
      <c r="AS2233" s="29">
        <v>0</v>
      </c>
      <c r="AT2233" s="29">
        <v>3</v>
      </c>
      <c r="AU2233" s="24" t="str">
        <f t="shared" si="35"/>
        <v>库存为3</v>
      </c>
      <c r="AV2233" s="31" t="str">
        <f>IFERROR(时间!$B$4+AU2233,"上周无销量")</f>
        <v>上周无销量</v>
      </c>
    </row>
    <row r="2234" spans="1:48">
      <c r="A2234" s="16" t="s">
        <v>3915</v>
      </c>
      <c r="B2234" t="s">
        <v>3190</v>
      </c>
      <c r="C2234" t="s">
        <v>3860</v>
      </c>
      <c r="D2234" s="24">
        <v>0</v>
      </c>
      <c r="E2234" s="24">
        <v>0</v>
      </c>
      <c r="F2234" s="24">
        <v>0</v>
      </c>
      <c r="G2234" s="24">
        <v>0</v>
      </c>
      <c r="H2234" s="25">
        <v>0</v>
      </c>
      <c r="I2234">
        <v>0</v>
      </c>
      <c r="J2234" s="26">
        <v>0</v>
      </c>
      <c r="K2234" s="26">
        <v>0</v>
      </c>
      <c r="L2234" s="26">
        <v>0</v>
      </c>
      <c r="M2234">
        <v>0</v>
      </c>
      <c r="N2234">
        <v>0</v>
      </c>
      <c r="O2234">
        <v>0</v>
      </c>
      <c r="P2234" t="s">
        <v>52</v>
      </c>
      <c r="Q2234" t="s">
        <v>52</v>
      </c>
      <c r="R2234" t="s">
        <v>52</v>
      </c>
      <c r="S2234" t="s">
        <v>52</v>
      </c>
      <c r="T2234" t="s">
        <v>52</v>
      </c>
      <c r="U2234" t="s">
        <v>52</v>
      </c>
      <c r="V2234" t="s">
        <v>52</v>
      </c>
      <c r="W2234" t="s">
        <v>52</v>
      </c>
      <c r="X2234" s="18" t="s">
        <v>52</v>
      </c>
      <c r="Y2234" s="18" t="s">
        <v>52</v>
      </c>
      <c r="Z2234" s="18" t="s">
        <v>52</v>
      </c>
      <c r="AA2234" s="18" t="s">
        <v>52</v>
      </c>
      <c r="AB2234" t="s">
        <v>52</v>
      </c>
      <c r="AC2234" t="s">
        <v>52</v>
      </c>
      <c r="AD2234" t="s">
        <v>52</v>
      </c>
      <c r="AE2234" t="s">
        <v>52</v>
      </c>
      <c r="AF2234" s="18" t="s">
        <v>52</v>
      </c>
      <c r="AG2234" s="18" t="s">
        <v>52</v>
      </c>
      <c r="AH2234" s="18" t="s">
        <v>52</v>
      </c>
      <c r="AI2234" s="18" t="s">
        <v>52</v>
      </c>
      <c r="AJ2234">
        <v>0</v>
      </c>
      <c r="AK2234">
        <v>0</v>
      </c>
      <c r="AL2234">
        <v>0</v>
      </c>
      <c r="AM2234">
        <v>0</v>
      </c>
      <c r="AN2234" s="18" t="s">
        <v>52</v>
      </c>
      <c r="AO2234" s="18" t="s">
        <v>52</v>
      </c>
      <c r="AP2234" s="18" t="s">
        <v>52</v>
      </c>
      <c r="AQ2234" s="18" t="s">
        <v>52</v>
      </c>
      <c r="AR2234" s="29">
        <v>0</v>
      </c>
      <c r="AS2234" s="29">
        <v>0</v>
      </c>
      <c r="AT2234" s="29">
        <v>0</v>
      </c>
      <c r="AU2234" s="24" t="str">
        <f t="shared" si="35"/>
        <v>库存为0</v>
      </c>
      <c r="AV2234" s="31" t="str">
        <f>IFERROR(时间!$B$4+AU2234,"上周无销量")</f>
        <v>上周无销量</v>
      </c>
    </row>
    <row r="2235" spans="1:48">
      <c r="A2235" s="16" t="s">
        <v>3916</v>
      </c>
      <c r="B2235" t="s">
        <v>3192</v>
      </c>
      <c r="C2235" t="s">
        <v>3860</v>
      </c>
      <c r="D2235" s="24">
        <v>0</v>
      </c>
      <c r="E2235" s="24">
        <v>0</v>
      </c>
      <c r="F2235" s="24">
        <v>0</v>
      </c>
      <c r="G2235" s="24">
        <v>0</v>
      </c>
      <c r="H2235" s="25">
        <v>0</v>
      </c>
      <c r="I2235">
        <v>5</v>
      </c>
      <c r="J2235" s="26">
        <v>0</v>
      </c>
      <c r="K2235" s="26">
        <v>0</v>
      </c>
      <c r="L2235" s="26">
        <v>0</v>
      </c>
      <c r="M2235">
        <v>5</v>
      </c>
      <c r="N2235">
        <v>0</v>
      </c>
      <c r="O2235">
        <v>5</v>
      </c>
      <c r="P2235" t="s">
        <v>52</v>
      </c>
      <c r="Q2235" t="s">
        <v>52</v>
      </c>
      <c r="R2235" t="s">
        <v>52</v>
      </c>
      <c r="S2235" t="s">
        <v>52</v>
      </c>
      <c r="T2235" t="s">
        <v>52</v>
      </c>
      <c r="U2235" t="s">
        <v>52</v>
      </c>
      <c r="V2235" t="s">
        <v>52</v>
      </c>
      <c r="W2235" t="s">
        <v>52</v>
      </c>
      <c r="X2235" s="18" t="s">
        <v>52</v>
      </c>
      <c r="Y2235" s="18" t="s">
        <v>52</v>
      </c>
      <c r="Z2235" s="18" t="s">
        <v>52</v>
      </c>
      <c r="AA2235" s="18" t="s">
        <v>52</v>
      </c>
      <c r="AB2235" t="s">
        <v>52</v>
      </c>
      <c r="AC2235" t="s">
        <v>52</v>
      </c>
      <c r="AD2235" t="s">
        <v>52</v>
      </c>
      <c r="AE2235" t="s">
        <v>52</v>
      </c>
      <c r="AF2235" s="18" t="s">
        <v>52</v>
      </c>
      <c r="AG2235" s="18" t="s">
        <v>52</v>
      </c>
      <c r="AH2235" s="18" t="s">
        <v>52</v>
      </c>
      <c r="AI2235" s="18" t="s">
        <v>52</v>
      </c>
      <c r="AJ2235">
        <v>2</v>
      </c>
      <c r="AK2235">
        <v>3</v>
      </c>
      <c r="AL2235">
        <v>5</v>
      </c>
      <c r="AM2235">
        <v>5</v>
      </c>
      <c r="AN2235" s="18">
        <v>0</v>
      </c>
      <c r="AO2235" s="18">
        <v>0</v>
      </c>
      <c r="AP2235" s="18">
        <v>0</v>
      </c>
      <c r="AQ2235" s="18">
        <v>0</v>
      </c>
      <c r="AR2235" s="29">
        <v>0</v>
      </c>
      <c r="AS2235" s="29">
        <v>0</v>
      </c>
      <c r="AT2235" s="29">
        <v>5</v>
      </c>
      <c r="AU2235" s="24" t="str">
        <f t="shared" si="35"/>
        <v>库存为5</v>
      </c>
      <c r="AV2235" s="31" t="str">
        <f>IFERROR(时间!$B$4+AU2235,"上周无销量")</f>
        <v>上周无销量</v>
      </c>
    </row>
    <row r="2236" spans="1:48">
      <c r="A2236" s="16" t="s">
        <v>3917</v>
      </c>
      <c r="B2236" t="s">
        <v>3194</v>
      </c>
      <c r="C2236" t="s">
        <v>3860</v>
      </c>
      <c r="D2236" s="24">
        <v>0</v>
      </c>
      <c r="E2236" s="24">
        <v>0</v>
      </c>
      <c r="F2236" s="24">
        <v>0</v>
      </c>
      <c r="G2236" s="24">
        <v>0</v>
      </c>
      <c r="H2236" s="25">
        <v>0</v>
      </c>
      <c r="I2236">
        <v>3</v>
      </c>
      <c r="J2236" s="26">
        <v>0</v>
      </c>
      <c r="K2236" s="26">
        <v>0</v>
      </c>
      <c r="L2236" s="26">
        <v>0</v>
      </c>
      <c r="M2236">
        <v>3</v>
      </c>
      <c r="N2236">
        <v>0</v>
      </c>
      <c r="O2236">
        <v>3</v>
      </c>
      <c r="P2236" t="s">
        <v>52</v>
      </c>
      <c r="Q2236" t="s">
        <v>52</v>
      </c>
      <c r="R2236" t="s">
        <v>52</v>
      </c>
      <c r="S2236" t="s">
        <v>52</v>
      </c>
      <c r="T2236" t="s">
        <v>52</v>
      </c>
      <c r="U2236" t="s">
        <v>52</v>
      </c>
      <c r="V2236" t="s">
        <v>52</v>
      </c>
      <c r="W2236" t="s">
        <v>52</v>
      </c>
      <c r="X2236" s="18" t="s">
        <v>52</v>
      </c>
      <c r="Y2236" s="18" t="s">
        <v>52</v>
      </c>
      <c r="Z2236" s="18" t="s">
        <v>52</v>
      </c>
      <c r="AA2236" s="18" t="s">
        <v>52</v>
      </c>
      <c r="AB2236" t="s">
        <v>52</v>
      </c>
      <c r="AC2236" t="s">
        <v>52</v>
      </c>
      <c r="AD2236" t="s">
        <v>52</v>
      </c>
      <c r="AE2236" t="s">
        <v>52</v>
      </c>
      <c r="AF2236" s="18" t="s">
        <v>52</v>
      </c>
      <c r="AG2236" s="18" t="s">
        <v>52</v>
      </c>
      <c r="AH2236" s="18" t="s">
        <v>52</v>
      </c>
      <c r="AI2236" s="18" t="s">
        <v>52</v>
      </c>
      <c r="AJ2236">
        <v>1</v>
      </c>
      <c r="AK2236">
        <v>4</v>
      </c>
      <c r="AL2236">
        <v>6</v>
      </c>
      <c r="AM2236">
        <v>3</v>
      </c>
      <c r="AN2236" s="18">
        <v>0</v>
      </c>
      <c r="AO2236" s="18">
        <v>0</v>
      </c>
      <c r="AP2236" s="18">
        <v>0</v>
      </c>
      <c r="AQ2236" s="18">
        <v>0</v>
      </c>
      <c r="AR2236" s="29">
        <v>0</v>
      </c>
      <c r="AS2236" s="29">
        <v>0</v>
      </c>
      <c r="AT2236" s="29">
        <v>3</v>
      </c>
      <c r="AU2236" s="24" t="str">
        <f t="shared" si="35"/>
        <v>库存为3</v>
      </c>
      <c r="AV2236" s="31" t="str">
        <f>IFERROR(时间!$B$4+AU2236,"上周无销量")</f>
        <v>上周无销量</v>
      </c>
    </row>
    <row r="2237" spans="1:48">
      <c r="A2237" s="16" t="s">
        <v>3918</v>
      </c>
      <c r="B2237" t="s">
        <v>3196</v>
      </c>
      <c r="C2237" t="s">
        <v>3860</v>
      </c>
      <c r="D2237" s="24">
        <v>1</v>
      </c>
      <c r="E2237" s="24">
        <v>0</v>
      </c>
      <c r="F2237" s="24">
        <v>0</v>
      </c>
      <c r="G2237" s="24">
        <v>0</v>
      </c>
      <c r="H2237" s="25">
        <v>24.98</v>
      </c>
      <c r="I2237">
        <v>3</v>
      </c>
      <c r="J2237" s="26">
        <v>0</v>
      </c>
      <c r="K2237" s="26">
        <v>0</v>
      </c>
      <c r="L2237" s="26">
        <v>0</v>
      </c>
      <c r="M2237">
        <v>3</v>
      </c>
      <c r="N2237">
        <v>0</v>
      </c>
      <c r="O2237">
        <v>3</v>
      </c>
      <c r="P2237" t="s">
        <v>52</v>
      </c>
      <c r="Q2237" t="s">
        <v>52</v>
      </c>
      <c r="R2237" t="s">
        <v>52</v>
      </c>
      <c r="S2237" t="s">
        <v>52</v>
      </c>
      <c r="T2237" t="s">
        <v>52</v>
      </c>
      <c r="U2237" t="s">
        <v>52</v>
      </c>
      <c r="V2237" t="s">
        <v>52</v>
      </c>
      <c r="W2237" t="s">
        <v>52</v>
      </c>
      <c r="X2237" s="18" t="s">
        <v>52</v>
      </c>
      <c r="Y2237" s="18" t="s">
        <v>52</v>
      </c>
      <c r="Z2237" s="18" t="s">
        <v>52</v>
      </c>
      <c r="AA2237" s="18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s="18" t="s">
        <v>52</v>
      </c>
      <c r="AG2237" s="18" t="s">
        <v>52</v>
      </c>
      <c r="AH2237" s="18" t="s">
        <v>52</v>
      </c>
      <c r="AI2237" s="18" t="s">
        <v>52</v>
      </c>
      <c r="AJ2237">
        <v>5</v>
      </c>
      <c r="AK2237">
        <v>9</v>
      </c>
      <c r="AL2237">
        <v>6</v>
      </c>
      <c r="AM2237">
        <v>6</v>
      </c>
      <c r="AN2237" s="18">
        <v>0.2</v>
      </c>
      <c r="AO2237" s="18">
        <v>0</v>
      </c>
      <c r="AP2237" s="18">
        <v>0</v>
      </c>
      <c r="AQ2237" s="18">
        <v>0</v>
      </c>
      <c r="AR2237" s="29">
        <v>0.142857142857143</v>
      </c>
      <c r="AS2237" s="29">
        <v>8.57142857142857</v>
      </c>
      <c r="AT2237" s="29">
        <v>-5.57142857142857</v>
      </c>
      <c r="AU2237" s="24">
        <f t="shared" si="35"/>
        <v>21</v>
      </c>
      <c r="AV2237" s="31">
        <f>IFERROR(时间!$B$4+AU2237,"上周无销量")</f>
        <v>43339</v>
      </c>
    </row>
    <row r="2238" spans="1:48">
      <c r="A2238" s="16" t="s">
        <v>3919</v>
      </c>
      <c r="B2238" t="s">
        <v>3198</v>
      </c>
      <c r="C2238" t="s">
        <v>3860</v>
      </c>
      <c r="D2238" s="24">
        <v>1</v>
      </c>
      <c r="E2238" s="24">
        <v>0</v>
      </c>
      <c r="F2238" s="24">
        <v>0</v>
      </c>
      <c r="G2238" s="24">
        <v>0</v>
      </c>
      <c r="H2238" s="25">
        <v>24.98</v>
      </c>
      <c r="I2238">
        <v>1</v>
      </c>
      <c r="J2238" s="26">
        <v>0</v>
      </c>
      <c r="K2238" s="26">
        <v>0</v>
      </c>
      <c r="L2238" s="26">
        <v>0</v>
      </c>
      <c r="M2238">
        <v>1</v>
      </c>
      <c r="N2238">
        <v>0</v>
      </c>
      <c r="O2238">
        <v>1</v>
      </c>
      <c r="P2238" t="s">
        <v>52</v>
      </c>
      <c r="Q2238" t="s">
        <v>52</v>
      </c>
      <c r="R2238" t="s">
        <v>52</v>
      </c>
      <c r="S2238" t="s">
        <v>52</v>
      </c>
      <c r="T2238" t="s">
        <v>52</v>
      </c>
      <c r="U2238" t="s">
        <v>52</v>
      </c>
      <c r="V2238" t="s">
        <v>52</v>
      </c>
      <c r="W2238" t="s">
        <v>52</v>
      </c>
      <c r="X2238" s="18" t="s">
        <v>52</v>
      </c>
      <c r="Y2238" s="18" t="s">
        <v>52</v>
      </c>
      <c r="Z2238" s="18" t="s">
        <v>52</v>
      </c>
      <c r="AA2238" s="18" t="s">
        <v>52</v>
      </c>
      <c r="AB2238" t="s">
        <v>52</v>
      </c>
      <c r="AC2238" t="s">
        <v>52</v>
      </c>
      <c r="AD2238" t="s">
        <v>52</v>
      </c>
      <c r="AE2238" t="s">
        <v>52</v>
      </c>
      <c r="AF2238" s="18" t="s">
        <v>52</v>
      </c>
      <c r="AG2238" s="18" t="s">
        <v>52</v>
      </c>
      <c r="AH2238" s="18" t="s">
        <v>52</v>
      </c>
      <c r="AI2238" s="18" t="s">
        <v>52</v>
      </c>
      <c r="AJ2238">
        <v>2</v>
      </c>
      <c r="AK2238">
        <v>10</v>
      </c>
      <c r="AL2238">
        <v>4</v>
      </c>
      <c r="AM2238">
        <v>2</v>
      </c>
      <c r="AN2238" s="18">
        <v>0.5</v>
      </c>
      <c r="AO2238" s="18">
        <v>0</v>
      </c>
      <c r="AP2238" s="18">
        <v>0</v>
      </c>
      <c r="AQ2238" s="18">
        <v>0</v>
      </c>
      <c r="AR2238" s="29">
        <v>0.142857142857143</v>
      </c>
      <c r="AS2238" s="29">
        <v>8.57142857142857</v>
      </c>
      <c r="AT2238" s="29">
        <v>-7.57142857142857</v>
      </c>
      <c r="AU2238" s="24">
        <f t="shared" si="35"/>
        <v>7</v>
      </c>
      <c r="AV2238" s="31">
        <f>IFERROR(时间!$B$4+AU2238,"上周无销量")</f>
        <v>43325</v>
      </c>
    </row>
    <row r="2239" spans="1:48">
      <c r="A2239" s="16" t="s">
        <v>3920</v>
      </c>
      <c r="B2239" t="s">
        <v>3200</v>
      </c>
      <c r="C2239" t="s">
        <v>3860</v>
      </c>
      <c r="D2239" s="24">
        <v>0</v>
      </c>
      <c r="E2239" s="24">
        <v>0</v>
      </c>
      <c r="F2239" s="24">
        <v>0</v>
      </c>
      <c r="G2239" s="24">
        <v>0</v>
      </c>
      <c r="H2239" s="25">
        <v>0</v>
      </c>
      <c r="I2239">
        <v>6</v>
      </c>
      <c r="J2239" s="26">
        <v>0</v>
      </c>
      <c r="K2239" s="26">
        <v>0</v>
      </c>
      <c r="L2239" s="26">
        <v>0</v>
      </c>
      <c r="M2239">
        <v>6</v>
      </c>
      <c r="N2239">
        <v>0</v>
      </c>
      <c r="O2239">
        <v>6</v>
      </c>
      <c r="P2239" t="s">
        <v>52</v>
      </c>
      <c r="Q2239" t="s">
        <v>52</v>
      </c>
      <c r="R2239" t="s">
        <v>52</v>
      </c>
      <c r="S2239" t="s">
        <v>52</v>
      </c>
      <c r="T2239" t="s">
        <v>52</v>
      </c>
      <c r="U2239" t="s">
        <v>52</v>
      </c>
      <c r="V2239" t="s">
        <v>52</v>
      </c>
      <c r="W2239" t="s">
        <v>52</v>
      </c>
      <c r="X2239" s="18" t="s">
        <v>52</v>
      </c>
      <c r="Y2239" s="18" t="s">
        <v>52</v>
      </c>
      <c r="Z2239" s="18" t="s">
        <v>52</v>
      </c>
      <c r="AA2239" s="18" t="s">
        <v>52</v>
      </c>
      <c r="AB2239" t="s">
        <v>52</v>
      </c>
      <c r="AC2239" t="s">
        <v>52</v>
      </c>
      <c r="AD2239" t="s">
        <v>52</v>
      </c>
      <c r="AE2239" t="s">
        <v>52</v>
      </c>
      <c r="AF2239" s="18" t="s">
        <v>52</v>
      </c>
      <c r="AG2239" s="18" t="s">
        <v>52</v>
      </c>
      <c r="AH2239" s="18" t="s">
        <v>52</v>
      </c>
      <c r="AI2239" s="18" t="s">
        <v>52</v>
      </c>
      <c r="AJ2239">
        <v>1</v>
      </c>
      <c r="AK2239">
        <v>3</v>
      </c>
      <c r="AL2239">
        <v>3</v>
      </c>
      <c r="AM2239">
        <v>2</v>
      </c>
      <c r="AN2239" s="18">
        <v>0</v>
      </c>
      <c r="AO2239" s="18">
        <v>0</v>
      </c>
      <c r="AP2239" s="18">
        <v>0</v>
      </c>
      <c r="AQ2239" s="18">
        <v>0</v>
      </c>
      <c r="AR2239" s="29">
        <v>0</v>
      </c>
      <c r="AS2239" s="29">
        <v>0</v>
      </c>
      <c r="AT2239" s="29">
        <v>6</v>
      </c>
      <c r="AU2239" s="24" t="str">
        <f t="shared" si="35"/>
        <v>库存为6</v>
      </c>
      <c r="AV2239" s="31" t="str">
        <f>IFERROR(时间!$B$4+AU2239,"上周无销量")</f>
        <v>上周无销量</v>
      </c>
    </row>
    <row r="2240" spans="1:48">
      <c r="A2240" s="16" t="s">
        <v>3921</v>
      </c>
      <c r="B2240" t="s">
        <v>3202</v>
      </c>
      <c r="C2240" t="s">
        <v>3860</v>
      </c>
      <c r="D2240" s="24">
        <v>1</v>
      </c>
      <c r="E2240" s="24">
        <v>0</v>
      </c>
      <c r="F2240" s="24">
        <v>0</v>
      </c>
      <c r="G2240" s="24">
        <v>0</v>
      </c>
      <c r="H2240" s="25">
        <v>24.98</v>
      </c>
      <c r="I2240">
        <v>5</v>
      </c>
      <c r="J2240" s="26">
        <v>0</v>
      </c>
      <c r="K2240" s="26">
        <v>0</v>
      </c>
      <c r="L2240" s="26">
        <v>0</v>
      </c>
      <c r="M2240">
        <v>5</v>
      </c>
      <c r="N2240">
        <v>0</v>
      </c>
      <c r="O2240">
        <v>5</v>
      </c>
      <c r="P2240" t="s">
        <v>52</v>
      </c>
      <c r="Q2240" t="s">
        <v>52</v>
      </c>
      <c r="R2240" t="s">
        <v>52</v>
      </c>
      <c r="S2240" t="s">
        <v>52</v>
      </c>
      <c r="T2240" t="s">
        <v>52</v>
      </c>
      <c r="U2240" t="s">
        <v>52</v>
      </c>
      <c r="V2240" t="s">
        <v>52</v>
      </c>
      <c r="W2240" t="s">
        <v>52</v>
      </c>
      <c r="X2240" s="18" t="s">
        <v>52</v>
      </c>
      <c r="Y2240" s="18" t="s">
        <v>52</v>
      </c>
      <c r="Z2240" s="18" t="s">
        <v>52</v>
      </c>
      <c r="AA2240" s="18" t="s">
        <v>52</v>
      </c>
      <c r="AB2240" t="s">
        <v>52</v>
      </c>
      <c r="AC2240" t="s">
        <v>52</v>
      </c>
      <c r="AD2240" t="s">
        <v>52</v>
      </c>
      <c r="AE2240" t="s">
        <v>52</v>
      </c>
      <c r="AF2240" s="18" t="s">
        <v>52</v>
      </c>
      <c r="AG2240" s="18" t="s">
        <v>52</v>
      </c>
      <c r="AH2240" s="18" t="s">
        <v>52</v>
      </c>
      <c r="AI2240" s="18" t="s">
        <v>52</v>
      </c>
      <c r="AJ2240">
        <v>3</v>
      </c>
      <c r="AK2240">
        <v>4</v>
      </c>
      <c r="AL2240">
        <v>5</v>
      </c>
      <c r="AM2240">
        <v>2</v>
      </c>
      <c r="AN2240" s="18">
        <v>0.333333333333333</v>
      </c>
      <c r="AO2240" s="18">
        <v>0</v>
      </c>
      <c r="AP2240" s="18">
        <v>0</v>
      </c>
      <c r="AQ2240" s="18">
        <v>0</v>
      </c>
      <c r="AR2240" s="29">
        <v>0.142857142857143</v>
      </c>
      <c r="AS2240" s="29">
        <v>8.57142857142857</v>
      </c>
      <c r="AT2240" s="29">
        <v>-3.57142857142857</v>
      </c>
      <c r="AU2240" s="24">
        <f t="shared" si="35"/>
        <v>35</v>
      </c>
      <c r="AV2240" s="31">
        <f>IFERROR(时间!$B$4+AU2240,"上周无销量")</f>
        <v>43353</v>
      </c>
    </row>
    <row r="2241" spans="1:48">
      <c r="A2241" s="16" t="s">
        <v>3922</v>
      </c>
      <c r="B2241" t="s">
        <v>3204</v>
      </c>
      <c r="C2241" t="s">
        <v>3860</v>
      </c>
      <c r="D2241" s="24">
        <v>1</v>
      </c>
      <c r="E2241" s="24">
        <v>0</v>
      </c>
      <c r="F2241" s="24">
        <v>0</v>
      </c>
      <c r="G2241" s="24">
        <v>0</v>
      </c>
      <c r="H2241" s="25">
        <v>24.98</v>
      </c>
      <c r="I2241">
        <v>5</v>
      </c>
      <c r="J2241" s="26">
        <v>0</v>
      </c>
      <c r="K2241" s="26">
        <v>0</v>
      </c>
      <c r="L2241" s="26">
        <v>0</v>
      </c>
      <c r="M2241">
        <v>5</v>
      </c>
      <c r="N2241">
        <v>0</v>
      </c>
      <c r="O2241">
        <v>4</v>
      </c>
      <c r="P2241" t="s">
        <v>52</v>
      </c>
      <c r="Q2241" t="s">
        <v>52</v>
      </c>
      <c r="R2241" t="s">
        <v>52</v>
      </c>
      <c r="S2241" t="s">
        <v>52</v>
      </c>
      <c r="T2241" t="s">
        <v>52</v>
      </c>
      <c r="U2241" t="s">
        <v>52</v>
      </c>
      <c r="V2241" t="s">
        <v>52</v>
      </c>
      <c r="W2241" t="s">
        <v>52</v>
      </c>
      <c r="X2241" s="18" t="s">
        <v>52</v>
      </c>
      <c r="Y2241" s="18" t="s">
        <v>52</v>
      </c>
      <c r="Z2241" s="18" t="s">
        <v>52</v>
      </c>
      <c r="AA2241" s="18" t="s">
        <v>52</v>
      </c>
      <c r="AB2241" t="s">
        <v>52</v>
      </c>
      <c r="AC2241" t="s">
        <v>52</v>
      </c>
      <c r="AD2241" t="s">
        <v>52</v>
      </c>
      <c r="AE2241" t="s">
        <v>52</v>
      </c>
      <c r="AF2241" s="18" t="s">
        <v>52</v>
      </c>
      <c r="AG2241" s="18" t="s">
        <v>52</v>
      </c>
      <c r="AH2241" s="18" t="s">
        <v>52</v>
      </c>
      <c r="AI2241" s="18" t="s">
        <v>52</v>
      </c>
      <c r="AJ2241">
        <v>1</v>
      </c>
      <c r="AK2241">
        <v>6</v>
      </c>
      <c r="AL2241">
        <v>5</v>
      </c>
      <c r="AM2241">
        <v>0</v>
      </c>
      <c r="AN2241" s="18">
        <v>1</v>
      </c>
      <c r="AO2241" s="18">
        <v>0</v>
      </c>
      <c r="AP2241" s="18">
        <v>0</v>
      </c>
      <c r="AQ2241" s="18" t="s">
        <v>52</v>
      </c>
      <c r="AR2241" s="29">
        <v>0.142857142857143</v>
      </c>
      <c r="AS2241" s="29">
        <v>8.57142857142857</v>
      </c>
      <c r="AT2241" s="29">
        <v>-3.57142857142857</v>
      </c>
      <c r="AU2241" s="24">
        <f t="shared" si="35"/>
        <v>35</v>
      </c>
      <c r="AV2241" s="31">
        <f>IFERROR(时间!$B$4+AU2241,"上周无销量")</f>
        <v>43353</v>
      </c>
    </row>
    <row r="2242" spans="1:48">
      <c r="A2242" s="16" t="s">
        <v>3923</v>
      </c>
      <c r="B2242" t="s">
        <v>3206</v>
      </c>
      <c r="C2242" t="s">
        <v>3860</v>
      </c>
      <c r="D2242" s="24">
        <v>1</v>
      </c>
      <c r="E2242" s="24">
        <v>0</v>
      </c>
      <c r="F2242" s="24">
        <v>0</v>
      </c>
      <c r="G2242" s="24">
        <v>0</v>
      </c>
      <c r="H2242" s="25">
        <v>24.98</v>
      </c>
      <c r="I2242">
        <v>0</v>
      </c>
      <c r="J2242" s="26">
        <v>0</v>
      </c>
      <c r="K2242" s="26">
        <v>0</v>
      </c>
      <c r="L2242" s="26">
        <v>0</v>
      </c>
      <c r="M2242">
        <v>0</v>
      </c>
      <c r="N2242">
        <v>0</v>
      </c>
      <c r="O2242">
        <v>0</v>
      </c>
      <c r="P2242" t="s">
        <v>52</v>
      </c>
      <c r="Q2242" t="s">
        <v>52</v>
      </c>
      <c r="R2242" t="s">
        <v>52</v>
      </c>
      <c r="S2242" t="s">
        <v>52</v>
      </c>
      <c r="T2242" t="s">
        <v>52</v>
      </c>
      <c r="U2242" t="s">
        <v>52</v>
      </c>
      <c r="V2242" t="s">
        <v>52</v>
      </c>
      <c r="W2242" t="s">
        <v>52</v>
      </c>
      <c r="X2242" s="18" t="s">
        <v>52</v>
      </c>
      <c r="Y2242" s="18" t="s">
        <v>52</v>
      </c>
      <c r="Z2242" s="18" t="s">
        <v>52</v>
      </c>
      <c r="AA2242" s="18" t="s">
        <v>52</v>
      </c>
      <c r="AB2242" t="s">
        <v>52</v>
      </c>
      <c r="AC2242" t="s">
        <v>52</v>
      </c>
      <c r="AD2242" t="s">
        <v>52</v>
      </c>
      <c r="AE2242" t="s">
        <v>52</v>
      </c>
      <c r="AF2242" s="18" t="s">
        <v>52</v>
      </c>
      <c r="AG2242" s="18" t="s">
        <v>52</v>
      </c>
      <c r="AH2242" s="18" t="s">
        <v>52</v>
      </c>
      <c r="AI2242" s="18" t="s">
        <v>52</v>
      </c>
      <c r="AJ2242">
        <v>0</v>
      </c>
      <c r="AK2242">
        <v>3</v>
      </c>
      <c r="AL2242">
        <v>4</v>
      </c>
      <c r="AM2242">
        <v>6</v>
      </c>
      <c r="AN2242" s="18" t="s">
        <v>52</v>
      </c>
      <c r="AO2242" s="18">
        <v>0</v>
      </c>
      <c r="AP2242" s="18">
        <v>0</v>
      </c>
      <c r="AQ2242" s="18">
        <v>0</v>
      </c>
      <c r="AR2242" s="29">
        <v>0.142857142857143</v>
      </c>
      <c r="AS2242" s="29">
        <v>8.57142857142857</v>
      </c>
      <c r="AT2242" s="29">
        <v>-8.57142857142857</v>
      </c>
      <c r="AU2242" s="24">
        <f t="shared" si="35"/>
        <v>0</v>
      </c>
      <c r="AV2242" s="31">
        <f>IFERROR(时间!$B$4+AU2242,"上周无销量")</f>
        <v>43318</v>
      </c>
    </row>
    <row r="2243" spans="1:48">
      <c r="A2243" s="16" t="s">
        <v>3924</v>
      </c>
      <c r="B2243" t="s">
        <v>3208</v>
      </c>
      <c r="C2243" t="s">
        <v>3860</v>
      </c>
      <c r="D2243" s="24">
        <v>1</v>
      </c>
      <c r="E2243" s="24">
        <v>0</v>
      </c>
      <c r="F2243" s="24">
        <v>0</v>
      </c>
      <c r="G2243" s="24">
        <v>0</v>
      </c>
      <c r="H2243" s="25">
        <v>24.98</v>
      </c>
      <c r="I2243">
        <v>3</v>
      </c>
      <c r="J2243" s="26">
        <v>0</v>
      </c>
      <c r="K2243" s="26">
        <v>0</v>
      </c>
      <c r="L2243" s="26">
        <v>0</v>
      </c>
      <c r="M2243">
        <v>3</v>
      </c>
      <c r="N2243">
        <v>0</v>
      </c>
      <c r="O2243">
        <v>1</v>
      </c>
      <c r="P2243" t="s">
        <v>52</v>
      </c>
      <c r="Q2243" t="s">
        <v>52</v>
      </c>
      <c r="R2243" t="s">
        <v>52</v>
      </c>
      <c r="S2243" t="s">
        <v>52</v>
      </c>
      <c r="T2243" t="s">
        <v>52</v>
      </c>
      <c r="U2243" t="s">
        <v>52</v>
      </c>
      <c r="V2243" t="s">
        <v>52</v>
      </c>
      <c r="W2243" t="s">
        <v>52</v>
      </c>
      <c r="X2243" s="18" t="s">
        <v>52</v>
      </c>
      <c r="Y2243" s="18" t="s">
        <v>52</v>
      </c>
      <c r="Z2243" s="18" t="s">
        <v>52</v>
      </c>
      <c r="AA2243" s="18" t="s">
        <v>52</v>
      </c>
      <c r="AB2243" t="s">
        <v>52</v>
      </c>
      <c r="AC2243" t="s">
        <v>52</v>
      </c>
      <c r="AD2243" t="s">
        <v>52</v>
      </c>
      <c r="AE2243" t="s">
        <v>52</v>
      </c>
      <c r="AF2243" s="18" t="s">
        <v>52</v>
      </c>
      <c r="AG2243" s="18" t="s">
        <v>52</v>
      </c>
      <c r="AH2243" s="18" t="s">
        <v>52</v>
      </c>
      <c r="AI2243" s="18" t="s">
        <v>52</v>
      </c>
      <c r="AJ2243">
        <v>4</v>
      </c>
      <c r="AK2243">
        <v>4</v>
      </c>
      <c r="AL2243">
        <v>3</v>
      </c>
      <c r="AM2243">
        <v>2</v>
      </c>
      <c r="AN2243" s="18">
        <v>0.25</v>
      </c>
      <c r="AO2243" s="18">
        <v>0</v>
      </c>
      <c r="AP2243" s="18">
        <v>0</v>
      </c>
      <c r="AQ2243" s="18">
        <v>0</v>
      </c>
      <c r="AR2243" s="29">
        <v>0.142857142857143</v>
      </c>
      <c r="AS2243" s="29">
        <v>8.57142857142857</v>
      </c>
      <c r="AT2243" s="29">
        <v>-5.57142857142857</v>
      </c>
      <c r="AU2243" s="24">
        <f t="shared" si="35"/>
        <v>21</v>
      </c>
      <c r="AV2243" s="31">
        <f>IFERROR(时间!$B$4+AU2243,"上周无销量")</f>
        <v>43339</v>
      </c>
    </row>
    <row r="2244" spans="1:48">
      <c r="A2244" s="16" t="s">
        <v>3925</v>
      </c>
      <c r="B2244" t="s">
        <v>3210</v>
      </c>
      <c r="C2244" t="s">
        <v>3860</v>
      </c>
      <c r="D2244" s="24">
        <v>0</v>
      </c>
      <c r="E2244" s="24">
        <v>0</v>
      </c>
      <c r="F2244" s="24">
        <v>0</v>
      </c>
      <c r="G2244" s="24">
        <v>0</v>
      </c>
      <c r="H2244" s="25">
        <v>0</v>
      </c>
      <c r="I2244">
        <v>5</v>
      </c>
      <c r="J2244" s="26">
        <v>0</v>
      </c>
      <c r="K2244" s="26">
        <v>0</v>
      </c>
      <c r="L2244" s="26">
        <v>0</v>
      </c>
      <c r="M2244">
        <v>5</v>
      </c>
      <c r="N2244">
        <v>0</v>
      </c>
      <c r="O2244">
        <v>5</v>
      </c>
      <c r="P2244" t="s">
        <v>52</v>
      </c>
      <c r="Q2244" t="s">
        <v>52</v>
      </c>
      <c r="R2244" t="s">
        <v>52</v>
      </c>
      <c r="S2244" t="s">
        <v>52</v>
      </c>
      <c r="T2244" t="s">
        <v>52</v>
      </c>
      <c r="U2244" t="s">
        <v>52</v>
      </c>
      <c r="V2244" t="s">
        <v>52</v>
      </c>
      <c r="W2244" t="s">
        <v>52</v>
      </c>
      <c r="X2244" s="18" t="s">
        <v>52</v>
      </c>
      <c r="Y2244" s="18" t="s">
        <v>52</v>
      </c>
      <c r="Z2244" s="18" t="s">
        <v>52</v>
      </c>
      <c r="AA2244" s="18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s="18" t="s">
        <v>52</v>
      </c>
      <c r="AG2244" s="18" t="s">
        <v>52</v>
      </c>
      <c r="AH2244" s="18" t="s">
        <v>52</v>
      </c>
      <c r="AI2244" s="18" t="s">
        <v>52</v>
      </c>
      <c r="AJ2244">
        <v>2</v>
      </c>
      <c r="AK2244">
        <v>3</v>
      </c>
      <c r="AL2244">
        <v>5</v>
      </c>
      <c r="AM2244">
        <v>2</v>
      </c>
      <c r="AN2244" s="18">
        <v>0</v>
      </c>
      <c r="AO2244" s="18">
        <v>0</v>
      </c>
      <c r="AP2244" s="18">
        <v>0</v>
      </c>
      <c r="AQ2244" s="18">
        <v>0</v>
      </c>
      <c r="AR2244" s="29">
        <v>0</v>
      </c>
      <c r="AS2244" s="29">
        <v>0</v>
      </c>
      <c r="AT2244" s="29">
        <v>5</v>
      </c>
      <c r="AU2244" s="24" t="str">
        <f t="shared" si="35"/>
        <v>库存为5</v>
      </c>
      <c r="AV2244" s="31" t="str">
        <f>IFERROR(时间!$B$4+AU2244,"上周无销量")</f>
        <v>上周无销量</v>
      </c>
    </row>
    <row r="2245" spans="1:48">
      <c r="A2245" s="16" t="s">
        <v>3926</v>
      </c>
      <c r="B2245" t="s">
        <v>3212</v>
      </c>
      <c r="C2245" t="s">
        <v>3860</v>
      </c>
      <c r="D2245" s="24">
        <v>0</v>
      </c>
      <c r="E2245" s="24">
        <v>0</v>
      </c>
      <c r="F2245" s="24">
        <v>1</v>
      </c>
      <c r="G2245" s="24">
        <v>0</v>
      </c>
      <c r="H2245" s="25">
        <v>24.98</v>
      </c>
      <c r="I2245">
        <v>9</v>
      </c>
      <c r="J2245" s="26">
        <v>0</v>
      </c>
      <c r="K2245" s="26">
        <v>0</v>
      </c>
      <c r="L2245" s="26">
        <v>0</v>
      </c>
      <c r="M2245">
        <v>9</v>
      </c>
      <c r="N2245">
        <v>0</v>
      </c>
      <c r="O2245">
        <v>8</v>
      </c>
      <c r="P2245" t="s">
        <v>52</v>
      </c>
      <c r="Q2245" t="s">
        <v>52</v>
      </c>
      <c r="R2245" t="s">
        <v>52</v>
      </c>
      <c r="S2245" t="s">
        <v>52</v>
      </c>
      <c r="T2245" t="s">
        <v>52</v>
      </c>
      <c r="U2245" t="s">
        <v>52</v>
      </c>
      <c r="V2245" t="s">
        <v>52</v>
      </c>
      <c r="W2245" t="s">
        <v>52</v>
      </c>
      <c r="X2245" s="18" t="s">
        <v>52</v>
      </c>
      <c r="Y2245" s="18" t="s">
        <v>52</v>
      </c>
      <c r="Z2245" s="18" t="s">
        <v>52</v>
      </c>
      <c r="AA2245" s="18" t="s">
        <v>52</v>
      </c>
      <c r="AB2245" t="s">
        <v>52</v>
      </c>
      <c r="AC2245" t="s">
        <v>52</v>
      </c>
      <c r="AD2245" t="s">
        <v>52</v>
      </c>
      <c r="AE2245" t="s">
        <v>52</v>
      </c>
      <c r="AF2245" s="18" t="s">
        <v>52</v>
      </c>
      <c r="AG2245" s="18" t="s">
        <v>52</v>
      </c>
      <c r="AH2245" s="18" t="s">
        <v>52</v>
      </c>
      <c r="AI2245" s="18" t="s">
        <v>52</v>
      </c>
      <c r="AJ2245">
        <v>3</v>
      </c>
      <c r="AK2245">
        <v>5</v>
      </c>
      <c r="AL2245">
        <v>5</v>
      </c>
      <c r="AM2245">
        <v>5</v>
      </c>
      <c r="AN2245" s="18">
        <v>0</v>
      </c>
      <c r="AO2245" s="18">
        <v>0</v>
      </c>
      <c r="AP2245" s="18">
        <v>0.2</v>
      </c>
      <c r="AQ2245" s="18">
        <v>0</v>
      </c>
      <c r="AR2245" s="29">
        <v>0</v>
      </c>
      <c r="AS2245" s="29">
        <v>0</v>
      </c>
      <c r="AT2245" s="29">
        <v>9</v>
      </c>
      <c r="AU2245" s="24" t="str">
        <f t="shared" si="35"/>
        <v>库存为9</v>
      </c>
      <c r="AV2245" s="31" t="str">
        <f>IFERROR(时间!$B$4+AU2245,"上周无销量")</f>
        <v>上周无销量</v>
      </c>
    </row>
    <row r="2246" spans="1:48">
      <c r="A2246" s="16" t="s">
        <v>3927</v>
      </c>
      <c r="B2246" t="s">
        <v>3214</v>
      </c>
      <c r="C2246" t="s">
        <v>3860</v>
      </c>
      <c r="D2246" s="24">
        <v>0</v>
      </c>
      <c r="E2246" s="24">
        <v>0</v>
      </c>
      <c r="F2246" s="24">
        <v>0</v>
      </c>
      <c r="G2246" s="24">
        <v>0</v>
      </c>
      <c r="H2246" s="25">
        <v>0</v>
      </c>
      <c r="I2246">
        <v>4</v>
      </c>
      <c r="J2246" s="26">
        <v>0</v>
      </c>
      <c r="K2246" s="26">
        <v>0</v>
      </c>
      <c r="L2246" s="26">
        <v>0</v>
      </c>
      <c r="M2246">
        <v>4</v>
      </c>
      <c r="N2246">
        <v>0</v>
      </c>
      <c r="O2246">
        <v>4</v>
      </c>
      <c r="P2246" t="s">
        <v>52</v>
      </c>
      <c r="Q2246" t="s">
        <v>52</v>
      </c>
      <c r="R2246" t="s">
        <v>52</v>
      </c>
      <c r="S2246" t="s">
        <v>52</v>
      </c>
      <c r="T2246" t="s">
        <v>52</v>
      </c>
      <c r="U2246" t="s">
        <v>52</v>
      </c>
      <c r="V2246" t="s">
        <v>52</v>
      </c>
      <c r="W2246" t="s">
        <v>52</v>
      </c>
      <c r="X2246" s="18" t="s">
        <v>52</v>
      </c>
      <c r="Y2246" s="18" t="s">
        <v>52</v>
      </c>
      <c r="Z2246" s="18" t="s">
        <v>52</v>
      </c>
      <c r="AA2246" s="18" t="s">
        <v>52</v>
      </c>
      <c r="AB2246" t="s">
        <v>52</v>
      </c>
      <c r="AC2246" t="s">
        <v>52</v>
      </c>
      <c r="AD2246" t="s">
        <v>52</v>
      </c>
      <c r="AE2246" t="s">
        <v>52</v>
      </c>
      <c r="AF2246" s="18" t="s">
        <v>52</v>
      </c>
      <c r="AG2246" s="18" t="s">
        <v>52</v>
      </c>
      <c r="AH2246" s="18" t="s">
        <v>52</v>
      </c>
      <c r="AI2246" s="18" t="s">
        <v>52</v>
      </c>
      <c r="AJ2246">
        <v>0</v>
      </c>
      <c r="AK2246">
        <v>3</v>
      </c>
      <c r="AL2246">
        <v>6</v>
      </c>
      <c r="AM2246">
        <v>5</v>
      </c>
      <c r="AN2246" s="18" t="s">
        <v>52</v>
      </c>
      <c r="AO2246" s="18">
        <v>0</v>
      </c>
      <c r="AP2246" s="18">
        <v>0</v>
      </c>
      <c r="AQ2246" s="18">
        <v>0</v>
      </c>
      <c r="AR2246" s="29">
        <v>0</v>
      </c>
      <c r="AS2246" s="29">
        <v>0</v>
      </c>
      <c r="AT2246" s="29">
        <v>4</v>
      </c>
      <c r="AU2246" s="24" t="str">
        <f t="shared" ref="AU2246:AU2309" si="36">IF(AR2246="","库存为"&amp;M2246,IF(AS2246=0,"库存为"&amp;M2246,INT(M2246/AR2246)))</f>
        <v>库存为4</v>
      </c>
      <c r="AV2246" s="31" t="str">
        <f>IFERROR(时间!$B$4+AU2246,"上周无销量")</f>
        <v>上周无销量</v>
      </c>
    </row>
    <row r="2247" spans="1:48">
      <c r="A2247" s="16" t="s">
        <v>3928</v>
      </c>
      <c r="B2247" t="s">
        <v>3216</v>
      </c>
      <c r="C2247" t="s">
        <v>3860</v>
      </c>
      <c r="D2247" s="24">
        <v>0</v>
      </c>
      <c r="E2247" s="24">
        <v>0</v>
      </c>
      <c r="F2247" s="24">
        <v>0</v>
      </c>
      <c r="G2247" s="24">
        <v>0</v>
      </c>
      <c r="H2247" s="25">
        <v>0</v>
      </c>
      <c r="I2247">
        <v>7</v>
      </c>
      <c r="J2247" s="26">
        <v>0</v>
      </c>
      <c r="K2247" s="26">
        <v>0</v>
      </c>
      <c r="L2247" s="26">
        <v>0</v>
      </c>
      <c r="M2247">
        <v>7</v>
      </c>
      <c r="N2247">
        <v>0</v>
      </c>
      <c r="O2247">
        <v>7</v>
      </c>
      <c r="P2247" t="s">
        <v>52</v>
      </c>
      <c r="Q2247" t="s">
        <v>52</v>
      </c>
      <c r="R2247" t="s">
        <v>52</v>
      </c>
      <c r="S2247" t="s">
        <v>52</v>
      </c>
      <c r="T2247" t="s">
        <v>52</v>
      </c>
      <c r="U2247" t="s">
        <v>52</v>
      </c>
      <c r="V2247" t="s">
        <v>52</v>
      </c>
      <c r="W2247" t="s">
        <v>52</v>
      </c>
      <c r="X2247" s="18" t="s">
        <v>52</v>
      </c>
      <c r="Y2247" s="18" t="s">
        <v>52</v>
      </c>
      <c r="Z2247" s="18" t="s">
        <v>52</v>
      </c>
      <c r="AA2247" s="18" t="s">
        <v>52</v>
      </c>
      <c r="AB2247" t="s">
        <v>52</v>
      </c>
      <c r="AC2247" t="s">
        <v>52</v>
      </c>
      <c r="AD2247" t="s">
        <v>52</v>
      </c>
      <c r="AE2247" t="s">
        <v>52</v>
      </c>
      <c r="AF2247" s="18" t="s">
        <v>52</v>
      </c>
      <c r="AG2247" s="18" t="s">
        <v>52</v>
      </c>
      <c r="AH2247" s="18" t="s">
        <v>52</v>
      </c>
      <c r="AI2247" s="18" t="s">
        <v>52</v>
      </c>
      <c r="AJ2247">
        <v>3</v>
      </c>
      <c r="AK2247">
        <v>5</v>
      </c>
      <c r="AL2247">
        <v>5</v>
      </c>
      <c r="AM2247">
        <v>0</v>
      </c>
      <c r="AN2247" s="18">
        <v>0</v>
      </c>
      <c r="AO2247" s="18">
        <v>0</v>
      </c>
      <c r="AP2247" s="18">
        <v>0</v>
      </c>
      <c r="AQ2247" s="18" t="s">
        <v>52</v>
      </c>
      <c r="AR2247" s="29">
        <v>0</v>
      </c>
      <c r="AS2247" s="29">
        <v>0</v>
      </c>
      <c r="AT2247" s="29">
        <v>7</v>
      </c>
      <c r="AU2247" s="24" t="str">
        <f t="shared" si="36"/>
        <v>库存为7</v>
      </c>
      <c r="AV2247" s="31" t="str">
        <f>IFERROR(时间!$B$4+AU2247,"上周无销量")</f>
        <v>上周无销量</v>
      </c>
    </row>
    <row r="2248" spans="1:48">
      <c r="A2248" s="16" t="s">
        <v>3929</v>
      </c>
      <c r="B2248" t="s">
        <v>3930</v>
      </c>
      <c r="C2248" t="s">
        <v>3931</v>
      </c>
      <c r="D2248" s="24">
        <v>0</v>
      </c>
      <c r="E2248" s="24">
        <v>0</v>
      </c>
      <c r="F2248" s="24">
        <v>0</v>
      </c>
      <c r="G2248" s="24">
        <v>0</v>
      </c>
      <c r="H2248" s="25">
        <v>0</v>
      </c>
      <c r="I2248">
        <v>0</v>
      </c>
      <c r="J2248" s="26">
        <v>0</v>
      </c>
      <c r="K2248" s="26">
        <v>0</v>
      </c>
      <c r="L2248" s="26">
        <v>0</v>
      </c>
      <c r="M2248">
        <v>0</v>
      </c>
      <c r="N2248">
        <v>0</v>
      </c>
      <c r="O2248">
        <v>0</v>
      </c>
      <c r="P2248" t="s">
        <v>52</v>
      </c>
      <c r="Q2248" t="s">
        <v>52</v>
      </c>
      <c r="R2248" t="s">
        <v>52</v>
      </c>
      <c r="S2248" t="s">
        <v>52</v>
      </c>
      <c r="T2248" t="s">
        <v>52</v>
      </c>
      <c r="U2248" t="s">
        <v>52</v>
      </c>
      <c r="V2248" t="s">
        <v>52</v>
      </c>
      <c r="W2248" t="s">
        <v>52</v>
      </c>
      <c r="X2248" s="18" t="s">
        <v>52</v>
      </c>
      <c r="Y2248" s="18" t="s">
        <v>52</v>
      </c>
      <c r="Z2248" s="18" t="s">
        <v>52</v>
      </c>
      <c r="AA2248" s="18" t="s">
        <v>52</v>
      </c>
      <c r="AB2248" t="s">
        <v>52</v>
      </c>
      <c r="AC2248" t="s">
        <v>52</v>
      </c>
      <c r="AD2248" t="s">
        <v>52</v>
      </c>
      <c r="AE2248" t="s">
        <v>52</v>
      </c>
      <c r="AF2248" s="18" t="s">
        <v>52</v>
      </c>
      <c r="AG2248" s="18" t="s">
        <v>52</v>
      </c>
      <c r="AH2248" s="18" t="s">
        <v>52</v>
      </c>
      <c r="AI2248" s="18" t="s">
        <v>52</v>
      </c>
      <c r="AJ2248">
        <v>0</v>
      </c>
      <c r="AK2248">
        <v>0</v>
      </c>
      <c r="AL2248">
        <v>0</v>
      </c>
      <c r="AM2248">
        <v>0</v>
      </c>
      <c r="AN2248" s="18" t="s">
        <v>52</v>
      </c>
      <c r="AO2248" s="18" t="s">
        <v>52</v>
      </c>
      <c r="AP2248" s="18" t="s">
        <v>52</v>
      </c>
      <c r="AQ2248" s="18" t="s">
        <v>52</v>
      </c>
      <c r="AR2248" s="29">
        <v>0</v>
      </c>
      <c r="AS2248" s="29">
        <v>0</v>
      </c>
      <c r="AT2248" s="29">
        <v>0</v>
      </c>
      <c r="AU2248" s="24" t="str">
        <f t="shared" si="36"/>
        <v>库存为0</v>
      </c>
      <c r="AV2248" s="31" t="str">
        <f>IFERROR(时间!$B$4+AU2248,"上周无销量")</f>
        <v>上周无销量</v>
      </c>
    </row>
    <row r="2249" spans="1:48">
      <c r="A2249" s="16" t="s">
        <v>3932</v>
      </c>
      <c r="B2249" t="s">
        <v>3933</v>
      </c>
      <c r="C2249" t="s">
        <v>3931</v>
      </c>
      <c r="D2249" s="24">
        <v>0</v>
      </c>
      <c r="E2249" s="24">
        <v>0</v>
      </c>
      <c r="F2249" s="24">
        <v>0</v>
      </c>
      <c r="G2249" s="24">
        <v>0</v>
      </c>
      <c r="H2249" s="25">
        <v>0</v>
      </c>
      <c r="I2249">
        <v>0</v>
      </c>
      <c r="J2249" s="26">
        <v>0</v>
      </c>
      <c r="K2249" s="26">
        <v>0</v>
      </c>
      <c r="L2249" s="26">
        <v>0</v>
      </c>
      <c r="M2249">
        <v>0</v>
      </c>
      <c r="N2249">
        <v>0</v>
      </c>
      <c r="O2249">
        <v>0</v>
      </c>
      <c r="P2249" t="s">
        <v>52</v>
      </c>
      <c r="Q2249" t="s">
        <v>52</v>
      </c>
      <c r="R2249" t="s">
        <v>52</v>
      </c>
      <c r="S2249" t="s">
        <v>52</v>
      </c>
      <c r="T2249" t="s">
        <v>52</v>
      </c>
      <c r="U2249" t="s">
        <v>52</v>
      </c>
      <c r="V2249" t="s">
        <v>52</v>
      </c>
      <c r="W2249" t="s">
        <v>52</v>
      </c>
      <c r="X2249" s="18" t="s">
        <v>52</v>
      </c>
      <c r="Y2249" s="18" t="s">
        <v>52</v>
      </c>
      <c r="Z2249" s="18" t="s">
        <v>52</v>
      </c>
      <c r="AA2249" s="18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s="18" t="s">
        <v>52</v>
      </c>
      <c r="AG2249" s="18" t="s">
        <v>52</v>
      </c>
      <c r="AH2249" s="18" t="s">
        <v>52</v>
      </c>
      <c r="AI2249" s="18" t="s">
        <v>52</v>
      </c>
      <c r="AJ2249">
        <v>0</v>
      </c>
      <c r="AK2249">
        <v>0</v>
      </c>
      <c r="AL2249">
        <v>0</v>
      </c>
      <c r="AM2249">
        <v>0</v>
      </c>
      <c r="AN2249" s="18" t="s">
        <v>52</v>
      </c>
      <c r="AO2249" s="18" t="s">
        <v>52</v>
      </c>
      <c r="AP2249" s="18" t="s">
        <v>52</v>
      </c>
      <c r="AQ2249" s="18" t="s">
        <v>52</v>
      </c>
      <c r="AR2249" s="29">
        <v>0</v>
      </c>
      <c r="AS2249" s="29">
        <v>0</v>
      </c>
      <c r="AT2249" s="29">
        <v>0</v>
      </c>
      <c r="AU2249" s="24" t="str">
        <f t="shared" si="36"/>
        <v>库存为0</v>
      </c>
      <c r="AV2249" s="31" t="str">
        <f>IFERROR(时间!$B$4+AU2249,"上周无销量")</f>
        <v>上周无销量</v>
      </c>
    </row>
    <row r="2250" spans="1:48">
      <c r="A2250" s="16" t="s">
        <v>3934</v>
      </c>
      <c r="B2250" t="s">
        <v>3935</v>
      </c>
      <c r="C2250" t="s">
        <v>3931</v>
      </c>
      <c r="D2250" s="24">
        <v>0</v>
      </c>
      <c r="E2250" s="24">
        <v>0</v>
      </c>
      <c r="F2250" s="24">
        <v>0</v>
      </c>
      <c r="G2250" s="24">
        <v>0</v>
      </c>
      <c r="H2250" s="25">
        <v>0</v>
      </c>
      <c r="I2250">
        <v>0</v>
      </c>
      <c r="J2250" s="26">
        <v>0</v>
      </c>
      <c r="K2250" s="26">
        <v>0</v>
      </c>
      <c r="L2250" s="26">
        <v>0</v>
      </c>
      <c r="M2250">
        <v>0</v>
      </c>
      <c r="N2250">
        <v>0</v>
      </c>
      <c r="O2250">
        <v>0</v>
      </c>
      <c r="P2250" t="s">
        <v>52</v>
      </c>
      <c r="Q2250" t="s">
        <v>52</v>
      </c>
      <c r="R2250" t="s">
        <v>52</v>
      </c>
      <c r="S2250" t="s">
        <v>52</v>
      </c>
      <c r="T2250" t="s">
        <v>52</v>
      </c>
      <c r="U2250" t="s">
        <v>52</v>
      </c>
      <c r="V2250" t="s">
        <v>52</v>
      </c>
      <c r="W2250" t="s">
        <v>52</v>
      </c>
      <c r="X2250" s="18" t="s">
        <v>52</v>
      </c>
      <c r="Y2250" s="18" t="s">
        <v>52</v>
      </c>
      <c r="Z2250" s="18" t="s">
        <v>52</v>
      </c>
      <c r="AA2250" s="18" t="s">
        <v>52</v>
      </c>
      <c r="AB2250" t="s">
        <v>52</v>
      </c>
      <c r="AC2250" t="s">
        <v>52</v>
      </c>
      <c r="AD2250" t="s">
        <v>52</v>
      </c>
      <c r="AE2250" t="s">
        <v>52</v>
      </c>
      <c r="AF2250" s="18" t="s">
        <v>52</v>
      </c>
      <c r="AG2250" s="18" t="s">
        <v>52</v>
      </c>
      <c r="AH2250" s="18" t="s">
        <v>52</v>
      </c>
      <c r="AI2250" s="18" t="s">
        <v>52</v>
      </c>
      <c r="AJ2250">
        <v>0</v>
      </c>
      <c r="AK2250">
        <v>0</v>
      </c>
      <c r="AL2250">
        <v>0</v>
      </c>
      <c r="AM2250">
        <v>0</v>
      </c>
      <c r="AN2250" s="18" t="s">
        <v>52</v>
      </c>
      <c r="AO2250" s="18" t="s">
        <v>52</v>
      </c>
      <c r="AP2250" s="18" t="s">
        <v>52</v>
      </c>
      <c r="AQ2250" s="18" t="s">
        <v>52</v>
      </c>
      <c r="AR2250" s="29">
        <v>0</v>
      </c>
      <c r="AS2250" s="29">
        <v>0</v>
      </c>
      <c r="AT2250" s="29">
        <v>0</v>
      </c>
      <c r="AU2250" s="24" t="str">
        <f t="shared" si="36"/>
        <v>库存为0</v>
      </c>
      <c r="AV2250" s="31" t="str">
        <f>IFERROR(时间!$B$4+AU2250,"上周无销量")</f>
        <v>上周无销量</v>
      </c>
    </row>
    <row r="2251" spans="1:48">
      <c r="A2251" s="16" t="s">
        <v>3936</v>
      </c>
      <c r="B2251" t="s">
        <v>3937</v>
      </c>
      <c r="C2251" t="s">
        <v>3938</v>
      </c>
      <c r="D2251" s="24">
        <v>0</v>
      </c>
      <c r="E2251" s="24">
        <v>2</v>
      </c>
      <c r="F2251" s="24">
        <v>0</v>
      </c>
      <c r="G2251" s="24">
        <v>0</v>
      </c>
      <c r="H2251" s="25">
        <v>10</v>
      </c>
      <c r="I2251">
        <v>2</v>
      </c>
      <c r="J2251" s="26">
        <v>0</v>
      </c>
      <c r="K2251" s="26">
        <v>0</v>
      </c>
      <c r="L2251" s="26">
        <v>0</v>
      </c>
      <c r="M2251">
        <v>2</v>
      </c>
      <c r="N2251">
        <v>0</v>
      </c>
      <c r="O2251">
        <v>2</v>
      </c>
      <c r="P2251" t="s">
        <v>52</v>
      </c>
      <c r="Q2251" t="s">
        <v>52</v>
      </c>
      <c r="R2251" t="s">
        <v>52</v>
      </c>
      <c r="S2251" t="s">
        <v>52</v>
      </c>
      <c r="T2251" t="s">
        <v>52</v>
      </c>
      <c r="U2251" t="s">
        <v>52</v>
      </c>
      <c r="V2251" t="s">
        <v>52</v>
      </c>
      <c r="W2251" t="s">
        <v>52</v>
      </c>
      <c r="X2251" s="18" t="s">
        <v>52</v>
      </c>
      <c r="Y2251" s="18" t="s">
        <v>52</v>
      </c>
      <c r="Z2251" s="18" t="s">
        <v>52</v>
      </c>
      <c r="AA2251" s="18" t="s">
        <v>52</v>
      </c>
      <c r="AB2251" t="s">
        <v>52</v>
      </c>
      <c r="AC2251" t="s">
        <v>52</v>
      </c>
      <c r="AD2251" t="s">
        <v>52</v>
      </c>
      <c r="AE2251" t="s">
        <v>52</v>
      </c>
      <c r="AF2251" s="18" t="s">
        <v>52</v>
      </c>
      <c r="AG2251" s="18" t="s">
        <v>52</v>
      </c>
      <c r="AH2251" s="18" t="s">
        <v>52</v>
      </c>
      <c r="AI2251" s="18" t="s">
        <v>52</v>
      </c>
      <c r="AJ2251">
        <v>2</v>
      </c>
      <c r="AK2251">
        <v>5</v>
      </c>
      <c r="AL2251">
        <v>2</v>
      </c>
      <c r="AM2251">
        <v>1</v>
      </c>
      <c r="AN2251" s="18">
        <v>0</v>
      </c>
      <c r="AO2251" s="18">
        <v>0.4</v>
      </c>
      <c r="AP2251" s="18">
        <v>0</v>
      </c>
      <c r="AQ2251" s="18">
        <v>0</v>
      </c>
      <c r="AR2251" s="29">
        <v>0</v>
      </c>
      <c r="AS2251" s="29">
        <v>0</v>
      </c>
      <c r="AT2251" s="29">
        <v>2</v>
      </c>
      <c r="AU2251" s="24" t="str">
        <f t="shared" si="36"/>
        <v>库存为2</v>
      </c>
      <c r="AV2251" s="31" t="str">
        <f>IFERROR(时间!$B$4+AU2251,"上周无销量")</f>
        <v>上周无销量</v>
      </c>
    </row>
    <row r="2252" spans="1:48">
      <c r="A2252" s="16" t="s">
        <v>3939</v>
      </c>
      <c r="B2252" t="s">
        <v>3940</v>
      </c>
      <c r="C2252" t="s">
        <v>3938</v>
      </c>
      <c r="D2252" s="24">
        <v>0</v>
      </c>
      <c r="E2252" s="24">
        <v>0</v>
      </c>
      <c r="F2252" s="24">
        <v>1</v>
      </c>
      <c r="G2252" s="24">
        <v>1</v>
      </c>
      <c r="H2252" s="25">
        <v>10</v>
      </c>
      <c r="I2252">
        <v>0</v>
      </c>
      <c r="J2252" s="26">
        <v>0</v>
      </c>
      <c r="K2252" s="26">
        <v>0</v>
      </c>
      <c r="L2252" s="26">
        <v>0</v>
      </c>
      <c r="M2252">
        <v>0</v>
      </c>
      <c r="N2252">
        <v>0</v>
      </c>
      <c r="O2252">
        <v>0</v>
      </c>
      <c r="P2252" t="s">
        <v>52</v>
      </c>
      <c r="Q2252" t="s">
        <v>52</v>
      </c>
      <c r="R2252" t="s">
        <v>52</v>
      </c>
      <c r="S2252" t="s">
        <v>52</v>
      </c>
      <c r="T2252" t="s">
        <v>52</v>
      </c>
      <c r="U2252" t="s">
        <v>52</v>
      </c>
      <c r="V2252" t="s">
        <v>52</v>
      </c>
      <c r="W2252" t="s">
        <v>52</v>
      </c>
      <c r="X2252" s="18" t="s">
        <v>52</v>
      </c>
      <c r="Y2252" s="18" t="s">
        <v>52</v>
      </c>
      <c r="Z2252" s="18" t="s">
        <v>52</v>
      </c>
      <c r="AA2252" s="18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s="18" t="s">
        <v>52</v>
      </c>
      <c r="AG2252" s="18" t="s">
        <v>52</v>
      </c>
      <c r="AH2252" s="18" t="s">
        <v>52</v>
      </c>
      <c r="AI2252" s="18" t="s">
        <v>52</v>
      </c>
      <c r="AJ2252">
        <v>0</v>
      </c>
      <c r="AK2252">
        <v>0</v>
      </c>
      <c r="AL2252">
        <v>0</v>
      </c>
      <c r="AM2252">
        <v>0</v>
      </c>
      <c r="AN2252" s="18" t="s">
        <v>52</v>
      </c>
      <c r="AO2252" s="18" t="s">
        <v>52</v>
      </c>
      <c r="AP2252" s="18" t="s">
        <v>52</v>
      </c>
      <c r="AQ2252" s="18" t="s">
        <v>52</v>
      </c>
      <c r="AR2252" s="29">
        <v>0</v>
      </c>
      <c r="AS2252" s="29">
        <v>0</v>
      </c>
      <c r="AT2252" s="29">
        <v>0</v>
      </c>
      <c r="AU2252" s="24" t="str">
        <f t="shared" si="36"/>
        <v>库存为0</v>
      </c>
      <c r="AV2252" s="31" t="str">
        <f>IFERROR(时间!$B$4+AU2252,"上周无销量")</f>
        <v>上周无销量</v>
      </c>
    </row>
    <row r="2253" spans="1:48">
      <c r="A2253" s="16" t="s">
        <v>3941</v>
      </c>
      <c r="B2253" t="s">
        <v>3942</v>
      </c>
      <c r="C2253" t="s">
        <v>3938</v>
      </c>
      <c r="D2253" s="24">
        <v>0</v>
      </c>
      <c r="E2253" s="24">
        <v>1</v>
      </c>
      <c r="F2253" s="24">
        <v>0</v>
      </c>
      <c r="G2253" s="24">
        <v>0</v>
      </c>
      <c r="H2253" s="25">
        <v>8</v>
      </c>
      <c r="I2253">
        <v>14</v>
      </c>
      <c r="J2253" s="26">
        <v>0</v>
      </c>
      <c r="K2253" s="26">
        <v>0</v>
      </c>
      <c r="L2253" s="26">
        <v>0</v>
      </c>
      <c r="M2253">
        <v>14</v>
      </c>
      <c r="N2253">
        <v>0</v>
      </c>
      <c r="O2253">
        <v>14</v>
      </c>
      <c r="P2253" t="s">
        <v>52</v>
      </c>
      <c r="Q2253" t="s">
        <v>52</v>
      </c>
      <c r="R2253" t="s">
        <v>52</v>
      </c>
      <c r="S2253" t="s">
        <v>52</v>
      </c>
      <c r="T2253" t="s">
        <v>52</v>
      </c>
      <c r="U2253" t="s">
        <v>52</v>
      </c>
      <c r="V2253" t="s">
        <v>52</v>
      </c>
      <c r="W2253" t="s">
        <v>52</v>
      </c>
      <c r="X2253" s="18" t="s">
        <v>52</v>
      </c>
      <c r="Y2253" s="18" t="s">
        <v>52</v>
      </c>
      <c r="Z2253" s="18" t="s">
        <v>52</v>
      </c>
      <c r="AA2253" s="18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s="18" t="s">
        <v>52</v>
      </c>
      <c r="AG2253" s="18" t="s">
        <v>52</v>
      </c>
      <c r="AH2253" s="18" t="s">
        <v>52</v>
      </c>
      <c r="AI2253" s="18" t="s">
        <v>52</v>
      </c>
      <c r="AJ2253">
        <v>4</v>
      </c>
      <c r="AK2253">
        <v>5</v>
      </c>
      <c r="AL2253">
        <v>2</v>
      </c>
      <c r="AM2253">
        <v>0</v>
      </c>
      <c r="AN2253" s="18">
        <v>0</v>
      </c>
      <c r="AO2253" s="18">
        <v>0.2</v>
      </c>
      <c r="AP2253" s="18">
        <v>0</v>
      </c>
      <c r="AQ2253" s="18" t="s">
        <v>52</v>
      </c>
      <c r="AR2253" s="29">
        <v>0</v>
      </c>
      <c r="AS2253" s="29">
        <v>0</v>
      </c>
      <c r="AT2253" s="29">
        <v>14</v>
      </c>
      <c r="AU2253" s="24" t="str">
        <f t="shared" si="36"/>
        <v>库存为14</v>
      </c>
      <c r="AV2253" s="31" t="str">
        <f>IFERROR(时间!$B$4+AU2253,"上周无销量")</f>
        <v>上周无销量</v>
      </c>
    </row>
    <row r="2254" spans="1:48">
      <c r="A2254" s="16" t="s">
        <v>3943</v>
      </c>
      <c r="B2254" t="s">
        <v>3944</v>
      </c>
      <c r="C2254" t="s">
        <v>3938</v>
      </c>
      <c r="D2254" s="24">
        <v>0</v>
      </c>
      <c r="E2254" s="24">
        <v>0</v>
      </c>
      <c r="F2254" s="24">
        <v>0</v>
      </c>
      <c r="G2254" s="24">
        <v>0</v>
      </c>
      <c r="H2254" s="25">
        <v>0</v>
      </c>
      <c r="I2254">
        <v>1</v>
      </c>
      <c r="J2254" s="26">
        <v>0</v>
      </c>
      <c r="K2254" s="26">
        <v>0</v>
      </c>
      <c r="L2254" s="26">
        <v>0</v>
      </c>
      <c r="M2254">
        <v>1</v>
      </c>
      <c r="N2254">
        <v>0</v>
      </c>
      <c r="O2254">
        <v>0</v>
      </c>
      <c r="P2254" t="s">
        <v>52</v>
      </c>
      <c r="Q2254" t="s">
        <v>52</v>
      </c>
      <c r="R2254" t="s">
        <v>52</v>
      </c>
      <c r="S2254" t="s">
        <v>52</v>
      </c>
      <c r="T2254" t="s">
        <v>52</v>
      </c>
      <c r="U2254" t="s">
        <v>52</v>
      </c>
      <c r="V2254" t="s">
        <v>52</v>
      </c>
      <c r="W2254" t="s">
        <v>52</v>
      </c>
      <c r="X2254" s="18" t="s">
        <v>52</v>
      </c>
      <c r="Y2254" s="18" t="s">
        <v>52</v>
      </c>
      <c r="Z2254" s="18" t="s">
        <v>52</v>
      </c>
      <c r="AA2254" s="18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s="18" t="s">
        <v>52</v>
      </c>
      <c r="AG2254" s="18" t="s">
        <v>52</v>
      </c>
      <c r="AH2254" s="18" t="s">
        <v>52</v>
      </c>
      <c r="AI2254" s="18" t="s">
        <v>52</v>
      </c>
      <c r="AJ2254">
        <v>2</v>
      </c>
      <c r="AK2254">
        <v>2</v>
      </c>
      <c r="AL2254">
        <v>3</v>
      </c>
      <c r="AM2254">
        <v>1</v>
      </c>
      <c r="AN2254" s="18">
        <v>0</v>
      </c>
      <c r="AO2254" s="18">
        <v>0</v>
      </c>
      <c r="AP2254" s="18">
        <v>0</v>
      </c>
      <c r="AQ2254" s="18">
        <v>0</v>
      </c>
      <c r="AR2254" s="29">
        <v>0</v>
      </c>
      <c r="AS2254" s="29">
        <v>0</v>
      </c>
      <c r="AT2254" s="29">
        <v>1</v>
      </c>
      <c r="AU2254" s="24" t="str">
        <f t="shared" si="36"/>
        <v>库存为1</v>
      </c>
      <c r="AV2254" s="31" t="str">
        <f>IFERROR(时间!$B$4+AU2254,"上周无销量")</f>
        <v>上周无销量</v>
      </c>
    </row>
    <row r="2255" spans="1:48">
      <c r="A2255" s="16" t="s">
        <v>3945</v>
      </c>
      <c r="B2255" t="s">
        <v>3946</v>
      </c>
      <c r="C2255" t="s">
        <v>3938</v>
      </c>
      <c r="D2255" s="24">
        <v>0</v>
      </c>
      <c r="E2255" s="24">
        <v>0</v>
      </c>
      <c r="F2255" s="24">
        <v>0</v>
      </c>
      <c r="G2255" s="24">
        <v>0</v>
      </c>
      <c r="H2255" s="25">
        <v>0</v>
      </c>
      <c r="I2255">
        <v>0</v>
      </c>
      <c r="J2255" s="26">
        <v>0</v>
      </c>
      <c r="K2255" s="26">
        <v>0</v>
      </c>
      <c r="L2255" s="26">
        <v>0</v>
      </c>
      <c r="M2255">
        <v>0</v>
      </c>
      <c r="N2255">
        <v>0</v>
      </c>
      <c r="O2255">
        <v>0</v>
      </c>
      <c r="P2255" t="s">
        <v>52</v>
      </c>
      <c r="Q2255" t="s">
        <v>52</v>
      </c>
      <c r="R2255" t="s">
        <v>52</v>
      </c>
      <c r="S2255" t="s">
        <v>52</v>
      </c>
      <c r="T2255" t="s">
        <v>52</v>
      </c>
      <c r="U2255" t="s">
        <v>52</v>
      </c>
      <c r="V2255" t="s">
        <v>52</v>
      </c>
      <c r="W2255" t="s">
        <v>52</v>
      </c>
      <c r="X2255" s="18" t="s">
        <v>52</v>
      </c>
      <c r="Y2255" s="18" t="s">
        <v>52</v>
      </c>
      <c r="Z2255" s="18" t="s">
        <v>52</v>
      </c>
      <c r="AA2255" s="18" t="s">
        <v>52</v>
      </c>
      <c r="AB2255" t="s">
        <v>52</v>
      </c>
      <c r="AC2255" t="s">
        <v>52</v>
      </c>
      <c r="AD2255" t="s">
        <v>52</v>
      </c>
      <c r="AE2255" t="s">
        <v>52</v>
      </c>
      <c r="AF2255" s="18" t="s">
        <v>52</v>
      </c>
      <c r="AG2255" s="18" t="s">
        <v>52</v>
      </c>
      <c r="AH2255" s="18" t="s">
        <v>52</v>
      </c>
      <c r="AI2255" s="18" t="s">
        <v>52</v>
      </c>
      <c r="AJ2255">
        <v>0</v>
      </c>
      <c r="AK2255">
        <v>0</v>
      </c>
      <c r="AL2255">
        <v>0</v>
      </c>
      <c r="AM2255">
        <v>0</v>
      </c>
      <c r="AN2255" s="18" t="s">
        <v>52</v>
      </c>
      <c r="AO2255" s="18" t="s">
        <v>52</v>
      </c>
      <c r="AP2255" s="18" t="s">
        <v>52</v>
      </c>
      <c r="AQ2255" s="18" t="s">
        <v>52</v>
      </c>
      <c r="AR2255" s="29">
        <v>0</v>
      </c>
      <c r="AS2255" s="29">
        <v>0</v>
      </c>
      <c r="AT2255" s="29">
        <v>0</v>
      </c>
      <c r="AU2255" s="24" t="str">
        <f t="shared" si="36"/>
        <v>库存为0</v>
      </c>
      <c r="AV2255" s="31" t="str">
        <f>IFERROR(时间!$B$4+AU2255,"上周无销量")</f>
        <v>上周无销量</v>
      </c>
    </row>
    <row r="2256" spans="1:48">
      <c r="A2256" s="16" t="s">
        <v>3947</v>
      </c>
      <c r="B2256" t="s">
        <v>3948</v>
      </c>
      <c r="C2256" t="s">
        <v>3938</v>
      </c>
      <c r="D2256" s="24">
        <v>0</v>
      </c>
      <c r="E2256" s="24">
        <v>0</v>
      </c>
      <c r="F2256" s="24">
        <v>0</v>
      </c>
      <c r="G2256" s="24">
        <v>0</v>
      </c>
      <c r="H2256" s="25">
        <v>0</v>
      </c>
      <c r="I2256">
        <v>0</v>
      </c>
      <c r="J2256" s="26">
        <v>0</v>
      </c>
      <c r="K2256" s="26">
        <v>0</v>
      </c>
      <c r="L2256" s="26">
        <v>0</v>
      </c>
      <c r="M2256">
        <v>0</v>
      </c>
      <c r="N2256">
        <v>0</v>
      </c>
      <c r="O2256">
        <v>0</v>
      </c>
      <c r="P2256" t="s">
        <v>52</v>
      </c>
      <c r="Q2256" t="s">
        <v>52</v>
      </c>
      <c r="R2256" t="s">
        <v>52</v>
      </c>
      <c r="S2256" t="s">
        <v>52</v>
      </c>
      <c r="T2256" t="s">
        <v>52</v>
      </c>
      <c r="U2256" t="s">
        <v>52</v>
      </c>
      <c r="V2256" t="s">
        <v>52</v>
      </c>
      <c r="W2256" t="s">
        <v>52</v>
      </c>
      <c r="X2256" s="18" t="s">
        <v>52</v>
      </c>
      <c r="Y2256" s="18" t="s">
        <v>52</v>
      </c>
      <c r="Z2256" s="18" t="s">
        <v>52</v>
      </c>
      <c r="AA2256" s="18" t="s">
        <v>52</v>
      </c>
      <c r="AB2256" t="s">
        <v>52</v>
      </c>
      <c r="AC2256" t="s">
        <v>52</v>
      </c>
      <c r="AD2256" t="s">
        <v>52</v>
      </c>
      <c r="AE2256" t="s">
        <v>52</v>
      </c>
      <c r="AF2256" s="18" t="s">
        <v>52</v>
      </c>
      <c r="AG2256" s="18" t="s">
        <v>52</v>
      </c>
      <c r="AH2256" s="18" t="s">
        <v>52</v>
      </c>
      <c r="AI2256" s="18" t="s">
        <v>52</v>
      </c>
      <c r="AJ2256">
        <v>0</v>
      </c>
      <c r="AK2256">
        <v>0</v>
      </c>
      <c r="AL2256">
        <v>0</v>
      </c>
      <c r="AM2256">
        <v>0</v>
      </c>
      <c r="AN2256" s="18" t="s">
        <v>52</v>
      </c>
      <c r="AO2256" s="18" t="s">
        <v>52</v>
      </c>
      <c r="AP2256" s="18" t="s">
        <v>52</v>
      </c>
      <c r="AQ2256" s="18" t="s">
        <v>52</v>
      </c>
      <c r="AR2256" s="29">
        <v>0</v>
      </c>
      <c r="AS2256" s="29">
        <v>0</v>
      </c>
      <c r="AT2256" s="29">
        <v>0</v>
      </c>
      <c r="AU2256" s="24" t="str">
        <f t="shared" si="36"/>
        <v>库存为0</v>
      </c>
      <c r="AV2256" s="31" t="str">
        <f>IFERROR(时间!$B$4+AU2256,"上周无销量")</f>
        <v>上周无销量</v>
      </c>
    </row>
    <row r="2257" spans="1:48">
      <c r="A2257" s="16" t="s">
        <v>3949</v>
      </c>
      <c r="B2257" t="s">
        <v>3950</v>
      </c>
      <c r="C2257" t="s">
        <v>3938</v>
      </c>
      <c r="D2257" s="24">
        <v>0</v>
      </c>
      <c r="E2257" s="24">
        <v>0</v>
      </c>
      <c r="F2257" s="24">
        <v>0</v>
      </c>
      <c r="G2257" s="24">
        <v>0</v>
      </c>
      <c r="H2257" s="25">
        <v>0</v>
      </c>
      <c r="I2257">
        <v>0</v>
      </c>
      <c r="J2257" s="26">
        <v>0</v>
      </c>
      <c r="K2257" s="26">
        <v>0</v>
      </c>
      <c r="L2257" s="26">
        <v>0</v>
      </c>
      <c r="M2257">
        <v>0</v>
      </c>
      <c r="N2257">
        <v>0</v>
      </c>
      <c r="O2257">
        <v>0</v>
      </c>
      <c r="P2257" t="s">
        <v>52</v>
      </c>
      <c r="Q2257" t="s">
        <v>52</v>
      </c>
      <c r="R2257" t="s">
        <v>52</v>
      </c>
      <c r="S2257" t="s">
        <v>52</v>
      </c>
      <c r="T2257" t="s">
        <v>52</v>
      </c>
      <c r="U2257" t="s">
        <v>52</v>
      </c>
      <c r="V2257" t="s">
        <v>52</v>
      </c>
      <c r="W2257" t="s">
        <v>52</v>
      </c>
      <c r="X2257" s="18" t="s">
        <v>52</v>
      </c>
      <c r="Y2257" s="18" t="s">
        <v>52</v>
      </c>
      <c r="Z2257" s="18" t="s">
        <v>52</v>
      </c>
      <c r="AA2257" s="18" t="s">
        <v>52</v>
      </c>
      <c r="AB2257" t="s">
        <v>52</v>
      </c>
      <c r="AC2257" t="s">
        <v>52</v>
      </c>
      <c r="AD2257" t="s">
        <v>52</v>
      </c>
      <c r="AE2257" t="s">
        <v>52</v>
      </c>
      <c r="AF2257" s="18" t="s">
        <v>52</v>
      </c>
      <c r="AG2257" s="18" t="s">
        <v>52</v>
      </c>
      <c r="AH2257" s="18" t="s">
        <v>52</v>
      </c>
      <c r="AI2257" s="18" t="s">
        <v>52</v>
      </c>
      <c r="AJ2257">
        <v>0</v>
      </c>
      <c r="AK2257">
        <v>0</v>
      </c>
      <c r="AL2257">
        <v>0</v>
      </c>
      <c r="AM2257">
        <v>0</v>
      </c>
      <c r="AN2257" s="18" t="s">
        <v>52</v>
      </c>
      <c r="AO2257" s="18" t="s">
        <v>52</v>
      </c>
      <c r="AP2257" s="18" t="s">
        <v>52</v>
      </c>
      <c r="AQ2257" s="18" t="s">
        <v>52</v>
      </c>
      <c r="AR2257" s="29">
        <v>0</v>
      </c>
      <c r="AS2257" s="29">
        <v>0</v>
      </c>
      <c r="AT2257" s="29">
        <v>0</v>
      </c>
      <c r="AU2257" s="24" t="str">
        <f t="shared" si="36"/>
        <v>库存为0</v>
      </c>
      <c r="AV2257" s="31" t="str">
        <f>IFERROR(时间!$B$4+AU2257,"上周无销量")</f>
        <v>上周无销量</v>
      </c>
    </row>
    <row r="2258" spans="1:48">
      <c r="A2258" s="16" t="s">
        <v>3951</v>
      </c>
      <c r="B2258" t="s">
        <v>3952</v>
      </c>
      <c r="C2258" t="s">
        <v>3938</v>
      </c>
      <c r="D2258" s="24">
        <v>0</v>
      </c>
      <c r="E2258" s="24">
        <v>0</v>
      </c>
      <c r="F2258" s="24">
        <v>0</v>
      </c>
      <c r="G2258" s="24">
        <v>0</v>
      </c>
      <c r="H2258" s="25">
        <v>0</v>
      </c>
      <c r="I2258">
        <v>0</v>
      </c>
      <c r="J2258" s="26">
        <v>0</v>
      </c>
      <c r="K2258" s="26">
        <v>0</v>
      </c>
      <c r="L2258" s="26">
        <v>0</v>
      </c>
      <c r="M2258">
        <v>0</v>
      </c>
      <c r="N2258">
        <v>0</v>
      </c>
      <c r="O2258">
        <v>0</v>
      </c>
      <c r="P2258" t="s">
        <v>52</v>
      </c>
      <c r="Q2258" t="s">
        <v>52</v>
      </c>
      <c r="R2258" t="s">
        <v>52</v>
      </c>
      <c r="S2258" t="s">
        <v>52</v>
      </c>
      <c r="T2258" t="s">
        <v>52</v>
      </c>
      <c r="U2258" t="s">
        <v>52</v>
      </c>
      <c r="V2258" t="s">
        <v>52</v>
      </c>
      <c r="W2258" t="s">
        <v>52</v>
      </c>
      <c r="X2258" s="18" t="s">
        <v>52</v>
      </c>
      <c r="Y2258" s="18" t="s">
        <v>52</v>
      </c>
      <c r="Z2258" s="18" t="s">
        <v>52</v>
      </c>
      <c r="AA2258" s="1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s="18" t="s">
        <v>52</v>
      </c>
      <c r="AG2258" s="18" t="s">
        <v>52</v>
      </c>
      <c r="AH2258" s="18" t="s">
        <v>52</v>
      </c>
      <c r="AI2258" s="18" t="s">
        <v>52</v>
      </c>
      <c r="AJ2258">
        <v>0</v>
      </c>
      <c r="AK2258">
        <v>0</v>
      </c>
      <c r="AL2258">
        <v>0</v>
      </c>
      <c r="AM2258">
        <v>0</v>
      </c>
      <c r="AN2258" s="18" t="s">
        <v>52</v>
      </c>
      <c r="AO2258" s="18" t="s">
        <v>52</v>
      </c>
      <c r="AP2258" s="18" t="s">
        <v>52</v>
      </c>
      <c r="AQ2258" s="18" t="s">
        <v>52</v>
      </c>
      <c r="AR2258" s="29">
        <v>0</v>
      </c>
      <c r="AS2258" s="29">
        <v>0</v>
      </c>
      <c r="AT2258" s="29">
        <v>0</v>
      </c>
      <c r="AU2258" s="24" t="str">
        <f t="shared" si="36"/>
        <v>库存为0</v>
      </c>
      <c r="AV2258" s="31" t="str">
        <f>IFERROR(时间!$B$4+AU2258,"上周无销量")</f>
        <v>上周无销量</v>
      </c>
    </row>
    <row r="2259" spans="1:48">
      <c r="A2259" s="16" t="s">
        <v>3953</v>
      </c>
      <c r="B2259" t="s">
        <v>3954</v>
      </c>
      <c r="C2259" t="s">
        <v>3938</v>
      </c>
      <c r="D2259" s="24">
        <v>0</v>
      </c>
      <c r="E2259" s="24">
        <v>0</v>
      </c>
      <c r="F2259" s="24">
        <v>0</v>
      </c>
      <c r="G2259" s="24">
        <v>0</v>
      </c>
      <c r="H2259" s="25">
        <v>0</v>
      </c>
      <c r="I2259">
        <v>0</v>
      </c>
      <c r="J2259" s="26">
        <v>0</v>
      </c>
      <c r="K2259" s="26">
        <v>0</v>
      </c>
      <c r="L2259" s="26">
        <v>0</v>
      </c>
      <c r="M2259">
        <v>0</v>
      </c>
      <c r="N2259">
        <v>0</v>
      </c>
      <c r="O2259">
        <v>0</v>
      </c>
      <c r="P2259" t="s">
        <v>52</v>
      </c>
      <c r="Q2259" t="s">
        <v>52</v>
      </c>
      <c r="R2259" t="s">
        <v>52</v>
      </c>
      <c r="S2259" t="s">
        <v>52</v>
      </c>
      <c r="T2259" t="s">
        <v>52</v>
      </c>
      <c r="U2259" t="s">
        <v>52</v>
      </c>
      <c r="V2259" t="s">
        <v>52</v>
      </c>
      <c r="W2259" t="s">
        <v>52</v>
      </c>
      <c r="X2259" s="18" t="s">
        <v>52</v>
      </c>
      <c r="Y2259" s="18" t="s">
        <v>52</v>
      </c>
      <c r="Z2259" s="18" t="s">
        <v>52</v>
      </c>
      <c r="AA2259" s="18" t="s">
        <v>52</v>
      </c>
      <c r="AB2259" t="s">
        <v>52</v>
      </c>
      <c r="AC2259" t="s">
        <v>52</v>
      </c>
      <c r="AD2259" t="s">
        <v>52</v>
      </c>
      <c r="AE2259" t="s">
        <v>52</v>
      </c>
      <c r="AF2259" s="18" t="s">
        <v>52</v>
      </c>
      <c r="AG2259" s="18" t="s">
        <v>52</v>
      </c>
      <c r="AH2259" s="18" t="s">
        <v>52</v>
      </c>
      <c r="AI2259" s="18" t="s">
        <v>52</v>
      </c>
      <c r="AJ2259">
        <v>0</v>
      </c>
      <c r="AK2259">
        <v>0</v>
      </c>
      <c r="AL2259">
        <v>0</v>
      </c>
      <c r="AM2259">
        <v>0</v>
      </c>
      <c r="AN2259" s="18" t="s">
        <v>52</v>
      </c>
      <c r="AO2259" s="18" t="s">
        <v>52</v>
      </c>
      <c r="AP2259" s="18" t="s">
        <v>52</v>
      </c>
      <c r="AQ2259" s="18" t="s">
        <v>52</v>
      </c>
      <c r="AR2259" s="29">
        <v>0</v>
      </c>
      <c r="AS2259" s="29">
        <v>0</v>
      </c>
      <c r="AT2259" s="29">
        <v>0</v>
      </c>
      <c r="AU2259" s="24" t="str">
        <f t="shared" si="36"/>
        <v>库存为0</v>
      </c>
      <c r="AV2259" s="31" t="str">
        <f>IFERROR(时间!$B$4+AU2259,"上周无销量")</f>
        <v>上周无销量</v>
      </c>
    </row>
    <row r="2260" spans="1:48">
      <c r="A2260" s="16" t="s">
        <v>3955</v>
      </c>
      <c r="B2260" t="s">
        <v>3232</v>
      </c>
      <c r="C2260" t="s">
        <v>3956</v>
      </c>
      <c r="D2260" s="24">
        <v>0</v>
      </c>
      <c r="E2260" s="24">
        <v>0</v>
      </c>
      <c r="F2260" s="24">
        <v>0</v>
      </c>
      <c r="G2260" s="24">
        <v>0</v>
      </c>
      <c r="H2260" s="25">
        <v>0</v>
      </c>
      <c r="I2260">
        <v>4</v>
      </c>
      <c r="J2260" s="26">
        <v>0</v>
      </c>
      <c r="K2260" s="26">
        <v>0</v>
      </c>
      <c r="L2260" s="26">
        <v>0</v>
      </c>
      <c r="M2260">
        <v>4</v>
      </c>
      <c r="N2260">
        <v>0</v>
      </c>
      <c r="O2260">
        <v>4</v>
      </c>
      <c r="P2260" t="s">
        <v>52</v>
      </c>
      <c r="Q2260" t="s">
        <v>52</v>
      </c>
      <c r="R2260" t="s">
        <v>52</v>
      </c>
      <c r="S2260" t="s">
        <v>52</v>
      </c>
      <c r="T2260" t="s">
        <v>52</v>
      </c>
      <c r="U2260" t="s">
        <v>52</v>
      </c>
      <c r="V2260" t="s">
        <v>52</v>
      </c>
      <c r="W2260" t="s">
        <v>52</v>
      </c>
      <c r="X2260" s="18" t="s">
        <v>52</v>
      </c>
      <c r="Y2260" s="18" t="s">
        <v>52</v>
      </c>
      <c r="Z2260" s="18" t="s">
        <v>52</v>
      </c>
      <c r="AA2260" s="18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s="18" t="s">
        <v>52</v>
      </c>
      <c r="AG2260" s="18" t="s">
        <v>52</v>
      </c>
      <c r="AH2260" s="18" t="s">
        <v>52</v>
      </c>
      <c r="AI2260" s="18" t="s">
        <v>52</v>
      </c>
      <c r="AJ2260">
        <v>1</v>
      </c>
      <c r="AK2260">
        <v>1</v>
      </c>
      <c r="AL2260">
        <v>1</v>
      </c>
      <c r="AM2260">
        <v>1</v>
      </c>
      <c r="AN2260" s="18">
        <v>0</v>
      </c>
      <c r="AO2260" s="18">
        <v>0</v>
      </c>
      <c r="AP2260" s="18">
        <v>0</v>
      </c>
      <c r="AQ2260" s="18">
        <v>0</v>
      </c>
      <c r="AR2260" s="29">
        <v>0</v>
      </c>
      <c r="AS2260" s="29">
        <v>0</v>
      </c>
      <c r="AT2260" s="29">
        <v>4</v>
      </c>
      <c r="AU2260" s="24" t="str">
        <f t="shared" si="36"/>
        <v>库存为4</v>
      </c>
      <c r="AV2260" s="31" t="str">
        <f>IFERROR(时间!$B$4+AU2260,"上周无销量")</f>
        <v>上周无销量</v>
      </c>
    </row>
    <row r="2261" spans="1:48">
      <c r="A2261" s="16" t="s">
        <v>3957</v>
      </c>
      <c r="B2261" t="s">
        <v>3236</v>
      </c>
      <c r="C2261" t="s">
        <v>3956</v>
      </c>
      <c r="D2261" s="24">
        <v>0</v>
      </c>
      <c r="E2261" s="24">
        <v>0</v>
      </c>
      <c r="F2261" s="24">
        <v>0</v>
      </c>
      <c r="G2261" s="24">
        <v>0</v>
      </c>
      <c r="H2261" s="25">
        <v>0</v>
      </c>
      <c r="I2261">
        <v>1</v>
      </c>
      <c r="J2261" s="26">
        <v>0</v>
      </c>
      <c r="K2261" s="26">
        <v>0</v>
      </c>
      <c r="L2261" s="26">
        <v>0</v>
      </c>
      <c r="M2261">
        <v>1</v>
      </c>
      <c r="N2261">
        <v>0</v>
      </c>
      <c r="O2261">
        <v>1</v>
      </c>
      <c r="P2261" t="s">
        <v>52</v>
      </c>
      <c r="Q2261" t="s">
        <v>52</v>
      </c>
      <c r="R2261" t="s">
        <v>52</v>
      </c>
      <c r="S2261" t="s">
        <v>52</v>
      </c>
      <c r="T2261" t="s">
        <v>52</v>
      </c>
      <c r="U2261" t="s">
        <v>52</v>
      </c>
      <c r="V2261" t="s">
        <v>52</v>
      </c>
      <c r="W2261" t="s">
        <v>52</v>
      </c>
      <c r="X2261" s="18" t="s">
        <v>52</v>
      </c>
      <c r="Y2261" s="18" t="s">
        <v>52</v>
      </c>
      <c r="Z2261" s="18" t="s">
        <v>52</v>
      </c>
      <c r="AA2261" s="18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s="18" t="s">
        <v>52</v>
      </c>
      <c r="AG2261" s="18" t="s">
        <v>52</v>
      </c>
      <c r="AH2261" s="18" t="s">
        <v>52</v>
      </c>
      <c r="AI2261" s="18" t="s">
        <v>52</v>
      </c>
      <c r="AJ2261">
        <v>4</v>
      </c>
      <c r="AK2261">
        <v>1</v>
      </c>
      <c r="AL2261">
        <v>3</v>
      </c>
      <c r="AM2261">
        <v>2</v>
      </c>
      <c r="AN2261" s="18">
        <v>0</v>
      </c>
      <c r="AO2261" s="18">
        <v>0</v>
      </c>
      <c r="AP2261" s="18">
        <v>0</v>
      </c>
      <c r="AQ2261" s="18">
        <v>0</v>
      </c>
      <c r="AR2261" s="29">
        <v>0</v>
      </c>
      <c r="AS2261" s="29">
        <v>0</v>
      </c>
      <c r="AT2261" s="29">
        <v>1</v>
      </c>
      <c r="AU2261" s="24" t="str">
        <f t="shared" si="36"/>
        <v>库存为1</v>
      </c>
      <c r="AV2261" s="31" t="str">
        <f>IFERROR(时间!$B$4+AU2261,"上周无销量")</f>
        <v>上周无销量</v>
      </c>
    </row>
    <row r="2262" spans="1:48">
      <c r="A2262" s="16" t="s">
        <v>3958</v>
      </c>
      <c r="B2262" t="s">
        <v>3248</v>
      </c>
      <c r="C2262" t="s">
        <v>3956</v>
      </c>
      <c r="D2262" s="24">
        <v>0</v>
      </c>
      <c r="E2262" s="24">
        <v>0</v>
      </c>
      <c r="F2262" s="24">
        <v>0</v>
      </c>
      <c r="G2262" s="24">
        <v>0</v>
      </c>
      <c r="H2262" s="25">
        <v>0</v>
      </c>
      <c r="I2262">
        <v>5</v>
      </c>
      <c r="J2262" s="26">
        <v>0</v>
      </c>
      <c r="K2262" s="26">
        <v>0</v>
      </c>
      <c r="L2262" s="26">
        <v>0</v>
      </c>
      <c r="M2262">
        <v>5</v>
      </c>
      <c r="N2262">
        <v>0</v>
      </c>
      <c r="O2262">
        <v>5</v>
      </c>
      <c r="P2262" t="s">
        <v>52</v>
      </c>
      <c r="Q2262" t="s">
        <v>52</v>
      </c>
      <c r="R2262" t="s">
        <v>52</v>
      </c>
      <c r="S2262" t="s">
        <v>52</v>
      </c>
      <c r="T2262" t="s">
        <v>52</v>
      </c>
      <c r="U2262" t="s">
        <v>52</v>
      </c>
      <c r="V2262" t="s">
        <v>52</v>
      </c>
      <c r="W2262" t="s">
        <v>52</v>
      </c>
      <c r="X2262" s="18" t="s">
        <v>52</v>
      </c>
      <c r="Y2262" s="18" t="s">
        <v>52</v>
      </c>
      <c r="Z2262" s="18" t="s">
        <v>52</v>
      </c>
      <c r="AA2262" s="18" t="s">
        <v>52</v>
      </c>
      <c r="AB2262" t="s">
        <v>52</v>
      </c>
      <c r="AC2262" t="s">
        <v>52</v>
      </c>
      <c r="AD2262" t="s">
        <v>52</v>
      </c>
      <c r="AE2262" t="s">
        <v>52</v>
      </c>
      <c r="AF2262" s="18" t="s">
        <v>52</v>
      </c>
      <c r="AG2262" s="18" t="s">
        <v>52</v>
      </c>
      <c r="AH2262" s="18" t="s">
        <v>52</v>
      </c>
      <c r="AI2262" s="18" t="s">
        <v>52</v>
      </c>
      <c r="AJ2262">
        <v>3</v>
      </c>
      <c r="AK2262">
        <v>2</v>
      </c>
      <c r="AL2262">
        <v>4</v>
      </c>
      <c r="AM2262">
        <v>1</v>
      </c>
      <c r="AN2262" s="18">
        <v>0</v>
      </c>
      <c r="AO2262" s="18">
        <v>0</v>
      </c>
      <c r="AP2262" s="18">
        <v>0</v>
      </c>
      <c r="AQ2262" s="18">
        <v>0</v>
      </c>
      <c r="AR2262" s="29">
        <v>0</v>
      </c>
      <c r="AS2262" s="29">
        <v>0</v>
      </c>
      <c r="AT2262" s="29">
        <v>5</v>
      </c>
      <c r="AU2262" s="24" t="str">
        <f t="shared" si="36"/>
        <v>库存为5</v>
      </c>
      <c r="AV2262" s="31" t="str">
        <f>IFERROR(时间!$B$4+AU2262,"上周无销量")</f>
        <v>上周无销量</v>
      </c>
    </row>
    <row r="2263" spans="1:48">
      <c r="A2263" s="16" t="s">
        <v>3959</v>
      </c>
      <c r="B2263" t="s">
        <v>3252</v>
      </c>
      <c r="C2263" t="s">
        <v>3956</v>
      </c>
      <c r="D2263" s="24">
        <v>0</v>
      </c>
      <c r="E2263" s="24">
        <v>0</v>
      </c>
      <c r="F2263" s="24">
        <v>0</v>
      </c>
      <c r="G2263" s="24">
        <v>0</v>
      </c>
      <c r="H2263" s="25">
        <v>0</v>
      </c>
      <c r="I2263">
        <v>3</v>
      </c>
      <c r="J2263" s="26">
        <v>0</v>
      </c>
      <c r="K2263" s="26">
        <v>0</v>
      </c>
      <c r="L2263" s="26">
        <v>0</v>
      </c>
      <c r="M2263">
        <v>3</v>
      </c>
      <c r="N2263">
        <v>0</v>
      </c>
      <c r="O2263">
        <v>4</v>
      </c>
      <c r="P2263" t="s">
        <v>52</v>
      </c>
      <c r="Q2263" t="s">
        <v>52</v>
      </c>
      <c r="R2263" t="s">
        <v>52</v>
      </c>
      <c r="S2263" t="s">
        <v>52</v>
      </c>
      <c r="T2263" t="s">
        <v>52</v>
      </c>
      <c r="U2263" t="s">
        <v>52</v>
      </c>
      <c r="V2263" t="s">
        <v>52</v>
      </c>
      <c r="W2263" t="s">
        <v>52</v>
      </c>
      <c r="X2263" s="18" t="s">
        <v>52</v>
      </c>
      <c r="Y2263" s="18" t="s">
        <v>52</v>
      </c>
      <c r="Z2263" s="18" t="s">
        <v>52</v>
      </c>
      <c r="AA2263" s="18" t="s">
        <v>52</v>
      </c>
      <c r="AB2263" t="s">
        <v>52</v>
      </c>
      <c r="AC2263" t="s">
        <v>52</v>
      </c>
      <c r="AD2263" t="s">
        <v>52</v>
      </c>
      <c r="AE2263" t="s">
        <v>52</v>
      </c>
      <c r="AF2263" s="18" t="s">
        <v>52</v>
      </c>
      <c r="AG2263" s="18" t="s">
        <v>52</v>
      </c>
      <c r="AH2263" s="18" t="s">
        <v>52</v>
      </c>
      <c r="AI2263" s="18" t="s">
        <v>52</v>
      </c>
      <c r="AJ2263">
        <v>2</v>
      </c>
      <c r="AK2263">
        <v>3</v>
      </c>
      <c r="AL2263">
        <v>2</v>
      </c>
      <c r="AM2263">
        <v>4</v>
      </c>
      <c r="AN2263" s="18">
        <v>0</v>
      </c>
      <c r="AO2263" s="18">
        <v>0</v>
      </c>
      <c r="AP2263" s="18">
        <v>0</v>
      </c>
      <c r="AQ2263" s="18">
        <v>0</v>
      </c>
      <c r="AR2263" s="29">
        <v>0</v>
      </c>
      <c r="AS2263" s="29">
        <v>0</v>
      </c>
      <c r="AT2263" s="29">
        <v>3</v>
      </c>
      <c r="AU2263" s="24" t="str">
        <f t="shared" si="36"/>
        <v>库存为3</v>
      </c>
      <c r="AV2263" s="31" t="str">
        <f>IFERROR(时间!$B$4+AU2263,"上周无销量")</f>
        <v>上周无销量</v>
      </c>
    </row>
    <row r="2264" spans="1:48">
      <c r="A2264" s="16" t="s">
        <v>3960</v>
      </c>
      <c r="B2264" t="s">
        <v>3254</v>
      </c>
      <c r="C2264" t="s">
        <v>3956</v>
      </c>
      <c r="D2264" s="24">
        <v>0</v>
      </c>
      <c r="E2264" s="24">
        <v>0</v>
      </c>
      <c r="F2264" s="24">
        <v>0</v>
      </c>
      <c r="G2264" s="24">
        <v>0</v>
      </c>
      <c r="H2264" s="25">
        <v>0</v>
      </c>
      <c r="I2264">
        <v>7</v>
      </c>
      <c r="J2264" s="26">
        <v>0</v>
      </c>
      <c r="K2264" s="26">
        <v>0</v>
      </c>
      <c r="L2264" s="26">
        <v>0</v>
      </c>
      <c r="M2264">
        <v>7</v>
      </c>
      <c r="N2264">
        <v>0</v>
      </c>
      <c r="O2264">
        <v>7</v>
      </c>
      <c r="P2264" t="s">
        <v>52</v>
      </c>
      <c r="Q2264" t="s">
        <v>52</v>
      </c>
      <c r="R2264" t="s">
        <v>52</v>
      </c>
      <c r="S2264" t="s">
        <v>52</v>
      </c>
      <c r="T2264" t="s">
        <v>52</v>
      </c>
      <c r="U2264" t="s">
        <v>52</v>
      </c>
      <c r="V2264" t="s">
        <v>52</v>
      </c>
      <c r="W2264" t="s">
        <v>52</v>
      </c>
      <c r="X2264" s="18" t="s">
        <v>52</v>
      </c>
      <c r="Y2264" s="18" t="s">
        <v>52</v>
      </c>
      <c r="Z2264" s="18" t="s">
        <v>52</v>
      </c>
      <c r="AA2264" s="18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s="18" t="s">
        <v>52</v>
      </c>
      <c r="AG2264" s="18" t="s">
        <v>52</v>
      </c>
      <c r="AH2264" s="18" t="s">
        <v>52</v>
      </c>
      <c r="AI2264" s="18" t="s">
        <v>52</v>
      </c>
      <c r="AJ2264">
        <v>0</v>
      </c>
      <c r="AK2264">
        <v>2</v>
      </c>
      <c r="AL2264">
        <v>1</v>
      </c>
      <c r="AM2264">
        <v>2</v>
      </c>
      <c r="AN2264" s="18" t="s">
        <v>52</v>
      </c>
      <c r="AO2264" s="18">
        <v>0</v>
      </c>
      <c r="AP2264" s="18">
        <v>0</v>
      </c>
      <c r="AQ2264" s="18">
        <v>0</v>
      </c>
      <c r="AR2264" s="29">
        <v>0</v>
      </c>
      <c r="AS2264" s="29">
        <v>0</v>
      </c>
      <c r="AT2264" s="29">
        <v>7</v>
      </c>
      <c r="AU2264" s="24" t="str">
        <f t="shared" si="36"/>
        <v>库存为7</v>
      </c>
      <c r="AV2264" s="31" t="str">
        <f>IFERROR(时间!$B$4+AU2264,"上周无销量")</f>
        <v>上周无销量</v>
      </c>
    </row>
    <row r="2265" spans="1:48">
      <c r="A2265" s="16" t="s">
        <v>3961</v>
      </c>
      <c r="B2265" t="s">
        <v>3256</v>
      </c>
      <c r="C2265" t="s">
        <v>3956</v>
      </c>
      <c r="D2265" s="24">
        <v>0</v>
      </c>
      <c r="E2265" s="24">
        <v>0</v>
      </c>
      <c r="F2265" s="24">
        <v>1</v>
      </c>
      <c r="G2265" s="24">
        <v>0</v>
      </c>
      <c r="H2265" s="25">
        <v>23.98</v>
      </c>
      <c r="I2265">
        <v>4</v>
      </c>
      <c r="J2265" s="26">
        <v>0</v>
      </c>
      <c r="K2265" s="26">
        <v>0</v>
      </c>
      <c r="L2265" s="26">
        <v>0</v>
      </c>
      <c r="M2265">
        <v>4</v>
      </c>
      <c r="N2265">
        <v>0</v>
      </c>
      <c r="O2265">
        <v>2</v>
      </c>
      <c r="P2265" t="s">
        <v>52</v>
      </c>
      <c r="Q2265" t="s">
        <v>52</v>
      </c>
      <c r="R2265" t="s">
        <v>52</v>
      </c>
      <c r="S2265" t="s">
        <v>52</v>
      </c>
      <c r="T2265" t="s">
        <v>52</v>
      </c>
      <c r="U2265" t="s">
        <v>52</v>
      </c>
      <c r="V2265" t="s">
        <v>52</v>
      </c>
      <c r="W2265" t="s">
        <v>52</v>
      </c>
      <c r="X2265" s="18" t="s">
        <v>52</v>
      </c>
      <c r="Y2265" s="18" t="s">
        <v>52</v>
      </c>
      <c r="Z2265" s="18" t="s">
        <v>52</v>
      </c>
      <c r="AA2265" s="18" t="s">
        <v>52</v>
      </c>
      <c r="AB2265" t="s">
        <v>52</v>
      </c>
      <c r="AC2265" t="s">
        <v>52</v>
      </c>
      <c r="AD2265" t="s">
        <v>52</v>
      </c>
      <c r="AE2265" t="s">
        <v>52</v>
      </c>
      <c r="AF2265" s="18" t="s">
        <v>52</v>
      </c>
      <c r="AG2265" s="18" t="s">
        <v>52</v>
      </c>
      <c r="AH2265" s="18" t="s">
        <v>52</v>
      </c>
      <c r="AI2265" s="18" t="s">
        <v>52</v>
      </c>
      <c r="AJ2265">
        <v>3</v>
      </c>
      <c r="AK2265">
        <v>2</v>
      </c>
      <c r="AL2265">
        <v>5</v>
      </c>
      <c r="AM2265">
        <v>1</v>
      </c>
      <c r="AN2265" s="18">
        <v>0</v>
      </c>
      <c r="AO2265" s="18">
        <v>0</v>
      </c>
      <c r="AP2265" s="18">
        <v>0.2</v>
      </c>
      <c r="AQ2265" s="18">
        <v>0</v>
      </c>
      <c r="AR2265" s="29">
        <v>0</v>
      </c>
      <c r="AS2265" s="29">
        <v>0</v>
      </c>
      <c r="AT2265" s="29">
        <v>4</v>
      </c>
      <c r="AU2265" s="24" t="str">
        <f t="shared" si="36"/>
        <v>库存为4</v>
      </c>
      <c r="AV2265" s="31" t="str">
        <f>IFERROR(时间!$B$4+AU2265,"上周无销量")</f>
        <v>上周无销量</v>
      </c>
    </row>
    <row r="2266" spans="1:48">
      <c r="A2266" s="16" t="s">
        <v>3962</v>
      </c>
      <c r="B2266" t="s">
        <v>3260</v>
      </c>
      <c r="C2266" t="s">
        <v>3956</v>
      </c>
      <c r="D2266" s="24">
        <v>0</v>
      </c>
      <c r="E2266" s="24">
        <v>0</v>
      </c>
      <c r="F2266" s="24">
        <v>0</v>
      </c>
      <c r="G2266" s="24">
        <v>0</v>
      </c>
      <c r="H2266" s="25">
        <v>0</v>
      </c>
      <c r="I2266">
        <v>5</v>
      </c>
      <c r="J2266" s="26">
        <v>0</v>
      </c>
      <c r="K2266" s="26">
        <v>0</v>
      </c>
      <c r="L2266" s="26">
        <v>0</v>
      </c>
      <c r="M2266">
        <v>5</v>
      </c>
      <c r="N2266">
        <v>0</v>
      </c>
      <c r="O2266">
        <v>4</v>
      </c>
      <c r="P2266" t="s">
        <v>52</v>
      </c>
      <c r="Q2266" t="s">
        <v>52</v>
      </c>
      <c r="R2266" t="s">
        <v>52</v>
      </c>
      <c r="S2266" t="s">
        <v>52</v>
      </c>
      <c r="T2266" t="s">
        <v>52</v>
      </c>
      <c r="U2266" t="s">
        <v>52</v>
      </c>
      <c r="V2266" t="s">
        <v>52</v>
      </c>
      <c r="W2266" t="s">
        <v>52</v>
      </c>
      <c r="X2266" s="18" t="s">
        <v>52</v>
      </c>
      <c r="Y2266" s="18" t="s">
        <v>52</v>
      </c>
      <c r="Z2266" s="18" t="s">
        <v>52</v>
      </c>
      <c r="AA2266" s="18" t="s">
        <v>52</v>
      </c>
      <c r="AB2266" t="s">
        <v>52</v>
      </c>
      <c r="AC2266" t="s">
        <v>52</v>
      </c>
      <c r="AD2266" t="s">
        <v>52</v>
      </c>
      <c r="AE2266" t="s">
        <v>52</v>
      </c>
      <c r="AF2266" s="18" t="s">
        <v>52</v>
      </c>
      <c r="AG2266" s="18" t="s">
        <v>52</v>
      </c>
      <c r="AH2266" s="18" t="s">
        <v>52</v>
      </c>
      <c r="AI2266" s="18" t="s">
        <v>52</v>
      </c>
      <c r="AJ2266">
        <v>0</v>
      </c>
      <c r="AK2266">
        <v>0</v>
      </c>
      <c r="AL2266">
        <v>3</v>
      </c>
      <c r="AM2266">
        <v>2</v>
      </c>
      <c r="AN2266" s="18" t="s">
        <v>52</v>
      </c>
      <c r="AO2266" s="18" t="s">
        <v>52</v>
      </c>
      <c r="AP2266" s="18">
        <v>0</v>
      </c>
      <c r="AQ2266" s="18">
        <v>0</v>
      </c>
      <c r="AR2266" s="29">
        <v>0</v>
      </c>
      <c r="AS2266" s="29">
        <v>0</v>
      </c>
      <c r="AT2266" s="29">
        <v>5</v>
      </c>
      <c r="AU2266" s="24" t="str">
        <f t="shared" si="36"/>
        <v>库存为5</v>
      </c>
      <c r="AV2266" s="31" t="str">
        <f>IFERROR(时间!$B$4+AU2266,"上周无销量")</f>
        <v>上周无销量</v>
      </c>
    </row>
    <row r="2267" spans="1:48">
      <c r="A2267" s="16" t="s">
        <v>3963</v>
      </c>
      <c r="B2267" t="s">
        <v>3264</v>
      </c>
      <c r="C2267" t="s">
        <v>3956</v>
      </c>
      <c r="D2267" s="24">
        <v>1</v>
      </c>
      <c r="E2267" s="24">
        <v>0</v>
      </c>
      <c r="F2267" s="24">
        <v>0</v>
      </c>
      <c r="G2267" s="24">
        <v>0</v>
      </c>
      <c r="H2267" s="25">
        <v>23.98</v>
      </c>
      <c r="I2267">
        <v>0</v>
      </c>
      <c r="J2267" s="26">
        <v>0</v>
      </c>
      <c r="K2267" s="26">
        <v>0</v>
      </c>
      <c r="L2267" s="26">
        <v>0</v>
      </c>
      <c r="M2267">
        <v>0</v>
      </c>
      <c r="N2267">
        <v>0</v>
      </c>
      <c r="O2267">
        <v>0</v>
      </c>
      <c r="P2267" t="s">
        <v>52</v>
      </c>
      <c r="Q2267" t="s">
        <v>52</v>
      </c>
      <c r="R2267" t="s">
        <v>52</v>
      </c>
      <c r="S2267" t="s">
        <v>52</v>
      </c>
      <c r="T2267" t="s">
        <v>52</v>
      </c>
      <c r="U2267" t="s">
        <v>52</v>
      </c>
      <c r="V2267" t="s">
        <v>52</v>
      </c>
      <c r="W2267" t="s">
        <v>52</v>
      </c>
      <c r="X2267" s="18" t="s">
        <v>52</v>
      </c>
      <c r="Y2267" s="18" t="s">
        <v>52</v>
      </c>
      <c r="Z2267" s="18" t="s">
        <v>52</v>
      </c>
      <c r="AA2267" s="18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s="18" t="s">
        <v>52</v>
      </c>
      <c r="AG2267" s="18" t="s">
        <v>52</v>
      </c>
      <c r="AH2267" s="18" t="s">
        <v>52</v>
      </c>
      <c r="AI2267" s="18" t="s">
        <v>52</v>
      </c>
      <c r="AJ2267">
        <v>0</v>
      </c>
      <c r="AK2267">
        <v>0</v>
      </c>
      <c r="AL2267">
        <v>2</v>
      </c>
      <c r="AM2267">
        <v>3</v>
      </c>
      <c r="AN2267" s="18" t="s">
        <v>52</v>
      </c>
      <c r="AO2267" s="18" t="s">
        <v>52</v>
      </c>
      <c r="AP2267" s="18">
        <v>0</v>
      </c>
      <c r="AQ2267" s="18">
        <v>0</v>
      </c>
      <c r="AR2267" s="29">
        <v>0.142857142857143</v>
      </c>
      <c r="AS2267" s="29">
        <v>8.57142857142857</v>
      </c>
      <c r="AT2267" s="29">
        <v>-8.57142857142857</v>
      </c>
      <c r="AU2267" s="24">
        <f t="shared" si="36"/>
        <v>0</v>
      </c>
      <c r="AV2267" s="31">
        <f>IFERROR(时间!$B$4+AU2267,"上周无销量")</f>
        <v>43318</v>
      </c>
    </row>
    <row r="2268" spans="1:48">
      <c r="A2268" s="16" t="s">
        <v>3964</v>
      </c>
      <c r="B2268" t="s">
        <v>3270</v>
      </c>
      <c r="C2268" t="s">
        <v>3956</v>
      </c>
      <c r="D2268" s="24">
        <v>0</v>
      </c>
      <c r="E2268" s="24">
        <v>0</v>
      </c>
      <c r="F2268" s="24">
        <v>0</v>
      </c>
      <c r="G2268" s="24">
        <v>0</v>
      </c>
      <c r="H2268" s="25">
        <v>0</v>
      </c>
      <c r="I2268">
        <v>6</v>
      </c>
      <c r="J2268" s="26">
        <v>0</v>
      </c>
      <c r="K2268" s="26">
        <v>0</v>
      </c>
      <c r="L2268" s="26">
        <v>0</v>
      </c>
      <c r="M2268">
        <v>6</v>
      </c>
      <c r="N2268">
        <v>0</v>
      </c>
      <c r="O2268">
        <v>6</v>
      </c>
      <c r="P2268" t="s">
        <v>52</v>
      </c>
      <c r="Q2268" t="s">
        <v>52</v>
      </c>
      <c r="R2268" t="s">
        <v>52</v>
      </c>
      <c r="S2268" t="s">
        <v>52</v>
      </c>
      <c r="T2268" t="s">
        <v>52</v>
      </c>
      <c r="U2268" t="s">
        <v>52</v>
      </c>
      <c r="V2268" t="s">
        <v>52</v>
      </c>
      <c r="W2268" t="s">
        <v>52</v>
      </c>
      <c r="X2268" s="18" t="s">
        <v>52</v>
      </c>
      <c r="Y2268" s="18" t="s">
        <v>52</v>
      </c>
      <c r="Z2268" s="18" t="s">
        <v>52</v>
      </c>
      <c r="AA2268" s="1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s="18" t="s">
        <v>52</v>
      </c>
      <c r="AG2268" s="18" t="s">
        <v>52</v>
      </c>
      <c r="AH2268" s="18" t="s">
        <v>52</v>
      </c>
      <c r="AI2268" s="18" t="s">
        <v>52</v>
      </c>
      <c r="AJ2268">
        <v>1</v>
      </c>
      <c r="AK2268">
        <v>2</v>
      </c>
      <c r="AL2268">
        <v>3</v>
      </c>
      <c r="AM2268">
        <v>1</v>
      </c>
      <c r="AN2268" s="18">
        <v>0</v>
      </c>
      <c r="AO2268" s="18">
        <v>0</v>
      </c>
      <c r="AP2268" s="18">
        <v>0</v>
      </c>
      <c r="AQ2268" s="18">
        <v>0</v>
      </c>
      <c r="AR2268" s="29">
        <v>0</v>
      </c>
      <c r="AS2268" s="29">
        <v>0</v>
      </c>
      <c r="AT2268" s="29">
        <v>6</v>
      </c>
      <c r="AU2268" s="24" t="str">
        <f t="shared" si="36"/>
        <v>库存为6</v>
      </c>
      <c r="AV2268" s="31" t="str">
        <f>IFERROR(时间!$B$4+AU2268,"上周无销量")</f>
        <v>上周无销量</v>
      </c>
    </row>
    <row r="2269" spans="1:48">
      <c r="A2269" s="16" t="s">
        <v>3965</v>
      </c>
      <c r="B2269" t="s">
        <v>3272</v>
      </c>
      <c r="C2269" t="s">
        <v>3956</v>
      </c>
      <c r="D2269" s="24">
        <v>0</v>
      </c>
      <c r="E2269" s="24">
        <v>0</v>
      </c>
      <c r="F2269" s="24">
        <v>0</v>
      </c>
      <c r="G2269" s="24">
        <v>0</v>
      </c>
      <c r="H2269" s="25">
        <v>0</v>
      </c>
      <c r="I2269">
        <v>1</v>
      </c>
      <c r="J2269" s="26">
        <v>0</v>
      </c>
      <c r="K2269" s="26">
        <v>0</v>
      </c>
      <c r="L2269" s="26">
        <v>0</v>
      </c>
      <c r="M2269">
        <v>1</v>
      </c>
      <c r="N2269">
        <v>0</v>
      </c>
      <c r="O2269">
        <v>1</v>
      </c>
      <c r="P2269" t="s">
        <v>52</v>
      </c>
      <c r="Q2269" t="s">
        <v>52</v>
      </c>
      <c r="R2269" t="s">
        <v>52</v>
      </c>
      <c r="S2269" t="s">
        <v>52</v>
      </c>
      <c r="T2269" t="s">
        <v>52</v>
      </c>
      <c r="U2269" t="s">
        <v>52</v>
      </c>
      <c r="V2269" t="s">
        <v>52</v>
      </c>
      <c r="W2269" t="s">
        <v>52</v>
      </c>
      <c r="X2269" s="18" t="s">
        <v>52</v>
      </c>
      <c r="Y2269" s="18" t="s">
        <v>52</v>
      </c>
      <c r="Z2269" s="18" t="s">
        <v>52</v>
      </c>
      <c r="AA2269" s="18" t="s">
        <v>52</v>
      </c>
      <c r="AB2269" t="s">
        <v>52</v>
      </c>
      <c r="AC2269" t="s">
        <v>52</v>
      </c>
      <c r="AD2269" t="s">
        <v>52</v>
      </c>
      <c r="AE2269" t="s">
        <v>52</v>
      </c>
      <c r="AF2269" s="18" t="s">
        <v>52</v>
      </c>
      <c r="AG2269" s="18" t="s">
        <v>52</v>
      </c>
      <c r="AH2269" s="18" t="s">
        <v>52</v>
      </c>
      <c r="AI2269" s="18" t="s">
        <v>52</v>
      </c>
      <c r="AJ2269">
        <v>1</v>
      </c>
      <c r="AK2269">
        <v>2</v>
      </c>
      <c r="AL2269">
        <v>3</v>
      </c>
      <c r="AM2269">
        <v>0</v>
      </c>
      <c r="AN2269" s="18">
        <v>0</v>
      </c>
      <c r="AO2269" s="18">
        <v>0</v>
      </c>
      <c r="AP2269" s="18">
        <v>0</v>
      </c>
      <c r="AQ2269" s="18" t="s">
        <v>52</v>
      </c>
      <c r="AR2269" s="29">
        <v>0</v>
      </c>
      <c r="AS2269" s="29">
        <v>0</v>
      </c>
      <c r="AT2269" s="29">
        <v>1</v>
      </c>
      <c r="AU2269" s="24" t="str">
        <f t="shared" si="36"/>
        <v>库存为1</v>
      </c>
      <c r="AV2269" s="31" t="str">
        <f>IFERROR(时间!$B$4+AU2269,"上周无销量")</f>
        <v>上周无销量</v>
      </c>
    </row>
    <row r="2270" spans="1:48">
      <c r="A2270" s="16" t="s">
        <v>3966</v>
      </c>
      <c r="B2270" t="s">
        <v>3274</v>
      </c>
      <c r="C2270" t="s">
        <v>3956</v>
      </c>
      <c r="D2270" s="24">
        <v>0</v>
      </c>
      <c r="E2270" s="24">
        <v>0</v>
      </c>
      <c r="F2270" s="24">
        <v>0</v>
      </c>
      <c r="G2270" s="24">
        <v>0</v>
      </c>
      <c r="H2270" s="25">
        <v>0</v>
      </c>
      <c r="I2270">
        <v>1</v>
      </c>
      <c r="J2270" s="26">
        <v>0</v>
      </c>
      <c r="K2270" s="26">
        <v>0</v>
      </c>
      <c r="L2270" s="26">
        <v>0</v>
      </c>
      <c r="M2270">
        <v>1</v>
      </c>
      <c r="N2270">
        <v>0</v>
      </c>
      <c r="O2270">
        <v>1</v>
      </c>
      <c r="P2270" t="s">
        <v>52</v>
      </c>
      <c r="Q2270" t="s">
        <v>52</v>
      </c>
      <c r="R2270" t="s">
        <v>52</v>
      </c>
      <c r="S2270" t="s">
        <v>52</v>
      </c>
      <c r="T2270" t="s">
        <v>52</v>
      </c>
      <c r="U2270" t="s">
        <v>52</v>
      </c>
      <c r="V2270" t="s">
        <v>52</v>
      </c>
      <c r="W2270" t="s">
        <v>52</v>
      </c>
      <c r="X2270" s="18" t="s">
        <v>52</v>
      </c>
      <c r="Y2270" s="18" t="s">
        <v>52</v>
      </c>
      <c r="Z2270" s="18" t="s">
        <v>52</v>
      </c>
      <c r="AA2270" s="18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s="18" t="s">
        <v>52</v>
      </c>
      <c r="AG2270" s="18" t="s">
        <v>52</v>
      </c>
      <c r="AH2270" s="18" t="s">
        <v>52</v>
      </c>
      <c r="AI2270" s="18" t="s">
        <v>52</v>
      </c>
      <c r="AJ2270">
        <v>3</v>
      </c>
      <c r="AK2270">
        <v>2</v>
      </c>
      <c r="AL2270">
        <v>1</v>
      </c>
      <c r="AM2270">
        <v>1</v>
      </c>
      <c r="AN2270" s="18">
        <v>0</v>
      </c>
      <c r="AO2270" s="18">
        <v>0</v>
      </c>
      <c r="AP2270" s="18">
        <v>0</v>
      </c>
      <c r="AQ2270" s="18">
        <v>0</v>
      </c>
      <c r="AR2270" s="29">
        <v>0</v>
      </c>
      <c r="AS2270" s="29">
        <v>0</v>
      </c>
      <c r="AT2270" s="29">
        <v>1</v>
      </c>
      <c r="AU2270" s="24" t="str">
        <f t="shared" si="36"/>
        <v>库存为1</v>
      </c>
      <c r="AV2270" s="31" t="str">
        <f>IFERROR(时间!$B$4+AU2270,"上周无销量")</f>
        <v>上周无销量</v>
      </c>
    </row>
    <row r="2271" spans="1:48">
      <c r="A2271" s="16" t="s">
        <v>3967</v>
      </c>
      <c r="B2271" t="s">
        <v>3276</v>
      </c>
      <c r="C2271" t="s">
        <v>3956</v>
      </c>
      <c r="D2271" s="24">
        <v>0</v>
      </c>
      <c r="E2271" s="24">
        <v>0</v>
      </c>
      <c r="F2271" s="24">
        <v>0</v>
      </c>
      <c r="G2271" s="24">
        <v>0</v>
      </c>
      <c r="H2271" s="25">
        <v>0</v>
      </c>
      <c r="I2271">
        <v>6</v>
      </c>
      <c r="J2271" s="26">
        <v>0</v>
      </c>
      <c r="K2271" s="26">
        <v>0</v>
      </c>
      <c r="L2271" s="26">
        <v>0</v>
      </c>
      <c r="M2271">
        <v>6</v>
      </c>
      <c r="N2271">
        <v>0</v>
      </c>
      <c r="O2271">
        <v>5</v>
      </c>
      <c r="P2271" t="s">
        <v>52</v>
      </c>
      <c r="Q2271" t="s">
        <v>52</v>
      </c>
      <c r="R2271" t="s">
        <v>52</v>
      </c>
      <c r="S2271" t="s">
        <v>52</v>
      </c>
      <c r="T2271" t="s">
        <v>52</v>
      </c>
      <c r="U2271" t="s">
        <v>52</v>
      </c>
      <c r="V2271" t="s">
        <v>52</v>
      </c>
      <c r="W2271" t="s">
        <v>52</v>
      </c>
      <c r="X2271" s="18" t="s">
        <v>52</v>
      </c>
      <c r="Y2271" s="18" t="s">
        <v>52</v>
      </c>
      <c r="Z2271" s="18" t="s">
        <v>52</v>
      </c>
      <c r="AA2271" s="18" t="s">
        <v>52</v>
      </c>
      <c r="AB2271" t="s">
        <v>52</v>
      </c>
      <c r="AC2271" t="s">
        <v>52</v>
      </c>
      <c r="AD2271" t="s">
        <v>52</v>
      </c>
      <c r="AE2271" t="s">
        <v>52</v>
      </c>
      <c r="AF2271" s="18" t="s">
        <v>52</v>
      </c>
      <c r="AG2271" s="18" t="s">
        <v>52</v>
      </c>
      <c r="AH2271" s="18" t="s">
        <v>52</v>
      </c>
      <c r="AI2271" s="18" t="s">
        <v>52</v>
      </c>
      <c r="AJ2271">
        <v>2</v>
      </c>
      <c r="AK2271">
        <v>1</v>
      </c>
      <c r="AL2271">
        <v>3</v>
      </c>
      <c r="AM2271">
        <v>2</v>
      </c>
      <c r="AN2271" s="18">
        <v>0</v>
      </c>
      <c r="AO2271" s="18">
        <v>0</v>
      </c>
      <c r="AP2271" s="18">
        <v>0</v>
      </c>
      <c r="AQ2271" s="18">
        <v>0</v>
      </c>
      <c r="AR2271" s="29">
        <v>0</v>
      </c>
      <c r="AS2271" s="29">
        <v>0</v>
      </c>
      <c r="AT2271" s="29">
        <v>6</v>
      </c>
      <c r="AU2271" s="24" t="str">
        <f t="shared" si="36"/>
        <v>库存为6</v>
      </c>
      <c r="AV2271" s="31" t="str">
        <f>IFERROR(时间!$B$4+AU2271,"上周无销量")</f>
        <v>上周无销量</v>
      </c>
    </row>
    <row r="2272" spans="1:48">
      <c r="A2272" s="16" t="s">
        <v>3968</v>
      </c>
      <c r="B2272" t="s">
        <v>3278</v>
      </c>
      <c r="C2272" t="s">
        <v>3969</v>
      </c>
      <c r="D2272" s="24">
        <v>0</v>
      </c>
      <c r="E2272" s="24">
        <v>0</v>
      </c>
      <c r="F2272" s="24">
        <v>0</v>
      </c>
      <c r="G2272" s="24">
        <v>0</v>
      </c>
      <c r="H2272" s="25">
        <v>0</v>
      </c>
      <c r="I2272">
        <v>1</v>
      </c>
      <c r="J2272" s="26">
        <v>0</v>
      </c>
      <c r="K2272" s="26">
        <v>0</v>
      </c>
      <c r="L2272" s="26">
        <v>0</v>
      </c>
      <c r="M2272">
        <v>1</v>
      </c>
      <c r="N2272">
        <v>0</v>
      </c>
      <c r="O2272">
        <v>0</v>
      </c>
      <c r="P2272" t="s">
        <v>52</v>
      </c>
      <c r="Q2272" t="s">
        <v>52</v>
      </c>
      <c r="R2272" t="s">
        <v>52</v>
      </c>
      <c r="S2272" t="s">
        <v>52</v>
      </c>
      <c r="T2272" t="s">
        <v>52</v>
      </c>
      <c r="U2272" t="s">
        <v>52</v>
      </c>
      <c r="V2272" t="s">
        <v>52</v>
      </c>
      <c r="W2272" t="s">
        <v>52</v>
      </c>
      <c r="X2272" s="18" t="s">
        <v>52</v>
      </c>
      <c r="Y2272" s="18" t="s">
        <v>52</v>
      </c>
      <c r="Z2272" s="18" t="s">
        <v>52</v>
      </c>
      <c r="AA2272" s="18" t="s">
        <v>52</v>
      </c>
      <c r="AB2272" t="s">
        <v>52</v>
      </c>
      <c r="AC2272" t="s">
        <v>52</v>
      </c>
      <c r="AD2272" t="s">
        <v>52</v>
      </c>
      <c r="AE2272" t="s">
        <v>52</v>
      </c>
      <c r="AF2272" s="18" t="s">
        <v>52</v>
      </c>
      <c r="AG2272" s="18" t="s">
        <v>52</v>
      </c>
      <c r="AH2272" s="18" t="s">
        <v>52</v>
      </c>
      <c r="AI2272" s="18" t="s">
        <v>52</v>
      </c>
      <c r="AJ2272">
        <v>1</v>
      </c>
      <c r="AK2272">
        <v>4</v>
      </c>
      <c r="AL2272">
        <v>3</v>
      </c>
      <c r="AM2272">
        <v>3</v>
      </c>
      <c r="AN2272" s="18">
        <v>0</v>
      </c>
      <c r="AO2272" s="18">
        <v>0</v>
      </c>
      <c r="AP2272" s="18">
        <v>0</v>
      </c>
      <c r="AQ2272" s="18">
        <v>0</v>
      </c>
      <c r="AR2272" s="29">
        <v>0</v>
      </c>
      <c r="AS2272" s="29">
        <v>0</v>
      </c>
      <c r="AT2272" s="29">
        <v>1</v>
      </c>
      <c r="AU2272" s="24" t="str">
        <f t="shared" si="36"/>
        <v>库存为1</v>
      </c>
      <c r="AV2272" s="31" t="str">
        <f>IFERROR(时间!$B$4+AU2272,"上周无销量")</f>
        <v>上周无销量</v>
      </c>
    </row>
    <row r="2273" spans="1:48">
      <c r="A2273" s="16" t="s">
        <v>3970</v>
      </c>
      <c r="B2273" t="s">
        <v>3281</v>
      </c>
      <c r="C2273" t="s">
        <v>3969</v>
      </c>
      <c r="D2273" s="24">
        <v>0</v>
      </c>
      <c r="E2273" s="24">
        <v>0</v>
      </c>
      <c r="F2273" s="24">
        <v>0</v>
      </c>
      <c r="G2273" s="24">
        <v>0</v>
      </c>
      <c r="H2273" s="25">
        <v>0</v>
      </c>
      <c r="I2273">
        <v>5</v>
      </c>
      <c r="J2273" s="26">
        <v>0</v>
      </c>
      <c r="K2273" s="26">
        <v>0</v>
      </c>
      <c r="L2273" s="26">
        <v>0</v>
      </c>
      <c r="M2273">
        <v>5</v>
      </c>
      <c r="N2273">
        <v>0</v>
      </c>
      <c r="O2273">
        <v>5</v>
      </c>
      <c r="P2273" t="s">
        <v>52</v>
      </c>
      <c r="Q2273" t="s">
        <v>52</v>
      </c>
      <c r="R2273" t="s">
        <v>52</v>
      </c>
      <c r="S2273" t="s">
        <v>52</v>
      </c>
      <c r="T2273" t="s">
        <v>52</v>
      </c>
      <c r="U2273" t="s">
        <v>52</v>
      </c>
      <c r="V2273" t="s">
        <v>52</v>
      </c>
      <c r="W2273" t="s">
        <v>52</v>
      </c>
      <c r="X2273" s="18" t="s">
        <v>52</v>
      </c>
      <c r="Y2273" s="18" t="s">
        <v>52</v>
      </c>
      <c r="Z2273" s="18" t="s">
        <v>52</v>
      </c>
      <c r="AA2273" s="18" t="s">
        <v>52</v>
      </c>
      <c r="AB2273" t="s">
        <v>52</v>
      </c>
      <c r="AC2273" t="s">
        <v>52</v>
      </c>
      <c r="AD2273" t="s">
        <v>52</v>
      </c>
      <c r="AE2273" t="s">
        <v>52</v>
      </c>
      <c r="AF2273" s="18" t="s">
        <v>52</v>
      </c>
      <c r="AG2273" s="18" t="s">
        <v>52</v>
      </c>
      <c r="AH2273" s="18" t="s">
        <v>52</v>
      </c>
      <c r="AI2273" s="18" t="s">
        <v>52</v>
      </c>
      <c r="AJ2273">
        <v>1</v>
      </c>
      <c r="AK2273">
        <v>4</v>
      </c>
      <c r="AL2273">
        <v>3</v>
      </c>
      <c r="AM2273">
        <v>2</v>
      </c>
      <c r="AN2273" s="18">
        <v>0</v>
      </c>
      <c r="AO2273" s="18">
        <v>0</v>
      </c>
      <c r="AP2273" s="18">
        <v>0</v>
      </c>
      <c r="AQ2273" s="18">
        <v>0</v>
      </c>
      <c r="AR2273" s="29">
        <v>0</v>
      </c>
      <c r="AS2273" s="29">
        <v>0</v>
      </c>
      <c r="AT2273" s="29">
        <v>5</v>
      </c>
      <c r="AU2273" s="24" t="str">
        <f t="shared" si="36"/>
        <v>库存为5</v>
      </c>
      <c r="AV2273" s="31" t="str">
        <f>IFERROR(时间!$B$4+AU2273,"上周无销量")</f>
        <v>上周无销量</v>
      </c>
    </row>
    <row r="2274" spans="1:48">
      <c r="A2274" s="16" t="s">
        <v>3971</v>
      </c>
      <c r="B2274" t="s">
        <v>3283</v>
      </c>
      <c r="C2274" t="s">
        <v>3969</v>
      </c>
      <c r="D2274" s="24">
        <v>0</v>
      </c>
      <c r="E2274" s="24">
        <v>0</v>
      </c>
      <c r="F2274" s="24">
        <v>0</v>
      </c>
      <c r="G2274" s="24">
        <v>0</v>
      </c>
      <c r="H2274" s="25">
        <v>0</v>
      </c>
      <c r="I2274">
        <v>2</v>
      </c>
      <c r="J2274" s="26">
        <v>0</v>
      </c>
      <c r="K2274" s="26">
        <v>0</v>
      </c>
      <c r="L2274" s="26">
        <v>0</v>
      </c>
      <c r="M2274">
        <v>2</v>
      </c>
      <c r="N2274">
        <v>0</v>
      </c>
      <c r="O2274">
        <v>2</v>
      </c>
      <c r="P2274" t="s">
        <v>52</v>
      </c>
      <c r="Q2274" t="s">
        <v>52</v>
      </c>
      <c r="R2274" t="s">
        <v>52</v>
      </c>
      <c r="S2274" t="s">
        <v>52</v>
      </c>
      <c r="T2274" t="s">
        <v>52</v>
      </c>
      <c r="U2274" t="s">
        <v>52</v>
      </c>
      <c r="V2274" t="s">
        <v>52</v>
      </c>
      <c r="W2274" t="s">
        <v>52</v>
      </c>
      <c r="X2274" s="18" t="s">
        <v>52</v>
      </c>
      <c r="Y2274" s="18" t="s">
        <v>52</v>
      </c>
      <c r="Z2274" s="18" t="s">
        <v>52</v>
      </c>
      <c r="AA2274" s="18" t="s">
        <v>52</v>
      </c>
      <c r="AB2274" t="s">
        <v>52</v>
      </c>
      <c r="AC2274" t="s">
        <v>52</v>
      </c>
      <c r="AD2274" t="s">
        <v>52</v>
      </c>
      <c r="AE2274" t="s">
        <v>52</v>
      </c>
      <c r="AF2274" s="18" t="s">
        <v>52</v>
      </c>
      <c r="AG2274" s="18" t="s">
        <v>52</v>
      </c>
      <c r="AH2274" s="18" t="s">
        <v>52</v>
      </c>
      <c r="AI2274" s="18" t="s">
        <v>52</v>
      </c>
      <c r="AJ2274">
        <v>27</v>
      </c>
      <c r="AK2274">
        <v>17</v>
      </c>
      <c r="AL2274">
        <v>5</v>
      </c>
      <c r="AM2274">
        <v>4</v>
      </c>
      <c r="AN2274" s="18">
        <v>0</v>
      </c>
      <c r="AO2274" s="18">
        <v>0</v>
      </c>
      <c r="AP2274" s="18">
        <v>0</v>
      </c>
      <c r="AQ2274" s="18">
        <v>0</v>
      </c>
      <c r="AR2274" s="29">
        <v>0</v>
      </c>
      <c r="AS2274" s="29">
        <v>0</v>
      </c>
      <c r="AT2274" s="29">
        <v>2</v>
      </c>
      <c r="AU2274" s="24" t="str">
        <f t="shared" si="36"/>
        <v>库存为2</v>
      </c>
      <c r="AV2274" s="31" t="str">
        <f>IFERROR(时间!$B$4+AU2274,"上周无销量")</f>
        <v>上周无销量</v>
      </c>
    </row>
    <row r="2275" spans="1:48">
      <c r="A2275" s="16" t="s">
        <v>3972</v>
      </c>
      <c r="B2275" t="s">
        <v>3285</v>
      </c>
      <c r="C2275" t="s">
        <v>3969</v>
      </c>
      <c r="D2275" s="24">
        <v>0</v>
      </c>
      <c r="E2275" s="24">
        <v>0</v>
      </c>
      <c r="F2275" s="24">
        <v>0</v>
      </c>
      <c r="G2275" s="24">
        <v>0</v>
      </c>
      <c r="H2275" s="25">
        <v>0</v>
      </c>
      <c r="I2275">
        <v>1</v>
      </c>
      <c r="J2275" s="26">
        <v>0</v>
      </c>
      <c r="K2275" s="26">
        <v>0</v>
      </c>
      <c r="L2275" s="26">
        <v>0</v>
      </c>
      <c r="M2275">
        <v>1</v>
      </c>
      <c r="N2275">
        <v>0</v>
      </c>
      <c r="O2275">
        <v>1</v>
      </c>
      <c r="P2275" t="s">
        <v>52</v>
      </c>
      <c r="Q2275" t="s">
        <v>52</v>
      </c>
      <c r="R2275" t="s">
        <v>52</v>
      </c>
      <c r="S2275" t="s">
        <v>52</v>
      </c>
      <c r="T2275" t="s">
        <v>52</v>
      </c>
      <c r="U2275" t="s">
        <v>52</v>
      </c>
      <c r="V2275" t="s">
        <v>52</v>
      </c>
      <c r="W2275" t="s">
        <v>52</v>
      </c>
      <c r="X2275" s="18" t="s">
        <v>52</v>
      </c>
      <c r="Y2275" s="18" t="s">
        <v>52</v>
      </c>
      <c r="Z2275" s="18" t="s">
        <v>52</v>
      </c>
      <c r="AA2275" s="18" t="s">
        <v>52</v>
      </c>
      <c r="AB2275" t="s">
        <v>52</v>
      </c>
      <c r="AC2275" t="s">
        <v>52</v>
      </c>
      <c r="AD2275" t="s">
        <v>52</v>
      </c>
      <c r="AE2275" t="s">
        <v>52</v>
      </c>
      <c r="AF2275" s="18" t="s">
        <v>52</v>
      </c>
      <c r="AG2275" s="18" t="s">
        <v>52</v>
      </c>
      <c r="AH2275" s="18" t="s">
        <v>52</v>
      </c>
      <c r="AI2275" s="18" t="s">
        <v>52</v>
      </c>
      <c r="AJ2275">
        <v>0</v>
      </c>
      <c r="AK2275">
        <v>1</v>
      </c>
      <c r="AL2275">
        <v>0</v>
      </c>
      <c r="AM2275">
        <v>3</v>
      </c>
      <c r="AN2275" s="18" t="s">
        <v>52</v>
      </c>
      <c r="AO2275" s="18">
        <v>0</v>
      </c>
      <c r="AP2275" s="18" t="s">
        <v>52</v>
      </c>
      <c r="AQ2275" s="18">
        <v>0</v>
      </c>
      <c r="AR2275" s="29">
        <v>0</v>
      </c>
      <c r="AS2275" s="29">
        <v>0</v>
      </c>
      <c r="AT2275" s="29">
        <v>1</v>
      </c>
      <c r="AU2275" s="24" t="str">
        <f t="shared" si="36"/>
        <v>库存为1</v>
      </c>
      <c r="AV2275" s="31" t="str">
        <f>IFERROR(时间!$B$4+AU2275,"上周无销量")</f>
        <v>上周无销量</v>
      </c>
    </row>
    <row r="2276" spans="1:48">
      <c r="A2276" s="16" t="s">
        <v>3973</v>
      </c>
      <c r="B2276" t="s">
        <v>3287</v>
      </c>
      <c r="C2276" t="s">
        <v>3969</v>
      </c>
      <c r="D2276" s="24">
        <v>0</v>
      </c>
      <c r="E2276" s="24">
        <v>0</v>
      </c>
      <c r="F2276" s="24">
        <v>0</v>
      </c>
      <c r="G2276" s="24">
        <v>0</v>
      </c>
      <c r="H2276" s="25">
        <v>0</v>
      </c>
      <c r="I2276">
        <v>6</v>
      </c>
      <c r="J2276" s="26">
        <v>0</v>
      </c>
      <c r="K2276" s="26">
        <v>0</v>
      </c>
      <c r="L2276" s="26">
        <v>0</v>
      </c>
      <c r="M2276">
        <v>6</v>
      </c>
      <c r="N2276">
        <v>0</v>
      </c>
      <c r="O2276">
        <v>5</v>
      </c>
      <c r="P2276" t="s">
        <v>52</v>
      </c>
      <c r="Q2276" t="s">
        <v>52</v>
      </c>
      <c r="R2276" t="s">
        <v>52</v>
      </c>
      <c r="S2276" t="s">
        <v>52</v>
      </c>
      <c r="T2276" t="s">
        <v>52</v>
      </c>
      <c r="U2276" t="s">
        <v>52</v>
      </c>
      <c r="V2276" t="s">
        <v>52</v>
      </c>
      <c r="W2276" t="s">
        <v>52</v>
      </c>
      <c r="X2276" s="18" t="s">
        <v>52</v>
      </c>
      <c r="Y2276" s="18" t="s">
        <v>52</v>
      </c>
      <c r="Z2276" s="18" t="s">
        <v>52</v>
      </c>
      <c r="AA2276" s="18" t="s">
        <v>52</v>
      </c>
      <c r="AB2276" t="s">
        <v>52</v>
      </c>
      <c r="AC2276" t="s">
        <v>52</v>
      </c>
      <c r="AD2276" t="s">
        <v>52</v>
      </c>
      <c r="AE2276" t="s">
        <v>52</v>
      </c>
      <c r="AF2276" s="18" t="s">
        <v>52</v>
      </c>
      <c r="AG2276" s="18" t="s">
        <v>52</v>
      </c>
      <c r="AH2276" s="18" t="s">
        <v>52</v>
      </c>
      <c r="AI2276" s="18" t="s">
        <v>52</v>
      </c>
      <c r="AJ2276">
        <v>2</v>
      </c>
      <c r="AK2276">
        <v>3</v>
      </c>
      <c r="AL2276">
        <v>1</v>
      </c>
      <c r="AM2276">
        <v>1</v>
      </c>
      <c r="AN2276" s="18">
        <v>0</v>
      </c>
      <c r="AO2276" s="18">
        <v>0</v>
      </c>
      <c r="AP2276" s="18">
        <v>0</v>
      </c>
      <c r="AQ2276" s="18">
        <v>0</v>
      </c>
      <c r="AR2276" s="29">
        <v>0</v>
      </c>
      <c r="AS2276" s="29">
        <v>0</v>
      </c>
      <c r="AT2276" s="29">
        <v>6</v>
      </c>
      <c r="AU2276" s="24" t="str">
        <f t="shared" si="36"/>
        <v>库存为6</v>
      </c>
      <c r="AV2276" s="31" t="str">
        <f>IFERROR(时间!$B$4+AU2276,"上周无销量")</f>
        <v>上周无销量</v>
      </c>
    </row>
    <row r="2277" spans="1:48">
      <c r="A2277" s="16" t="s">
        <v>3974</v>
      </c>
      <c r="B2277" t="s">
        <v>3289</v>
      </c>
      <c r="C2277" t="s">
        <v>3969</v>
      </c>
      <c r="D2277" s="24">
        <v>0</v>
      </c>
      <c r="E2277" s="24">
        <v>0</v>
      </c>
      <c r="F2277" s="24">
        <v>0</v>
      </c>
      <c r="G2277" s="24">
        <v>0</v>
      </c>
      <c r="H2277" s="25">
        <v>0</v>
      </c>
      <c r="I2277">
        <v>6</v>
      </c>
      <c r="J2277" s="26">
        <v>0</v>
      </c>
      <c r="K2277" s="26">
        <v>0</v>
      </c>
      <c r="L2277" s="26">
        <v>0</v>
      </c>
      <c r="M2277">
        <v>6</v>
      </c>
      <c r="N2277">
        <v>0</v>
      </c>
      <c r="O2277">
        <v>6</v>
      </c>
      <c r="P2277" t="s">
        <v>52</v>
      </c>
      <c r="Q2277" t="s">
        <v>52</v>
      </c>
      <c r="R2277" t="s">
        <v>52</v>
      </c>
      <c r="S2277" t="s">
        <v>52</v>
      </c>
      <c r="T2277" t="s">
        <v>52</v>
      </c>
      <c r="U2277" t="s">
        <v>52</v>
      </c>
      <c r="V2277" t="s">
        <v>52</v>
      </c>
      <c r="W2277" t="s">
        <v>52</v>
      </c>
      <c r="X2277" s="18" t="s">
        <v>52</v>
      </c>
      <c r="Y2277" s="18" t="s">
        <v>52</v>
      </c>
      <c r="Z2277" s="18" t="s">
        <v>52</v>
      </c>
      <c r="AA2277" s="18" t="s">
        <v>52</v>
      </c>
      <c r="AB2277" t="s">
        <v>52</v>
      </c>
      <c r="AC2277" t="s">
        <v>52</v>
      </c>
      <c r="AD2277" t="s">
        <v>52</v>
      </c>
      <c r="AE2277" t="s">
        <v>52</v>
      </c>
      <c r="AF2277" s="18" t="s">
        <v>52</v>
      </c>
      <c r="AG2277" s="18" t="s">
        <v>52</v>
      </c>
      <c r="AH2277" s="18" t="s">
        <v>52</v>
      </c>
      <c r="AI2277" s="18" t="s">
        <v>52</v>
      </c>
      <c r="AJ2277">
        <v>2</v>
      </c>
      <c r="AK2277">
        <v>3</v>
      </c>
      <c r="AL2277">
        <v>3</v>
      </c>
      <c r="AM2277">
        <v>3</v>
      </c>
      <c r="AN2277" s="18">
        <v>0</v>
      </c>
      <c r="AO2277" s="18">
        <v>0</v>
      </c>
      <c r="AP2277" s="18">
        <v>0</v>
      </c>
      <c r="AQ2277" s="18">
        <v>0</v>
      </c>
      <c r="AR2277" s="29">
        <v>0</v>
      </c>
      <c r="AS2277" s="29">
        <v>0</v>
      </c>
      <c r="AT2277" s="29">
        <v>6</v>
      </c>
      <c r="AU2277" s="24" t="str">
        <f t="shared" si="36"/>
        <v>库存为6</v>
      </c>
      <c r="AV2277" s="31" t="str">
        <f>IFERROR(时间!$B$4+AU2277,"上周无销量")</f>
        <v>上周无销量</v>
      </c>
    </row>
    <row r="2278" spans="1:48">
      <c r="A2278" s="16" t="s">
        <v>3975</v>
      </c>
      <c r="B2278" t="s">
        <v>3291</v>
      </c>
      <c r="C2278" t="s">
        <v>3969</v>
      </c>
      <c r="D2278" s="24">
        <v>0</v>
      </c>
      <c r="E2278" s="24">
        <v>0</v>
      </c>
      <c r="F2278" s="24">
        <v>0</v>
      </c>
      <c r="G2278" s="24">
        <v>0</v>
      </c>
      <c r="H2278" s="25">
        <v>0</v>
      </c>
      <c r="I2278">
        <v>0</v>
      </c>
      <c r="J2278" s="26">
        <v>0</v>
      </c>
      <c r="K2278" s="26">
        <v>0</v>
      </c>
      <c r="L2278" s="26">
        <v>0</v>
      </c>
      <c r="M2278">
        <v>0</v>
      </c>
      <c r="N2278">
        <v>0</v>
      </c>
      <c r="O2278">
        <v>0</v>
      </c>
      <c r="P2278" t="s">
        <v>52</v>
      </c>
      <c r="Q2278" t="s">
        <v>52</v>
      </c>
      <c r="R2278" t="s">
        <v>52</v>
      </c>
      <c r="S2278" t="s">
        <v>52</v>
      </c>
      <c r="T2278" t="s">
        <v>52</v>
      </c>
      <c r="U2278" t="s">
        <v>52</v>
      </c>
      <c r="V2278" t="s">
        <v>52</v>
      </c>
      <c r="W2278" t="s">
        <v>52</v>
      </c>
      <c r="X2278" s="18" t="s">
        <v>52</v>
      </c>
      <c r="Y2278" s="18" t="s">
        <v>52</v>
      </c>
      <c r="Z2278" s="18" t="s">
        <v>52</v>
      </c>
      <c r="AA2278" s="18" t="s">
        <v>52</v>
      </c>
      <c r="AB2278" t="s">
        <v>52</v>
      </c>
      <c r="AC2278" t="s">
        <v>52</v>
      </c>
      <c r="AD2278" t="s">
        <v>52</v>
      </c>
      <c r="AE2278" t="s">
        <v>52</v>
      </c>
      <c r="AF2278" s="18" t="s">
        <v>52</v>
      </c>
      <c r="AG2278" s="18" t="s">
        <v>52</v>
      </c>
      <c r="AH2278" s="18" t="s">
        <v>52</v>
      </c>
      <c r="AI2278" s="18" t="s">
        <v>52</v>
      </c>
      <c r="AJ2278">
        <v>0</v>
      </c>
      <c r="AK2278">
        <v>0</v>
      </c>
      <c r="AL2278">
        <v>0</v>
      </c>
      <c r="AM2278">
        <v>0</v>
      </c>
      <c r="AN2278" s="18" t="s">
        <v>52</v>
      </c>
      <c r="AO2278" s="18" t="s">
        <v>52</v>
      </c>
      <c r="AP2278" s="18" t="s">
        <v>52</v>
      </c>
      <c r="AQ2278" s="18" t="s">
        <v>52</v>
      </c>
      <c r="AR2278" s="29">
        <v>0</v>
      </c>
      <c r="AS2278" s="29">
        <v>0</v>
      </c>
      <c r="AT2278" s="29">
        <v>0</v>
      </c>
      <c r="AU2278" s="24" t="str">
        <f t="shared" si="36"/>
        <v>库存为0</v>
      </c>
      <c r="AV2278" s="31" t="str">
        <f>IFERROR(时间!$B$4+AU2278,"上周无销量")</f>
        <v>上周无销量</v>
      </c>
    </row>
    <row r="2279" spans="1:48">
      <c r="A2279" s="16" t="s">
        <v>3976</v>
      </c>
      <c r="B2279" t="s">
        <v>3293</v>
      </c>
      <c r="C2279" t="s">
        <v>3969</v>
      </c>
      <c r="D2279" s="24">
        <v>0</v>
      </c>
      <c r="E2279" s="24">
        <v>0</v>
      </c>
      <c r="F2279" s="24">
        <v>0</v>
      </c>
      <c r="G2279" s="24">
        <v>0</v>
      </c>
      <c r="H2279" s="25">
        <v>0</v>
      </c>
      <c r="I2279">
        <v>5</v>
      </c>
      <c r="J2279" s="26">
        <v>0</v>
      </c>
      <c r="K2279" s="26">
        <v>0</v>
      </c>
      <c r="L2279" s="26">
        <v>0</v>
      </c>
      <c r="M2279">
        <v>5</v>
      </c>
      <c r="N2279">
        <v>0</v>
      </c>
      <c r="O2279">
        <v>5</v>
      </c>
      <c r="P2279">
        <v>449</v>
      </c>
      <c r="Q2279">
        <v>183</v>
      </c>
      <c r="R2279">
        <v>257</v>
      </c>
      <c r="S2279">
        <v>233</v>
      </c>
      <c r="T2279">
        <v>0</v>
      </c>
      <c r="U2279">
        <v>0</v>
      </c>
      <c r="V2279">
        <v>0</v>
      </c>
      <c r="W2279">
        <v>1</v>
      </c>
      <c r="X2279" s="18">
        <v>0</v>
      </c>
      <c r="Y2279" s="18">
        <v>0</v>
      </c>
      <c r="Z2279" s="18">
        <v>0</v>
      </c>
      <c r="AA2279" s="18">
        <v>0.00429184549356223</v>
      </c>
      <c r="AB2279">
        <v>0</v>
      </c>
      <c r="AC2279">
        <v>0</v>
      </c>
      <c r="AD2279">
        <v>0</v>
      </c>
      <c r="AE2279">
        <v>0.93</v>
      </c>
      <c r="AF2279" s="18" t="s">
        <v>52</v>
      </c>
      <c r="AG2279" s="18" t="s">
        <v>52</v>
      </c>
      <c r="AH2279" s="18" t="s">
        <v>52</v>
      </c>
      <c r="AI2279" s="18" t="s">
        <v>3977</v>
      </c>
      <c r="AJ2279">
        <v>1</v>
      </c>
      <c r="AK2279">
        <v>2</v>
      </c>
      <c r="AL2279">
        <v>4</v>
      </c>
      <c r="AM2279">
        <v>2</v>
      </c>
      <c r="AN2279" s="18">
        <v>0</v>
      </c>
      <c r="AO2279" s="18">
        <v>0</v>
      </c>
      <c r="AP2279" s="18">
        <v>0</v>
      </c>
      <c r="AQ2279" s="18">
        <v>0</v>
      </c>
      <c r="AR2279" s="29">
        <v>0</v>
      </c>
      <c r="AS2279" s="29">
        <v>0</v>
      </c>
      <c r="AT2279" s="29">
        <v>5</v>
      </c>
      <c r="AU2279" s="24" t="str">
        <f t="shared" si="36"/>
        <v>库存为5</v>
      </c>
      <c r="AV2279" s="31" t="str">
        <f>IFERROR(时间!$B$4+AU2279,"上周无销量")</f>
        <v>上周无销量</v>
      </c>
    </row>
    <row r="2280" spans="1:48">
      <c r="A2280" s="16" t="s">
        <v>3978</v>
      </c>
      <c r="B2280" t="s">
        <v>3295</v>
      </c>
      <c r="C2280" t="s">
        <v>3969</v>
      </c>
      <c r="D2280" s="24">
        <v>1</v>
      </c>
      <c r="E2280" s="24">
        <v>0</v>
      </c>
      <c r="F2280" s="24">
        <v>0</v>
      </c>
      <c r="G2280" s="24">
        <v>0</v>
      </c>
      <c r="H2280" s="25">
        <v>23.98</v>
      </c>
      <c r="I2280">
        <v>5</v>
      </c>
      <c r="J2280" s="26">
        <v>0</v>
      </c>
      <c r="K2280" s="26">
        <v>0</v>
      </c>
      <c r="L2280" s="26">
        <v>0</v>
      </c>
      <c r="M2280">
        <v>5</v>
      </c>
      <c r="N2280">
        <v>0</v>
      </c>
      <c r="O2280">
        <v>5</v>
      </c>
      <c r="P2280" t="s">
        <v>52</v>
      </c>
      <c r="Q2280" t="s">
        <v>52</v>
      </c>
      <c r="R2280" t="s">
        <v>52</v>
      </c>
      <c r="S2280" t="s">
        <v>52</v>
      </c>
      <c r="T2280" t="s">
        <v>52</v>
      </c>
      <c r="U2280" t="s">
        <v>52</v>
      </c>
      <c r="V2280" t="s">
        <v>52</v>
      </c>
      <c r="W2280" t="s">
        <v>52</v>
      </c>
      <c r="X2280" s="18" t="s">
        <v>52</v>
      </c>
      <c r="Y2280" s="18" t="s">
        <v>52</v>
      </c>
      <c r="Z2280" s="18" t="s">
        <v>52</v>
      </c>
      <c r="AA2280" s="18" t="s">
        <v>52</v>
      </c>
      <c r="AB2280" t="s">
        <v>52</v>
      </c>
      <c r="AC2280" t="s">
        <v>52</v>
      </c>
      <c r="AD2280" t="s">
        <v>52</v>
      </c>
      <c r="AE2280" t="s">
        <v>52</v>
      </c>
      <c r="AF2280" s="18" t="s">
        <v>52</v>
      </c>
      <c r="AG2280" s="18" t="s">
        <v>52</v>
      </c>
      <c r="AH2280" s="18" t="s">
        <v>52</v>
      </c>
      <c r="AI2280" s="18" t="s">
        <v>52</v>
      </c>
      <c r="AJ2280">
        <v>4</v>
      </c>
      <c r="AK2280">
        <v>4</v>
      </c>
      <c r="AL2280">
        <v>6</v>
      </c>
      <c r="AM2280">
        <v>0</v>
      </c>
      <c r="AN2280" s="18">
        <v>0.25</v>
      </c>
      <c r="AO2280" s="18">
        <v>0</v>
      </c>
      <c r="AP2280" s="18">
        <v>0</v>
      </c>
      <c r="AQ2280" s="18" t="s">
        <v>52</v>
      </c>
      <c r="AR2280" s="29">
        <v>0.142857142857143</v>
      </c>
      <c r="AS2280" s="29">
        <v>8.57142857142857</v>
      </c>
      <c r="AT2280" s="29">
        <v>-3.57142857142857</v>
      </c>
      <c r="AU2280" s="24">
        <f t="shared" si="36"/>
        <v>35</v>
      </c>
      <c r="AV2280" s="31">
        <f>IFERROR(时间!$B$4+AU2280,"上周无销量")</f>
        <v>43353</v>
      </c>
    </row>
    <row r="2281" spans="1:48">
      <c r="A2281" s="16" t="s">
        <v>3979</v>
      </c>
      <c r="B2281" t="s">
        <v>3297</v>
      </c>
      <c r="C2281" t="s">
        <v>3969</v>
      </c>
      <c r="D2281" s="24">
        <v>1</v>
      </c>
      <c r="E2281" s="24">
        <v>0</v>
      </c>
      <c r="F2281" s="24">
        <v>0</v>
      </c>
      <c r="G2281" s="24">
        <v>0</v>
      </c>
      <c r="H2281" s="25">
        <v>23.98</v>
      </c>
      <c r="I2281">
        <v>7</v>
      </c>
      <c r="J2281" s="26">
        <v>0</v>
      </c>
      <c r="K2281" s="26">
        <v>0</v>
      </c>
      <c r="L2281" s="26">
        <v>0</v>
      </c>
      <c r="M2281">
        <v>7</v>
      </c>
      <c r="N2281">
        <v>0</v>
      </c>
      <c r="O2281">
        <v>7</v>
      </c>
      <c r="P2281" t="s">
        <v>52</v>
      </c>
      <c r="Q2281" t="s">
        <v>52</v>
      </c>
      <c r="R2281" t="s">
        <v>52</v>
      </c>
      <c r="S2281" t="s">
        <v>52</v>
      </c>
      <c r="T2281" t="s">
        <v>52</v>
      </c>
      <c r="U2281" t="s">
        <v>52</v>
      </c>
      <c r="V2281" t="s">
        <v>52</v>
      </c>
      <c r="W2281" t="s">
        <v>52</v>
      </c>
      <c r="X2281" s="18" t="s">
        <v>52</v>
      </c>
      <c r="Y2281" s="18" t="s">
        <v>52</v>
      </c>
      <c r="Z2281" s="18" t="s">
        <v>52</v>
      </c>
      <c r="AA2281" s="18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s="18" t="s">
        <v>52</v>
      </c>
      <c r="AG2281" s="18" t="s">
        <v>52</v>
      </c>
      <c r="AH2281" s="18" t="s">
        <v>52</v>
      </c>
      <c r="AI2281" s="18" t="s">
        <v>52</v>
      </c>
      <c r="AJ2281">
        <v>3</v>
      </c>
      <c r="AK2281">
        <v>4</v>
      </c>
      <c r="AL2281">
        <v>3</v>
      </c>
      <c r="AM2281">
        <v>2</v>
      </c>
      <c r="AN2281" s="18">
        <v>0.333333333333333</v>
      </c>
      <c r="AO2281" s="18">
        <v>0</v>
      </c>
      <c r="AP2281" s="18">
        <v>0</v>
      </c>
      <c r="AQ2281" s="18">
        <v>0</v>
      </c>
      <c r="AR2281" s="29">
        <v>0.142857142857143</v>
      </c>
      <c r="AS2281" s="29">
        <v>8.57142857142857</v>
      </c>
      <c r="AT2281" s="29">
        <v>-1.57142857142857</v>
      </c>
      <c r="AU2281" s="24">
        <f t="shared" si="36"/>
        <v>49</v>
      </c>
      <c r="AV2281" s="31">
        <f>IFERROR(时间!$B$4+AU2281,"上周无销量")</f>
        <v>43367</v>
      </c>
    </row>
    <row r="2282" spans="1:48">
      <c r="A2282" s="16" t="s">
        <v>3980</v>
      </c>
      <c r="B2282" t="s">
        <v>3299</v>
      </c>
      <c r="C2282" t="s">
        <v>3969</v>
      </c>
      <c r="D2282" s="24">
        <v>0</v>
      </c>
      <c r="E2282" s="24">
        <v>0</v>
      </c>
      <c r="F2282" s="24">
        <v>0</v>
      </c>
      <c r="G2282" s="24">
        <v>0</v>
      </c>
      <c r="H2282" s="25">
        <v>0</v>
      </c>
      <c r="I2282">
        <v>4</v>
      </c>
      <c r="J2282" s="26">
        <v>0</v>
      </c>
      <c r="K2282" s="26">
        <v>0</v>
      </c>
      <c r="L2282" s="26">
        <v>0</v>
      </c>
      <c r="M2282">
        <v>4</v>
      </c>
      <c r="N2282">
        <v>0</v>
      </c>
      <c r="O2282">
        <v>4</v>
      </c>
      <c r="P2282" t="s">
        <v>52</v>
      </c>
      <c r="Q2282" t="s">
        <v>52</v>
      </c>
      <c r="R2282" t="s">
        <v>52</v>
      </c>
      <c r="S2282" t="s">
        <v>52</v>
      </c>
      <c r="T2282" t="s">
        <v>52</v>
      </c>
      <c r="U2282" t="s">
        <v>52</v>
      </c>
      <c r="V2282" t="s">
        <v>52</v>
      </c>
      <c r="W2282" t="s">
        <v>52</v>
      </c>
      <c r="X2282" s="18" t="s">
        <v>52</v>
      </c>
      <c r="Y2282" s="18" t="s">
        <v>52</v>
      </c>
      <c r="Z2282" s="18" t="s">
        <v>52</v>
      </c>
      <c r="AA2282" s="18" t="s">
        <v>52</v>
      </c>
      <c r="AB2282" t="s">
        <v>52</v>
      </c>
      <c r="AC2282" t="s">
        <v>52</v>
      </c>
      <c r="AD2282" t="s">
        <v>52</v>
      </c>
      <c r="AE2282" t="s">
        <v>52</v>
      </c>
      <c r="AF2282" s="18" t="s">
        <v>52</v>
      </c>
      <c r="AG2282" s="18" t="s">
        <v>52</v>
      </c>
      <c r="AH2282" s="18" t="s">
        <v>52</v>
      </c>
      <c r="AI2282" s="18" t="s">
        <v>52</v>
      </c>
      <c r="AJ2282">
        <v>3</v>
      </c>
      <c r="AK2282">
        <v>1</v>
      </c>
      <c r="AL2282">
        <v>1</v>
      </c>
      <c r="AM2282">
        <v>2</v>
      </c>
      <c r="AN2282" s="18">
        <v>0</v>
      </c>
      <c r="AO2282" s="18">
        <v>0</v>
      </c>
      <c r="AP2282" s="18">
        <v>0</v>
      </c>
      <c r="AQ2282" s="18">
        <v>0</v>
      </c>
      <c r="AR2282" s="29">
        <v>0</v>
      </c>
      <c r="AS2282" s="29">
        <v>0</v>
      </c>
      <c r="AT2282" s="29">
        <v>4</v>
      </c>
      <c r="AU2282" s="24" t="str">
        <f t="shared" si="36"/>
        <v>库存为4</v>
      </c>
      <c r="AV2282" s="31" t="str">
        <f>IFERROR(时间!$B$4+AU2282,"上周无销量")</f>
        <v>上周无销量</v>
      </c>
    </row>
    <row r="2283" spans="1:48">
      <c r="A2283" s="16" t="s">
        <v>3981</v>
      </c>
      <c r="B2283" t="s">
        <v>3301</v>
      </c>
      <c r="C2283" t="s">
        <v>3969</v>
      </c>
      <c r="D2283" s="24">
        <v>0</v>
      </c>
      <c r="E2283" s="24">
        <v>0</v>
      </c>
      <c r="F2283" s="24">
        <v>0</v>
      </c>
      <c r="G2283" s="24">
        <v>0</v>
      </c>
      <c r="H2283" s="25">
        <v>0</v>
      </c>
      <c r="I2283">
        <v>5</v>
      </c>
      <c r="J2283" s="26">
        <v>0</v>
      </c>
      <c r="K2283" s="26">
        <v>0</v>
      </c>
      <c r="L2283" s="26">
        <v>0</v>
      </c>
      <c r="M2283">
        <v>5</v>
      </c>
      <c r="N2283">
        <v>0</v>
      </c>
      <c r="O2283">
        <v>5</v>
      </c>
      <c r="P2283" t="s">
        <v>52</v>
      </c>
      <c r="Q2283" t="s">
        <v>52</v>
      </c>
      <c r="R2283" t="s">
        <v>52</v>
      </c>
      <c r="S2283" t="s">
        <v>52</v>
      </c>
      <c r="T2283" t="s">
        <v>52</v>
      </c>
      <c r="U2283" t="s">
        <v>52</v>
      </c>
      <c r="V2283" t="s">
        <v>52</v>
      </c>
      <c r="W2283" t="s">
        <v>52</v>
      </c>
      <c r="X2283" s="18" t="s">
        <v>52</v>
      </c>
      <c r="Y2283" s="18" t="s">
        <v>52</v>
      </c>
      <c r="Z2283" s="18" t="s">
        <v>52</v>
      </c>
      <c r="AA2283" s="18" t="s">
        <v>52</v>
      </c>
      <c r="AB2283" t="s">
        <v>52</v>
      </c>
      <c r="AC2283" t="s">
        <v>52</v>
      </c>
      <c r="AD2283" t="s">
        <v>52</v>
      </c>
      <c r="AE2283" t="s">
        <v>52</v>
      </c>
      <c r="AF2283" s="18" t="s">
        <v>52</v>
      </c>
      <c r="AG2283" s="18" t="s">
        <v>52</v>
      </c>
      <c r="AH2283" s="18" t="s">
        <v>52</v>
      </c>
      <c r="AI2283" s="18" t="s">
        <v>52</v>
      </c>
      <c r="AJ2283">
        <v>2</v>
      </c>
      <c r="AK2283">
        <v>1</v>
      </c>
      <c r="AL2283">
        <v>1</v>
      </c>
      <c r="AM2283">
        <v>3</v>
      </c>
      <c r="AN2283" s="18">
        <v>0</v>
      </c>
      <c r="AO2283" s="18">
        <v>0</v>
      </c>
      <c r="AP2283" s="18">
        <v>0</v>
      </c>
      <c r="AQ2283" s="18">
        <v>0</v>
      </c>
      <c r="AR2283" s="29">
        <v>0</v>
      </c>
      <c r="AS2283" s="29">
        <v>0</v>
      </c>
      <c r="AT2283" s="29">
        <v>5</v>
      </c>
      <c r="AU2283" s="24" t="str">
        <f t="shared" si="36"/>
        <v>库存为5</v>
      </c>
      <c r="AV2283" s="31" t="str">
        <f>IFERROR(时间!$B$4+AU2283,"上周无销量")</f>
        <v>上周无销量</v>
      </c>
    </row>
    <row r="2284" spans="1:48">
      <c r="A2284" s="16" t="s">
        <v>3982</v>
      </c>
      <c r="B2284" t="s">
        <v>3303</v>
      </c>
      <c r="C2284" t="s">
        <v>3969</v>
      </c>
      <c r="D2284" s="24">
        <v>0</v>
      </c>
      <c r="E2284" s="24">
        <v>0</v>
      </c>
      <c r="F2284" s="24">
        <v>0</v>
      </c>
      <c r="G2284" s="24">
        <v>0</v>
      </c>
      <c r="H2284" s="25">
        <v>0</v>
      </c>
      <c r="I2284">
        <v>6</v>
      </c>
      <c r="J2284" s="26">
        <v>0</v>
      </c>
      <c r="K2284" s="26">
        <v>0</v>
      </c>
      <c r="L2284" s="26">
        <v>0</v>
      </c>
      <c r="M2284">
        <v>6</v>
      </c>
      <c r="N2284">
        <v>0</v>
      </c>
      <c r="O2284">
        <v>6</v>
      </c>
      <c r="P2284" t="s">
        <v>52</v>
      </c>
      <c r="Q2284" t="s">
        <v>52</v>
      </c>
      <c r="R2284" t="s">
        <v>52</v>
      </c>
      <c r="S2284" t="s">
        <v>52</v>
      </c>
      <c r="T2284" t="s">
        <v>52</v>
      </c>
      <c r="U2284" t="s">
        <v>52</v>
      </c>
      <c r="V2284" t="s">
        <v>52</v>
      </c>
      <c r="W2284" t="s">
        <v>52</v>
      </c>
      <c r="X2284" s="18" t="s">
        <v>52</v>
      </c>
      <c r="Y2284" s="18" t="s">
        <v>52</v>
      </c>
      <c r="Z2284" s="18" t="s">
        <v>52</v>
      </c>
      <c r="AA2284" s="18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s="18" t="s">
        <v>52</v>
      </c>
      <c r="AG2284" s="18" t="s">
        <v>52</v>
      </c>
      <c r="AH2284" s="18" t="s">
        <v>52</v>
      </c>
      <c r="AI2284" s="18" t="s">
        <v>52</v>
      </c>
      <c r="AJ2284">
        <v>4</v>
      </c>
      <c r="AK2284">
        <v>3</v>
      </c>
      <c r="AL2284">
        <v>4</v>
      </c>
      <c r="AM2284">
        <v>4</v>
      </c>
      <c r="AN2284" s="18">
        <v>0</v>
      </c>
      <c r="AO2284" s="18">
        <v>0</v>
      </c>
      <c r="AP2284" s="18">
        <v>0</v>
      </c>
      <c r="AQ2284" s="18">
        <v>0</v>
      </c>
      <c r="AR2284" s="29">
        <v>0</v>
      </c>
      <c r="AS2284" s="29">
        <v>0</v>
      </c>
      <c r="AT2284" s="29">
        <v>6</v>
      </c>
      <c r="AU2284" s="24" t="str">
        <f t="shared" si="36"/>
        <v>库存为6</v>
      </c>
      <c r="AV2284" s="31" t="str">
        <f>IFERROR(时间!$B$4+AU2284,"上周无销量")</f>
        <v>上周无销量</v>
      </c>
    </row>
    <row r="2285" spans="1:48">
      <c r="A2285" s="16" t="s">
        <v>3983</v>
      </c>
      <c r="B2285" t="s">
        <v>3305</v>
      </c>
      <c r="C2285" t="s">
        <v>3969</v>
      </c>
      <c r="D2285" s="24">
        <v>0</v>
      </c>
      <c r="E2285" s="24">
        <v>0</v>
      </c>
      <c r="F2285" s="24">
        <v>0</v>
      </c>
      <c r="G2285" s="24">
        <v>0</v>
      </c>
      <c r="H2285" s="25">
        <v>0</v>
      </c>
      <c r="I2285">
        <v>9</v>
      </c>
      <c r="J2285" s="26">
        <v>0</v>
      </c>
      <c r="K2285" s="26">
        <v>0</v>
      </c>
      <c r="L2285" s="26">
        <v>0</v>
      </c>
      <c r="M2285">
        <v>9</v>
      </c>
      <c r="N2285">
        <v>0</v>
      </c>
      <c r="O2285">
        <v>9</v>
      </c>
      <c r="P2285" t="s">
        <v>52</v>
      </c>
      <c r="Q2285" t="s">
        <v>52</v>
      </c>
      <c r="R2285" t="s">
        <v>52</v>
      </c>
      <c r="S2285" t="s">
        <v>52</v>
      </c>
      <c r="T2285" t="s">
        <v>52</v>
      </c>
      <c r="U2285" t="s">
        <v>52</v>
      </c>
      <c r="V2285" t="s">
        <v>52</v>
      </c>
      <c r="W2285" t="s">
        <v>52</v>
      </c>
      <c r="X2285" s="18" t="s">
        <v>52</v>
      </c>
      <c r="Y2285" s="18" t="s">
        <v>52</v>
      </c>
      <c r="Z2285" s="18" t="s">
        <v>52</v>
      </c>
      <c r="AA2285" s="18" t="s">
        <v>52</v>
      </c>
      <c r="AB2285" t="s">
        <v>52</v>
      </c>
      <c r="AC2285" t="s">
        <v>52</v>
      </c>
      <c r="AD2285" t="s">
        <v>52</v>
      </c>
      <c r="AE2285" t="s">
        <v>52</v>
      </c>
      <c r="AF2285" s="18" t="s">
        <v>52</v>
      </c>
      <c r="AG2285" s="18" t="s">
        <v>52</v>
      </c>
      <c r="AH2285" s="18" t="s">
        <v>52</v>
      </c>
      <c r="AI2285" s="18" t="s">
        <v>52</v>
      </c>
      <c r="AJ2285">
        <v>1</v>
      </c>
      <c r="AK2285">
        <v>1</v>
      </c>
      <c r="AL2285">
        <v>3</v>
      </c>
      <c r="AM2285">
        <v>2</v>
      </c>
      <c r="AN2285" s="18">
        <v>0</v>
      </c>
      <c r="AO2285" s="18">
        <v>0</v>
      </c>
      <c r="AP2285" s="18">
        <v>0</v>
      </c>
      <c r="AQ2285" s="18">
        <v>0</v>
      </c>
      <c r="AR2285" s="29">
        <v>0</v>
      </c>
      <c r="AS2285" s="29">
        <v>0</v>
      </c>
      <c r="AT2285" s="29">
        <v>9</v>
      </c>
      <c r="AU2285" s="24" t="str">
        <f t="shared" si="36"/>
        <v>库存为9</v>
      </c>
      <c r="AV2285" s="31" t="str">
        <f>IFERROR(时间!$B$4+AU2285,"上周无销量")</f>
        <v>上周无销量</v>
      </c>
    </row>
    <row r="2286" spans="1:48">
      <c r="A2286" s="16" t="s">
        <v>3984</v>
      </c>
      <c r="B2286" t="s">
        <v>3307</v>
      </c>
      <c r="C2286" t="s">
        <v>3969</v>
      </c>
      <c r="D2286" s="24">
        <v>0</v>
      </c>
      <c r="E2286" s="24">
        <v>0</v>
      </c>
      <c r="F2286" s="24">
        <v>0</v>
      </c>
      <c r="G2286" s="24">
        <v>0</v>
      </c>
      <c r="H2286" s="25">
        <v>0</v>
      </c>
      <c r="I2286">
        <v>5</v>
      </c>
      <c r="J2286" s="26">
        <v>0</v>
      </c>
      <c r="K2286" s="26">
        <v>0</v>
      </c>
      <c r="L2286" s="26">
        <v>0</v>
      </c>
      <c r="M2286">
        <v>5</v>
      </c>
      <c r="N2286">
        <v>0</v>
      </c>
      <c r="O2286">
        <v>5</v>
      </c>
      <c r="P2286" t="s">
        <v>52</v>
      </c>
      <c r="Q2286" t="s">
        <v>52</v>
      </c>
      <c r="R2286" t="s">
        <v>52</v>
      </c>
      <c r="S2286" t="s">
        <v>52</v>
      </c>
      <c r="T2286" t="s">
        <v>52</v>
      </c>
      <c r="U2286" t="s">
        <v>52</v>
      </c>
      <c r="V2286" t="s">
        <v>52</v>
      </c>
      <c r="W2286" t="s">
        <v>52</v>
      </c>
      <c r="X2286" s="18" t="s">
        <v>52</v>
      </c>
      <c r="Y2286" s="18" t="s">
        <v>52</v>
      </c>
      <c r="Z2286" s="18" t="s">
        <v>52</v>
      </c>
      <c r="AA2286" s="18" t="s">
        <v>52</v>
      </c>
      <c r="AB2286" t="s">
        <v>52</v>
      </c>
      <c r="AC2286" t="s">
        <v>52</v>
      </c>
      <c r="AD2286" t="s">
        <v>52</v>
      </c>
      <c r="AE2286" t="s">
        <v>52</v>
      </c>
      <c r="AF2286" s="18" t="s">
        <v>52</v>
      </c>
      <c r="AG2286" s="18" t="s">
        <v>52</v>
      </c>
      <c r="AH2286" s="18" t="s">
        <v>52</v>
      </c>
      <c r="AI2286" s="18" t="s">
        <v>52</v>
      </c>
      <c r="AJ2286">
        <v>5</v>
      </c>
      <c r="AK2286">
        <v>0</v>
      </c>
      <c r="AL2286">
        <v>2</v>
      </c>
      <c r="AM2286">
        <v>1</v>
      </c>
      <c r="AN2286" s="18">
        <v>0</v>
      </c>
      <c r="AO2286" s="18" t="s">
        <v>52</v>
      </c>
      <c r="AP2286" s="18">
        <v>0</v>
      </c>
      <c r="AQ2286" s="18">
        <v>0</v>
      </c>
      <c r="AR2286" s="29">
        <v>0</v>
      </c>
      <c r="AS2286" s="29">
        <v>0</v>
      </c>
      <c r="AT2286" s="29">
        <v>5</v>
      </c>
      <c r="AU2286" s="24" t="str">
        <f t="shared" si="36"/>
        <v>库存为5</v>
      </c>
      <c r="AV2286" s="31" t="str">
        <f>IFERROR(时间!$B$4+AU2286,"上周无销量")</f>
        <v>上周无销量</v>
      </c>
    </row>
    <row r="2287" spans="1:48">
      <c r="A2287" s="16" t="s">
        <v>3985</v>
      </c>
      <c r="B2287" t="s">
        <v>3309</v>
      </c>
      <c r="C2287" t="s">
        <v>3969</v>
      </c>
      <c r="D2287" s="24">
        <v>0</v>
      </c>
      <c r="E2287" s="24">
        <v>0</v>
      </c>
      <c r="F2287" s="24">
        <v>0</v>
      </c>
      <c r="G2287" s="24">
        <v>0</v>
      </c>
      <c r="H2287" s="25">
        <v>0</v>
      </c>
      <c r="I2287">
        <v>8</v>
      </c>
      <c r="J2287" s="26">
        <v>0</v>
      </c>
      <c r="K2287" s="26">
        <v>0</v>
      </c>
      <c r="L2287" s="26">
        <v>0</v>
      </c>
      <c r="M2287">
        <v>8</v>
      </c>
      <c r="N2287">
        <v>0</v>
      </c>
      <c r="O2287">
        <v>8</v>
      </c>
      <c r="P2287" t="s">
        <v>52</v>
      </c>
      <c r="Q2287" t="s">
        <v>52</v>
      </c>
      <c r="R2287" t="s">
        <v>52</v>
      </c>
      <c r="S2287" t="s">
        <v>52</v>
      </c>
      <c r="T2287" t="s">
        <v>52</v>
      </c>
      <c r="U2287" t="s">
        <v>52</v>
      </c>
      <c r="V2287" t="s">
        <v>52</v>
      </c>
      <c r="W2287" t="s">
        <v>52</v>
      </c>
      <c r="X2287" s="18" t="s">
        <v>52</v>
      </c>
      <c r="Y2287" s="18" t="s">
        <v>52</v>
      </c>
      <c r="Z2287" s="18" t="s">
        <v>52</v>
      </c>
      <c r="AA2287" s="18" t="s">
        <v>52</v>
      </c>
      <c r="AB2287" t="s">
        <v>52</v>
      </c>
      <c r="AC2287" t="s">
        <v>52</v>
      </c>
      <c r="AD2287" t="s">
        <v>52</v>
      </c>
      <c r="AE2287" t="s">
        <v>52</v>
      </c>
      <c r="AF2287" s="18" t="s">
        <v>52</v>
      </c>
      <c r="AG2287" s="18" t="s">
        <v>52</v>
      </c>
      <c r="AH2287" s="18" t="s">
        <v>52</v>
      </c>
      <c r="AI2287" s="18" t="s">
        <v>52</v>
      </c>
      <c r="AJ2287">
        <v>0</v>
      </c>
      <c r="AK2287">
        <v>2</v>
      </c>
      <c r="AL2287">
        <v>1</v>
      </c>
      <c r="AM2287">
        <v>2</v>
      </c>
      <c r="AN2287" s="18" t="s">
        <v>52</v>
      </c>
      <c r="AO2287" s="18">
        <v>0</v>
      </c>
      <c r="AP2287" s="18">
        <v>0</v>
      </c>
      <c r="AQ2287" s="18">
        <v>0</v>
      </c>
      <c r="AR2287" s="29">
        <v>0</v>
      </c>
      <c r="AS2287" s="29">
        <v>0</v>
      </c>
      <c r="AT2287" s="29">
        <v>8</v>
      </c>
      <c r="AU2287" s="24" t="str">
        <f t="shared" si="36"/>
        <v>库存为8</v>
      </c>
      <c r="AV2287" s="31" t="str">
        <f>IFERROR(时间!$B$4+AU2287,"上周无销量")</f>
        <v>上周无销量</v>
      </c>
    </row>
    <row r="2288" spans="1:48">
      <c r="A2288" s="16" t="s">
        <v>3986</v>
      </c>
      <c r="B2288" t="s">
        <v>3311</v>
      </c>
      <c r="C2288" t="s">
        <v>3969</v>
      </c>
      <c r="D2288" s="24">
        <v>0</v>
      </c>
      <c r="E2288" s="24">
        <v>0</v>
      </c>
      <c r="F2288" s="24">
        <v>0</v>
      </c>
      <c r="G2288" s="24">
        <v>0</v>
      </c>
      <c r="H2288" s="25">
        <v>0</v>
      </c>
      <c r="I2288">
        <v>7</v>
      </c>
      <c r="J2288" s="26">
        <v>0</v>
      </c>
      <c r="K2288" s="26">
        <v>0</v>
      </c>
      <c r="L2288" s="26">
        <v>0</v>
      </c>
      <c r="M2288">
        <v>7</v>
      </c>
      <c r="N2288">
        <v>0</v>
      </c>
      <c r="O2288">
        <v>7</v>
      </c>
      <c r="P2288" t="s">
        <v>52</v>
      </c>
      <c r="Q2288" t="s">
        <v>52</v>
      </c>
      <c r="R2288" t="s">
        <v>52</v>
      </c>
      <c r="S2288" t="s">
        <v>52</v>
      </c>
      <c r="T2288" t="s">
        <v>52</v>
      </c>
      <c r="U2288" t="s">
        <v>52</v>
      </c>
      <c r="V2288" t="s">
        <v>52</v>
      </c>
      <c r="W2288" t="s">
        <v>52</v>
      </c>
      <c r="X2288" s="18" t="s">
        <v>52</v>
      </c>
      <c r="Y2288" s="18" t="s">
        <v>52</v>
      </c>
      <c r="Z2288" s="18" t="s">
        <v>52</v>
      </c>
      <c r="AA2288" s="1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s="18" t="s">
        <v>52</v>
      </c>
      <c r="AG2288" s="18" t="s">
        <v>52</v>
      </c>
      <c r="AH2288" s="18" t="s">
        <v>52</v>
      </c>
      <c r="AI2288" s="18" t="s">
        <v>52</v>
      </c>
      <c r="AJ2288">
        <v>1</v>
      </c>
      <c r="AK2288">
        <v>3</v>
      </c>
      <c r="AL2288">
        <v>4</v>
      </c>
      <c r="AM2288">
        <v>0</v>
      </c>
      <c r="AN2288" s="18">
        <v>0</v>
      </c>
      <c r="AO2288" s="18">
        <v>0</v>
      </c>
      <c r="AP2288" s="18">
        <v>0</v>
      </c>
      <c r="AQ2288" s="18" t="s">
        <v>52</v>
      </c>
      <c r="AR2288" s="29">
        <v>0</v>
      </c>
      <c r="AS2288" s="29">
        <v>0</v>
      </c>
      <c r="AT2288" s="29">
        <v>7</v>
      </c>
      <c r="AU2288" s="24" t="str">
        <f t="shared" si="36"/>
        <v>库存为7</v>
      </c>
      <c r="AV2288" s="31" t="str">
        <f>IFERROR(时间!$B$4+AU2288,"上周无销量")</f>
        <v>上周无销量</v>
      </c>
    </row>
    <row r="2289" spans="1:48">
      <c r="A2289" s="16" t="s">
        <v>3987</v>
      </c>
      <c r="B2289" t="s">
        <v>3313</v>
      </c>
      <c r="C2289" t="s">
        <v>3969</v>
      </c>
      <c r="D2289" s="24">
        <v>0</v>
      </c>
      <c r="E2289" s="24">
        <v>0</v>
      </c>
      <c r="F2289" s="24">
        <v>1</v>
      </c>
      <c r="G2289" s="24">
        <v>0</v>
      </c>
      <c r="H2289" s="25">
        <v>23.98</v>
      </c>
      <c r="I2289">
        <v>7</v>
      </c>
      <c r="J2289" s="26">
        <v>0</v>
      </c>
      <c r="K2289" s="26">
        <v>0</v>
      </c>
      <c r="L2289" s="26">
        <v>0</v>
      </c>
      <c r="M2289">
        <v>7</v>
      </c>
      <c r="N2289">
        <v>0</v>
      </c>
      <c r="O2289">
        <v>7</v>
      </c>
      <c r="P2289" t="s">
        <v>52</v>
      </c>
      <c r="Q2289" t="s">
        <v>52</v>
      </c>
      <c r="R2289" t="s">
        <v>52</v>
      </c>
      <c r="S2289" t="s">
        <v>52</v>
      </c>
      <c r="T2289" t="s">
        <v>52</v>
      </c>
      <c r="U2289" t="s">
        <v>52</v>
      </c>
      <c r="V2289" t="s">
        <v>52</v>
      </c>
      <c r="W2289" t="s">
        <v>52</v>
      </c>
      <c r="X2289" s="18" t="s">
        <v>52</v>
      </c>
      <c r="Y2289" s="18" t="s">
        <v>52</v>
      </c>
      <c r="Z2289" s="18" t="s">
        <v>52</v>
      </c>
      <c r="AA2289" s="18" t="s">
        <v>52</v>
      </c>
      <c r="AB2289" t="s">
        <v>52</v>
      </c>
      <c r="AC2289" t="s">
        <v>52</v>
      </c>
      <c r="AD2289" t="s">
        <v>52</v>
      </c>
      <c r="AE2289" t="s">
        <v>52</v>
      </c>
      <c r="AF2289" s="18" t="s">
        <v>52</v>
      </c>
      <c r="AG2289" s="18" t="s">
        <v>52</v>
      </c>
      <c r="AH2289" s="18" t="s">
        <v>52</v>
      </c>
      <c r="AI2289" s="18" t="s">
        <v>52</v>
      </c>
      <c r="AJ2289">
        <v>1</v>
      </c>
      <c r="AK2289">
        <v>2</v>
      </c>
      <c r="AL2289">
        <v>2</v>
      </c>
      <c r="AM2289">
        <v>2</v>
      </c>
      <c r="AN2289" s="18">
        <v>0</v>
      </c>
      <c r="AO2289" s="18">
        <v>0</v>
      </c>
      <c r="AP2289" s="18">
        <v>0.5</v>
      </c>
      <c r="AQ2289" s="18">
        <v>0</v>
      </c>
      <c r="AR2289" s="29">
        <v>0</v>
      </c>
      <c r="AS2289" s="29">
        <v>0</v>
      </c>
      <c r="AT2289" s="29">
        <v>7</v>
      </c>
      <c r="AU2289" s="24" t="str">
        <f t="shared" si="36"/>
        <v>库存为7</v>
      </c>
      <c r="AV2289" s="31" t="str">
        <f>IFERROR(时间!$B$4+AU2289,"上周无销量")</f>
        <v>上周无销量</v>
      </c>
    </row>
    <row r="2290" spans="1:48">
      <c r="A2290" s="16" t="s">
        <v>3988</v>
      </c>
      <c r="B2290" t="s">
        <v>3315</v>
      </c>
      <c r="C2290" t="s">
        <v>3969</v>
      </c>
      <c r="D2290" s="24">
        <v>0</v>
      </c>
      <c r="E2290" s="24">
        <v>0</v>
      </c>
      <c r="F2290" s="24">
        <v>0</v>
      </c>
      <c r="G2290" s="24">
        <v>0</v>
      </c>
      <c r="H2290" s="25">
        <v>0</v>
      </c>
      <c r="I2290">
        <v>3</v>
      </c>
      <c r="J2290" s="26">
        <v>0</v>
      </c>
      <c r="K2290" s="26">
        <v>0</v>
      </c>
      <c r="L2290" s="26">
        <v>0</v>
      </c>
      <c r="M2290">
        <v>3</v>
      </c>
      <c r="N2290">
        <v>0</v>
      </c>
      <c r="O2290">
        <v>3</v>
      </c>
      <c r="P2290" t="s">
        <v>52</v>
      </c>
      <c r="Q2290" t="s">
        <v>52</v>
      </c>
      <c r="R2290" t="s">
        <v>52</v>
      </c>
      <c r="S2290" t="s">
        <v>52</v>
      </c>
      <c r="T2290" t="s">
        <v>52</v>
      </c>
      <c r="U2290" t="s">
        <v>52</v>
      </c>
      <c r="V2290" t="s">
        <v>52</v>
      </c>
      <c r="W2290" t="s">
        <v>52</v>
      </c>
      <c r="X2290" s="18" t="s">
        <v>52</v>
      </c>
      <c r="Y2290" s="18" t="s">
        <v>52</v>
      </c>
      <c r="Z2290" s="18" t="s">
        <v>52</v>
      </c>
      <c r="AA2290" s="18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s="18" t="s">
        <v>52</v>
      </c>
      <c r="AG2290" s="18" t="s">
        <v>52</v>
      </c>
      <c r="AH2290" s="18" t="s">
        <v>52</v>
      </c>
      <c r="AI2290" s="18" t="s">
        <v>52</v>
      </c>
      <c r="AJ2290">
        <v>2</v>
      </c>
      <c r="AK2290">
        <v>1</v>
      </c>
      <c r="AL2290">
        <v>5</v>
      </c>
      <c r="AM2290">
        <v>3</v>
      </c>
      <c r="AN2290" s="18">
        <v>0</v>
      </c>
      <c r="AO2290" s="18">
        <v>0</v>
      </c>
      <c r="AP2290" s="18">
        <v>0</v>
      </c>
      <c r="AQ2290" s="18">
        <v>0</v>
      </c>
      <c r="AR2290" s="29">
        <v>0</v>
      </c>
      <c r="AS2290" s="29">
        <v>0</v>
      </c>
      <c r="AT2290" s="29">
        <v>3</v>
      </c>
      <c r="AU2290" s="24" t="str">
        <f t="shared" si="36"/>
        <v>库存为3</v>
      </c>
      <c r="AV2290" s="31" t="str">
        <f>IFERROR(时间!$B$4+AU2290,"上周无销量")</f>
        <v>上周无销量</v>
      </c>
    </row>
    <row r="2291" spans="1:48">
      <c r="A2291" s="16" t="s">
        <v>3989</v>
      </c>
      <c r="B2291" t="s">
        <v>3317</v>
      </c>
      <c r="C2291" t="s">
        <v>3969</v>
      </c>
      <c r="D2291" s="24">
        <v>0</v>
      </c>
      <c r="E2291" s="24">
        <v>0</v>
      </c>
      <c r="F2291" s="24">
        <v>0</v>
      </c>
      <c r="G2291" s="24">
        <v>0</v>
      </c>
      <c r="H2291" s="25">
        <v>0</v>
      </c>
      <c r="I2291">
        <v>8</v>
      </c>
      <c r="J2291" s="26">
        <v>0</v>
      </c>
      <c r="K2291" s="26">
        <v>0</v>
      </c>
      <c r="L2291" s="26">
        <v>0</v>
      </c>
      <c r="M2291">
        <v>8</v>
      </c>
      <c r="N2291">
        <v>0</v>
      </c>
      <c r="O2291">
        <v>8</v>
      </c>
      <c r="P2291" t="s">
        <v>52</v>
      </c>
      <c r="Q2291" t="s">
        <v>52</v>
      </c>
      <c r="R2291" t="s">
        <v>52</v>
      </c>
      <c r="S2291" t="s">
        <v>52</v>
      </c>
      <c r="T2291" t="s">
        <v>52</v>
      </c>
      <c r="U2291" t="s">
        <v>52</v>
      </c>
      <c r="V2291" t="s">
        <v>52</v>
      </c>
      <c r="W2291" t="s">
        <v>52</v>
      </c>
      <c r="X2291" s="18" t="s">
        <v>52</v>
      </c>
      <c r="Y2291" s="18" t="s">
        <v>52</v>
      </c>
      <c r="Z2291" s="18" t="s">
        <v>52</v>
      </c>
      <c r="AA2291" s="18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s="18" t="s">
        <v>52</v>
      </c>
      <c r="AG2291" s="18" t="s">
        <v>52</v>
      </c>
      <c r="AH2291" s="18" t="s">
        <v>52</v>
      </c>
      <c r="AI2291" s="18" t="s">
        <v>52</v>
      </c>
      <c r="AJ2291">
        <v>2</v>
      </c>
      <c r="AK2291">
        <v>1</v>
      </c>
      <c r="AL2291">
        <v>4</v>
      </c>
      <c r="AM2291">
        <v>2</v>
      </c>
      <c r="AN2291" s="18">
        <v>0</v>
      </c>
      <c r="AO2291" s="18">
        <v>0</v>
      </c>
      <c r="AP2291" s="18">
        <v>0</v>
      </c>
      <c r="AQ2291" s="18">
        <v>0</v>
      </c>
      <c r="AR2291" s="29">
        <v>0</v>
      </c>
      <c r="AS2291" s="29">
        <v>0</v>
      </c>
      <c r="AT2291" s="29">
        <v>8</v>
      </c>
      <c r="AU2291" s="24" t="str">
        <f t="shared" si="36"/>
        <v>库存为8</v>
      </c>
      <c r="AV2291" s="31" t="str">
        <f>IFERROR(时间!$B$4+AU2291,"上周无销量")</f>
        <v>上周无销量</v>
      </c>
    </row>
    <row r="2292" spans="1:48">
      <c r="A2292" s="16" t="s">
        <v>3990</v>
      </c>
      <c r="B2292" t="s">
        <v>3319</v>
      </c>
      <c r="C2292" t="s">
        <v>3991</v>
      </c>
      <c r="D2292" s="24">
        <v>0</v>
      </c>
      <c r="E2292" s="24">
        <v>1</v>
      </c>
      <c r="F2292" s="24">
        <v>0</v>
      </c>
      <c r="G2292" s="24">
        <v>0</v>
      </c>
      <c r="H2292" s="25">
        <v>23.98</v>
      </c>
      <c r="I2292">
        <v>0</v>
      </c>
      <c r="J2292" s="26">
        <v>0</v>
      </c>
      <c r="K2292" s="26">
        <v>0</v>
      </c>
      <c r="L2292" s="26">
        <v>0</v>
      </c>
      <c r="M2292">
        <v>0</v>
      </c>
      <c r="N2292">
        <v>0</v>
      </c>
      <c r="O2292">
        <v>0</v>
      </c>
      <c r="P2292">
        <v>1792</v>
      </c>
      <c r="Q2292">
        <v>740</v>
      </c>
      <c r="R2292">
        <v>847</v>
      </c>
      <c r="S2292">
        <v>1757</v>
      </c>
      <c r="T2292">
        <v>5</v>
      </c>
      <c r="U2292">
        <v>4</v>
      </c>
      <c r="V2292">
        <v>0</v>
      </c>
      <c r="W2292">
        <v>2</v>
      </c>
      <c r="X2292" s="18">
        <v>0.00279017857142857</v>
      </c>
      <c r="Y2292" s="18">
        <v>0.00540540540540541</v>
      </c>
      <c r="Z2292" s="18">
        <v>0</v>
      </c>
      <c r="AA2292" s="18">
        <v>0.00113830392714855</v>
      </c>
      <c r="AB2292">
        <v>2.28</v>
      </c>
      <c r="AC2292">
        <v>1.32</v>
      </c>
      <c r="AD2292">
        <v>0</v>
      </c>
      <c r="AE2292">
        <v>0.85</v>
      </c>
      <c r="AF2292" s="18" t="s">
        <v>3992</v>
      </c>
      <c r="AG2292" s="18">
        <v>0.055045871559633</v>
      </c>
      <c r="AH2292" s="18" t="s">
        <v>52</v>
      </c>
      <c r="AI2292" s="18" t="s">
        <v>3993</v>
      </c>
      <c r="AJ2292">
        <v>0</v>
      </c>
      <c r="AK2292">
        <v>5</v>
      </c>
      <c r="AL2292">
        <v>4</v>
      </c>
      <c r="AM2292">
        <v>3</v>
      </c>
      <c r="AN2292" s="18" t="s">
        <v>52</v>
      </c>
      <c r="AO2292" s="18">
        <v>0.2</v>
      </c>
      <c r="AP2292" s="18">
        <v>0</v>
      </c>
      <c r="AQ2292" s="18">
        <v>0</v>
      </c>
      <c r="AR2292" s="29">
        <v>0</v>
      </c>
      <c r="AS2292" s="29">
        <v>0</v>
      </c>
      <c r="AT2292" s="29">
        <v>0</v>
      </c>
      <c r="AU2292" s="24" t="str">
        <f t="shared" si="36"/>
        <v>库存为0</v>
      </c>
      <c r="AV2292" s="31" t="str">
        <f>IFERROR(时间!$B$4+AU2292,"上周无销量")</f>
        <v>上周无销量</v>
      </c>
    </row>
    <row r="2293" spans="1:48">
      <c r="A2293" s="16" t="s">
        <v>3994</v>
      </c>
      <c r="B2293" t="s">
        <v>3322</v>
      </c>
      <c r="C2293" t="s">
        <v>3991</v>
      </c>
      <c r="D2293" s="24">
        <v>0</v>
      </c>
      <c r="E2293" s="24">
        <v>0</v>
      </c>
      <c r="F2293" s="24">
        <v>0</v>
      </c>
      <c r="G2293" s="24">
        <v>0</v>
      </c>
      <c r="H2293" s="25">
        <v>0</v>
      </c>
      <c r="I2293">
        <v>1</v>
      </c>
      <c r="J2293" s="26">
        <v>0</v>
      </c>
      <c r="K2293" s="26">
        <v>0</v>
      </c>
      <c r="L2293" s="26">
        <v>0</v>
      </c>
      <c r="M2293">
        <v>1</v>
      </c>
      <c r="N2293">
        <v>0</v>
      </c>
      <c r="O2293">
        <v>1</v>
      </c>
      <c r="P2293" t="s">
        <v>52</v>
      </c>
      <c r="Q2293" t="s">
        <v>52</v>
      </c>
      <c r="R2293" t="s">
        <v>52</v>
      </c>
      <c r="S2293" t="s">
        <v>52</v>
      </c>
      <c r="T2293" t="s">
        <v>52</v>
      </c>
      <c r="U2293" t="s">
        <v>52</v>
      </c>
      <c r="V2293" t="s">
        <v>52</v>
      </c>
      <c r="W2293" t="s">
        <v>52</v>
      </c>
      <c r="X2293" s="18" t="s">
        <v>52</v>
      </c>
      <c r="Y2293" s="18" t="s">
        <v>52</v>
      </c>
      <c r="Z2293" s="18" t="s">
        <v>52</v>
      </c>
      <c r="AA2293" s="18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s="18" t="s">
        <v>52</v>
      </c>
      <c r="AG2293" s="18" t="s">
        <v>52</v>
      </c>
      <c r="AH2293" s="18" t="s">
        <v>52</v>
      </c>
      <c r="AI2293" s="18" t="s">
        <v>52</v>
      </c>
      <c r="AJ2293">
        <v>4</v>
      </c>
      <c r="AK2293">
        <v>6</v>
      </c>
      <c r="AL2293">
        <v>5</v>
      </c>
      <c r="AM2293">
        <v>3</v>
      </c>
      <c r="AN2293" s="18">
        <v>0</v>
      </c>
      <c r="AO2293" s="18">
        <v>0</v>
      </c>
      <c r="AP2293" s="18">
        <v>0</v>
      </c>
      <c r="AQ2293" s="18">
        <v>0</v>
      </c>
      <c r="AR2293" s="29">
        <v>0</v>
      </c>
      <c r="AS2293" s="29">
        <v>0</v>
      </c>
      <c r="AT2293" s="29">
        <v>1</v>
      </c>
      <c r="AU2293" s="24" t="str">
        <f t="shared" si="36"/>
        <v>库存为1</v>
      </c>
      <c r="AV2293" s="31" t="str">
        <f>IFERROR(时间!$B$4+AU2293,"上周无销量")</f>
        <v>上周无销量</v>
      </c>
    </row>
    <row r="2294" spans="1:48">
      <c r="A2294" s="16" t="s">
        <v>3995</v>
      </c>
      <c r="B2294" t="s">
        <v>3324</v>
      </c>
      <c r="C2294" t="s">
        <v>3991</v>
      </c>
      <c r="D2294" s="24">
        <v>0</v>
      </c>
      <c r="E2294" s="24">
        <v>0</v>
      </c>
      <c r="F2294" s="24">
        <v>0</v>
      </c>
      <c r="G2294" s="24">
        <v>0</v>
      </c>
      <c r="H2294" s="25">
        <v>0</v>
      </c>
      <c r="I2294">
        <v>0</v>
      </c>
      <c r="J2294" s="26">
        <v>0</v>
      </c>
      <c r="K2294" s="26">
        <v>0</v>
      </c>
      <c r="L2294" s="26">
        <v>0</v>
      </c>
      <c r="M2294">
        <v>0</v>
      </c>
      <c r="N2294">
        <v>0</v>
      </c>
      <c r="O2294">
        <v>0</v>
      </c>
      <c r="P2294" t="s">
        <v>52</v>
      </c>
      <c r="Q2294" t="s">
        <v>52</v>
      </c>
      <c r="R2294" t="s">
        <v>52</v>
      </c>
      <c r="S2294" t="s">
        <v>52</v>
      </c>
      <c r="T2294" t="s">
        <v>52</v>
      </c>
      <c r="U2294" t="s">
        <v>52</v>
      </c>
      <c r="V2294" t="s">
        <v>52</v>
      </c>
      <c r="W2294" t="s">
        <v>52</v>
      </c>
      <c r="X2294" s="18" t="s">
        <v>52</v>
      </c>
      <c r="Y2294" s="18" t="s">
        <v>52</v>
      </c>
      <c r="Z2294" s="18" t="s">
        <v>52</v>
      </c>
      <c r="AA2294" s="18" t="s">
        <v>52</v>
      </c>
      <c r="AB2294" t="s">
        <v>52</v>
      </c>
      <c r="AC2294" t="s">
        <v>52</v>
      </c>
      <c r="AD2294" t="s">
        <v>52</v>
      </c>
      <c r="AE2294" t="s">
        <v>52</v>
      </c>
      <c r="AF2294" s="18" t="s">
        <v>52</v>
      </c>
      <c r="AG2294" s="18" t="s">
        <v>52</v>
      </c>
      <c r="AH2294" s="18" t="s">
        <v>52</v>
      </c>
      <c r="AI2294" s="18" t="s">
        <v>52</v>
      </c>
      <c r="AJ2294">
        <v>0</v>
      </c>
      <c r="AK2294">
        <v>0</v>
      </c>
      <c r="AL2294">
        <v>0</v>
      </c>
      <c r="AM2294">
        <v>0</v>
      </c>
      <c r="AN2294" s="18" t="s">
        <v>52</v>
      </c>
      <c r="AO2294" s="18" t="s">
        <v>52</v>
      </c>
      <c r="AP2294" s="18" t="s">
        <v>52</v>
      </c>
      <c r="AQ2294" s="18" t="s">
        <v>52</v>
      </c>
      <c r="AR2294" s="29">
        <v>0</v>
      </c>
      <c r="AS2294" s="29">
        <v>0</v>
      </c>
      <c r="AT2294" s="29">
        <v>0</v>
      </c>
      <c r="AU2294" s="24" t="str">
        <f t="shared" si="36"/>
        <v>库存为0</v>
      </c>
      <c r="AV2294" s="31" t="str">
        <f>IFERROR(时间!$B$4+AU2294,"上周无销量")</f>
        <v>上周无销量</v>
      </c>
    </row>
    <row r="2295" spans="1:48">
      <c r="A2295" s="16" t="s">
        <v>3996</v>
      </c>
      <c r="B2295" t="s">
        <v>3334</v>
      </c>
      <c r="C2295" t="s">
        <v>3991</v>
      </c>
      <c r="D2295" s="24">
        <v>0</v>
      </c>
      <c r="E2295" s="24">
        <v>0</v>
      </c>
      <c r="F2295" s="24">
        <v>1</v>
      </c>
      <c r="G2295" s="24">
        <v>0</v>
      </c>
      <c r="H2295" s="25">
        <v>23.98</v>
      </c>
      <c r="I2295">
        <v>5</v>
      </c>
      <c r="J2295" s="26">
        <v>0</v>
      </c>
      <c r="K2295" s="26">
        <v>0</v>
      </c>
      <c r="L2295" s="26">
        <v>0</v>
      </c>
      <c r="M2295">
        <v>5</v>
      </c>
      <c r="N2295">
        <v>0</v>
      </c>
      <c r="O2295">
        <v>5</v>
      </c>
      <c r="P2295" t="s">
        <v>52</v>
      </c>
      <c r="Q2295" t="s">
        <v>52</v>
      </c>
      <c r="R2295" t="s">
        <v>52</v>
      </c>
      <c r="S2295" t="s">
        <v>52</v>
      </c>
      <c r="T2295" t="s">
        <v>52</v>
      </c>
      <c r="U2295" t="s">
        <v>52</v>
      </c>
      <c r="V2295" t="s">
        <v>52</v>
      </c>
      <c r="W2295" t="s">
        <v>52</v>
      </c>
      <c r="X2295" s="18" t="s">
        <v>52</v>
      </c>
      <c r="Y2295" s="18" t="s">
        <v>52</v>
      </c>
      <c r="Z2295" s="18" t="s">
        <v>52</v>
      </c>
      <c r="AA2295" s="18" t="s">
        <v>52</v>
      </c>
      <c r="AB2295" t="s">
        <v>52</v>
      </c>
      <c r="AC2295" t="s">
        <v>52</v>
      </c>
      <c r="AD2295" t="s">
        <v>52</v>
      </c>
      <c r="AE2295" t="s">
        <v>52</v>
      </c>
      <c r="AF2295" s="18" t="s">
        <v>52</v>
      </c>
      <c r="AG2295" s="18" t="s">
        <v>52</v>
      </c>
      <c r="AH2295" s="18" t="s">
        <v>52</v>
      </c>
      <c r="AI2295" s="18" t="s">
        <v>52</v>
      </c>
      <c r="AJ2295">
        <v>4</v>
      </c>
      <c r="AK2295">
        <v>4</v>
      </c>
      <c r="AL2295">
        <v>5</v>
      </c>
      <c r="AM2295">
        <v>3</v>
      </c>
      <c r="AN2295" s="18">
        <v>0</v>
      </c>
      <c r="AO2295" s="18">
        <v>0</v>
      </c>
      <c r="AP2295" s="18">
        <v>0.2</v>
      </c>
      <c r="AQ2295" s="18">
        <v>0</v>
      </c>
      <c r="AR2295" s="29">
        <v>0</v>
      </c>
      <c r="AS2295" s="29">
        <v>0</v>
      </c>
      <c r="AT2295" s="29">
        <v>5</v>
      </c>
      <c r="AU2295" s="24" t="str">
        <f t="shared" si="36"/>
        <v>库存为5</v>
      </c>
      <c r="AV2295" s="31" t="str">
        <f>IFERROR(时间!$B$4+AU2295,"上周无销量")</f>
        <v>上周无销量</v>
      </c>
    </row>
    <row r="2296" spans="1:48">
      <c r="A2296" s="16" t="s">
        <v>3997</v>
      </c>
      <c r="B2296" t="s">
        <v>3336</v>
      </c>
      <c r="C2296" t="s">
        <v>3991</v>
      </c>
      <c r="D2296" s="24">
        <v>0</v>
      </c>
      <c r="E2296" s="24">
        <v>0</v>
      </c>
      <c r="F2296" s="24">
        <v>0</v>
      </c>
      <c r="G2296" s="24">
        <v>0</v>
      </c>
      <c r="H2296" s="25">
        <v>0</v>
      </c>
      <c r="I2296">
        <v>0</v>
      </c>
      <c r="J2296" s="26">
        <v>0</v>
      </c>
      <c r="K2296" s="26">
        <v>0</v>
      </c>
      <c r="L2296" s="26">
        <v>0</v>
      </c>
      <c r="M2296">
        <v>0</v>
      </c>
      <c r="N2296">
        <v>0</v>
      </c>
      <c r="O2296">
        <v>0</v>
      </c>
      <c r="P2296" t="s">
        <v>52</v>
      </c>
      <c r="Q2296" t="s">
        <v>52</v>
      </c>
      <c r="R2296" t="s">
        <v>52</v>
      </c>
      <c r="S2296" t="s">
        <v>52</v>
      </c>
      <c r="T2296" t="s">
        <v>52</v>
      </c>
      <c r="U2296" t="s">
        <v>52</v>
      </c>
      <c r="V2296" t="s">
        <v>52</v>
      </c>
      <c r="W2296" t="s">
        <v>52</v>
      </c>
      <c r="X2296" s="18" t="s">
        <v>52</v>
      </c>
      <c r="Y2296" s="18" t="s">
        <v>52</v>
      </c>
      <c r="Z2296" s="18" t="s">
        <v>52</v>
      </c>
      <c r="AA2296" s="18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s="18" t="s">
        <v>52</v>
      </c>
      <c r="AG2296" s="18" t="s">
        <v>52</v>
      </c>
      <c r="AH2296" s="18" t="s">
        <v>52</v>
      </c>
      <c r="AI2296" s="18" t="s">
        <v>52</v>
      </c>
      <c r="AJ2296">
        <v>0</v>
      </c>
      <c r="AK2296">
        <v>0</v>
      </c>
      <c r="AL2296">
        <v>0</v>
      </c>
      <c r="AM2296">
        <v>0</v>
      </c>
      <c r="AN2296" s="18" t="s">
        <v>52</v>
      </c>
      <c r="AO2296" s="18" t="s">
        <v>52</v>
      </c>
      <c r="AP2296" s="18" t="s">
        <v>52</v>
      </c>
      <c r="AQ2296" s="18" t="s">
        <v>52</v>
      </c>
      <c r="AR2296" s="29">
        <v>0</v>
      </c>
      <c r="AS2296" s="29">
        <v>0</v>
      </c>
      <c r="AT2296" s="29">
        <v>0</v>
      </c>
      <c r="AU2296" s="24" t="str">
        <f t="shared" si="36"/>
        <v>库存为0</v>
      </c>
      <c r="AV2296" s="31" t="str">
        <f>IFERROR(时间!$B$4+AU2296,"上周无销量")</f>
        <v>上周无销量</v>
      </c>
    </row>
    <row r="2297" spans="1:48">
      <c r="A2297" s="16" t="s">
        <v>3998</v>
      </c>
      <c r="B2297" t="s">
        <v>3338</v>
      </c>
      <c r="C2297" t="s">
        <v>3991</v>
      </c>
      <c r="D2297" s="24">
        <v>1</v>
      </c>
      <c r="E2297" s="24">
        <v>0</v>
      </c>
      <c r="F2297" s="24">
        <v>0</v>
      </c>
      <c r="G2297" s="24">
        <v>0</v>
      </c>
      <c r="H2297" s="25">
        <v>23.98</v>
      </c>
      <c r="I2297">
        <v>2</v>
      </c>
      <c r="J2297" s="26">
        <v>0</v>
      </c>
      <c r="K2297" s="26">
        <v>0</v>
      </c>
      <c r="L2297" s="26">
        <v>0</v>
      </c>
      <c r="M2297">
        <v>2</v>
      </c>
      <c r="N2297">
        <v>0</v>
      </c>
      <c r="O2297">
        <v>2</v>
      </c>
      <c r="P2297">
        <v>2703</v>
      </c>
      <c r="Q2297">
        <v>628</v>
      </c>
      <c r="R2297">
        <v>395</v>
      </c>
      <c r="S2297">
        <v>1154</v>
      </c>
      <c r="T2297">
        <v>9</v>
      </c>
      <c r="U2297">
        <v>1</v>
      </c>
      <c r="V2297">
        <v>2</v>
      </c>
      <c r="W2297">
        <v>2</v>
      </c>
      <c r="X2297" s="18">
        <v>0.00332963374028857</v>
      </c>
      <c r="Y2297" s="18">
        <v>0.00159235668789809</v>
      </c>
      <c r="Z2297" s="18">
        <v>0.00506329113924051</v>
      </c>
      <c r="AA2297" s="18">
        <v>0.00173310225303293</v>
      </c>
      <c r="AB2297">
        <v>5.6</v>
      </c>
      <c r="AC2297">
        <v>0.23</v>
      </c>
      <c r="AD2297">
        <v>0.62</v>
      </c>
      <c r="AE2297">
        <v>0.66</v>
      </c>
      <c r="AF2297" s="18">
        <v>0.233527939949958</v>
      </c>
      <c r="AG2297" s="18" t="s">
        <v>3999</v>
      </c>
      <c r="AH2297" s="18" t="s">
        <v>4000</v>
      </c>
      <c r="AI2297" s="18" t="s">
        <v>4001</v>
      </c>
      <c r="AJ2297">
        <v>13</v>
      </c>
      <c r="AK2297">
        <v>8</v>
      </c>
      <c r="AL2297">
        <v>2</v>
      </c>
      <c r="AM2297">
        <v>2</v>
      </c>
      <c r="AN2297" s="18">
        <v>0.0769230769230769</v>
      </c>
      <c r="AO2297" s="18">
        <v>0</v>
      </c>
      <c r="AP2297" s="18">
        <v>0</v>
      </c>
      <c r="AQ2297" s="18">
        <v>0</v>
      </c>
      <c r="AR2297" s="29">
        <v>0.142857142857143</v>
      </c>
      <c r="AS2297" s="29">
        <v>8.57142857142857</v>
      </c>
      <c r="AT2297" s="29">
        <v>-6.57142857142857</v>
      </c>
      <c r="AU2297" s="24">
        <f t="shared" si="36"/>
        <v>14</v>
      </c>
      <c r="AV2297" s="31">
        <f>IFERROR(时间!$B$4+AU2297,"上周无销量")</f>
        <v>43332</v>
      </c>
    </row>
    <row r="2298" spans="1:48">
      <c r="A2298" s="16" t="s">
        <v>4002</v>
      </c>
      <c r="B2298" t="s">
        <v>3342</v>
      </c>
      <c r="C2298" t="s">
        <v>3991</v>
      </c>
      <c r="D2298" s="24">
        <v>0</v>
      </c>
      <c r="E2298" s="24">
        <v>0</v>
      </c>
      <c r="F2298" s="24">
        <v>0</v>
      </c>
      <c r="G2298" s="24">
        <v>0</v>
      </c>
      <c r="H2298" s="25">
        <v>0</v>
      </c>
      <c r="I2298">
        <v>1</v>
      </c>
      <c r="J2298" s="26">
        <v>0</v>
      </c>
      <c r="K2298" s="26">
        <v>0</v>
      </c>
      <c r="L2298" s="26">
        <v>0</v>
      </c>
      <c r="M2298">
        <v>1</v>
      </c>
      <c r="N2298">
        <v>0</v>
      </c>
      <c r="O2298">
        <v>1</v>
      </c>
      <c r="P2298" t="s">
        <v>52</v>
      </c>
      <c r="Q2298" t="s">
        <v>52</v>
      </c>
      <c r="R2298" t="s">
        <v>52</v>
      </c>
      <c r="S2298" t="s">
        <v>52</v>
      </c>
      <c r="T2298" t="s">
        <v>52</v>
      </c>
      <c r="U2298" t="s">
        <v>52</v>
      </c>
      <c r="V2298" t="s">
        <v>52</v>
      </c>
      <c r="W2298" t="s">
        <v>52</v>
      </c>
      <c r="X2298" s="18" t="s">
        <v>52</v>
      </c>
      <c r="Y2298" s="18" t="s">
        <v>52</v>
      </c>
      <c r="Z2298" s="18" t="s">
        <v>52</v>
      </c>
      <c r="AA2298" s="18" t="s">
        <v>52</v>
      </c>
      <c r="AB2298" t="s">
        <v>52</v>
      </c>
      <c r="AC2298" t="s">
        <v>52</v>
      </c>
      <c r="AD2298" t="s">
        <v>52</v>
      </c>
      <c r="AE2298" t="s">
        <v>52</v>
      </c>
      <c r="AF2298" s="18" t="s">
        <v>52</v>
      </c>
      <c r="AG2298" s="18" t="s">
        <v>52</v>
      </c>
      <c r="AH2298" s="18" t="s">
        <v>52</v>
      </c>
      <c r="AI2298" s="18" t="s">
        <v>52</v>
      </c>
      <c r="AJ2298">
        <v>4</v>
      </c>
      <c r="AK2298">
        <v>1</v>
      </c>
      <c r="AL2298">
        <v>1</v>
      </c>
      <c r="AM2298">
        <v>2</v>
      </c>
      <c r="AN2298" s="18">
        <v>0</v>
      </c>
      <c r="AO2298" s="18">
        <v>0</v>
      </c>
      <c r="AP2298" s="18">
        <v>0</v>
      </c>
      <c r="AQ2298" s="18">
        <v>0</v>
      </c>
      <c r="AR2298" s="29">
        <v>0</v>
      </c>
      <c r="AS2298" s="29">
        <v>0</v>
      </c>
      <c r="AT2298" s="29">
        <v>1</v>
      </c>
      <c r="AU2298" s="24" t="str">
        <f t="shared" si="36"/>
        <v>库存为1</v>
      </c>
      <c r="AV2298" s="31" t="str">
        <f>IFERROR(时间!$B$4+AU2298,"上周无销量")</f>
        <v>上周无销量</v>
      </c>
    </row>
    <row r="2299" spans="1:48">
      <c r="A2299" s="16" t="s">
        <v>4003</v>
      </c>
      <c r="B2299" t="s">
        <v>4004</v>
      </c>
      <c r="C2299" t="s">
        <v>3991</v>
      </c>
      <c r="D2299" s="24">
        <v>0</v>
      </c>
      <c r="E2299" s="24">
        <v>0</v>
      </c>
      <c r="F2299" s="24">
        <v>0</v>
      </c>
      <c r="G2299" s="24">
        <v>0</v>
      </c>
      <c r="H2299" s="25">
        <v>0</v>
      </c>
      <c r="I2299">
        <v>9</v>
      </c>
      <c r="J2299" s="26">
        <v>0</v>
      </c>
      <c r="K2299" s="26">
        <v>0</v>
      </c>
      <c r="L2299" s="26">
        <v>0</v>
      </c>
      <c r="M2299">
        <v>9</v>
      </c>
      <c r="N2299">
        <v>0</v>
      </c>
      <c r="O2299">
        <v>8</v>
      </c>
      <c r="P2299" t="s">
        <v>52</v>
      </c>
      <c r="Q2299" t="s">
        <v>52</v>
      </c>
      <c r="R2299" t="s">
        <v>52</v>
      </c>
      <c r="S2299" t="s">
        <v>52</v>
      </c>
      <c r="T2299" t="s">
        <v>52</v>
      </c>
      <c r="U2299" t="s">
        <v>52</v>
      </c>
      <c r="V2299" t="s">
        <v>52</v>
      </c>
      <c r="W2299" t="s">
        <v>52</v>
      </c>
      <c r="X2299" s="18" t="s">
        <v>52</v>
      </c>
      <c r="Y2299" s="18" t="s">
        <v>52</v>
      </c>
      <c r="Z2299" s="18" t="s">
        <v>52</v>
      </c>
      <c r="AA2299" s="18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s="18" t="s">
        <v>52</v>
      </c>
      <c r="AG2299" s="18" t="s">
        <v>52</v>
      </c>
      <c r="AH2299" s="18" t="s">
        <v>52</v>
      </c>
      <c r="AI2299" s="18" t="s">
        <v>52</v>
      </c>
      <c r="AJ2299">
        <v>2</v>
      </c>
      <c r="AK2299">
        <v>7</v>
      </c>
      <c r="AL2299">
        <v>6</v>
      </c>
      <c r="AM2299">
        <v>0</v>
      </c>
      <c r="AN2299" s="18">
        <v>0</v>
      </c>
      <c r="AO2299" s="18">
        <v>0</v>
      </c>
      <c r="AP2299" s="18">
        <v>0</v>
      </c>
      <c r="AQ2299" s="18" t="s">
        <v>52</v>
      </c>
      <c r="AR2299" s="29">
        <v>0</v>
      </c>
      <c r="AS2299" s="29">
        <v>0</v>
      </c>
      <c r="AT2299" s="29">
        <v>9</v>
      </c>
      <c r="AU2299" s="24" t="str">
        <f t="shared" si="36"/>
        <v>库存为9</v>
      </c>
      <c r="AV2299" s="31" t="str">
        <f>IFERROR(时间!$B$4+AU2299,"上周无销量")</f>
        <v>上周无销量</v>
      </c>
    </row>
    <row r="2300" spans="1:48">
      <c r="A2300" s="16" t="s">
        <v>4005</v>
      </c>
      <c r="B2300" t="s">
        <v>4006</v>
      </c>
      <c r="C2300" t="s">
        <v>4007</v>
      </c>
      <c r="D2300" s="24">
        <v>0</v>
      </c>
      <c r="E2300" s="24">
        <v>0</v>
      </c>
      <c r="F2300" s="24">
        <v>0</v>
      </c>
      <c r="G2300" s="24">
        <v>1</v>
      </c>
      <c r="H2300" s="25">
        <v>22.98</v>
      </c>
      <c r="I2300">
        <v>1</v>
      </c>
      <c r="J2300" s="26">
        <v>0</v>
      </c>
      <c r="K2300" s="26">
        <v>0</v>
      </c>
      <c r="L2300" s="26">
        <v>0</v>
      </c>
      <c r="M2300">
        <v>1</v>
      </c>
      <c r="N2300">
        <v>0</v>
      </c>
      <c r="O2300">
        <v>0</v>
      </c>
      <c r="P2300" t="s">
        <v>52</v>
      </c>
      <c r="Q2300" t="s">
        <v>52</v>
      </c>
      <c r="R2300" t="s">
        <v>52</v>
      </c>
      <c r="S2300" t="s">
        <v>52</v>
      </c>
      <c r="T2300" t="s">
        <v>52</v>
      </c>
      <c r="U2300" t="s">
        <v>52</v>
      </c>
      <c r="V2300" t="s">
        <v>52</v>
      </c>
      <c r="W2300" t="s">
        <v>52</v>
      </c>
      <c r="X2300" s="18" t="s">
        <v>52</v>
      </c>
      <c r="Y2300" s="18" t="s">
        <v>52</v>
      </c>
      <c r="Z2300" s="18" t="s">
        <v>52</v>
      </c>
      <c r="AA2300" s="18" t="s">
        <v>52</v>
      </c>
      <c r="AB2300" t="s">
        <v>52</v>
      </c>
      <c r="AC2300" t="s">
        <v>52</v>
      </c>
      <c r="AD2300" t="s">
        <v>52</v>
      </c>
      <c r="AE2300" t="s">
        <v>52</v>
      </c>
      <c r="AF2300" s="18" t="s">
        <v>52</v>
      </c>
      <c r="AG2300" s="18" t="s">
        <v>52</v>
      </c>
      <c r="AH2300" s="18" t="s">
        <v>52</v>
      </c>
      <c r="AI2300" s="18" t="s">
        <v>52</v>
      </c>
      <c r="AJ2300">
        <v>22</v>
      </c>
      <c r="AK2300">
        <v>26</v>
      </c>
      <c r="AL2300">
        <v>20</v>
      </c>
      <c r="AM2300">
        <v>12</v>
      </c>
      <c r="AN2300" s="18">
        <v>0</v>
      </c>
      <c r="AO2300" s="18">
        <v>0</v>
      </c>
      <c r="AP2300" s="18">
        <v>0</v>
      </c>
      <c r="AQ2300" s="18">
        <v>0.0833333333333333</v>
      </c>
      <c r="AR2300" s="29">
        <v>0</v>
      </c>
      <c r="AS2300" s="29">
        <v>0</v>
      </c>
      <c r="AT2300" s="29">
        <v>1</v>
      </c>
      <c r="AU2300" s="24" t="str">
        <f t="shared" si="36"/>
        <v>库存为1</v>
      </c>
      <c r="AV2300" s="31" t="str">
        <f>IFERROR(时间!$B$4+AU2300,"上周无销量")</f>
        <v>上周无销量</v>
      </c>
    </row>
    <row r="2301" spans="1:48">
      <c r="A2301" s="16" t="s">
        <v>4008</v>
      </c>
      <c r="B2301" t="s">
        <v>4009</v>
      </c>
      <c r="C2301" t="s">
        <v>4007</v>
      </c>
      <c r="D2301" s="24">
        <v>0</v>
      </c>
      <c r="E2301" s="24">
        <v>0</v>
      </c>
      <c r="F2301" s="24">
        <v>0</v>
      </c>
      <c r="G2301" s="24">
        <v>0</v>
      </c>
      <c r="H2301" s="25">
        <v>0</v>
      </c>
      <c r="I2301">
        <v>14</v>
      </c>
      <c r="J2301" s="26">
        <v>0</v>
      </c>
      <c r="K2301" s="26">
        <v>0</v>
      </c>
      <c r="L2301" s="26">
        <v>0</v>
      </c>
      <c r="M2301">
        <v>14</v>
      </c>
      <c r="N2301">
        <v>0</v>
      </c>
      <c r="O2301">
        <v>9</v>
      </c>
      <c r="P2301" t="s">
        <v>52</v>
      </c>
      <c r="Q2301" t="s">
        <v>52</v>
      </c>
      <c r="R2301" t="s">
        <v>52</v>
      </c>
      <c r="S2301" t="s">
        <v>52</v>
      </c>
      <c r="T2301" t="s">
        <v>52</v>
      </c>
      <c r="U2301" t="s">
        <v>52</v>
      </c>
      <c r="V2301" t="s">
        <v>52</v>
      </c>
      <c r="W2301" t="s">
        <v>52</v>
      </c>
      <c r="X2301" s="18" t="s">
        <v>52</v>
      </c>
      <c r="Y2301" s="18" t="s">
        <v>52</v>
      </c>
      <c r="Z2301" s="18" t="s">
        <v>52</v>
      </c>
      <c r="AA2301" s="18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s="18" t="s">
        <v>52</v>
      </c>
      <c r="AG2301" s="18" t="s">
        <v>52</v>
      </c>
      <c r="AH2301" s="18" t="s">
        <v>52</v>
      </c>
      <c r="AI2301" s="18" t="s">
        <v>52</v>
      </c>
      <c r="AJ2301">
        <v>3</v>
      </c>
      <c r="AK2301">
        <v>3</v>
      </c>
      <c r="AL2301">
        <v>4</v>
      </c>
      <c r="AM2301">
        <v>0</v>
      </c>
      <c r="AN2301" s="18">
        <v>0</v>
      </c>
      <c r="AO2301" s="18">
        <v>0</v>
      </c>
      <c r="AP2301" s="18">
        <v>0</v>
      </c>
      <c r="AQ2301" s="18" t="s">
        <v>52</v>
      </c>
      <c r="AR2301" s="29">
        <v>0</v>
      </c>
      <c r="AS2301" s="29">
        <v>0</v>
      </c>
      <c r="AT2301" s="29">
        <v>14</v>
      </c>
      <c r="AU2301" s="24" t="str">
        <f t="shared" si="36"/>
        <v>库存为14</v>
      </c>
      <c r="AV2301" s="31" t="str">
        <f>IFERROR(时间!$B$4+AU2301,"上周无销量")</f>
        <v>上周无销量</v>
      </c>
    </row>
    <row r="2302" spans="1:48">
      <c r="A2302" s="16" t="s">
        <v>4010</v>
      </c>
      <c r="B2302" t="s">
        <v>4011</v>
      </c>
      <c r="C2302" t="s">
        <v>4007</v>
      </c>
      <c r="D2302" s="24">
        <v>1</v>
      </c>
      <c r="E2302" s="24">
        <v>0</v>
      </c>
      <c r="F2302" s="24">
        <v>0</v>
      </c>
      <c r="G2302" s="24">
        <v>0</v>
      </c>
      <c r="H2302" s="25">
        <v>22.98</v>
      </c>
      <c r="I2302">
        <v>16</v>
      </c>
      <c r="J2302" s="26">
        <v>0</v>
      </c>
      <c r="K2302" s="26">
        <v>0</v>
      </c>
      <c r="L2302" s="26">
        <v>0</v>
      </c>
      <c r="M2302">
        <v>16</v>
      </c>
      <c r="N2302">
        <v>0</v>
      </c>
      <c r="O2302">
        <v>4</v>
      </c>
      <c r="P2302" t="s">
        <v>52</v>
      </c>
      <c r="Q2302" t="s">
        <v>52</v>
      </c>
      <c r="R2302" t="s">
        <v>52</v>
      </c>
      <c r="S2302" t="s">
        <v>52</v>
      </c>
      <c r="T2302" t="s">
        <v>52</v>
      </c>
      <c r="U2302" t="s">
        <v>52</v>
      </c>
      <c r="V2302" t="s">
        <v>52</v>
      </c>
      <c r="W2302" t="s">
        <v>52</v>
      </c>
      <c r="X2302" s="18" t="s">
        <v>52</v>
      </c>
      <c r="Y2302" s="18" t="s">
        <v>52</v>
      </c>
      <c r="Z2302" s="18" t="s">
        <v>52</v>
      </c>
      <c r="AA2302" s="18" t="s">
        <v>52</v>
      </c>
      <c r="AB2302" t="s">
        <v>52</v>
      </c>
      <c r="AC2302" t="s">
        <v>52</v>
      </c>
      <c r="AD2302" t="s">
        <v>52</v>
      </c>
      <c r="AE2302" t="s">
        <v>52</v>
      </c>
      <c r="AF2302" s="18" t="s">
        <v>52</v>
      </c>
      <c r="AG2302" s="18" t="s">
        <v>52</v>
      </c>
      <c r="AH2302" s="18" t="s">
        <v>52</v>
      </c>
      <c r="AI2302" s="18" t="s">
        <v>52</v>
      </c>
      <c r="AJ2302">
        <v>7</v>
      </c>
      <c r="AK2302">
        <v>7</v>
      </c>
      <c r="AL2302">
        <v>7</v>
      </c>
      <c r="AM2302">
        <v>1</v>
      </c>
      <c r="AN2302" s="18">
        <v>0.142857142857143</v>
      </c>
      <c r="AO2302" s="18">
        <v>0</v>
      </c>
      <c r="AP2302" s="18">
        <v>0</v>
      </c>
      <c r="AQ2302" s="18">
        <v>0</v>
      </c>
      <c r="AR2302" s="29">
        <v>0.142857142857143</v>
      </c>
      <c r="AS2302" s="29">
        <v>8.57142857142857</v>
      </c>
      <c r="AT2302" s="29">
        <v>7.42857142857143</v>
      </c>
      <c r="AU2302" s="24">
        <f t="shared" si="36"/>
        <v>112</v>
      </c>
      <c r="AV2302" s="31">
        <f>IFERROR(时间!$B$4+AU2302,"上周无销量")</f>
        <v>43430</v>
      </c>
    </row>
    <row r="2303" spans="1:48">
      <c r="A2303" s="16" t="s">
        <v>4012</v>
      </c>
      <c r="B2303" t="s">
        <v>4013</v>
      </c>
      <c r="C2303" t="s">
        <v>4007</v>
      </c>
      <c r="D2303" s="24">
        <v>1</v>
      </c>
      <c r="E2303" s="24">
        <v>2</v>
      </c>
      <c r="F2303" s="24">
        <v>1</v>
      </c>
      <c r="G2303" s="24">
        <v>1</v>
      </c>
      <c r="H2303" s="25">
        <v>22.98</v>
      </c>
      <c r="I2303">
        <v>7</v>
      </c>
      <c r="J2303" s="26">
        <v>0</v>
      </c>
      <c r="K2303" s="26">
        <v>0</v>
      </c>
      <c r="L2303" s="26">
        <v>2</v>
      </c>
      <c r="M2303">
        <v>9</v>
      </c>
      <c r="N2303">
        <v>0</v>
      </c>
      <c r="O2303">
        <v>0</v>
      </c>
      <c r="P2303" t="s">
        <v>52</v>
      </c>
      <c r="Q2303" t="s">
        <v>52</v>
      </c>
      <c r="R2303" t="s">
        <v>52</v>
      </c>
      <c r="S2303" t="s">
        <v>52</v>
      </c>
      <c r="T2303" t="s">
        <v>52</v>
      </c>
      <c r="U2303" t="s">
        <v>52</v>
      </c>
      <c r="V2303" t="s">
        <v>52</v>
      </c>
      <c r="W2303" t="s">
        <v>52</v>
      </c>
      <c r="X2303" s="18" t="s">
        <v>52</v>
      </c>
      <c r="Y2303" s="18" t="s">
        <v>52</v>
      </c>
      <c r="Z2303" s="18" t="s">
        <v>52</v>
      </c>
      <c r="AA2303" s="18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s="18" t="s">
        <v>52</v>
      </c>
      <c r="AG2303" s="18" t="s">
        <v>52</v>
      </c>
      <c r="AH2303" s="18" t="s">
        <v>52</v>
      </c>
      <c r="AI2303" s="18" t="s">
        <v>52</v>
      </c>
      <c r="AJ2303">
        <v>2</v>
      </c>
      <c r="AK2303">
        <v>5</v>
      </c>
      <c r="AL2303">
        <v>7</v>
      </c>
      <c r="AM2303">
        <v>5</v>
      </c>
      <c r="AN2303" s="18">
        <v>0.5</v>
      </c>
      <c r="AO2303" s="18">
        <v>0.4</v>
      </c>
      <c r="AP2303" s="18">
        <v>0.142857142857143</v>
      </c>
      <c r="AQ2303" s="18">
        <v>0.2</v>
      </c>
      <c r="AR2303" s="29">
        <v>0.142857142857143</v>
      </c>
      <c r="AS2303" s="29">
        <v>8.57142857142857</v>
      </c>
      <c r="AT2303" s="29">
        <v>0.428571428571429</v>
      </c>
      <c r="AU2303" s="24">
        <f t="shared" si="36"/>
        <v>63</v>
      </c>
      <c r="AV2303" s="31">
        <f>IFERROR(时间!$B$4+AU2303,"上周无销量")</f>
        <v>43381</v>
      </c>
    </row>
    <row r="2304" spans="1:48">
      <c r="A2304" s="16" t="s">
        <v>4014</v>
      </c>
      <c r="B2304" t="s">
        <v>3360</v>
      </c>
      <c r="C2304" t="s">
        <v>4015</v>
      </c>
      <c r="D2304" s="24">
        <v>0</v>
      </c>
      <c r="E2304" s="24">
        <v>0</v>
      </c>
      <c r="F2304" s="24">
        <v>5</v>
      </c>
      <c r="G2304" s="24">
        <v>0</v>
      </c>
      <c r="H2304" s="25">
        <v>26.98</v>
      </c>
      <c r="I2304">
        <v>1</v>
      </c>
      <c r="J2304" s="26">
        <v>0</v>
      </c>
      <c r="K2304" s="26">
        <v>0</v>
      </c>
      <c r="L2304" s="26">
        <v>0</v>
      </c>
      <c r="M2304">
        <v>1</v>
      </c>
      <c r="N2304">
        <v>0</v>
      </c>
      <c r="O2304">
        <v>0</v>
      </c>
      <c r="P2304" t="s">
        <v>52</v>
      </c>
      <c r="Q2304" t="s">
        <v>52</v>
      </c>
      <c r="R2304" t="s">
        <v>52</v>
      </c>
      <c r="S2304" t="s">
        <v>52</v>
      </c>
      <c r="T2304" t="s">
        <v>52</v>
      </c>
      <c r="U2304" t="s">
        <v>52</v>
      </c>
      <c r="V2304" t="s">
        <v>52</v>
      </c>
      <c r="W2304" t="s">
        <v>52</v>
      </c>
      <c r="X2304" s="18" t="s">
        <v>52</v>
      </c>
      <c r="Y2304" s="18" t="s">
        <v>52</v>
      </c>
      <c r="Z2304" s="18" t="s">
        <v>52</v>
      </c>
      <c r="AA2304" s="18" t="s">
        <v>52</v>
      </c>
      <c r="AB2304" t="s">
        <v>52</v>
      </c>
      <c r="AC2304" t="s">
        <v>52</v>
      </c>
      <c r="AD2304" t="s">
        <v>52</v>
      </c>
      <c r="AE2304" t="s">
        <v>52</v>
      </c>
      <c r="AF2304" s="18" t="s">
        <v>52</v>
      </c>
      <c r="AG2304" s="18" t="s">
        <v>52</v>
      </c>
      <c r="AH2304" s="18" t="s">
        <v>52</v>
      </c>
      <c r="AI2304" s="18" t="s">
        <v>52</v>
      </c>
      <c r="AJ2304">
        <v>9</v>
      </c>
      <c r="AK2304">
        <v>2</v>
      </c>
      <c r="AL2304">
        <v>5</v>
      </c>
      <c r="AM2304">
        <v>11</v>
      </c>
      <c r="AN2304" s="18">
        <v>0</v>
      </c>
      <c r="AO2304" s="18">
        <v>0</v>
      </c>
      <c r="AP2304" s="18">
        <v>1</v>
      </c>
      <c r="AQ2304" s="18">
        <v>0</v>
      </c>
      <c r="AR2304" s="29">
        <v>0</v>
      </c>
      <c r="AS2304" s="29">
        <v>0</v>
      </c>
      <c r="AT2304" s="29">
        <v>1</v>
      </c>
      <c r="AU2304" s="24" t="str">
        <f t="shared" si="36"/>
        <v>库存为1</v>
      </c>
      <c r="AV2304" s="31" t="str">
        <f>IFERROR(时间!$B$4+AU2304,"上周无销量")</f>
        <v>上周无销量</v>
      </c>
    </row>
    <row r="2305" spans="1:48">
      <c r="A2305" s="16" t="s">
        <v>4016</v>
      </c>
      <c r="B2305" t="s">
        <v>3363</v>
      </c>
      <c r="C2305" t="s">
        <v>4015</v>
      </c>
      <c r="D2305" s="24">
        <v>3</v>
      </c>
      <c r="E2305" s="24">
        <v>2</v>
      </c>
      <c r="F2305" s="24">
        <v>5</v>
      </c>
      <c r="G2305" s="24">
        <v>3</v>
      </c>
      <c r="H2305" s="25">
        <v>26.98</v>
      </c>
      <c r="I2305">
        <v>0</v>
      </c>
      <c r="J2305" s="26">
        <v>0</v>
      </c>
      <c r="K2305" s="26">
        <v>0</v>
      </c>
      <c r="L2305" s="26">
        <v>0</v>
      </c>
      <c r="M2305">
        <v>0</v>
      </c>
      <c r="N2305">
        <v>0</v>
      </c>
      <c r="O2305">
        <v>1</v>
      </c>
      <c r="P2305">
        <v>794</v>
      </c>
      <c r="Q2305">
        <v>365</v>
      </c>
      <c r="R2305">
        <v>282</v>
      </c>
      <c r="S2305">
        <v>1064</v>
      </c>
      <c r="T2305">
        <v>4</v>
      </c>
      <c r="U2305">
        <v>3</v>
      </c>
      <c r="V2305">
        <v>1</v>
      </c>
      <c r="W2305">
        <v>1</v>
      </c>
      <c r="X2305" s="18">
        <v>0.00503778337531486</v>
      </c>
      <c r="Y2305" s="18">
        <v>0.00821917808219178</v>
      </c>
      <c r="Z2305" s="18">
        <v>0.00354609929078014</v>
      </c>
      <c r="AA2305" s="18">
        <v>0.00093984962406015</v>
      </c>
      <c r="AB2305">
        <v>2.4</v>
      </c>
      <c r="AC2305">
        <v>1.13</v>
      </c>
      <c r="AD2305">
        <v>0.21</v>
      </c>
      <c r="AE2305">
        <v>0.45</v>
      </c>
      <c r="AF2305" s="18">
        <v>0.0296515937731653</v>
      </c>
      <c r="AG2305" s="18">
        <v>0.020941438102298</v>
      </c>
      <c r="AH2305" s="18">
        <v>0.00155670867309118</v>
      </c>
      <c r="AI2305" s="18">
        <v>0.0055596738324685</v>
      </c>
      <c r="AJ2305">
        <v>11</v>
      </c>
      <c r="AK2305">
        <v>18</v>
      </c>
      <c r="AL2305">
        <v>19</v>
      </c>
      <c r="AM2305">
        <v>5</v>
      </c>
      <c r="AN2305" s="18">
        <v>0.272727272727273</v>
      </c>
      <c r="AO2305" s="18">
        <v>0.111111111111111</v>
      </c>
      <c r="AP2305" s="18">
        <v>0.263157894736842</v>
      </c>
      <c r="AQ2305" s="18">
        <v>0.6</v>
      </c>
      <c r="AR2305" s="29">
        <v>0.428571428571429</v>
      </c>
      <c r="AS2305" s="29">
        <v>25.7142857142857</v>
      </c>
      <c r="AT2305" s="29">
        <v>-25.7142857142857</v>
      </c>
      <c r="AU2305" s="24">
        <f t="shared" si="36"/>
        <v>0</v>
      </c>
      <c r="AV2305" s="31">
        <f>IFERROR(时间!$B$4+AU2305,"上周无销量")</f>
        <v>43318</v>
      </c>
    </row>
    <row r="2306" spans="1:48">
      <c r="A2306" s="16" t="s">
        <v>4017</v>
      </c>
      <c r="B2306" t="s">
        <v>3365</v>
      </c>
      <c r="C2306" t="s">
        <v>4015</v>
      </c>
      <c r="D2306" s="24">
        <v>0</v>
      </c>
      <c r="E2306" s="24">
        <v>0</v>
      </c>
      <c r="F2306" s="24">
        <v>4</v>
      </c>
      <c r="G2306" s="24">
        <v>1</v>
      </c>
      <c r="H2306" s="25">
        <v>26.98</v>
      </c>
      <c r="I2306">
        <v>1</v>
      </c>
      <c r="J2306" s="26">
        <v>0</v>
      </c>
      <c r="K2306" s="26">
        <v>0</v>
      </c>
      <c r="L2306" s="26">
        <v>0</v>
      </c>
      <c r="M2306">
        <v>1</v>
      </c>
      <c r="N2306">
        <v>0</v>
      </c>
      <c r="O2306">
        <v>0</v>
      </c>
      <c r="P2306" t="s">
        <v>52</v>
      </c>
      <c r="Q2306" t="s">
        <v>52</v>
      </c>
      <c r="R2306" t="s">
        <v>52</v>
      </c>
      <c r="S2306" t="s">
        <v>52</v>
      </c>
      <c r="T2306" t="s">
        <v>52</v>
      </c>
      <c r="U2306" t="s">
        <v>52</v>
      </c>
      <c r="V2306" t="s">
        <v>52</v>
      </c>
      <c r="W2306" t="s">
        <v>52</v>
      </c>
      <c r="X2306" s="18" t="s">
        <v>52</v>
      </c>
      <c r="Y2306" s="18" t="s">
        <v>52</v>
      </c>
      <c r="Z2306" s="18" t="s">
        <v>52</v>
      </c>
      <c r="AA2306" s="18" t="s">
        <v>52</v>
      </c>
      <c r="AB2306" t="s">
        <v>52</v>
      </c>
      <c r="AC2306" t="s">
        <v>52</v>
      </c>
      <c r="AD2306" t="s">
        <v>52</v>
      </c>
      <c r="AE2306" t="s">
        <v>52</v>
      </c>
      <c r="AF2306" s="18" t="s">
        <v>52</v>
      </c>
      <c r="AG2306" s="18" t="s">
        <v>52</v>
      </c>
      <c r="AH2306" s="18" t="s">
        <v>52</v>
      </c>
      <c r="AI2306" s="18" t="s">
        <v>52</v>
      </c>
      <c r="AJ2306">
        <v>27</v>
      </c>
      <c r="AK2306">
        <v>9</v>
      </c>
      <c r="AL2306">
        <v>4</v>
      </c>
      <c r="AM2306">
        <v>27</v>
      </c>
      <c r="AN2306" s="18">
        <v>0</v>
      </c>
      <c r="AO2306" s="18">
        <v>0</v>
      </c>
      <c r="AP2306" s="18">
        <v>1</v>
      </c>
      <c r="AQ2306" s="18">
        <v>0.037037037037037</v>
      </c>
      <c r="AR2306" s="29">
        <v>0</v>
      </c>
      <c r="AS2306" s="29">
        <v>0</v>
      </c>
      <c r="AT2306" s="29">
        <v>1</v>
      </c>
      <c r="AU2306" s="24" t="str">
        <f t="shared" si="36"/>
        <v>库存为1</v>
      </c>
      <c r="AV2306" s="31" t="str">
        <f>IFERROR(时间!$B$4+AU2306,"上周无销量")</f>
        <v>上周无销量</v>
      </c>
    </row>
    <row r="2307" spans="1:48">
      <c r="A2307" s="16" t="s">
        <v>4018</v>
      </c>
      <c r="B2307" t="s">
        <v>3367</v>
      </c>
      <c r="C2307" t="s">
        <v>4015</v>
      </c>
      <c r="D2307" s="24">
        <v>1</v>
      </c>
      <c r="E2307" s="24">
        <v>2</v>
      </c>
      <c r="F2307" s="24">
        <v>1</v>
      </c>
      <c r="G2307" s="24">
        <v>1</v>
      </c>
      <c r="H2307" s="25">
        <v>26.98</v>
      </c>
      <c r="I2307">
        <v>5</v>
      </c>
      <c r="J2307" s="26">
        <v>0</v>
      </c>
      <c r="K2307" s="26">
        <v>0</v>
      </c>
      <c r="L2307" s="26">
        <v>1</v>
      </c>
      <c r="M2307">
        <v>6</v>
      </c>
      <c r="N2307">
        <v>0</v>
      </c>
      <c r="O2307">
        <v>7</v>
      </c>
      <c r="P2307" t="s">
        <v>52</v>
      </c>
      <c r="Q2307" t="s">
        <v>52</v>
      </c>
      <c r="R2307" t="s">
        <v>52</v>
      </c>
      <c r="S2307" t="s">
        <v>52</v>
      </c>
      <c r="T2307" t="s">
        <v>52</v>
      </c>
      <c r="U2307" t="s">
        <v>52</v>
      </c>
      <c r="V2307" t="s">
        <v>52</v>
      </c>
      <c r="W2307" t="s">
        <v>52</v>
      </c>
      <c r="X2307" s="18" t="s">
        <v>52</v>
      </c>
      <c r="Y2307" s="18" t="s">
        <v>52</v>
      </c>
      <c r="Z2307" s="18" t="s">
        <v>52</v>
      </c>
      <c r="AA2307" s="18" t="s">
        <v>52</v>
      </c>
      <c r="AB2307" t="s">
        <v>52</v>
      </c>
      <c r="AC2307" t="s">
        <v>52</v>
      </c>
      <c r="AD2307" t="s">
        <v>52</v>
      </c>
      <c r="AE2307" t="s">
        <v>52</v>
      </c>
      <c r="AF2307" s="18" t="s">
        <v>52</v>
      </c>
      <c r="AG2307" s="18" t="s">
        <v>52</v>
      </c>
      <c r="AH2307" s="18" t="s">
        <v>52</v>
      </c>
      <c r="AI2307" s="18" t="s">
        <v>52</v>
      </c>
      <c r="AJ2307">
        <v>5</v>
      </c>
      <c r="AK2307">
        <v>7</v>
      </c>
      <c r="AL2307">
        <v>8</v>
      </c>
      <c r="AM2307">
        <v>6</v>
      </c>
      <c r="AN2307" s="18">
        <v>0.2</v>
      </c>
      <c r="AO2307" s="18">
        <v>0.285714285714286</v>
      </c>
      <c r="AP2307" s="18">
        <v>0.125</v>
      </c>
      <c r="AQ2307" s="18">
        <v>0.166666666666667</v>
      </c>
      <c r="AR2307" s="29">
        <v>0.142857142857143</v>
      </c>
      <c r="AS2307" s="29">
        <v>8.57142857142857</v>
      </c>
      <c r="AT2307" s="29">
        <v>-2.57142857142857</v>
      </c>
      <c r="AU2307" s="24">
        <f t="shared" si="36"/>
        <v>42</v>
      </c>
      <c r="AV2307" s="31">
        <f>IFERROR(时间!$B$4+AU2307,"上周无销量")</f>
        <v>43360</v>
      </c>
    </row>
    <row r="2308" spans="1:48">
      <c r="A2308" s="16" t="s">
        <v>4019</v>
      </c>
      <c r="B2308" t="s">
        <v>3369</v>
      </c>
      <c r="C2308" t="s">
        <v>4015</v>
      </c>
      <c r="D2308" s="24">
        <v>3</v>
      </c>
      <c r="E2308" s="24">
        <v>1</v>
      </c>
      <c r="F2308" s="24">
        <v>2</v>
      </c>
      <c r="G2308" s="24">
        <v>1</v>
      </c>
      <c r="H2308" s="25">
        <v>26.98</v>
      </c>
      <c r="I2308">
        <v>0</v>
      </c>
      <c r="J2308" s="26">
        <v>0</v>
      </c>
      <c r="K2308" s="26">
        <v>0</v>
      </c>
      <c r="L2308" s="26">
        <v>0</v>
      </c>
      <c r="M2308">
        <v>0</v>
      </c>
      <c r="N2308">
        <v>0</v>
      </c>
      <c r="O2308">
        <v>0</v>
      </c>
      <c r="P2308">
        <v>4386</v>
      </c>
      <c r="Q2308">
        <v>3615</v>
      </c>
      <c r="R2308">
        <v>5972</v>
      </c>
      <c r="S2308">
        <v>11617</v>
      </c>
      <c r="T2308">
        <v>15</v>
      </c>
      <c r="U2308">
        <v>5</v>
      </c>
      <c r="V2308">
        <v>14</v>
      </c>
      <c r="W2308">
        <v>25</v>
      </c>
      <c r="X2308" s="18">
        <v>0.00341997264021888</v>
      </c>
      <c r="Y2308" s="18">
        <v>0.00138312586445367</v>
      </c>
      <c r="Z2308" s="18">
        <v>0.00234427327528466</v>
      </c>
      <c r="AA2308" s="18">
        <v>0.00215201859344065</v>
      </c>
      <c r="AB2308">
        <v>6.41</v>
      </c>
      <c r="AC2308">
        <v>1.5</v>
      </c>
      <c r="AD2308">
        <v>5.58</v>
      </c>
      <c r="AE2308">
        <v>10.45</v>
      </c>
      <c r="AF2308" s="18">
        <v>0.079194465035829</v>
      </c>
      <c r="AG2308" s="18">
        <v>0.055596738324685</v>
      </c>
      <c r="AH2308" s="18">
        <v>0.103409933283914</v>
      </c>
      <c r="AI2308" s="18">
        <v>0.387323943661972</v>
      </c>
      <c r="AJ2308">
        <v>21</v>
      </c>
      <c r="AK2308">
        <v>13</v>
      </c>
      <c r="AL2308">
        <v>26</v>
      </c>
      <c r="AM2308">
        <v>20</v>
      </c>
      <c r="AN2308" s="18">
        <v>0.142857142857143</v>
      </c>
      <c r="AO2308" s="18">
        <v>0.0769230769230769</v>
      </c>
      <c r="AP2308" s="18">
        <v>0.0769230769230769</v>
      </c>
      <c r="AQ2308" s="18">
        <v>0.05</v>
      </c>
      <c r="AR2308" s="29">
        <v>0.428571428571429</v>
      </c>
      <c r="AS2308" s="29">
        <v>25.7142857142857</v>
      </c>
      <c r="AT2308" s="29">
        <v>-25.7142857142857</v>
      </c>
      <c r="AU2308" s="24">
        <f t="shared" si="36"/>
        <v>0</v>
      </c>
      <c r="AV2308" s="31">
        <f>IFERROR(时间!$B$4+AU2308,"上周无销量")</f>
        <v>43318</v>
      </c>
    </row>
    <row r="2309" spans="1:48">
      <c r="A2309" s="16" t="s">
        <v>4020</v>
      </c>
      <c r="B2309" t="s">
        <v>3371</v>
      </c>
      <c r="C2309" t="s">
        <v>4015</v>
      </c>
      <c r="D2309" s="24">
        <v>0</v>
      </c>
      <c r="E2309" s="24">
        <v>0</v>
      </c>
      <c r="F2309" s="24">
        <v>2</v>
      </c>
      <c r="G2309" s="24">
        <v>3</v>
      </c>
      <c r="H2309" s="25">
        <v>26.98</v>
      </c>
      <c r="I2309">
        <v>0</v>
      </c>
      <c r="J2309" s="26">
        <v>0</v>
      </c>
      <c r="K2309" s="26">
        <v>0</v>
      </c>
      <c r="L2309" s="26">
        <v>0</v>
      </c>
      <c r="M2309">
        <v>0</v>
      </c>
      <c r="N2309">
        <v>0</v>
      </c>
      <c r="O2309">
        <v>0</v>
      </c>
      <c r="P2309" t="s">
        <v>52</v>
      </c>
      <c r="Q2309" t="s">
        <v>52</v>
      </c>
      <c r="R2309" t="s">
        <v>52</v>
      </c>
      <c r="S2309" t="s">
        <v>52</v>
      </c>
      <c r="T2309" t="s">
        <v>52</v>
      </c>
      <c r="U2309" t="s">
        <v>52</v>
      </c>
      <c r="V2309" t="s">
        <v>52</v>
      </c>
      <c r="W2309" t="s">
        <v>52</v>
      </c>
      <c r="X2309" s="18" t="s">
        <v>52</v>
      </c>
      <c r="Y2309" s="18" t="s">
        <v>52</v>
      </c>
      <c r="Z2309" s="18" t="s">
        <v>52</v>
      </c>
      <c r="AA2309" s="18" t="s">
        <v>52</v>
      </c>
      <c r="AB2309" t="s">
        <v>52</v>
      </c>
      <c r="AC2309" t="s">
        <v>52</v>
      </c>
      <c r="AD2309" t="s">
        <v>52</v>
      </c>
      <c r="AE2309" t="s">
        <v>52</v>
      </c>
      <c r="AF2309" s="18" t="s">
        <v>52</v>
      </c>
      <c r="AG2309" s="18" t="s">
        <v>52</v>
      </c>
      <c r="AH2309" s="18" t="s">
        <v>52</v>
      </c>
      <c r="AI2309" s="18" t="s">
        <v>52</v>
      </c>
      <c r="AJ2309">
        <v>0</v>
      </c>
      <c r="AK2309">
        <v>0</v>
      </c>
      <c r="AL2309">
        <v>6</v>
      </c>
      <c r="AM2309">
        <v>4</v>
      </c>
      <c r="AN2309" s="18" t="s">
        <v>52</v>
      </c>
      <c r="AO2309" s="18" t="s">
        <v>52</v>
      </c>
      <c r="AP2309" s="18">
        <v>0.333333333333333</v>
      </c>
      <c r="AQ2309" s="18">
        <v>0.75</v>
      </c>
      <c r="AR2309" s="29">
        <v>0</v>
      </c>
      <c r="AS2309" s="29">
        <v>0</v>
      </c>
      <c r="AT2309" s="29">
        <v>0</v>
      </c>
      <c r="AU2309" s="24" t="str">
        <f t="shared" si="36"/>
        <v>库存为0</v>
      </c>
      <c r="AV2309" s="31" t="str">
        <f>IFERROR(时间!$B$4+AU2309,"上周无销量")</f>
        <v>上周无销量</v>
      </c>
    </row>
    <row r="2310" spans="1:48">
      <c r="A2310" s="16" t="s">
        <v>4021</v>
      </c>
      <c r="B2310" t="s">
        <v>3373</v>
      </c>
      <c r="C2310" t="s">
        <v>4015</v>
      </c>
      <c r="D2310" s="24">
        <v>0</v>
      </c>
      <c r="E2310" s="24">
        <v>0</v>
      </c>
      <c r="F2310" s="24">
        <v>0</v>
      </c>
      <c r="G2310" s="24">
        <v>1</v>
      </c>
      <c r="H2310" s="25">
        <v>26.98</v>
      </c>
      <c r="I2310">
        <v>6</v>
      </c>
      <c r="J2310" s="26">
        <v>0</v>
      </c>
      <c r="K2310" s="26">
        <v>0</v>
      </c>
      <c r="L2310" s="26">
        <v>0</v>
      </c>
      <c r="M2310">
        <v>6</v>
      </c>
      <c r="N2310">
        <v>0</v>
      </c>
      <c r="O2310">
        <v>0</v>
      </c>
      <c r="P2310" t="s">
        <v>52</v>
      </c>
      <c r="Q2310" t="s">
        <v>52</v>
      </c>
      <c r="R2310" t="s">
        <v>52</v>
      </c>
      <c r="S2310" t="s">
        <v>52</v>
      </c>
      <c r="T2310" t="s">
        <v>52</v>
      </c>
      <c r="U2310" t="s">
        <v>52</v>
      </c>
      <c r="V2310" t="s">
        <v>52</v>
      </c>
      <c r="W2310" t="s">
        <v>52</v>
      </c>
      <c r="X2310" s="18" t="s">
        <v>52</v>
      </c>
      <c r="Y2310" s="18" t="s">
        <v>52</v>
      </c>
      <c r="Z2310" s="18" t="s">
        <v>52</v>
      </c>
      <c r="AA2310" s="18" t="s">
        <v>52</v>
      </c>
      <c r="AB2310" t="s">
        <v>52</v>
      </c>
      <c r="AC2310" t="s">
        <v>52</v>
      </c>
      <c r="AD2310" t="s">
        <v>52</v>
      </c>
      <c r="AE2310" t="s">
        <v>52</v>
      </c>
      <c r="AF2310" s="18" t="s">
        <v>52</v>
      </c>
      <c r="AG2310" s="18" t="s">
        <v>52</v>
      </c>
      <c r="AH2310" s="18" t="s">
        <v>52</v>
      </c>
      <c r="AI2310" s="18" t="s">
        <v>52</v>
      </c>
      <c r="AJ2310">
        <v>14</v>
      </c>
      <c r="AK2310">
        <v>17</v>
      </c>
      <c r="AL2310">
        <v>20</v>
      </c>
      <c r="AM2310">
        <v>4</v>
      </c>
      <c r="AN2310" s="18">
        <v>0</v>
      </c>
      <c r="AO2310" s="18">
        <v>0</v>
      </c>
      <c r="AP2310" s="18">
        <v>0</v>
      </c>
      <c r="AQ2310" s="18">
        <v>0.25</v>
      </c>
      <c r="AR2310" s="29">
        <v>0</v>
      </c>
      <c r="AS2310" s="29">
        <v>0</v>
      </c>
      <c r="AT2310" s="29">
        <v>6</v>
      </c>
      <c r="AU2310" s="24" t="str">
        <f t="shared" ref="AU2310:AU2373" si="37">IF(AR2310="","库存为"&amp;M2310,IF(AS2310=0,"库存为"&amp;M2310,INT(M2310/AR2310)))</f>
        <v>库存为6</v>
      </c>
      <c r="AV2310" s="31" t="str">
        <f>IFERROR(时间!$B$4+AU2310,"上周无销量")</f>
        <v>上周无销量</v>
      </c>
    </row>
    <row r="2311" spans="1:48">
      <c r="A2311" s="16" t="s">
        <v>4022</v>
      </c>
      <c r="B2311" t="s">
        <v>3375</v>
      </c>
      <c r="C2311" t="s">
        <v>4015</v>
      </c>
      <c r="D2311" s="24">
        <v>1</v>
      </c>
      <c r="E2311" s="24">
        <v>2</v>
      </c>
      <c r="F2311" s="24">
        <v>4</v>
      </c>
      <c r="G2311" s="24">
        <v>0</v>
      </c>
      <c r="H2311" s="25">
        <v>26.98</v>
      </c>
      <c r="I2311">
        <v>10</v>
      </c>
      <c r="J2311" s="26">
        <v>0</v>
      </c>
      <c r="K2311" s="26">
        <v>0</v>
      </c>
      <c r="L2311" s="26">
        <v>0</v>
      </c>
      <c r="M2311">
        <v>10</v>
      </c>
      <c r="N2311">
        <v>0</v>
      </c>
      <c r="O2311">
        <v>10</v>
      </c>
      <c r="P2311" t="s">
        <v>52</v>
      </c>
      <c r="Q2311" t="s">
        <v>52</v>
      </c>
      <c r="R2311" t="s">
        <v>52</v>
      </c>
      <c r="S2311" t="s">
        <v>52</v>
      </c>
      <c r="T2311" t="s">
        <v>52</v>
      </c>
      <c r="U2311" t="s">
        <v>52</v>
      </c>
      <c r="V2311" t="s">
        <v>52</v>
      </c>
      <c r="W2311" t="s">
        <v>52</v>
      </c>
      <c r="X2311" s="18" t="s">
        <v>52</v>
      </c>
      <c r="Y2311" s="18" t="s">
        <v>52</v>
      </c>
      <c r="Z2311" s="18" t="s">
        <v>52</v>
      </c>
      <c r="AA2311" s="18" t="s">
        <v>52</v>
      </c>
      <c r="AB2311" t="s">
        <v>52</v>
      </c>
      <c r="AC2311" t="s">
        <v>52</v>
      </c>
      <c r="AD2311" t="s">
        <v>52</v>
      </c>
      <c r="AE2311" t="s">
        <v>52</v>
      </c>
      <c r="AF2311" s="18" t="s">
        <v>52</v>
      </c>
      <c r="AG2311" s="18" t="s">
        <v>52</v>
      </c>
      <c r="AH2311" s="18" t="s">
        <v>52</v>
      </c>
      <c r="AI2311" s="18" t="s">
        <v>52</v>
      </c>
      <c r="AJ2311">
        <v>15</v>
      </c>
      <c r="AK2311">
        <v>15</v>
      </c>
      <c r="AL2311">
        <v>5</v>
      </c>
      <c r="AM2311">
        <v>16</v>
      </c>
      <c r="AN2311" s="18">
        <v>0.0666666666666667</v>
      </c>
      <c r="AO2311" s="18">
        <v>0.133333333333333</v>
      </c>
      <c r="AP2311" s="18">
        <v>0.8</v>
      </c>
      <c r="AQ2311" s="18">
        <v>0</v>
      </c>
      <c r="AR2311" s="29">
        <v>0.142857142857143</v>
      </c>
      <c r="AS2311" s="29">
        <v>8.57142857142857</v>
      </c>
      <c r="AT2311" s="29">
        <v>1.42857142857143</v>
      </c>
      <c r="AU2311" s="24">
        <f t="shared" si="37"/>
        <v>70</v>
      </c>
      <c r="AV2311" s="31">
        <f>IFERROR(时间!$B$4+AU2311,"上周无销量")</f>
        <v>43388</v>
      </c>
    </row>
    <row r="2312" spans="1:48">
      <c r="A2312" s="16" t="s">
        <v>4023</v>
      </c>
      <c r="B2312" t="s">
        <v>3377</v>
      </c>
      <c r="C2312" t="s">
        <v>4015</v>
      </c>
      <c r="D2312" s="24">
        <v>0</v>
      </c>
      <c r="E2312" s="24">
        <v>1</v>
      </c>
      <c r="F2312" s="24">
        <v>0</v>
      </c>
      <c r="G2312" s="24">
        <v>0</v>
      </c>
      <c r="H2312" s="25">
        <v>23.98</v>
      </c>
      <c r="I2312">
        <v>0</v>
      </c>
      <c r="J2312" s="26">
        <v>0</v>
      </c>
      <c r="K2312" s="26">
        <v>0</v>
      </c>
      <c r="L2312" s="26">
        <v>0</v>
      </c>
      <c r="M2312">
        <v>0</v>
      </c>
      <c r="N2312">
        <v>0</v>
      </c>
      <c r="O2312">
        <v>0</v>
      </c>
      <c r="P2312" t="s">
        <v>52</v>
      </c>
      <c r="Q2312" t="s">
        <v>52</v>
      </c>
      <c r="R2312" t="s">
        <v>52</v>
      </c>
      <c r="S2312" t="s">
        <v>52</v>
      </c>
      <c r="T2312" t="s">
        <v>52</v>
      </c>
      <c r="U2312" t="s">
        <v>52</v>
      </c>
      <c r="V2312" t="s">
        <v>52</v>
      </c>
      <c r="W2312" t="s">
        <v>52</v>
      </c>
      <c r="X2312" s="18" t="s">
        <v>52</v>
      </c>
      <c r="Y2312" s="18" t="s">
        <v>52</v>
      </c>
      <c r="Z2312" s="18" t="s">
        <v>52</v>
      </c>
      <c r="AA2312" s="18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s="18" t="s">
        <v>52</v>
      </c>
      <c r="AG2312" s="18" t="s">
        <v>52</v>
      </c>
      <c r="AH2312" s="18" t="s">
        <v>52</v>
      </c>
      <c r="AI2312" s="18" t="s">
        <v>52</v>
      </c>
      <c r="AJ2312">
        <v>0</v>
      </c>
      <c r="AK2312">
        <v>2</v>
      </c>
      <c r="AL2312">
        <v>0</v>
      </c>
      <c r="AM2312">
        <v>0</v>
      </c>
      <c r="AN2312" s="18" t="s">
        <v>52</v>
      </c>
      <c r="AO2312" s="18">
        <v>0.5</v>
      </c>
      <c r="AP2312" s="18" t="s">
        <v>52</v>
      </c>
      <c r="AQ2312" s="18" t="s">
        <v>52</v>
      </c>
      <c r="AR2312" s="29">
        <v>0</v>
      </c>
      <c r="AS2312" s="29">
        <v>0</v>
      </c>
      <c r="AT2312" s="29">
        <v>0</v>
      </c>
      <c r="AU2312" s="24" t="str">
        <f t="shared" si="37"/>
        <v>库存为0</v>
      </c>
      <c r="AV2312" s="31" t="str">
        <f>IFERROR(时间!$B$4+AU2312,"上周无销量")</f>
        <v>上周无销量</v>
      </c>
    </row>
    <row r="2313" spans="1:48">
      <c r="A2313" s="16" t="s">
        <v>4024</v>
      </c>
      <c r="B2313" t="s">
        <v>3381</v>
      </c>
      <c r="C2313" t="s">
        <v>4015</v>
      </c>
      <c r="D2313" s="24">
        <v>0</v>
      </c>
      <c r="E2313" s="24">
        <v>0</v>
      </c>
      <c r="F2313" s="24">
        <v>0</v>
      </c>
      <c r="G2313" s="24">
        <v>1</v>
      </c>
      <c r="H2313" s="25">
        <v>26.98</v>
      </c>
      <c r="I2313">
        <v>2</v>
      </c>
      <c r="J2313" s="26">
        <v>0</v>
      </c>
      <c r="K2313" s="26">
        <v>0</v>
      </c>
      <c r="L2313" s="26">
        <v>0</v>
      </c>
      <c r="M2313">
        <v>2</v>
      </c>
      <c r="N2313">
        <v>0</v>
      </c>
      <c r="O2313">
        <v>2</v>
      </c>
      <c r="P2313" t="s">
        <v>52</v>
      </c>
      <c r="Q2313" t="s">
        <v>52</v>
      </c>
      <c r="R2313" t="s">
        <v>52</v>
      </c>
      <c r="S2313" t="s">
        <v>52</v>
      </c>
      <c r="T2313" t="s">
        <v>52</v>
      </c>
      <c r="U2313" t="s">
        <v>52</v>
      </c>
      <c r="V2313" t="s">
        <v>52</v>
      </c>
      <c r="W2313" t="s">
        <v>52</v>
      </c>
      <c r="X2313" s="18" t="s">
        <v>52</v>
      </c>
      <c r="Y2313" s="18" t="s">
        <v>52</v>
      </c>
      <c r="Z2313" s="18" t="s">
        <v>52</v>
      </c>
      <c r="AA2313" s="18" t="s">
        <v>52</v>
      </c>
      <c r="AB2313" t="s">
        <v>52</v>
      </c>
      <c r="AC2313" t="s">
        <v>52</v>
      </c>
      <c r="AD2313" t="s">
        <v>52</v>
      </c>
      <c r="AE2313" t="s">
        <v>52</v>
      </c>
      <c r="AF2313" s="18" t="s">
        <v>52</v>
      </c>
      <c r="AG2313" s="18" t="s">
        <v>52</v>
      </c>
      <c r="AH2313" s="18" t="s">
        <v>52</v>
      </c>
      <c r="AI2313" s="18" t="s">
        <v>52</v>
      </c>
      <c r="AJ2313">
        <v>11</v>
      </c>
      <c r="AK2313">
        <v>18</v>
      </c>
      <c r="AL2313">
        <v>12</v>
      </c>
      <c r="AM2313">
        <v>9</v>
      </c>
      <c r="AN2313" s="18">
        <v>0</v>
      </c>
      <c r="AO2313" s="18">
        <v>0</v>
      </c>
      <c r="AP2313" s="18">
        <v>0</v>
      </c>
      <c r="AQ2313" s="18">
        <v>0.111111111111111</v>
      </c>
      <c r="AR2313" s="29">
        <v>0</v>
      </c>
      <c r="AS2313" s="29">
        <v>0</v>
      </c>
      <c r="AT2313" s="29">
        <v>2</v>
      </c>
      <c r="AU2313" s="24" t="str">
        <f t="shared" si="37"/>
        <v>库存为2</v>
      </c>
      <c r="AV2313" s="31" t="str">
        <f>IFERROR(时间!$B$4+AU2313,"上周无销量")</f>
        <v>上周无销量</v>
      </c>
    </row>
    <row r="2314" spans="1:48">
      <c r="A2314" s="16" t="s">
        <v>4025</v>
      </c>
      <c r="B2314" t="s">
        <v>3389</v>
      </c>
      <c r="C2314" t="s">
        <v>4015</v>
      </c>
      <c r="D2314" s="24">
        <v>0</v>
      </c>
      <c r="E2314" s="24">
        <v>0</v>
      </c>
      <c r="F2314" s="24">
        <v>0</v>
      </c>
      <c r="G2314" s="24">
        <v>0</v>
      </c>
      <c r="H2314" s="25">
        <v>0</v>
      </c>
      <c r="I2314">
        <v>4</v>
      </c>
      <c r="J2314" s="26">
        <v>0</v>
      </c>
      <c r="K2314" s="26">
        <v>0</v>
      </c>
      <c r="L2314" s="26">
        <v>0</v>
      </c>
      <c r="M2314">
        <v>4</v>
      </c>
      <c r="N2314">
        <v>0</v>
      </c>
      <c r="O2314">
        <v>4</v>
      </c>
      <c r="P2314" t="s">
        <v>52</v>
      </c>
      <c r="Q2314" t="s">
        <v>52</v>
      </c>
      <c r="R2314" t="s">
        <v>52</v>
      </c>
      <c r="S2314" t="s">
        <v>52</v>
      </c>
      <c r="T2314" t="s">
        <v>52</v>
      </c>
      <c r="U2314" t="s">
        <v>52</v>
      </c>
      <c r="V2314" t="s">
        <v>52</v>
      </c>
      <c r="W2314" t="s">
        <v>52</v>
      </c>
      <c r="X2314" s="18" t="s">
        <v>52</v>
      </c>
      <c r="Y2314" s="18" t="s">
        <v>52</v>
      </c>
      <c r="Z2314" s="18" t="s">
        <v>52</v>
      </c>
      <c r="AA2314" s="18" t="s">
        <v>52</v>
      </c>
      <c r="AB2314" t="s">
        <v>52</v>
      </c>
      <c r="AC2314" t="s">
        <v>52</v>
      </c>
      <c r="AD2314" t="s">
        <v>52</v>
      </c>
      <c r="AE2314" t="s">
        <v>52</v>
      </c>
      <c r="AF2314" s="18" t="s">
        <v>52</v>
      </c>
      <c r="AG2314" s="18" t="s">
        <v>52</v>
      </c>
      <c r="AH2314" s="18" t="s">
        <v>52</v>
      </c>
      <c r="AI2314" s="18" t="s">
        <v>52</v>
      </c>
      <c r="AJ2314">
        <v>8</v>
      </c>
      <c r="AK2314">
        <v>19</v>
      </c>
      <c r="AL2314">
        <v>2</v>
      </c>
      <c r="AM2314">
        <v>13</v>
      </c>
      <c r="AN2314" s="18">
        <v>0</v>
      </c>
      <c r="AO2314" s="18">
        <v>0</v>
      </c>
      <c r="AP2314" s="18">
        <v>0</v>
      </c>
      <c r="AQ2314" s="18">
        <v>0</v>
      </c>
      <c r="AR2314" s="29">
        <v>0</v>
      </c>
      <c r="AS2314" s="29">
        <v>0</v>
      </c>
      <c r="AT2314" s="29">
        <v>4</v>
      </c>
      <c r="AU2314" s="24" t="str">
        <f t="shared" si="37"/>
        <v>库存为4</v>
      </c>
      <c r="AV2314" s="31" t="str">
        <f>IFERROR(时间!$B$4+AU2314,"上周无销量")</f>
        <v>上周无销量</v>
      </c>
    </row>
    <row r="2315" spans="1:48">
      <c r="A2315" s="16" t="s">
        <v>4026</v>
      </c>
      <c r="B2315" t="s">
        <v>3391</v>
      </c>
      <c r="C2315" t="s">
        <v>4015</v>
      </c>
      <c r="D2315" s="24">
        <v>0</v>
      </c>
      <c r="E2315" s="24">
        <v>0</v>
      </c>
      <c r="F2315" s="24">
        <v>0</v>
      </c>
      <c r="G2315" s="24">
        <v>0</v>
      </c>
      <c r="H2315" s="25">
        <v>0</v>
      </c>
      <c r="I2315">
        <v>3</v>
      </c>
      <c r="J2315" s="26">
        <v>0</v>
      </c>
      <c r="K2315" s="26">
        <v>0</v>
      </c>
      <c r="L2315" s="26">
        <v>0</v>
      </c>
      <c r="M2315">
        <v>3</v>
      </c>
      <c r="N2315">
        <v>0</v>
      </c>
      <c r="O2315">
        <v>1</v>
      </c>
      <c r="P2315" t="s">
        <v>52</v>
      </c>
      <c r="Q2315" t="s">
        <v>52</v>
      </c>
      <c r="R2315" t="s">
        <v>52</v>
      </c>
      <c r="S2315" t="s">
        <v>52</v>
      </c>
      <c r="T2315" t="s">
        <v>52</v>
      </c>
      <c r="U2315" t="s">
        <v>52</v>
      </c>
      <c r="V2315" t="s">
        <v>52</v>
      </c>
      <c r="W2315" t="s">
        <v>52</v>
      </c>
      <c r="X2315" s="18" t="s">
        <v>52</v>
      </c>
      <c r="Y2315" s="18" t="s">
        <v>52</v>
      </c>
      <c r="Z2315" s="18" t="s">
        <v>52</v>
      </c>
      <c r="AA2315" s="18" t="s">
        <v>52</v>
      </c>
      <c r="AB2315" t="s">
        <v>52</v>
      </c>
      <c r="AC2315" t="s">
        <v>52</v>
      </c>
      <c r="AD2315" t="s">
        <v>52</v>
      </c>
      <c r="AE2315" t="s">
        <v>52</v>
      </c>
      <c r="AF2315" s="18" t="s">
        <v>52</v>
      </c>
      <c r="AG2315" s="18" t="s">
        <v>52</v>
      </c>
      <c r="AH2315" s="18" t="s">
        <v>52</v>
      </c>
      <c r="AI2315" s="18" t="s">
        <v>52</v>
      </c>
      <c r="AJ2315">
        <v>2</v>
      </c>
      <c r="AK2315">
        <v>2</v>
      </c>
      <c r="AL2315">
        <v>6</v>
      </c>
      <c r="AM2315">
        <v>3</v>
      </c>
      <c r="AN2315" s="18">
        <v>0</v>
      </c>
      <c r="AO2315" s="18">
        <v>0</v>
      </c>
      <c r="AP2315" s="18">
        <v>0</v>
      </c>
      <c r="AQ2315" s="18">
        <v>0</v>
      </c>
      <c r="AR2315" s="29">
        <v>0</v>
      </c>
      <c r="AS2315" s="29">
        <v>0</v>
      </c>
      <c r="AT2315" s="29">
        <v>3</v>
      </c>
      <c r="AU2315" s="24" t="str">
        <f t="shared" si="37"/>
        <v>库存为3</v>
      </c>
      <c r="AV2315" s="31" t="str">
        <f>IFERROR(时间!$B$4+AU2315,"上周无销量")</f>
        <v>上周无销量</v>
      </c>
    </row>
    <row r="2316" spans="1:48">
      <c r="A2316" s="16" t="s">
        <v>4027</v>
      </c>
      <c r="B2316" t="s">
        <v>3395</v>
      </c>
      <c r="C2316" t="s">
        <v>4015</v>
      </c>
      <c r="D2316" s="24">
        <v>0</v>
      </c>
      <c r="E2316" s="24">
        <v>0</v>
      </c>
      <c r="F2316" s="24">
        <v>0</v>
      </c>
      <c r="G2316" s="24">
        <v>0</v>
      </c>
      <c r="H2316" s="25">
        <v>0</v>
      </c>
      <c r="I2316">
        <v>0</v>
      </c>
      <c r="J2316" s="26">
        <v>0</v>
      </c>
      <c r="K2316" s="26">
        <v>0</v>
      </c>
      <c r="L2316" s="26">
        <v>0</v>
      </c>
      <c r="M2316">
        <v>0</v>
      </c>
      <c r="N2316">
        <v>0</v>
      </c>
      <c r="O2316">
        <v>0</v>
      </c>
      <c r="P2316" t="s">
        <v>52</v>
      </c>
      <c r="Q2316" t="s">
        <v>52</v>
      </c>
      <c r="R2316" t="s">
        <v>52</v>
      </c>
      <c r="S2316" t="s">
        <v>52</v>
      </c>
      <c r="T2316" t="s">
        <v>52</v>
      </c>
      <c r="U2316" t="s">
        <v>52</v>
      </c>
      <c r="V2316" t="s">
        <v>52</v>
      </c>
      <c r="W2316" t="s">
        <v>52</v>
      </c>
      <c r="X2316" s="18" t="s">
        <v>52</v>
      </c>
      <c r="Y2316" s="18" t="s">
        <v>52</v>
      </c>
      <c r="Z2316" s="18" t="s">
        <v>52</v>
      </c>
      <c r="AA2316" s="18" t="s">
        <v>52</v>
      </c>
      <c r="AB2316" t="s">
        <v>52</v>
      </c>
      <c r="AC2316" t="s">
        <v>52</v>
      </c>
      <c r="AD2316" t="s">
        <v>52</v>
      </c>
      <c r="AE2316" t="s">
        <v>52</v>
      </c>
      <c r="AF2316" s="18" t="s">
        <v>52</v>
      </c>
      <c r="AG2316" s="18" t="s">
        <v>52</v>
      </c>
      <c r="AH2316" s="18" t="s">
        <v>52</v>
      </c>
      <c r="AI2316" s="18" t="s">
        <v>52</v>
      </c>
      <c r="AJ2316">
        <v>0</v>
      </c>
      <c r="AK2316">
        <v>0</v>
      </c>
      <c r="AL2316">
        <v>0</v>
      </c>
      <c r="AM2316">
        <v>0</v>
      </c>
      <c r="AN2316" s="18" t="s">
        <v>52</v>
      </c>
      <c r="AO2316" s="18" t="s">
        <v>52</v>
      </c>
      <c r="AP2316" s="18" t="s">
        <v>52</v>
      </c>
      <c r="AQ2316" s="18" t="s">
        <v>52</v>
      </c>
      <c r="AR2316" s="29">
        <v>0</v>
      </c>
      <c r="AS2316" s="29">
        <v>0</v>
      </c>
      <c r="AT2316" s="29">
        <v>0</v>
      </c>
      <c r="AU2316" s="24" t="str">
        <f t="shared" si="37"/>
        <v>库存为0</v>
      </c>
      <c r="AV2316" s="31" t="str">
        <f>IFERROR(时间!$B$4+AU2316,"上周无销量")</f>
        <v>上周无销量</v>
      </c>
    </row>
    <row r="2317" spans="1:48">
      <c r="A2317" s="16" t="s">
        <v>4028</v>
      </c>
      <c r="B2317" t="s">
        <v>3397</v>
      </c>
      <c r="C2317" t="s">
        <v>4015</v>
      </c>
      <c r="D2317" s="24">
        <v>0</v>
      </c>
      <c r="E2317" s="24">
        <v>0</v>
      </c>
      <c r="F2317" s="24">
        <v>0</v>
      </c>
      <c r="G2317" s="24">
        <v>1</v>
      </c>
      <c r="H2317" s="25">
        <v>26.98</v>
      </c>
      <c r="I2317">
        <v>4</v>
      </c>
      <c r="J2317" s="26">
        <v>0</v>
      </c>
      <c r="K2317" s="26">
        <v>0</v>
      </c>
      <c r="L2317" s="26">
        <v>0</v>
      </c>
      <c r="M2317">
        <v>4</v>
      </c>
      <c r="N2317">
        <v>0</v>
      </c>
      <c r="O2317">
        <v>0</v>
      </c>
      <c r="P2317" t="s">
        <v>52</v>
      </c>
      <c r="Q2317" t="s">
        <v>52</v>
      </c>
      <c r="R2317" t="s">
        <v>52</v>
      </c>
      <c r="S2317" t="s">
        <v>52</v>
      </c>
      <c r="T2317" t="s">
        <v>52</v>
      </c>
      <c r="U2317" t="s">
        <v>52</v>
      </c>
      <c r="V2317" t="s">
        <v>52</v>
      </c>
      <c r="W2317" t="s">
        <v>52</v>
      </c>
      <c r="X2317" s="18" t="s">
        <v>52</v>
      </c>
      <c r="Y2317" s="18" t="s">
        <v>52</v>
      </c>
      <c r="Z2317" s="18" t="s">
        <v>52</v>
      </c>
      <c r="AA2317" s="18" t="s">
        <v>52</v>
      </c>
      <c r="AB2317" t="s">
        <v>52</v>
      </c>
      <c r="AC2317" t="s">
        <v>52</v>
      </c>
      <c r="AD2317" t="s">
        <v>52</v>
      </c>
      <c r="AE2317" t="s">
        <v>52</v>
      </c>
      <c r="AF2317" s="18" t="s">
        <v>52</v>
      </c>
      <c r="AG2317" s="18" t="s">
        <v>52</v>
      </c>
      <c r="AH2317" s="18" t="s">
        <v>52</v>
      </c>
      <c r="AI2317" s="18" t="s">
        <v>52</v>
      </c>
      <c r="AJ2317">
        <v>18</v>
      </c>
      <c r="AK2317">
        <v>12</v>
      </c>
      <c r="AL2317">
        <v>9</v>
      </c>
      <c r="AM2317">
        <v>11</v>
      </c>
      <c r="AN2317" s="18">
        <v>0</v>
      </c>
      <c r="AO2317" s="18">
        <v>0</v>
      </c>
      <c r="AP2317" s="18">
        <v>0</v>
      </c>
      <c r="AQ2317" s="18">
        <v>0.0909090909090909</v>
      </c>
      <c r="AR2317" s="29">
        <v>0</v>
      </c>
      <c r="AS2317" s="29">
        <v>0</v>
      </c>
      <c r="AT2317" s="29">
        <v>4</v>
      </c>
      <c r="AU2317" s="24" t="str">
        <f t="shared" si="37"/>
        <v>库存为4</v>
      </c>
      <c r="AV2317" s="31" t="str">
        <f>IFERROR(时间!$B$4+AU2317,"上周无销量")</f>
        <v>上周无销量</v>
      </c>
    </row>
    <row r="2318" spans="1:48">
      <c r="A2318" s="16" t="s">
        <v>4029</v>
      </c>
      <c r="B2318" t="s">
        <v>3401</v>
      </c>
      <c r="C2318" t="s">
        <v>4015</v>
      </c>
      <c r="D2318" s="24">
        <v>6</v>
      </c>
      <c r="E2318" s="24">
        <v>2</v>
      </c>
      <c r="F2318" s="24">
        <v>2</v>
      </c>
      <c r="G2318" s="24">
        <v>1</v>
      </c>
      <c r="H2318" s="25">
        <v>26.98</v>
      </c>
      <c r="I2318">
        <v>0</v>
      </c>
      <c r="J2318" s="26">
        <v>0</v>
      </c>
      <c r="K2318" s="26">
        <v>0</v>
      </c>
      <c r="L2318" s="26">
        <v>0</v>
      </c>
      <c r="M2318">
        <v>0</v>
      </c>
      <c r="N2318">
        <v>0</v>
      </c>
      <c r="O2318">
        <v>1</v>
      </c>
      <c r="P2318">
        <v>1922</v>
      </c>
      <c r="Q2318">
        <v>472</v>
      </c>
      <c r="R2318">
        <v>1254</v>
      </c>
      <c r="S2318">
        <v>2722</v>
      </c>
      <c r="T2318">
        <v>12</v>
      </c>
      <c r="U2318">
        <v>2</v>
      </c>
      <c r="V2318">
        <v>4</v>
      </c>
      <c r="W2318">
        <v>4</v>
      </c>
      <c r="X2318" s="18">
        <v>0.00624349635796046</v>
      </c>
      <c r="Y2318" s="18">
        <v>0.00423728813559322</v>
      </c>
      <c r="Z2318" s="18">
        <v>0.00318979266347687</v>
      </c>
      <c r="AA2318" s="18">
        <v>0.0014695077149155</v>
      </c>
      <c r="AB2318">
        <v>4.72</v>
      </c>
      <c r="AC2318">
        <v>0.43</v>
      </c>
      <c r="AD2318">
        <v>0.94</v>
      </c>
      <c r="AE2318">
        <v>1.68</v>
      </c>
      <c r="AF2318" s="18">
        <v>0.0291574005436126</v>
      </c>
      <c r="AG2318" s="18">
        <v>0.00796886582653818</v>
      </c>
      <c r="AH2318" s="18">
        <v>0.0174203113417346</v>
      </c>
      <c r="AI2318" s="18">
        <v>0.0622683469236471</v>
      </c>
      <c r="AJ2318">
        <v>12</v>
      </c>
      <c r="AK2318">
        <v>16</v>
      </c>
      <c r="AL2318">
        <v>11</v>
      </c>
      <c r="AM2318">
        <v>16</v>
      </c>
      <c r="AN2318" s="18">
        <v>0.5</v>
      </c>
      <c r="AO2318" s="18">
        <v>0.125</v>
      </c>
      <c r="AP2318" s="18">
        <v>0.181818181818182</v>
      </c>
      <c r="AQ2318" s="18">
        <v>0.0625</v>
      </c>
      <c r="AR2318" s="29">
        <v>0.857142857142857</v>
      </c>
      <c r="AS2318" s="29">
        <v>51.4285714285714</v>
      </c>
      <c r="AT2318" s="29">
        <v>-51.4285714285714</v>
      </c>
      <c r="AU2318" s="24">
        <f t="shared" si="37"/>
        <v>0</v>
      </c>
      <c r="AV2318" s="31">
        <f>IFERROR(时间!$B$4+AU2318,"上周无销量")</f>
        <v>43318</v>
      </c>
    </row>
    <row r="2319" spans="1:48">
      <c r="A2319" s="16" t="s">
        <v>4030</v>
      </c>
      <c r="B2319" t="s">
        <v>3403</v>
      </c>
      <c r="C2319" t="s">
        <v>4015</v>
      </c>
      <c r="D2319" s="24">
        <v>6</v>
      </c>
      <c r="E2319" s="24">
        <v>0</v>
      </c>
      <c r="F2319" s="24">
        <v>4</v>
      </c>
      <c r="G2319" s="24">
        <v>2</v>
      </c>
      <c r="H2319" s="25">
        <v>26.98</v>
      </c>
      <c r="I2319">
        <v>0</v>
      </c>
      <c r="J2319" s="26">
        <v>0</v>
      </c>
      <c r="K2319" s="26">
        <v>0</v>
      </c>
      <c r="L2319" s="26">
        <v>0</v>
      </c>
      <c r="M2319">
        <v>0</v>
      </c>
      <c r="N2319">
        <v>0</v>
      </c>
      <c r="O2319">
        <v>0</v>
      </c>
      <c r="P2319" t="s">
        <v>52</v>
      </c>
      <c r="Q2319" t="s">
        <v>52</v>
      </c>
      <c r="R2319" t="s">
        <v>52</v>
      </c>
      <c r="S2319" t="s">
        <v>52</v>
      </c>
      <c r="T2319" t="s">
        <v>52</v>
      </c>
      <c r="U2319" t="s">
        <v>52</v>
      </c>
      <c r="V2319" t="s">
        <v>52</v>
      </c>
      <c r="W2319" t="s">
        <v>52</v>
      </c>
      <c r="X2319" s="18" t="s">
        <v>52</v>
      </c>
      <c r="Y2319" s="18" t="s">
        <v>52</v>
      </c>
      <c r="Z2319" s="18" t="s">
        <v>52</v>
      </c>
      <c r="AA2319" s="18" t="s">
        <v>52</v>
      </c>
      <c r="AB2319" t="s">
        <v>52</v>
      </c>
      <c r="AC2319" t="s">
        <v>52</v>
      </c>
      <c r="AD2319" t="s">
        <v>52</v>
      </c>
      <c r="AE2319" t="s">
        <v>52</v>
      </c>
      <c r="AF2319" s="18" t="s">
        <v>52</v>
      </c>
      <c r="AG2319" s="18" t="s">
        <v>52</v>
      </c>
      <c r="AH2319" s="18" t="s">
        <v>52</v>
      </c>
      <c r="AI2319" s="18" t="s">
        <v>52</v>
      </c>
      <c r="AJ2319">
        <v>26</v>
      </c>
      <c r="AK2319">
        <v>15</v>
      </c>
      <c r="AL2319">
        <v>7</v>
      </c>
      <c r="AM2319">
        <v>14</v>
      </c>
      <c r="AN2319" s="18">
        <v>0.230769230769231</v>
      </c>
      <c r="AO2319" s="18">
        <v>0</v>
      </c>
      <c r="AP2319" s="18">
        <v>0.571428571428571</v>
      </c>
      <c r="AQ2319" s="18">
        <v>0.142857142857143</v>
      </c>
      <c r="AR2319" s="29">
        <v>0.857142857142857</v>
      </c>
      <c r="AS2319" s="29">
        <v>51.4285714285714</v>
      </c>
      <c r="AT2319" s="29">
        <v>-51.4285714285714</v>
      </c>
      <c r="AU2319" s="24">
        <f t="shared" si="37"/>
        <v>0</v>
      </c>
      <c r="AV2319" s="31">
        <f>IFERROR(时间!$B$4+AU2319,"上周无销量")</f>
        <v>43318</v>
      </c>
    </row>
    <row r="2320" spans="1:48">
      <c r="A2320" s="16" t="s">
        <v>4031</v>
      </c>
      <c r="B2320" t="s">
        <v>3405</v>
      </c>
      <c r="C2320" t="s">
        <v>4015</v>
      </c>
      <c r="D2320" s="24">
        <v>1</v>
      </c>
      <c r="E2320" s="24">
        <v>1</v>
      </c>
      <c r="F2320" s="24">
        <v>0</v>
      </c>
      <c r="G2320" s="24">
        <v>1</v>
      </c>
      <c r="H2320" s="25">
        <v>26.98</v>
      </c>
      <c r="I2320">
        <v>7</v>
      </c>
      <c r="J2320" s="26">
        <v>0</v>
      </c>
      <c r="K2320" s="26">
        <v>0</v>
      </c>
      <c r="L2320" s="26">
        <v>0</v>
      </c>
      <c r="M2320">
        <v>7</v>
      </c>
      <c r="N2320">
        <v>0</v>
      </c>
      <c r="O2320">
        <v>0</v>
      </c>
      <c r="P2320" t="s">
        <v>52</v>
      </c>
      <c r="Q2320" t="s">
        <v>52</v>
      </c>
      <c r="R2320" t="s">
        <v>52</v>
      </c>
      <c r="S2320" t="s">
        <v>52</v>
      </c>
      <c r="T2320" t="s">
        <v>52</v>
      </c>
      <c r="U2320" t="s">
        <v>52</v>
      </c>
      <c r="V2320" t="s">
        <v>52</v>
      </c>
      <c r="W2320" t="s">
        <v>52</v>
      </c>
      <c r="X2320" s="18" t="s">
        <v>52</v>
      </c>
      <c r="Y2320" s="18" t="s">
        <v>52</v>
      </c>
      <c r="Z2320" s="18" t="s">
        <v>52</v>
      </c>
      <c r="AA2320" s="18" t="s">
        <v>52</v>
      </c>
      <c r="AB2320" t="s">
        <v>52</v>
      </c>
      <c r="AC2320" t="s">
        <v>52</v>
      </c>
      <c r="AD2320" t="s">
        <v>52</v>
      </c>
      <c r="AE2320" t="s">
        <v>52</v>
      </c>
      <c r="AF2320" s="18" t="s">
        <v>52</v>
      </c>
      <c r="AG2320" s="18" t="s">
        <v>52</v>
      </c>
      <c r="AH2320" s="18" t="s">
        <v>52</v>
      </c>
      <c r="AI2320" s="18" t="s">
        <v>52</v>
      </c>
      <c r="AJ2320">
        <v>9</v>
      </c>
      <c r="AK2320">
        <v>31</v>
      </c>
      <c r="AL2320">
        <v>10</v>
      </c>
      <c r="AM2320">
        <v>3</v>
      </c>
      <c r="AN2320" s="18">
        <v>0.111111111111111</v>
      </c>
      <c r="AO2320" s="18">
        <v>0.032258064516129</v>
      </c>
      <c r="AP2320" s="18">
        <v>0</v>
      </c>
      <c r="AQ2320" s="18">
        <v>0.333333333333333</v>
      </c>
      <c r="AR2320" s="29">
        <v>0.142857142857143</v>
      </c>
      <c r="AS2320" s="29">
        <v>8.57142857142857</v>
      </c>
      <c r="AT2320" s="29">
        <v>-1.57142857142857</v>
      </c>
      <c r="AU2320" s="24">
        <f t="shared" si="37"/>
        <v>49</v>
      </c>
      <c r="AV2320" s="31">
        <f>IFERROR(时间!$B$4+AU2320,"上周无销量")</f>
        <v>43367</v>
      </c>
    </row>
    <row r="2321" spans="1:48">
      <c r="A2321" s="16" t="s">
        <v>4032</v>
      </c>
      <c r="B2321" t="s">
        <v>3407</v>
      </c>
      <c r="C2321" t="s">
        <v>4015</v>
      </c>
      <c r="D2321" s="24">
        <v>2</v>
      </c>
      <c r="E2321" s="24">
        <v>2</v>
      </c>
      <c r="F2321" s="24">
        <v>1</v>
      </c>
      <c r="G2321" s="24">
        <v>0</v>
      </c>
      <c r="H2321" s="25">
        <v>26.98</v>
      </c>
      <c r="I2321">
        <v>8</v>
      </c>
      <c r="J2321" s="26">
        <v>0</v>
      </c>
      <c r="K2321" s="26">
        <v>0</v>
      </c>
      <c r="L2321" s="26">
        <v>0</v>
      </c>
      <c r="M2321">
        <v>8</v>
      </c>
      <c r="N2321">
        <v>0</v>
      </c>
      <c r="O2321">
        <v>7</v>
      </c>
      <c r="P2321" t="s">
        <v>52</v>
      </c>
      <c r="Q2321" t="s">
        <v>52</v>
      </c>
      <c r="R2321" t="s">
        <v>52</v>
      </c>
      <c r="S2321" t="s">
        <v>52</v>
      </c>
      <c r="T2321" t="s">
        <v>52</v>
      </c>
      <c r="U2321" t="s">
        <v>52</v>
      </c>
      <c r="V2321" t="s">
        <v>52</v>
      </c>
      <c r="W2321" t="s">
        <v>52</v>
      </c>
      <c r="X2321" s="18" t="s">
        <v>52</v>
      </c>
      <c r="Y2321" s="18" t="s">
        <v>52</v>
      </c>
      <c r="Z2321" s="18" t="s">
        <v>52</v>
      </c>
      <c r="AA2321" s="18" t="s">
        <v>52</v>
      </c>
      <c r="AB2321" t="s">
        <v>52</v>
      </c>
      <c r="AC2321" t="s">
        <v>52</v>
      </c>
      <c r="AD2321" t="s">
        <v>52</v>
      </c>
      <c r="AE2321" t="s">
        <v>52</v>
      </c>
      <c r="AF2321" s="18" t="s">
        <v>52</v>
      </c>
      <c r="AG2321" s="18" t="s">
        <v>52</v>
      </c>
      <c r="AH2321" s="18" t="s">
        <v>52</v>
      </c>
      <c r="AI2321" s="18" t="s">
        <v>52</v>
      </c>
      <c r="AJ2321">
        <v>8</v>
      </c>
      <c r="AK2321">
        <v>10</v>
      </c>
      <c r="AL2321">
        <v>4</v>
      </c>
      <c r="AM2321">
        <v>6</v>
      </c>
      <c r="AN2321" s="18">
        <v>0.25</v>
      </c>
      <c r="AO2321" s="18">
        <v>0.2</v>
      </c>
      <c r="AP2321" s="18">
        <v>0.25</v>
      </c>
      <c r="AQ2321" s="18">
        <v>0</v>
      </c>
      <c r="AR2321" s="29">
        <v>0.285714285714286</v>
      </c>
      <c r="AS2321" s="29">
        <v>17.1428571428571</v>
      </c>
      <c r="AT2321" s="29">
        <v>-9.14285714285714</v>
      </c>
      <c r="AU2321" s="24">
        <f t="shared" si="37"/>
        <v>28</v>
      </c>
      <c r="AV2321" s="31">
        <f>IFERROR(时间!$B$4+AU2321,"上周无销量")</f>
        <v>43346</v>
      </c>
    </row>
    <row r="2322" spans="1:48">
      <c r="A2322" s="16" t="s">
        <v>4033</v>
      </c>
      <c r="B2322" t="s">
        <v>3409</v>
      </c>
      <c r="C2322" t="s">
        <v>4015</v>
      </c>
      <c r="D2322" s="24">
        <v>2</v>
      </c>
      <c r="E2322" s="24">
        <v>0</v>
      </c>
      <c r="F2322" s="24">
        <v>4</v>
      </c>
      <c r="G2322" s="24">
        <v>1</v>
      </c>
      <c r="H2322" s="25">
        <v>26.98</v>
      </c>
      <c r="I2322">
        <v>7</v>
      </c>
      <c r="J2322" s="26">
        <v>0</v>
      </c>
      <c r="K2322" s="26">
        <v>0</v>
      </c>
      <c r="L2322" s="26">
        <v>0</v>
      </c>
      <c r="M2322">
        <v>7</v>
      </c>
      <c r="N2322">
        <v>0</v>
      </c>
      <c r="O2322">
        <v>7</v>
      </c>
      <c r="P2322">
        <v>2372</v>
      </c>
      <c r="Q2322">
        <v>2725</v>
      </c>
      <c r="R2322">
        <v>5247</v>
      </c>
      <c r="S2322">
        <v>12711</v>
      </c>
      <c r="T2322">
        <v>3</v>
      </c>
      <c r="U2322">
        <v>10</v>
      </c>
      <c r="V2322">
        <v>5</v>
      </c>
      <c r="W2322">
        <v>34</v>
      </c>
      <c r="X2322" s="18">
        <v>0.00126475548060708</v>
      </c>
      <c r="Y2322" s="18">
        <v>0.0036697247706422</v>
      </c>
      <c r="Z2322" s="18">
        <v>0.000952925481227368</v>
      </c>
      <c r="AA2322" s="18">
        <v>0.0026748485563685</v>
      </c>
      <c r="AB2322">
        <v>1.27</v>
      </c>
      <c r="AC2322">
        <v>5.42</v>
      </c>
      <c r="AD2322">
        <v>1.46</v>
      </c>
      <c r="AE2322">
        <v>12.17</v>
      </c>
      <c r="AF2322" s="18">
        <v>0.02353595255745</v>
      </c>
      <c r="AG2322" s="18" t="s">
        <v>4034</v>
      </c>
      <c r="AH2322" s="18">
        <v>0.0135285396590067</v>
      </c>
      <c r="AI2322" s="18">
        <v>0.451074870274277</v>
      </c>
      <c r="AJ2322">
        <v>7</v>
      </c>
      <c r="AK2322">
        <v>5</v>
      </c>
      <c r="AL2322">
        <v>19</v>
      </c>
      <c r="AM2322">
        <v>15</v>
      </c>
      <c r="AN2322" s="18">
        <v>0.285714285714286</v>
      </c>
      <c r="AO2322" s="18">
        <v>0</v>
      </c>
      <c r="AP2322" s="18">
        <v>0.210526315789474</v>
      </c>
      <c r="AQ2322" s="18">
        <v>0.0666666666666667</v>
      </c>
      <c r="AR2322" s="29">
        <v>0.285714285714286</v>
      </c>
      <c r="AS2322" s="29">
        <v>17.1428571428571</v>
      </c>
      <c r="AT2322" s="29">
        <v>-10.1428571428571</v>
      </c>
      <c r="AU2322" s="24">
        <f t="shared" si="37"/>
        <v>24</v>
      </c>
      <c r="AV2322" s="31">
        <f>IFERROR(时间!$B$4+AU2322,"上周无销量")</f>
        <v>43342</v>
      </c>
    </row>
    <row r="2323" spans="1:48">
      <c r="A2323" s="16" t="s">
        <v>4035</v>
      </c>
      <c r="B2323" t="s">
        <v>3411</v>
      </c>
      <c r="C2323" t="s">
        <v>4015</v>
      </c>
      <c r="D2323" s="24">
        <v>1</v>
      </c>
      <c r="E2323" s="24">
        <v>2</v>
      </c>
      <c r="F2323" s="24">
        <v>7</v>
      </c>
      <c r="G2323" s="24">
        <v>0</v>
      </c>
      <c r="H2323" s="25">
        <v>26.98</v>
      </c>
      <c r="I2323">
        <v>5</v>
      </c>
      <c r="J2323" s="26">
        <v>0</v>
      </c>
      <c r="K2323" s="26">
        <v>0</v>
      </c>
      <c r="L2323" s="26">
        <v>0</v>
      </c>
      <c r="M2323">
        <v>5</v>
      </c>
      <c r="N2323">
        <v>0</v>
      </c>
      <c r="O2323">
        <v>5</v>
      </c>
      <c r="P2323" t="s">
        <v>52</v>
      </c>
      <c r="Q2323" t="s">
        <v>52</v>
      </c>
      <c r="R2323" t="s">
        <v>52</v>
      </c>
      <c r="S2323" t="s">
        <v>52</v>
      </c>
      <c r="T2323" t="s">
        <v>52</v>
      </c>
      <c r="U2323" t="s">
        <v>52</v>
      </c>
      <c r="V2323" t="s">
        <v>52</v>
      </c>
      <c r="W2323" t="s">
        <v>52</v>
      </c>
      <c r="X2323" s="18" t="s">
        <v>52</v>
      </c>
      <c r="Y2323" s="18" t="s">
        <v>52</v>
      </c>
      <c r="Z2323" s="18" t="s">
        <v>52</v>
      </c>
      <c r="AA2323" s="18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s="18" t="s">
        <v>52</v>
      </c>
      <c r="AG2323" s="18" t="s">
        <v>52</v>
      </c>
      <c r="AH2323" s="18" t="s">
        <v>52</v>
      </c>
      <c r="AI2323" s="18" t="s">
        <v>52</v>
      </c>
      <c r="AJ2323">
        <v>17</v>
      </c>
      <c r="AK2323">
        <v>12</v>
      </c>
      <c r="AL2323">
        <v>3</v>
      </c>
      <c r="AM2323">
        <v>11</v>
      </c>
      <c r="AN2323" s="18">
        <v>0.0588235294117647</v>
      </c>
      <c r="AO2323" s="18">
        <v>0.166666666666667</v>
      </c>
      <c r="AP2323" s="18">
        <v>2.33333333333333</v>
      </c>
      <c r="AQ2323" s="18">
        <v>0</v>
      </c>
      <c r="AR2323" s="29">
        <v>0.142857142857143</v>
      </c>
      <c r="AS2323" s="29">
        <v>8.57142857142857</v>
      </c>
      <c r="AT2323" s="29">
        <v>-3.57142857142857</v>
      </c>
      <c r="AU2323" s="24">
        <f t="shared" si="37"/>
        <v>35</v>
      </c>
      <c r="AV2323" s="31">
        <f>IFERROR(时间!$B$4+AU2323,"上周无销量")</f>
        <v>43353</v>
      </c>
    </row>
    <row r="2324" spans="1:48">
      <c r="A2324" s="16" t="s">
        <v>4036</v>
      </c>
      <c r="B2324" t="s">
        <v>3413</v>
      </c>
      <c r="C2324" t="s">
        <v>4015</v>
      </c>
      <c r="D2324" s="24">
        <v>1</v>
      </c>
      <c r="E2324" s="24">
        <v>0</v>
      </c>
      <c r="F2324" s="24">
        <v>5</v>
      </c>
      <c r="G2324" s="24">
        <v>2</v>
      </c>
      <c r="H2324" s="25">
        <v>26.98</v>
      </c>
      <c r="I2324">
        <v>5</v>
      </c>
      <c r="J2324" s="26">
        <v>0</v>
      </c>
      <c r="K2324" s="26">
        <v>0</v>
      </c>
      <c r="L2324" s="26">
        <v>0</v>
      </c>
      <c r="M2324">
        <v>5</v>
      </c>
      <c r="N2324">
        <v>0</v>
      </c>
      <c r="O2324">
        <v>6</v>
      </c>
      <c r="P2324" t="s">
        <v>52</v>
      </c>
      <c r="Q2324" t="s">
        <v>52</v>
      </c>
      <c r="R2324" t="s">
        <v>52</v>
      </c>
      <c r="S2324" t="s">
        <v>52</v>
      </c>
      <c r="T2324" t="s">
        <v>52</v>
      </c>
      <c r="U2324" t="s">
        <v>52</v>
      </c>
      <c r="V2324" t="s">
        <v>52</v>
      </c>
      <c r="W2324" t="s">
        <v>52</v>
      </c>
      <c r="X2324" s="18" t="s">
        <v>52</v>
      </c>
      <c r="Y2324" s="18" t="s">
        <v>52</v>
      </c>
      <c r="Z2324" s="18" t="s">
        <v>52</v>
      </c>
      <c r="AA2324" s="18" t="s">
        <v>52</v>
      </c>
      <c r="AB2324" t="s">
        <v>52</v>
      </c>
      <c r="AC2324" t="s">
        <v>52</v>
      </c>
      <c r="AD2324" t="s">
        <v>52</v>
      </c>
      <c r="AE2324" t="s">
        <v>52</v>
      </c>
      <c r="AF2324" s="18" t="s">
        <v>52</v>
      </c>
      <c r="AG2324" s="18" t="s">
        <v>52</v>
      </c>
      <c r="AH2324" s="18" t="s">
        <v>52</v>
      </c>
      <c r="AI2324" s="18" t="s">
        <v>52</v>
      </c>
      <c r="AJ2324">
        <v>10</v>
      </c>
      <c r="AK2324">
        <v>9</v>
      </c>
      <c r="AL2324">
        <v>3</v>
      </c>
      <c r="AM2324">
        <v>5</v>
      </c>
      <c r="AN2324" s="18">
        <v>0.1</v>
      </c>
      <c r="AO2324" s="18">
        <v>0</v>
      </c>
      <c r="AP2324" s="18">
        <v>1.66666666666667</v>
      </c>
      <c r="AQ2324" s="18">
        <v>0.4</v>
      </c>
      <c r="AR2324" s="29">
        <v>0.142857142857143</v>
      </c>
      <c r="AS2324" s="29">
        <v>8.57142857142857</v>
      </c>
      <c r="AT2324" s="29">
        <v>-3.57142857142857</v>
      </c>
      <c r="AU2324" s="24">
        <f t="shared" si="37"/>
        <v>35</v>
      </c>
      <c r="AV2324" s="31">
        <f>IFERROR(时间!$B$4+AU2324,"上周无销量")</f>
        <v>43353</v>
      </c>
    </row>
    <row r="2325" spans="1:48">
      <c r="A2325" s="16" t="s">
        <v>4037</v>
      </c>
      <c r="B2325" t="s">
        <v>3415</v>
      </c>
      <c r="C2325" t="s">
        <v>4015</v>
      </c>
      <c r="D2325" s="24">
        <v>0</v>
      </c>
      <c r="E2325" s="24">
        <v>0</v>
      </c>
      <c r="F2325" s="24">
        <v>3</v>
      </c>
      <c r="G2325" s="24">
        <v>0</v>
      </c>
      <c r="H2325" s="25">
        <v>26.98</v>
      </c>
      <c r="I2325">
        <v>9</v>
      </c>
      <c r="J2325" s="26">
        <v>0</v>
      </c>
      <c r="K2325" s="26">
        <v>0</v>
      </c>
      <c r="L2325" s="26">
        <v>0</v>
      </c>
      <c r="M2325">
        <v>9</v>
      </c>
      <c r="N2325">
        <v>0</v>
      </c>
      <c r="O2325">
        <v>11</v>
      </c>
      <c r="P2325">
        <v>1852</v>
      </c>
      <c r="Q2325">
        <v>0</v>
      </c>
      <c r="R2325">
        <v>0</v>
      </c>
      <c r="S2325">
        <v>0</v>
      </c>
      <c r="T2325">
        <v>5</v>
      </c>
      <c r="U2325">
        <v>0</v>
      </c>
      <c r="V2325">
        <v>0</v>
      </c>
      <c r="W2325">
        <v>0</v>
      </c>
      <c r="X2325" s="18">
        <v>0.00269978401727862</v>
      </c>
      <c r="Y2325" s="18" t="s">
        <v>52</v>
      </c>
      <c r="Z2325" s="18" t="s">
        <v>52</v>
      </c>
      <c r="AA2325" s="18" t="s">
        <v>52</v>
      </c>
      <c r="AB2325">
        <v>1.73</v>
      </c>
      <c r="AC2325">
        <v>0</v>
      </c>
      <c r="AD2325">
        <v>0</v>
      </c>
      <c r="AE2325">
        <v>0</v>
      </c>
      <c r="AF2325" s="18" t="s">
        <v>4038</v>
      </c>
      <c r="AG2325" s="18" t="s">
        <v>52</v>
      </c>
      <c r="AH2325" s="18" t="s">
        <v>52</v>
      </c>
      <c r="AI2325" s="18" t="s">
        <v>52</v>
      </c>
      <c r="AJ2325">
        <v>7</v>
      </c>
      <c r="AK2325">
        <v>6</v>
      </c>
      <c r="AL2325">
        <v>4</v>
      </c>
      <c r="AM2325">
        <v>3</v>
      </c>
      <c r="AN2325" s="18">
        <v>0</v>
      </c>
      <c r="AO2325" s="18">
        <v>0</v>
      </c>
      <c r="AP2325" s="18">
        <v>0.75</v>
      </c>
      <c r="AQ2325" s="18">
        <v>0</v>
      </c>
      <c r="AR2325" s="29">
        <v>0</v>
      </c>
      <c r="AS2325" s="29">
        <v>0</v>
      </c>
      <c r="AT2325" s="29">
        <v>9</v>
      </c>
      <c r="AU2325" s="24" t="str">
        <f t="shared" si="37"/>
        <v>库存为9</v>
      </c>
      <c r="AV2325" s="31" t="str">
        <f>IFERROR(时间!$B$4+AU2325,"上周无销量")</f>
        <v>上周无销量</v>
      </c>
    </row>
    <row r="2326" spans="1:48">
      <c r="A2326" s="16" t="s">
        <v>4039</v>
      </c>
      <c r="B2326" t="s">
        <v>3417</v>
      </c>
      <c r="C2326" t="s">
        <v>4040</v>
      </c>
      <c r="D2326" s="24">
        <v>1</v>
      </c>
      <c r="E2326" s="24">
        <v>0</v>
      </c>
      <c r="F2326" s="24">
        <v>0</v>
      </c>
      <c r="G2326" s="24">
        <v>0</v>
      </c>
      <c r="H2326" s="25">
        <v>20.98</v>
      </c>
      <c r="I2326">
        <v>2</v>
      </c>
      <c r="J2326" s="26">
        <v>0</v>
      </c>
      <c r="K2326" s="26">
        <v>0</v>
      </c>
      <c r="L2326" s="26">
        <v>0</v>
      </c>
      <c r="M2326">
        <v>2</v>
      </c>
      <c r="N2326">
        <v>0</v>
      </c>
      <c r="O2326">
        <v>0</v>
      </c>
      <c r="P2326">
        <v>1221</v>
      </c>
      <c r="Q2326">
        <v>0</v>
      </c>
      <c r="R2326">
        <v>0</v>
      </c>
      <c r="S2326">
        <v>0</v>
      </c>
      <c r="T2326">
        <v>4</v>
      </c>
      <c r="U2326">
        <v>0</v>
      </c>
      <c r="V2326">
        <v>0</v>
      </c>
      <c r="W2326">
        <v>0</v>
      </c>
      <c r="X2326" s="18">
        <v>0.00327600327600328</v>
      </c>
      <c r="Y2326" s="18" t="s">
        <v>52</v>
      </c>
      <c r="Z2326" s="18" t="s">
        <v>52</v>
      </c>
      <c r="AA2326" s="18" t="s">
        <v>52</v>
      </c>
      <c r="AB2326">
        <v>2.36</v>
      </c>
      <c r="AC2326">
        <v>0</v>
      </c>
      <c r="AD2326">
        <v>0</v>
      </c>
      <c r="AE2326">
        <v>0</v>
      </c>
      <c r="AF2326" s="18">
        <v>0.112488083889418</v>
      </c>
      <c r="AG2326" s="18" t="s">
        <v>52</v>
      </c>
      <c r="AH2326" s="18" t="s">
        <v>52</v>
      </c>
      <c r="AI2326" s="18" t="s">
        <v>52</v>
      </c>
      <c r="AJ2326">
        <v>7</v>
      </c>
      <c r="AK2326">
        <v>6</v>
      </c>
      <c r="AL2326">
        <v>7</v>
      </c>
      <c r="AM2326">
        <v>4</v>
      </c>
      <c r="AN2326" s="18">
        <v>0.142857142857143</v>
      </c>
      <c r="AO2326" s="18">
        <v>0</v>
      </c>
      <c r="AP2326" s="18">
        <v>0</v>
      </c>
      <c r="AQ2326" s="18">
        <v>0</v>
      </c>
      <c r="AR2326" s="29">
        <v>0.142857142857143</v>
      </c>
      <c r="AS2326" s="29">
        <v>8.57142857142857</v>
      </c>
      <c r="AT2326" s="29">
        <v>-6.57142857142857</v>
      </c>
      <c r="AU2326" s="24">
        <f t="shared" si="37"/>
        <v>14</v>
      </c>
      <c r="AV2326" s="31">
        <f>IFERROR(时间!$B$4+AU2326,"上周无销量")</f>
        <v>43332</v>
      </c>
    </row>
    <row r="2327" spans="1:48">
      <c r="A2327" s="16" t="s">
        <v>4041</v>
      </c>
      <c r="B2327" t="s">
        <v>3420</v>
      </c>
      <c r="C2327" t="s">
        <v>4040</v>
      </c>
      <c r="D2327" s="24">
        <v>0</v>
      </c>
      <c r="E2327" s="24">
        <v>0</v>
      </c>
      <c r="F2327" s="24">
        <v>0</v>
      </c>
      <c r="G2327" s="24">
        <v>0</v>
      </c>
      <c r="H2327" s="25">
        <v>0</v>
      </c>
      <c r="I2327">
        <v>5</v>
      </c>
      <c r="J2327" s="26">
        <v>0</v>
      </c>
      <c r="K2327" s="26">
        <v>0</v>
      </c>
      <c r="L2327" s="26">
        <v>0</v>
      </c>
      <c r="M2327">
        <v>5</v>
      </c>
      <c r="N2327">
        <v>0</v>
      </c>
      <c r="O2327">
        <v>0</v>
      </c>
      <c r="P2327" t="s">
        <v>52</v>
      </c>
      <c r="Q2327" t="s">
        <v>52</v>
      </c>
      <c r="R2327" t="s">
        <v>52</v>
      </c>
      <c r="S2327" t="s">
        <v>52</v>
      </c>
      <c r="T2327" t="s">
        <v>52</v>
      </c>
      <c r="U2327" t="s">
        <v>52</v>
      </c>
      <c r="V2327" t="s">
        <v>52</v>
      </c>
      <c r="W2327" t="s">
        <v>52</v>
      </c>
      <c r="X2327" s="18" t="s">
        <v>52</v>
      </c>
      <c r="Y2327" s="18" t="s">
        <v>52</v>
      </c>
      <c r="Z2327" s="18" t="s">
        <v>52</v>
      </c>
      <c r="AA2327" s="18" t="s">
        <v>52</v>
      </c>
      <c r="AB2327" t="s">
        <v>52</v>
      </c>
      <c r="AC2327" t="s">
        <v>52</v>
      </c>
      <c r="AD2327" t="s">
        <v>52</v>
      </c>
      <c r="AE2327" t="s">
        <v>52</v>
      </c>
      <c r="AF2327" s="18" t="s">
        <v>52</v>
      </c>
      <c r="AG2327" s="18" t="s">
        <v>52</v>
      </c>
      <c r="AH2327" s="18" t="s">
        <v>52</v>
      </c>
      <c r="AI2327" s="18" t="s">
        <v>52</v>
      </c>
      <c r="AJ2327">
        <v>4</v>
      </c>
      <c r="AK2327">
        <v>3</v>
      </c>
      <c r="AL2327">
        <v>3</v>
      </c>
      <c r="AM2327">
        <v>1</v>
      </c>
      <c r="AN2327" s="18">
        <v>0</v>
      </c>
      <c r="AO2327" s="18">
        <v>0</v>
      </c>
      <c r="AP2327" s="18">
        <v>0</v>
      </c>
      <c r="AQ2327" s="18">
        <v>0</v>
      </c>
      <c r="AR2327" s="29">
        <v>0</v>
      </c>
      <c r="AS2327" s="29">
        <v>0</v>
      </c>
      <c r="AT2327" s="29">
        <v>5</v>
      </c>
      <c r="AU2327" s="24" t="str">
        <f t="shared" si="37"/>
        <v>库存为5</v>
      </c>
      <c r="AV2327" s="31" t="str">
        <f>IFERROR(时间!$B$4+AU2327,"上周无销量")</f>
        <v>上周无销量</v>
      </c>
    </row>
    <row r="2328" spans="1:48">
      <c r="A2328" s="16" t="s">
        <v>4042</v>
      </c>
      <c r="B2328" t="s">
        <v>3422</v>
      </c>
      <c r="C2328" t="s">
        <v>4040</v>
      </c>
      <c r="D2328" s="24">
        <v>0</v>
      </c>
      <c r="E2328" s="24">
        <v>0</v>
      </c>
      <c r="F2328" s="24">
        <v>0</v>
      </c>
      <c r="G2328" s="24">
        <v>0</v>
      </c>
      <c r="H2328" s="25">
        <v>0</v>
      </c>
      <c r="I2328">
        <v>2</v>
      </c>
      <c r="J2328" s="26">
        <v>0</v>
      </c>
      <c r="K2328" s="26">
        <v>0</v>
      </c>
      <c r="L2328" s="26">
        <v>0</v>
      </c>
      <c r="M2328">
        <v>2</v>
      </c>
      <c r="N2328">
        <v>0</v>
      </c>
      <c r="O2328">
        <v>2</v>
      </c>
      <c r="P2328" t="s">
        <v>52</v>
      </c>
      <c r="Q2328" t="s">
        <v>52</v>
      </c>
      <c r="R2328" t="s">
        <v>52</v>
      </c>
      <c r="S2328" t="s">
        <v>52</v>
      </c>
      <c r="T2328" t="s">
        <v>52</v>
      </c>
      <c r="U2328" t="s">
        <v>52</v>
      </c>
      <c r="V2328" t="s">
        <v>52</v>
      </c>
      <c r="W2328" t="s">
        <v>52</v>
      </c>
      <c r="X2328" s="18" t="s">
        <v>52</v>
      </c>
      <c r="Y2328" s="18" t="s">
        <v>52</v>
      </c>
      <c r="Z2328" s="18" t="s">
        <v>52</v>
      </c>
      <c r="AA2328" s="18" t="s">
        <v>52</v>
      </c>
      <c r="AB2328" t="s">
        <v>52</v>
      </c>
      <c r="AC2328" t="s">
        <v>52</v>
      </c>
      <c r="AD2328" t="s">
        <v>52</v>
      </c>
      <c r="AE2328" t="s">
        <v>52</v>
      </c>
      <c r="AF2328" s="18" t="s">
        <v>52</v>
      </c>
      <c r="AG2328" s="18" t="s">
        <v>52</v>
      </c>
      <c r="AH2328" s="18" t="s">
        <v>52</v>
      </c>
      <c r="AI2328" s="18" t="s">
        <v>52</v>
      </c>
      <c r="AJ2328">
        <v>13</v>
      </c>
      <c r="AK2328">
        <v>10</v>
      </c>
      <c r="AL2328">
        <v>12</v>
      </c>
      <c r="AM2328">
        <v>8</v>
      </c>
      <c r="AN2328" s="18">
        <v>0</v>
      </c>
      <c r="AO2328" s="18">
        <v>0</v>
      </c>
      <c r="AP2328" s="18">
        <v>0</v>
      </c>
      <c r="AQ2328" s="18">
        <v>0</v>
      </c>
      <c r="AR2328" s="29">
        <v>0</v>
      </c>
      <c r="AS2328" s="29">
        <v>0</v>
      </c>
      <c r="AT2328" s="29">
        <v>2</v>
      </c>
      <c r="AU2328" s="24" t="str">
        <f t="shared" si="37"/>
        <v>库存为2</v>
      </c>
      <c r="AV2328" s="31" t="str">
        <f>IFERROR(时间!$B$4+AU2328,"上周无销量")</f>
        <v>上周无销量</v>
      </c>
    </row>
    <row r="2329" spans="1:48">
      <c r="A2329" s="16" t="s">
        <v>4043</v>
      </c>
      <c r="B2329" t="s">
        <v>3424</v>
      </c>
      <c r="C2329" t="s">
        <v>4040</v>
      </c>
      <c r="D2329" s="24">
        <v>0</v>
      </c>
      <c r="E2329" s="24">
        <v>0</v>
      </c>
      <c r="F2329" s="24">
        <v>1</v>
      </c>
      <c r="G2329" s="24">
        <v>0</v>
      </c>
      <c r="H2329" s="25">
        <v>20.98</v>
      </c>
      <c r="I2329">
        <v>8</v>
      </c>
      <c r="J2329" s="26">
        <v>0</v>
      </c>
      <c r="K2329" s="26">
        <v>0</v>
      </c>
      <c r="L2329" s="26">
        <v>0</v>
      </c>
      <c r="M2329">
        <v>8</v>
      </c>
      <c r="N2329">
        <v>0</v>
      </c>
      <c r="O2329">
        <v>0</v>
      </c>
      <c r="P2329" t="s">
        <v>52</v>
      </c>
      <c r="Q2329" t="s">
        <v>52</v>
      </c>
      <c r="R2329" t="s">
        <v>52</v>
      </c>
      <c r="S2329" t="s">
        <v>52</v>
      </c>
      <c r="T2329" t="s">
        <v>52</v>
      </c>
      <c r="U2329" t="s">
        <v>52</v>
      </c>
      <c r="V2329" t="s">
        <v>52</v>
      </c>
      <c r="W2329" t="s">
        <v>52</v>
      </c>
      <c r="X2329" s="18" t="s">
        <v>52</v>
      </c>
      <c r="Y2329" s="18" t="s">
        <v>52</v>
      </c>
      <c r="Z2329" s="18" t="s">
        <v>52</v>
      </c>
      <c r="AA2329" s="18" t="s">
        <v>52</v>
      </c>
      <c r="AB2329" t="s">
        <v>52</v>
      </c>
      <c r="AC2329" t="s">
        <v>52</v>
      </c>
      <c r="AD2329" t="s">
        <v>52</v>
      </c>
      <c r="AE2329" t="s">
        <v>52</v>
      </c>
      <c r="AF2329" s="18" t="s">
        <v>52</v>
      </c>
      <c r="AG2329" s="18" t="s">
        <v>52</v>
      </c>
      <c r="AH2329" s="18" t="s">
        <v>52</v>
      </c>
      <c r="AI2329" s="18" t="s">
        <v>52</v>
      </c>
      <c r="AJ2329">
        <v>7</v>
      </c>
      <c r="AK2329">
        <v>4</v>
      </c>
      <c r="AL2329">
        <v>6</v>
      </c>
      <c r="AM2329">
        <v>8</v>
      </c>
      <c r="AN2329" s="18">
        <v>0</v>
      </c>
      <c r="AO2329" s="18">
        <v>0</v>
      </c>
      <c r="AP2329" s="18">
        <v>0.166666666666667</v>
      </c>
      <c r="AQ2329" s="18">
        <v>0</v>
      </c>
      <c r="AR2329" s="29">
        <v>0</v>
      </c>
      <c r="AS2329" s="29">
        <v>0</v>
      </c>
      <c r="AT2329" s="29">
        <v>8</v>
      </c>
      <c r="AU2329" s="24" t="str">
        <f t="shared" si="37"/>
        <v>库存为8</v>
      </c>
      <c r="AV2329" s="31" t="str">
        <f>IFERROR(时间!$B$4+AU2329,"上周无销量")</f>
        <v>上周无销量</v>
      </c>
    </row>
    <row r="2330" spans="1:48">
      <c r="A2330" s="16" t="s">
        <v>4044</v>
      </c>
      <c r="B2330" t="s">
        <v>3426</v>
      </c>
      <c r="C2330" t="s">
        <v>4040</v>
      </c>
      <c r="D2330" s="24">
        <v>0</v>
      </c>
      <c r="E2330" s="24">
        <v>0</v>
      </c>
      <c r="F2330" s="24">
        <v>1</v>
      </c>
      <c r="G2330" s="24">
        <v>0</v>
      </c>
      <c r="H2330" s="25">
        <v>20.98</v>
      </c>
      <c r="I2330">
        <v>21</v>
      </c>
      <c r="J2330" s="26">
        <v>0</v>
      </c>
      <c r="K2330" s="26">
        <v>0</v>
      </c>
      <c r="L2330" s="26">
        <v>0</v>
      </c>
      <c r="M2330">
        <v>21</v>
      </c>
      <c r="N2330">
        <v>0</v>
      </c>
      <c r="O2330">
        <v>3</v>
      </c>
      <c r="P2330">
        <v>6443</v>
      </c>
      <c r="Q2330">
        <v>0</v>
      </c>
      <c r="R2330">
        <v>0</v>
      </c>
      <c r="S2330">
        <v>0</v>
      </c>
      <c r="T2330">
        <v>11</v>
      </c>
      <c r="U2330">
        <v>0</v>
      </c>
      <c r="V2330">
        <v>0</v>
      </c>
      <c r="W2330">
        <v>0</v>
      </c>
      <c r="X2330" s="18">
        <v>0.0017072792177557</v>
      </c>
      <c r="Y2330" s="18" t="s">
        <v>52</v>
      </c>
      <c r="Z2330" s="18" t="s">
        <v>52</v>
      </c>
      <c r="AA2330" s="18" t="s">
        <v>52</v>
      </c>
      <c r="AB2330">
        <v>5.96</v>
      </c>
      <c r="AC2330">
        <v>0</v>
      </c>
      <c r="AD2330">
        <v>0</v>
      </c>
      <c r="AE2330">
        <v>0</v>
      </c>
      <c r="AF2330" s="18" t="s">
        <v>4045</v>
      </c>
      <c r="AG2330" s="18" t="s">
        <v>52</v>
      </c>
      <c r="AH2330" s="18" t="s">
        <v>52</v>
      </c>
      <c r="AI2330" s="18" t="s">
        <v>52</v>
      </c>
      <c r="AJ2330">
        <v>12</v>
      </c>
      <c r="AK2330">
        <v>5</v>
      </c>
      <c r="AL2330">
        <v>4</v>
      </c>
      <c r="AM2330">
        <v>2</v>
      </c>
      <c r="AN2330" s="18">
        <v>0</v>
      </c>
      <c r="AO2330" s="18">
        <v>0</v>
      </c>
      <c r="AP2330" s="18">
        <v>0.25</v>
      </c>
      <c r="AQ2330" s="18">
        <v>0</v>
      </c>
      <c r="AR2330" s="29">
        <v>0</v>
      </c>
      <c r="AS2330" s="29">
        <v>0</v>
      </c>
      <c r="AT2330" s="29">
        <v>21</v>
      </c>
      <c r="AU2330" s="24" t="str">
        <f t="shared" si="37"/>
        <v>库存为21</v>
      </c>
      <c r="AV2330" s="31" t="str">
        <f>IFERROR(时间!$B$4+AU2330,"上周无销量")</f>
        <v>上周无销量</v>
      </c>
    </row>
    <row r="2331" spans="1:48">
      <c r="A2331" s="16" t="s">
        <v>4046</v>
      </c>
      <c r="B2331" t="s">
        <v>3428</v>
      </c>
      <c r="C2331" t="s">
        <v>4040</v>
      </c>
      <c r="D2331" s="24">
        <v>1</v>
      </c>
      <c r="E2331" s="24">
        <v>1</v>
      </c>
      <c r="F2331" s="24">
        <v>0</v>
      </c>
      <c r="G2331" s="24">
        <v>0</v>
      </c>
      <c r="H2331" s="25">
        <v>20.98</v>
      </c>
      <c r="I2331">
        <v>13</v>
      </c>
      <c r="J2331" s="26">
        <v>0</v>
      </c>
      <c r="K2331" s="26">
        <v>0</v>
      </c>
      <c r="L2331" s="26">
        <v>0</v>
      </c>
      <c r="M2331">
        <v>13</v>
      </c>
      <c r="N2331">
        <v>0</v>
      </c>
      <c r="O2331">
        <v>0</v>
      </c>
      <c r="P2331" t="s">
        <v>52</v>
      </c>
      <c r="Q2331" t="s">
        <v>52</v>
      </c>
      <c r="R2331" t="s">
        <v>52</v>
      </c>
      <c r="S2331" t="s">
        <v>52</v>
      </c>
      <c r="T2331" t="s">
        <v>52</v>
      </c>
      <c r="U2331" t="s">
        <v>52</v>
      </c>
      <c r="V2331" t="s">
        <v>52</v>
      </c>
      <c r="W2331" t="s">
        <v>52</v>
      </c>
      <c r="X2331" s="18" t="s">
        <v>52</v>
      </c>
      <c r="Y2331" s="18" t="s">
        <v>52</v>
      </c>
      <c r="Z2331" s="18" t="s">
        <v>52</v>
      </c>
      <c r="AA2331" s="18" t="s">
        <v>52</v>
      </c>
      <c r="AB2331" t="s">
        <v>52</v>
      </c>
      <c r="AC2331" t="s">
        <v>52</v>
      </c>
      <c r="AD2331" t="s">
        <v>52</v>
      </c>
      <c r="AE2331" t="s">
        <v>52</v>
      </c>
      <c r="AF2331" s="18" t="s">
        <v>52</v>
      </c>
      <c r="AG2331" s="18" t="s">
        <v>52</v>
      </c>
      <c r="AH2331" s="18" t="s">
        <v>52</v>
      </c>
      <c r="AI2331" s="18" t="s">
        <v>52</v>
      </c>
      <c r="AJ2331">
        <v>13</v>
      </c>
      <c r="AK2331">
        <v>12</v>
      </c>
      <c r="AL2331">
        <v>4</v>
      </c>
      <c r="AM2331">
        <v>5</v>
      </c>
      <c r="AN2331" s="18">
        <v>0.0769230769230769</v>
      </c>
      <c r="AO2331" s="18">
        <v>0.0833333333333333</v>
      </c>
      <c r="AP2331" s="18">
        <v>0</v>
      </c>
      <c r="AQ2331" s="18">
        <v>0</v>
      </c>
      <c r="AR2331" s="29">
        <v>0.142857142857143</v>
      </c>
      <c r="AS2331" s="29">
        <v>8.57142857142857</v>
      </c>
      <c r="AT2331" s="29">
        <v>4.42857142857143</v>
      </c>
      <c r="AU2331" s="24">
        <f t="shared" si="37"/>
        <v>91</v>
      </c>
      <c r="AV2331" s="31">
        <f>IFERROR(时间!$B$4+AU2331,"上周无销量")</f>
        <v>43409</v>
      </c>
    </row>
    <row r="2332" spans="1:48">
      <c r="A2332" s="16" t="s">
        <v>4047</v>
      </c>
      <c r="B2332" t="s">
        <v>3430</v>
      </c>
      <c r="C2332" t="s">
        <v>4040</v>
      </c>
      <c r="D2332" s="24">
        <v>1</v>
      </c>
      <c r="E2332" s="24">
        <v>1</v>
      </c>
      <c r="F2332" s="24">
        <v>0</v>
      </c>
      <c r="G2332" s="24">
        <v>0</v>
      </c>
      <c r="H2332" s="25">
        <v>20.98</v>
      </c>
      <c r="I2332">
        <v>5</v>
      </c>
      <c r="J2332" s="26">
        <v>0</v>
      </c>
      <c r="K2332" s="26">
        <v>0</v>
      </c>
      <c r="L2332" s="26">
        <v>0</v>
      </c>
      <c r="M2332">
        <v>5</v>
      </c>
      <c r="N2332">
        <v>0</v>
      </c>
      <c r="O2332">
        <v>0</v>
      </c>
      <c r="P2332" t="s">
        <v>52</v>
      </c>
      <c r="Q2332" t="s">
        <v>52</v>
      </c>
      <c r="R2332" t="s">
        <v>52</v>
      </c>
      <c r="S2332" t="s">
        <v>52</v>
      </c>
      <c r="T2332" t="s">
        <v>52</v>
      </c>
      <c r="U2332" t="s">
        <v>52</v>
      </c>
      <c r="V2332" t="s">
        <v>52</v>
      </c>
      <c r="W2332" t="s">
        <v>52</v>
      </c>
      <c r="X2332" s="18" t="s">
        <v>52</v>
      </c>
      <c r="Y2332" s="18" t="s">
        <v>52</v>
      </c>
      <c r="Z2332" s="18" t="s">
        <v>52</v>
      </c>
      <c r="AA2332" s="18" t="s">
        <v>52</v>
      </c>
      <c r="AB2332" t="s">
        <v>52</v>
      </c>
      <c r="AC2332" t="s">
        <v>52</v>
      </c>
      <c r="AD2332" t="s">
        <v>52</v>
      </c>
      <c r="AE2332" t="s">
        <v>52</v>
      </c>
      <c r="AF2332" s="18" t="s">
        <v>52</v>
      </c>
      <c r="AG2332" s="18" t="s">
        <v>52</v>
      </c>
      <c r="AH2332" s="18" t="s">
        <v>52</v>
      </c>
      <c r="AI2332" s="18" t="s">
        <v>52</v>
      </c>
      <c r="AJ2332">
        <v>4</v>
      </c>
      <c r="AK2332">
        <v>2</v>
      </c>
      <c r="AL2332">
        <v>7</v>
      </c>
      <c r="AM2332">
        <v>2</v>
      </c>
      <c r="AN2332" s="18">
        <v>0.25</v>
      </c>
      <c r="AO2332" s="18">
        <v>0.5</v>
      </c>
      <c r="AP2332" s="18">
        <v>0</v>
      </c>
      <c r="AQ2332" s="18">
        <v>0</v>
      </c>
      <c r="AR2332" s="29">
        <v>0.142857142857143</v>
      </c>
      <c r="AS2332" s="29">
        <v>8.57142857142857</v>
      </c>
      <c r="AT2332" s="29">
        <v>-3.57142857142857</v>
      </c>
      <c r="AU2332" s="24">
        <f t="shared" si="37"/>
        <v>35</v>
      </c>
      <c r="AV2332" s="31">
        <f>IFERROR(时间!$B$4+AU2332,"上周无销量")</f>
        <v>43353</v>
      </c>
    </row>
    <row r="2333" spans="1:48">
      <c r="A2333" s="16" t="s">
        <v>4048</v>
      </c>
      <c r="B2333" t="s">
        <v>3432</v>
      </c>
      <c r="C2333" t="s">
        <v>4040</v>
      </c>
      <c r="D2333" s="24">
        <v>0</v>
      </c>
      <c r="E2333" s="24">
        <v>0</v>
      </c>
      <c r="F2333" s="24">
        <v>1</v>
      </c>
      <c r="G2333" s="24">
        <v>0</v>
      </c>
      <c r="H2333" s="25">
        <v>20.98</v>
      </c>
      <c r="I2333">
        <v>14</v>
      </c>
      <c r="J2333" s="26">
        <v>0</v>
      </c>
      <c r="K2333" s="26">
        <v>0</v>
      </c>
      <c r="L2333" s="26">
        <v>0</v>
      </c>
      <c r="M2333">
        <v>14</v>
      </c>
      <c r="N2333">
        <v>0</v>
      </c>
      <c r="O2333">
        <v>1</v>
      </c>
      <c r="P2333" t="s">
        <v>52</v>
      </c>
      <c r="Q2333" t="s">
        <v>52</v>
      </c>
      <c r="R2333" t="s">
        <v>52</v>
      </c>
      <c r="S2333" t="s">
        <v>52</v>
      </c>
      <c r="T2333" t="s">
        <v>52</v>
      </c>
      <c r="U2333" t="s">
        <v>52</v>
      </c>
      <c r="V2333" t="s">
        <v>52</v>
      </c>
      <c r="W2333" t="s">
        <v>52</v>
      </c>
      <c r="X2333" s="18" t="s">
        <v>52</v>
      </c>
      <c r="Y2333" s="18" t="s">
        <v>52</v>
      </c>
      <c r="Z2333" s="18" t="s">
        <v>52</v>
      </c>
      <c r="AA2333" s="18" t="s">
        <v>52</v>
      </c>
      <c r="AB2333" t="s">
        <v>52</v>
      </c>
      <c r="AC2333" t="s">
        <v>52</v>
      </c>
      <c r="AD2333" t="s">
        <v>52</v>
      </c>
      <c r="AE2333" t="s">
        <v>52</v>
      </c>
      <c r="AF2333" s="18" t="s">
        <v>52</v>
      </c>
      <c r="AG2333" s="18" t="s">
        <v>52</v>
      </c>
      <c r="AH2333" s="18" t="s">
        <v>52</v>
      </c>
      <c r="AI2333" s="18" t="s">
        <v>52</v>
      </c>
      <c r="AJ2333">
        <v>3</v>
      </c>
      <c r="AK2333">
        <v>1</v>
      </c>
      <c r="AL2333">
        <v>1</v>
      </c>
      <c r="AM2333">
        <v>6</v>
      </c>
      <c r="AN2333" s="18">
        <v>0</v>
      </c>
      <c r="AO2333" s="18">
        <v>0</v>
      </c>
      <c r="AP2333" s="18">
        <v>1</v>
      </c>
      <c r="AQ2333" s="18">
        <v>0</v>
      </c>
      <c r="AR2333" s="29">
        <v>0</v>
      </c>
      <c r="AS2333" s="29">
        <v>0</v>
      </c>
      <c r="AT2333" s="29">
        <v>14</v>
      </c>
      <c r="AU2333" s="24" t="str">
        <f t="shared" si="37"/>
        <v>库存为14</v>
      </c>
      <c r="AV2333" s="31" t="str">
        <f>IFERROR(时间!$B$4+AU2333,"上周无销量")</f>
        <v>上周无销量</v>
      </c>
    </row>
    <row r="2334" spans="1:48">
      <c r="A2334" s="16" t="s">
        <v>4049</v>
      </c>
      <c r="B2334" t="s">
        <v>3434</v>
      </c>
      <c r="C2334" t="s">
        <v>4040</v>
      </c>
      <c r="D2334" s="24">
        <v>0</v>
      </c>
      <c r="E2334" s="24">
        <v>0</v>
      </c>
      <c r="F2334" s="24">
        <v>0</v>
      </c>
      <c r="G2334" s="24">
        <v>0</v>
      </c>
      <c r="H2334" s="25">
        <v>0</v>
      </c>
      <c r="I2334">
        <v>7</v>
      </c>
      <c r="J2334" s="26">
        <v>0</v>
      </c>
      <c r="K2334" s="26">
        <v>0</v>
      </c>
      <c r="L2334" s="26">
        <v>0</v>
      </c>
      <c r="M2334">
        <v>7</v>
      </c>
      <c r="N2334">
        <v>0</v>
      </c>
      <c r="O2334">
        <v>0</v>
      </c>
      <c r="P2334" t="s">
        <v>52</v>
      </c>
      <c r="Q2334" t="s">
        <v>52</v>
      </c>
      <c r="R2334" t="s">
        <v>52</v>
      </c>
      <c r="S2334" t="s">
        <v>52</v>
      </c>
      <c r="T2334" t="s">
        <v>52</v>
      </c>
      <c r="U2334" t="s">
        <v>52</v>
      </c>
      <c r="V2334" t="s">
        <v>52</v>
      </c>
      <c r="W2334" t="s">
        <v>52</v>
      </c>
      <c r="X2334" s="18" t="s">
        <v>52</v>
      </c>
      <c r="Y2334" s="18" t="s">
        <v>52</v>
      </c>
      <c r="Z2334" s="18" t="s">
        <v>52</v>
      </c>
      <c r="AA2334" s="18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s="18" t="s">
        <v>52</v>
      </c>
      <c r="AG2334" s="18" t="s">
        <v>52</v>
      </c>
      <c r="AH2334" s="18" t="s">
        <v>52</v>
      </c>
      <c r="AI2334" s="18" t="s">
        <v>52</v>
      </c>
      <c r="AJ2334">
        <v>6</v>
      </c>
      <c r="AK2334">
        <v>3</v>
      </c>
      <c r="AL2334">
        <v>1</v>
      </c>
      <c r="AM2334">
        <v>5</v>
      </c>
      <c r="AN2334" s="18">
        <v>0</v>
      </c>
      <c r="AO2334" s="18">
        <v>0</v>
      </c>
      <c r="AP2334" s="18">
        <v>0</v>
      </c>
      <c r="AQ2334" s="18">
        <v>0</v>
      </c>
      <c r="AR2334" s="29">
        <v>0</v>
      </c>
      <c r="AS2334" s="29">
        <v>0</v>
      </c>
      <c r="AT2334" s="29">
        <v>7</v>
      </c>
      <c r="AU2334" s="24" t="str">
        <f t="shared" si="37"/>
        <v>库存为7</v>
      </c>
      <c r="AV2334" s="31" t="str">
        <f>IFERROR(时间!$B$4+AU2334,"上周无销量")</f>
        <v>上周无销量</v>
      </c>
    </row>
    <row r="2335" spans="1:48">
      <c r="A2335" s="16" t="s">
        <v>4050</v>
      </c>
      <c r="B2335" t="s">
        <v>3436</v>
      </c>
      <c r="C2335" t="s">
        <v>4040</v>
      </c>
      <c r="D2335" s="24">
        <v>1</v>
      </c>
      <c r="E2335" s="24">
        <v>0</v>
      </c>
      <c r="F2335" s="24">
        <v>0</v>
      </c>
      <c r="G2335" s="24">
        <v>0</v>
      </c>
      <c r="H2335" s="25">
        <v>20.98</v>
      </c>
      <c r="I2335">
        <v>0</v>
      </c>
      <c r="J2335" s="26">
        <v>0</v>
      </c>
      <c r="K2335" s="26">
        <v>0</v>
      </c>
      <c r="L2335" s="26">
        <v>0</v>
      </c>
      <c r="M2335">
        <v>0</v>
      </c>
      <c r="N2335">
        <v>0</v>
      </c>
      <c r="O2335">
        <v>0</v>
      </c>
      <c r="P2335" t="s">
        <v>52</v>
      </c>
      <c r="Q2335" t="s">
        <v>52</v>
      </c>
      <c r="R2335" t="s">
        <v>52</v>
      </c>
      <c r="S2335" t="s">
        <v>52</v>
      </c>
      <c r="T2335" t="s">
        <v>52</v>
      </c>
      <c r="U2335" t="s">
        <v>52</v>
      </c>
      <c r="V2335" t="s">
        <v>52</v>
      </c>
      <c r="W2335" t="s">
        <v>52</v>
      </c>
      <c r="X2335" s="18" t="s">
        <v>52</v>
      </c>
      <c r="Y2335" s="18" t="s">
        <v>52</v>
      </c>
      <c r="Z2335" s="18" t="s">
        <v>52</v>
      </c>
      <c r="AA2335" s="18" t="s">
        <v>52</v>
      </c>
      <c r="AB2335" t="s">
        <v>52</v>
      </c>
      <c r="AC2335" t="s">
        <v>52</v>
      </c>
      <c r="AD2335" t="s">
        <v>52</v>
      </c>
      <c r="AE2335" t="s">
        <v>52</v>
      </c>
      <c r="AF2335" s="18" t="s">
        <v>52</v>
      </c>
      <c r="AG2335" s="18" t="s">
        <v>52</v>
      </c>
      <c r="AH2335" s="18" t="s">
        <v>52</v>
      </c>
      <c r="AI2335" s="18" t="s">
        <v>52</v>
      </c>
      <c r="AJ2335">
        <v>8</v>
      </c>
      <c r="AK2335">
        <v>4</v>
      </c>
      <c r="AL2335">
        <v>5</v>
      </c>
      <c r="AM2335">
        <v>1</v>
      </c>
      <c r="AN2335" s="18">
        <v>0.125</v>
      </c>
      <c r="AO2335" s="18">
        <v>0</v>
      </c>
      <c r="AP2335" s="18">
        <v>0</v>
      </c>
      <c r="AQ2335" s="18">
        <v>0</v>
      </c>
      <c r="AR2335" s="29">
        <v>0.142857142857143</v>
      </c>
      <c r="AS2335" s="29">
        <v>8.57142857142857</v>
      </c>
      <c r="AT2335" s="29">
        <v>-8.57142857142857</v>
      </c>
      <c r="AU2335" s="24">
        <f t="shared" si="37"/>
        <v>0</v>
      </c>
      <c r="AV2335" s="31">
        <f>IFERROR(时间!$B$4+AU2335,"上周无销量")</f>
        <v>43318</v>
      </c>
    </row>
    <row r="2336" spans="1:48">
      <c r="A2336" s="16" t="s">
        <v>4051</v>
      </c>
      <c r="B2336" t="s">
        <v>3438</v>
      </c>
      <c r="C2336" t="s">
        <v>4040</v>
      </c>
      <c r="D2336" s="24">
        <v>0</v>
      </c>
      <c r="E2336" s="24">
        <v>0</v>
      </c>
      <c r="F2336" s="24">
        <v>0</v>
      </c>
      <c r="G2336" s="24">
        <v>0</v>
      </c>
      <c r="H2336" s="25">
        <v>0</v>
      </c>
      <c r="I2336">
        <v>2</v>
      </c>
      <c r="J2336" s="26">
        <v>0</v>
      </c>
      <c r="K2336" s="26">
        <v>0</v>
      </c>
      <c r="L2336" s="26">
        <v>0</v>
      </c>
      <c r="M2336">
        <v>2</v>
      </c>
      <c r="N2336">
        <v>0</v>
      </c>
      <c r="O2336">
        <v>2</v>
      </c>
      <c r="P2336" t="s">
        <v>52</v>
      </c>
      <c r="Q2336" t="s">
        <v>52</v>
      </c>
      <c r="R2336" t="s">
        <v>52</v>
      </c>
      <c r="S2336" t="s">
        <v>52</v>
      </c>
      <c r="T2336" t="s">
        <v>52</v>
      </c>
      <c r="U2336" t="s">
        <v>52</v>
      </c>
      <c r="V2336" t="s">
        <v>52</v>
      </c>
      <c r="W2336" t="s">
        <v>52</v>
      </c>
      <c r="X2336" s="18" t="s">
        <v>52</v>
      </c>
      <c r="Y2336" s="18" t="s">
        <v>52</v>
      </c>
      <c r="Z2336" s="18" t="s">
        <v>52</v>
      </c>
      <c r="AA2336" s="18" t="s">
        <v>52</v>
      </c>
      <c r="AB2336" t="s">
        <v>52</v>
      </c>
      <c r="AC2336" t="s">
        <v>52</v>
      </c>
      <c r="AD2336" t="s">
        <v>52</v>
      </c>
      <c r="AE2336" t="s">
        <v>52</v>
      </c>
      <c r="AF2336" s="18" t="s">
        <v>52</v>
      </c>
      <c r="AG2336" s="18" t="s">
        <v>52</v>
      </c>
      <c r="AH2336" s="18" t="s">
        <v>52</v>
      </c>
      <c r="AI2336" s="18" t="s">
        <v>52</v>
      </c>
      <c r="AJ2336">
        <v>5</v>
      </c>
      <c r="AK2336">
        <v>2</v>
      </c>
      <c r="AL2336">
        <v>4</v>
      </c>
      <c r="AM2336">
        <v>2</v>
      </c>
      <c r="AN2336" s="18">
        <v>0</v>
      </c>
      <c r="AO2336" s="18">
        <v>0</v>
      </c>
      <c r="AP2336" s="18">
        <v>0</v>
      </c>
      <c r="AQ2336" s="18">
        <v>0</v>
      </c>
      <c r="AR2336" s="29">
        <v>0</v>
      </c>
      <c r="AS2336" s="29">
        <v>0</v>
      </c>
      <c r="AT2336" s="29">
        <v>2</v>
      </c>
      <c r="AU2336" s="24" t="str">
        <f t="shared" si="37"/>
        <v>库存为2</v>
      </c>
      <c r="AV2336" s="31" t="str">
        <f>IFERROR(时间!$B$4+AU2336,"上周无销量")</f>
        <v>上周无销量</v>
      </c>
    </row>
    <row r="2337" spans="1:48">
      <c r="A2337" s="16" t="s">
        <v>4052</v>
      </c>
      <c r="B2337" t="s">
        <v>3440</v>
      </c>
      <c r="C2337" t="s">
        <v>4040</v>
      </c>
      <c r="D2337" s="24">
        <v>1</v>
      </c>
      <c r="E2337" s="24">
        <v>0</v>
      </c>
      <c r="F2337" s="24">
        <v>0</v>
      </c>
      <c r="G2337" s="24">
        <v>0</v>
      </c>
      <c r="H2337" s="25">
        <v>20.98</v>
      </c>
      <c r="I2337">
        <v>2</v>
      </c>
      <c r="J2337" s="26">
        <v>0</v>
      </c>
      <c r="K2337" s="26">
        <v>0</v>
      </c>
      <c r="L2337" s="26">
        <v>0</v>
      </c>
      <c r="M2337">
        <v>2</v>
      </c>
      <c r="N2337">
        <v>0</v>
      </c>
      <c r="O2337">
        <v>0</v>
      </c>
      <c r="P2337" t="s">
        <v>52</v>
      </c>
      <c r="Q2337" t="s">
        <v>52</v>
      </c>
      <c r="R2337" t="s">
        <v>52</v>
      </c>
      <c r="S2337" t="s">
        <v>52</v>
      </c>
      <c r="T2337" t="s">
        <v>52</v>
      </c>
      <c r="U2337" t="s">
        <v>52</v>
      </c>
      <c r="V2337" t="s">
        <v>52</v>
      </c>
      <c r="W2337" t="s">
        <v>52</v>
      </c>
      <c r="X2337" s="18" t="s">
        <v>52</v>
      </c>
      <c r="Y2337" s="18" t="s">
        <v>52</v>
      </c>
      <c r="Z2337" s="18" t="s">
        <v>52</v>
      </c>
      <c r="AA2337" s="18" t="s">
        <v>52</v>
      </c>
      <c r="AB2337" t="s">
        <v>52</v>
      </c>
      <c r="AC2337" t="s">
        <v>52</v>
      </c>
      <c r="AD2337" t="s">
        <v>52</v>
      </c>
      <c r="AE2337" t="s">
        <v>52</v>
      </c>
      <c r="AF2337" s="18" t="s">
        <v>52</v>
      </c>
      <c r="AG2337" s="18" t="s">
        <v>52</v>
      </c>
      <c r="AH2337" s="18" t="s">
        <v>52</v>
      </c>
      <c r="AI2337" s="18" t="s">
        <v>52</v>
      </c>
      <c r="AJ2337">
        <v>3</v>
      </c>
      <c r="AK2337">
        <v>8</v>
      </c>
      <c r="AL2337">
        <v>4</v>
      </c>
      <c r="AM2337">
        <v>3</v>
      </c>
      <c r="AN2337" s="18">
        <v>0.333333333333333</v>
      </c>
      <c r="AO2337" s="18">
        <v>0</v>
      </c>
      <c r="AP2337" s="18">
        <v>0</v>
      </c>
      <c r="AQ2337" s="18">
        <v>0</v>
      </c>
      <c r="AR2337" s="29">
        <v>0.142857142857143</v>
      </c>
      <c r="AS2337" s="29">
        <v>8.57142857142857</v>
      </c>
      <c r="AT2337" s="29">
        <v>-6.57142857142857</v>
      </c>
      <c r="AU2337" s="24">
        <f t="shared" si="37"/>
        <v>14</v>
      </c>
      <c r="AV2337" s="31">
        <f>IFERROR(时间!$B$4+AU2337,"上周无销量")</f>
        <v>43332</v>
      </c>
    </row>
    <row r="2338" spans="1:48">
      <c r="A2338" s="16" t="s">
        <v>4053</v>
      </c>
      <c r="B2338" t="s">
        <v>3442</v>
      </c>
      <c r="C2338" t="s">
        <v>4040</v>
      </c>
      <c r="D2338" s="24">
        <v>0</v>
      </c>
      <c r="E2338" s="24">
        <v>0</v>
      </c>
      <c r="F2338" s="24">
        <v>1</v>
      </c>
      <c r="G2338" s="24">
        <v>2</v>
      </c>
      <c r="H2338" s="25">
        <v>20.98</v>
      </c>
      <c r="I2338">
        <v>3</v>
      </c>
      <c r="J2338" s="26">
        <v>0</v>
      </c>
      <c r="K2338" s="26">
        <v>0</v>
      </c>
      <c r="L2338" s="26">
        <v>0</v>
      </c>
      <c r="M2338">
        <v>3</v>
      </c>
      <c r="N2338">
        <v>0</v>
      </c>
      <c r="O2338">
        <v>0</v>
      </c>
      <c r="P2338" t="s">
        <v>52</v>
      </c>
      <c r="Q2338" t="s">
        <v>52</v>
      </c>
      <c r="R2338" t="s">
        <v>52</v>
      </c>
      <c r="S2338" t="s">
        <v>52</v>
      </c>
      <c r="T2338" t="s">
        <v>52</v>
      </c>
      <c r="U2338" t="s">
        <v>52</v>
      </c>
      <c r="V2338" t="s">
        <v>52</v>
      </c>
      <c r="W2338" t="s">
        <v>52</v>
      </c>
      <c r="X2338" s="18" t="s">
        <v>52</v>
      </c>
      <c r="Y2338" s="18" t="s">
        <v>52</v>
      </c>
      <c r="Z2338" s="18" t="s">
        <v>52</v>
      </c>
      <c r="AA2338" s="18" t="s">
        <v>52</v>
      </c>
      <c r="AB2338" t="s">
        <v>52</v>
      </c>
      <c r="AC2338" t="s">
        <v>52</v>
      </c>
      <c r="AD2338" t="s">
        <v>52</v>
      </c>
      <c r="AE2338" t="s">
        <v>52</v>
      </c>
      <c r="AF2338" s="18" t="s">
        <v>52</v>
      </c>
      <c r="AG2338" s="18" t="s">
        <v>52</v>
      </c>
      <c r="AH2338" s="18" t="s">
        <v>52</v>
      </c>
      <c r="AI2338" s="18" t="s">
        <v>52</v>
      </c>
      <c r="AJ2338">
        <v>6</v>
      </c>
      <c r="AK2338">
        <v>4</v>
      </c>
      <c r="AL2338">
        <v>1</v>
      </c>
      <c r="AM2338">
        <v>2</v>
      </c>
      <c r="AN2338" s="18">
        <v>0</v>
      </c>
      <c r="AO2338" s="18">
        <v>0</v>
      </c>
      <c r="AP2338" s="18">
        <v>1</v>
      </c>
      <c r="AQ2338" s="18">
        <v>1</v>
      </c>
      <c r="AR2338" s="29">
        <v>0</v>
      </c>
      <c r="AS2338" s="29">
        <v>0</v>
      </c>
      <c r="AT2338" s="29">
        <v>3</v>
      </c>
      <c r="AU2338" s="24" t="str">
        <f t="shared" si="37"/>
        <v>库存为3</v>
      </c>
      <c r="AV2338" s="31" t="str">
        <f>IFERROR(时间!$B$4+AU2338,"上周无销量")</f>
        <v>上周无销量</v>
      </c>
    </row>
    <row r="2339" spans="1:48">
      <c r="A2339" s="16" t="s">
        <v>4054</v>
      </c>
      <c r="B2339" t="s">
        <v>3444</v>
      </c>
      <c r="C2339" t="s">
        <v>4040</v>
      </c>
      <c r="D2339" s="24">
        <v>0</v>
      </c>
      <c r="E2339" s="24">
        <v>1</v>
      </c>
      <c r="F2339" s="24">
        <v>0</v>
      </c>
      <c r="G2339" s="24">
        <v>1</v>
      </c>
      <c r="H2339" s="25">
        <v>20.98</v>
      </c>
      <c r="I2339">
        <v>1</v>
      </c>
      <c r="J2339" s="26">
        <v>0</v>
      </c>
      <c r="K2339" s="26">
        <v>0</v>
      </c>
      <c r="L2339" s="26">
        <v>0</v>
      </c>
      <c r="M2339">
        <v>1</v>
      </c>
      <c r="N2339">
        <v>0</v>
      </c>
      <c r="O2339">
        <v>0</v>
      </c>
      <c r="P2339" t="s">
        <v>52</v>
      </c>
      <c r="Q2339" t="s">
        <v>52</v>
      </c>
      <c r="R2339" t="s">
        <v>52</v>
      </c>
      <c r="S2339" t="s">
        <v>52</v>
      </c>
      <c r="T2339" t="s">
        <v>52</v>
      </c>
      <c r="U2339" t="s">
        <v>52</v>
      </c>
      <c r="V2339" t="s">
        <v>52</v>
      </c>
      <c r="W2339" t="s">
        <v>52</v>
      </c>
      <c r="X2339" s="18" t="s">
        <v>52</v>
      </c>
      <c r="Y2339" s="18" t="s">
        <v>52</v>
      </c>
      <c r="Z2339" s="18" t="s">
        <v>52</v>
      </c>
      <c r="AA2339" s="18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s="18" t="s">
        <v>52</v>
      </c>
      <c r="AG2339" s="18" t="s">
        <v>52</v>
      </c>
      <c r="AH2339" s="18" t="s">
        <v>52</v>
      </c>
      <c r="AI2339" s="18" t="s">
        <v>52</v>
      </c>
      <c r="AJ2339">
        <v>4</v>
      </c>
      <c r="AK2339">
        <v>5</v>
      </c>
      <c r="AL2339">
        <v>10</v>
      </c>
      <c r="AM2339">
        <v>3</v>
      </c>
      <c r="AN2339" s="18">
        <v>0</v>
      </c>
      <c r="AO2339" s="18">
        <v>0.2</v>
      </c>
      <c r="AP2339" s="18">
        <v>0</v>
      </c>
      <c r="AQ2339" s="18">
        <v>0.333333333333333</v>
      </c>
      <c r="AR2339" s="29">
        <v>0</v>
      </c>
      <c r="AS2339" s="29">
        <v>0</v>
      </c>
      <c r="AT2339" s="29">
        <v>1</v>
      </c>
      <c r="AU2339" s="24" t="str">
        <f t="shared" si="37"/>
        <v>库存为1</v>
      </c>
      <c r="AV2339" s="31" t="str">
        <f>IFERROR(时间!$B$4+AU2339,"上周无销量")</f>
        <v>上周无销量</v>
      </c>
    </row>
    <row r="2340" spans="1:48">
      <c r="A2340" s="16" t="s">
        <v>4055</v>
      </c>
      <c r="B2340" t="s">
        <v>3446</v>
      </c>
      <c r="C2340" t="s">
        <v>4040</v>
      </c>
      <c r="D2340" s="24">
        <v>1</v>
      </c>
      <c r="E2340" s="24">
        <v>0</v>
      </c>
      <c r="F2340" s="24">
        <v>1</v>
      </c>
      <c r="G2340" s="24">
        <v>0</v>
      </c>
      <c r="H2340" s="25">
        <v>20.98</v>
      </c>
      <c r="I2340">
        <v>4</v>
      </c>
      <c r="J2340" s="26">
        <v>0</v>
      </c>
      <c r="K2340" s="26">
        <v>0</v>
      </c>
      <c r="L2340" s="26">
        <v>0</v>
      </c>
      <c r="M2340">
        <v>4</v>
      </c>
      <c r="N2340">
        <v>0</v>
      </c>
      <c r="O2340">
        <v>0</v>
      </c>
      <c r="P2340" t="s">
        <v>52</v>
      </c>
      <c r="Q2340" t="s">
        <v>52</v>
      </c>
      <c r="R2340" t="s">
        <v>52</v>
      </c>
      <c r="S2340" t="s">
        <v>52</v>
      </c>
      <c r="T2340" t="s">
        <v>52</v>
      </c>
      <c r="U2340" t="s">
        <v>52</v>
      </c>
      <c r="V2340" t="s">
        <v>52</v>
      </c>
      <c r="W2340" t="s">
        <v>52</v>
      </c>
      <c r="X2340" s="18" t="s">
        <v>52</v>
      </c>
      <c r="Y2340" s="18" t="s">
        <v>52</v>
      </c>
      <c r="Z2340" s="18" t="s">
        <v>52</v>
      </c>
      <c r="AA2340" s="18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s="18" t="s">
        <v>52</v>
      </c>
      <c r="AG2340" s="18" t="s">
        <v>52</v>
      </c>
      <c r="AH2340" s="18" t="s">
        <v>52</v>
      </c>
      <c r="AI2340" s="18" t="s">
        <v>52</v>
      </c>
      <c r="AJ2340">
        <v>5</v>
      </c>
      <c r="AK2340">
        <v>2</v>
      </c>
      <c r="AL2340">
        <v>4</v>
      </c>
      <c r="AM2340">
        <v>2</v>
      </c>
      <c r="AN2340" s="18">
        <v>0.2</v>
      </c>
      <c r="AO2340" s="18">
        <v>0</v>
      </c>
      <c r="AP2340" s="18">
        <v>0.25</v>
      </c>
      <c r="AQ2340" s="18">
        <v>0</v>
      </c>
      <c r="AR2340" s="29">
        <v>0.142857142857143</v>
      </c>
      <c r="AS2340" s="29">
        <v>8.57142857142857</v>
      </c>
      <c r="AT2340" s="29">
        <v>-4.57142857142857</v>
      </c>
      <c r="AU2340" s="24">
        <f t="shared" si="37"/>
        <v>28</v>
      </c>
      <c r="AV2340" s="31">
        <f>IFERROR(时间!$B$4+AU2340,"上周无销量")</f>
        <v>43346</v>
      </c>
    </row>
    <row r="2341" spans="1:48">
      <c r="A2341" s="16" t="s">
        <v>4056</v>
      </c>
      <c r="B2341" t="s">
        <v>3448</v>
      </c>
      <c r="C2341" t="s">
        <v>4040</v>
      </c>
      <c r="D2341" s="24">
        <v>2</v>
      </c>
      <c r="E2341" s="24">
        <v>0</v>
      </c>
      <c r="F2341" s="24">
        <v>3</v>
      </c>
      <c r="G2341" s="24">
        <v>0</v>
      </c>
      <c r="H2341" s="25">
        <v>20.98</v>
      </c>
      <c r="I2341">
        <v>5</v>
      </c>
      <c r="J2341" s="26">
        <v>0</v>
      </c>
      <c r="K2341" s="26">
        <v>0</v>
      </c>
      <c r="L2341" s="26">
        <v>0</v>
      </c>
      <c r="M2341">
        <v>5</v>
      </c>
      <c r="N2341">
        <v>0</v>
      </c>
      <c r="O2341">
        <v>0</v>
      </c>
      <c r="P2341" t="s">
        <v>52</v>
      </c>
      <c r="Q2341" t="s">
        <v>52</v>
      </c>
      <c r="R2341" t="s">
        <v>52</v>
      </c>
      <c r="S2341" t="s">
        <v>52</v>
      </c>
      <c r="T2341" t="s">
        <v>52</v>
      </c>
      <c r="U2341" t="s">
        <v>52</v>
      </c>
      <c r="V2341" t="s">
        <v>52</v>
      </c>
      <c r="W2341" t="s">
        <v>52</v>
      </c>
      <c r="X2341" s="18" t="s">
        <v>52</v>
      </c>
      <c r="Y2341" s="18" t="s">
        <v>52</v>
      </c>
      <c r="Z2341" s="18" t="s">
        <v>52</v>
      </c>
      <c r="AA2341" s="18" t="s">
        <v>52</v>
      </c>
      <c r="AB2341" t="s">
        <v>52</v>
      </c>
      <c r="AC2341" t="s">
        <v>52</v>
      </c>
      <c r="AD2341" t="s">
        <v>52</v>
      </c>
      <c r="AE2341" t="s">
        <v>52</v>
      </c>
      <c r="AF2341" s="18" t="s">
        <v>52</v>
      </c>
      <c r="AG2341" s="18" t="s">
        <v>52</v>
      </c>
      <c r="AH2341" s="18" t="s">
        <v>52</v>
      </c>
      <c r="AI2341" s="18" t="s">
        <v>52</v>
      </c>
      <c r="AJ2341">
        <v>8</v>
      </c>
      <c r="AK2341">
        <v>3</v>
      </c>
      <c r="AL2341">
        <v>3</v>
      </c>
      <c r="AM2341">
        <v>2</v>
      </c>
      <c r="AN2341" s="18">
        <v>0.25</v>
      </c>
      <c r="AO2341" s="18">
        <v>0</v>
      </c>
      <c r="AP2341" s="18">
        <v>1</v>
      </c>
      <c r="AQ2341" s="18">
        <v>0</v>
      </c>
      <c r="AR2341" s="29">
        <v>0.285714285714286</v>
      </c>
      <c r="AS2341" s="29">
        <v>17.1428571428571</v>
      </c>
      <c r="AT2341" s="29">
        <v>-12.1428571428571</v>
      </c>
      <c r="AU2341" s="24">
        <f t="shared" si="37"/>
        <v>17</v>
      </c>
      <c r="AV2341" s="31">
        <f>IFERROR(时间!$B$4+AU2341,"上周无销量")</f>
        <v>43335</v>
      </c>
    </row>
    <row r="2342" spans="1:48">
      <c r="A2342" s="16" t="s">
        <v>4057</v>
      </c>
      <c r="B2342" t="s">
        <v>3450</v>
      </c>
      <c r="C2342" t="s">
        <v>4040</v>
      </c>
      <c r="D2342" s="24">
        <v>1</v>
      </c>
      <c r="E2342" s="24">
        <v>1</v>
      </c>
      <c r="F2342" s="24">
        <v>3</v>
      </c>
      <c r="G2342" s="24">
        <v>0</v>
      </c>
      <c r="H2342" s="25">
        <v>20.98</v>
      </c>
      <c r="I2342">
        <v>10</v>
      </c>
      <c r="J2342" s="26">
        <v>0</v>
      </c>
      <c r="K2342" s="26">
        <v>0</v>
      </c>
      <c r="L2342" s="26">
        <v>0</v>
      </c>
      <c r="M2342">
        <v>10</v>
      </c>
      <c r="N2342">
        <v>0</v>
      </c>
      <c r="O2342">
        <v>0</v>
      </c>
      <c r="P2342" t="s">
        <v>52</v>
      </c>
      <c r="Q2342" t="s">
        <v>52</v>
      </c>
      <c r="R2342" t="s">
        <v>52</v>
      </c>
      <c r="S2342" t="s">
        <v>52</v>
      </c>
      <c r="T2342" t="s">
        <v>52</v>
      </c>
      <c r="U2342" t="s">
        <v>52</v>
      </c>
      <c r="V2342" t="s">
        <v>52</v>
      </c>
      <c r="W2342" t="s">
        <v>52</v>
      </c>
      <c r="X2342" s="18" t="s">
        <v>52</v>
      </c>
      <c r="Y2342" s="18" t="s">
        <v>52</v>
      </c>
      <c r="Z2342" s="18" t="s">
        <v>52</v>
      </c>
      <c r="AA2342" s="18" t="s">
        <v>52</v>
      </c>
      <c r="AB2342" t="s">
        <v>52</v>
      </c>
      <c r="AC2342" t="s">
        <v>52</v>
      </c>
      <c r="AD2342" t="s">
        <v>52</v>
      </c>
      <c r="AE2342" t="s">
        <v>52</v>
      </c>
      <c r="AF2342" s="18" t="s">
        <v>52</v>
      </c>
      <c r="AG2342" s="18" t="s">
        <v>52</v>
      </c>
      <c r="AH2342" s="18" t="s">
        <v>52</v>
      </c>
      <c r="AI2342" s="18" t="s">
        <v>52</v>
      </c>
      <c r="AJ2342">
        <v>3</v>
      </c>
      <c r="AK2342">
        <v>9</v>
      </c>
      <c r="AL2342">
        <v>3</v>
      </c>
      <c r="AM2342">
        <v>3</v>
      </c>
      <c r="AN2342" s="18">
        <v>0.333333333333333</v>
      </c>
      <c r="AO2342" s="18">
        <v>0.111111111111111</v>
      </c>
      <c r="AP2342" s="18">
        <v>1</v>
      </c>
      <c r="AQ2342" s="18">
        <v>0</v>
      </c>
      <c r="AR2342" s="29">
        <v>0.142857142857143</v>
      </c>
      <c r="AS2342" s="29">
        <v>8.57142857142857</v>
      </c>
      <c r="AT2342" s="29">
        <v>1.42857142857143</v>
      </c>
      <c r="AU2342" s="24">
        <f t="shared" si="37"/>
        <v>70</v>
      </c>
      <c r="AV2342" s="31">
        <f>IFERROR(时间!$B$4+AU2342,"上周无销量")</f>
        <v>43388</v>
      </c>
    </row>
    <row r="2343" spans="1:48">
      <c r="A2343" s="16" t="s">
        <v>4058</v>
      </c>
      <c r="B2343" t="s">
        <v>3452</v>
      </c>
      <c r="C2343" t="s">
        <v>4040</v>
      </c>
      <c r="D2343" s="24">
        <v>0</v>
      </c>
      <c r="E2343" s="24">
        <v>1</v>
      </c>
      <c r="F2343" s="24">
        <v>0</v>
      </c>
      <c r="G2343" s="24">
        <v>0</v>
      </c>
      <c r="H2343" s="25">
        <v>20.98</v>
      </c>
      <c r="I2343">
        <v>12</v>
      </c>
      <c r="J2343" s="26">
        <v>0</v>
      </c>
      <c r="K2343" s="26">
        <v>0</v>
      </c>
      <c r="L2343" s="26">
        <v>0</v>
      </c>
      <c r="M2343">
        <v>12</v>
      </c>
      <c r="N2343">
        <v>0</v>
      </c>
      <c r="O2343">
        <v>1</v>
      </c>
      <c r="P2343" t="s">
        <v>52</v>
      </c>
      <c r="Q2343" t="s">
        <v>52</v>
      </c>
      <c r="R2343" t="s">
        <v>52</v>
      </c>
      <c r="S2343" t="s">
        <v>52</v>
      </c>
      <c r="T2343" t="s">
        <v>52</v>
      </c>
      <c r="U2343" t="s">
        <v>52</v>
      </c>
      <c r="V2343" t="s">
        <v>52</v>
      </c>
      <c r="W2343" t="s">
        <v>52</v>
      </c>
      <c r="X2343" s="18" t="s">
        <v>52</v>
      </c>
      <c r="Y2343" s="18" t="s">
        <v>52</v>
      </c>
      <c r="Z2343" s="18" t="s">
        <v>52</v>
      </c>
      <c r="AA2343" s="18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s="18" t="s">
        <v>52</v>
      </c>
      <c r="AG2343" s="18" t="s">
        <v>52</v>
      </c>
      <c r="AH2343" s="18" t="s">
        <v>52</v>
      </c>
      <c r="AI2343" s="18" t="s">
        <v>52</v>
      </c>
      <c r="AJ2343">
        <v>4</v>
      </c>
      <c r="AK2343">
        <v>5</v>
      </c>
      <c r="AL2343">
        <v>4</v>
      </c>
      <c r="AM2343">
        <v>1</v>
      </c>
      <c r="AN2343" s="18">
        <v>0</v>
      </c>
      <c r="AO2343" s="18">
        <v>0.2</v>
      </c>
      <c r="AP2343" s="18">
        <v>0</v>
      </c>
      <c r="AQ2343" s="18">
        <v>0</v>
      </c>
      <c r="AR2343" s="29">
        <v>0</v>
      </c>
      <c r="AS2343" s="29">
        <v>0</v>
      </c>
      <c r="AT2343" s="29">
        <v>12</v>
      </c>
      <c r="AU2343" s="24" t="str">
        <f t="shared" si="37"/>
        <v>库存为12</v>
      </c>
      <c r="AV2343" s="31" t="str">
        <f>IFERROR(时间!$B$4+AU2343,"上周无销量")</f>
        <v>上周无销量</v>
      </c>
    </row>
    <row r="2344" spans="1:48">
      <c r="A2344" s="16" t="s">
        <v>4059</v>
      </c>
      <c r="B2344" t="s">
        <v>3454</v>
      </c>
      <c r="C2344" t="s">
        <v>4040</v>
      </c>
      <c r="D2344" s="24">
        <v>0</v>
      </c>
      <c r="E2344" s="24">
        <v>1</v>
      </c>
      <c r="F2344" s="24">
        <v>1</v>
      </c>
      <c r="G2344" s="24">
        <v>0</v>
      </c>
      <c r="H2344" s="25">
        <v>20.98</v>
      </c>
      <c r="I2344">
        <v>5</v>
      </c>
      <c r="J2344" s="26">
        <v>0</v>
      </c>
      <c r="K2344" s="26">
        <v>0</v>
      </c>
      <c r="L2344" s="26">
        <v>0</v>
      </c>
      <c r="M2344">
        <v>5</v>
      </c>
      <c r="N2344">
        <v>0</v>
      </c>
      <c r="O2344">
        <v>0</v>
      </c>
      <c r="P2344" t="s">
        <v>52</v>
      </c>
      <c r="Q2344" t="s">
        <v>52</v>
      </c>
      <c r="R2344" t="s">
        <v>52</v>
      </c>
      <c r="S2344" t="s">
        <v>52</v>
      </c>
      <c r="T2344" t="s">
        <v>52</v>
      </c>
      <c r="U2344" t="s">
        <v>52</v>
      </c>
      <c r="V2344" t="s">
        <v>52</v>
      </c>
      <c r="W2344" t="s">
        <v>52</v>
      </c>
      <c r="X2344" s="18" t="s">
        <v>52</v>
      </c>
      <c r="Y2344" s="18" t="s">
        <v>52</v>
      </c>
      <c r="Z2344" s="18" t="s">
        <v>52</v>
      </c>
      <c r="AA2344" s="18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s="18" t="s">
        <v>52</v>
      </c>
      <c r="AG2344" s="18" t="s">
        <v>52</v>
      </c>
      <c r="AH2344" s="18" t="s">
        <v>52</v>
      </c>
      <c r="AI2344" s="18" t="s">
        <v>52</v>
      </c>
      <c r="AJ2344">
        <v>2</v>
      </c>
      <c r="AK2344">
        <v>4</v>
      </c>
      <c r="AL2344">
        <v>9</v>
      </c>
      <c r="AM2344">
        <v>4</v>
      </c>
      <c r="AN2344" s="18">
        <v>0</v>
      </c>
      <c r="AO2344" s="18">
        <v>0.25</v>
      </c>
      <c r="AP2344" s="18">
        <v>0.111111111111111</v>
      </c>
      <c r="AQ2344" s="18">
        <v>0</v>
      </c>
      <c r="AR2344" s="29">
        <v>0</v>
      </c>
      <c r="AS2344" s="29">
        <v>0</v>
      </c>
      <c r="AT2344" s="29">
        <v>5</v>
      </c>
      <c r="AU2344" s="24" t="str">
        <f t="shared" si="37"/>
        <v>库存为5</v>
      </c>
      <c r="AV2344" s="31" t="str">
        <f>IFERROR(时间!$B$4+AU2344,"上周无销量")</f>
        <v>上周无销量</v>
      </c>
    </row>
    <row r="2345" spans="1:48">
      <c r="A2345" s="16" t="s">
        <v>4060</v>
      </c>
      <c r="B2345" t="s">
        <v>3456</v>
      </c>
      <c r="C2345" t="s">
        <v>4040</v>
      </c>
      <c r="D2345" s="24">
        <v>0</v>
      </c>
      <c r="E2345" s="24">
        <v>0</v>
      </c>
      <c r="F2345" s="24">
        <v>2</v>
      </c>
      <c r="G2345" s="24">
        <v>1</v>
      </c>
      <c r="H2345" s="25">
        <v>20.98</v>
      </c>
      <c r="I2345">
        <v>8</v>
      </c>
      <c r="J2345" s="26">
        <v>0</v>
      </c>
      <c r="K2345" s="26">
        <v>0</v>
      </c>
      <c r="L2345" s="26">
        <v>0</v>
      </c>
      <c r="M2345">
        <v>8</v>
      </c>
      <c r="N2345">
        <v>0</v>
      </c>
      <c r="O2345">
        <v>0</v>
      </c>
      <c r="P2345" t="s">
        <v>52</v>
      </c>
      <c r="Q2345" t="s">
        <v>52</v>
      </c>
      <c r="R2345" t="s">
        <v>52</v>
      </c>
      <c r="S2345" t="s">
        <v>52</v>
      </c>
      <c r="T2345" t="s">
        <v>52</v>
      </c>
      <c r="U2345" t="s">
        <v>52</v>
      </c>
      <c r="V2345" t="s">
        <v>52</v>
      </c>
      <c r="W2345" t="s">
        <v>52</v>
      </c>
      <c r="X2345" s="18" t="s">
        <v>52</v>
      </c>
      <c r="Y2345" s="18" t="s">
        <v>52</v>
      </c>
      <c r="Z2345" s="18" t="s">
        <v>52</v>
      </c>
      <c r="AA2345" s="18" t="s">
        <v>52</v>
      </c>
      <c r="AB2345" t="s">
        <v>52</v>
      </c>
      <c r="AC2345" t="s">
        <v>52</v>
      </c>
      <c r="AD2345" t="s">
        <v>52</v>
      </c>
      <c r="AE2345" t="s">
        <v>52</v>
      </c>
      <c r="AF2345" s="18" t="s">
        <v>52</v>
      </c>
      <c r="AG2345" s="18" t="s">
        <v>52</v>
      </c>
      <c r="AH2345" s="18" t="s">
        <v>52</v>
      </c>
      <c r="AI2345" s="18" t="s">
        <v>52</v>
      </c>
      <c r="AJ2345">
        <v>3</v>
      </c>
      <c r="AK2345">
        <v>3</v>
      </c>
      <c r="AL2345">
        <v>5</v>
      </c>
      <c r="AM2345">
        <v>3</v>
      </c>
      <c r="AN2345" s="18">
        <v>0</v>
      </c>
      <c r="AO2345" s="18">
        <v>0</v>
      </c>
      <c r="AP2345" s="18">
        <v>0.4</v>
      </c>
      <c r="AQ2345" s="18">
        <v>0.333333333333333</v>
      </c>
      <c r="AR2345" s="29">
        <v>0</v>
      </c>
      <c r="AS2345" s="29">
        <v>0</v>
      </c>
      <c r="AT2345" s="29">
        <v>8</v>
      </c>
      <c r="AU2345" s="24" t="str">
        <f t="shared" si="37"/>
        <v>库存为8</v>
      </c>
      <c r="AV2345" s="31" t="str">
        <f>IFERROR(时间!$B$4+AU2345,"上周无销量")</f>
        <v>上周无销量</v>
      </c>
    </row>
    <row r="2346" spans="1:48">
      <c r="A2346" s="16" t="s">
        <v>4061</v>
      </c>
      <c r="B2346" t="s">
        <v>3458</v>
      </c>
      <c r="C2346" t="s">
        <v>4040</v>
      </c>
      <c r="D2346" s="24">
        <v>0</v>
      </c>
      <c r="E2346" s="24">
        <v>0</v>
      </c>
      <c r="F2346" s="24">
        <v>0</v>
      </c>
      <c r="G2346" s="24">
        <v>0</v>
      </c>
      <c r="H2346" s="25">
        <v>0</v>
      </c>
      <c r="I2346">
        <v>7</v>
      </c>
      <c r="J2346" s="26">
        <v>0</v>
      </c>
      <c r="K2346" s="26">
        <v>0</v>
      </c>
      <c r="L2346" s="26">
        <v>0</v>
      </c>
      <c r="M2346">
        <v>7</v>
      </c>
      <c r="N2346">
        <v>0</v>
      </c>
      <c r="O2346">
        <v>0</v>
      </c>
      <c r="P2346" t="s">
        <v>52</v>
      </c>
      <c r="Q2346" t="s">
        <v>52</v>
      </c>
      <c r="R2346" t="s">
        <v>52</v>
      </c>
      <c r="S2346" t="s">
        <v>52</v>
      </c>
      <c r="T2346" t="s">
        <v>52</v>
      </c>
      <c r="U2346" t="s">
        <v>52</v>
      </c>
      <c r="V2346" t="s">
        <v>52</v>
      </c>
      <c r="W2346" t="s">
        <v>52</v>
      </c>
      <c r="X2346" s="18" t="s">
        <v>52</v>
      </c>
      <c r="Y2346" s="18" t="s">
        <v>52</v>
      </c>
      <c r="Z2346" s="18" t="s">
        <v>52</v>
      </c>
      <c r="AA2346" s="18" t="s">
        <v>52</v>
      </c>
      <c r="AB2346" t="s">
        <v>52</v>
      </c>
      <c r="AC2346" t="s">
        <v>52</v>
      </c>
      <c r="AD2346" t="s">
        <v>52</v>
      </c>
      <c r="AE2346" t="s">
        <v>52</v>
      </c>
      <c r="AF2346" s="18" t="s">
        <v>52</v>
      </c>
      <c r="AG2346" s="18" t="s">
        <v>52</v>
      </c>
      <c r="AH2346" s="18" t="s">
        <v>52</v>
      </c>
      <c r="AI2346" s="18" t="s">
        <v>52</v>
      </c>
      <c r="AJ2346">
        <v>6</v>
      </c>
      <c r="AK2346">
        <v>5</v>
      </c>
      <c r="AL2346">
        <v>3</v>
      </c>
      <c r="AM2346">
        <v>5</v>
      </c>
      <c r="AN2346" s="18">
        <v>0</v>
      </c>
      <c r="AO2346" s="18">
        <v>0</v>
      </c>
      <c r="AP2346" s="18">
        <v>0</v>
      </c>
      <c r="AQ2346" s="18">
        <v>0</v>
      </c>
      <c r="AR2346" s="29">
        <v>0</v>
      </c>
      <c r="AS2346" s="29">
        <v>0</v>
      </c>
      <c r="AT2346" s="29">
        <v>7</v>
      </c>
      <c r="AU2346" s="24" t="str">
        <f t="shared" si="37"/>
        <v>库存为7</v>
      </c>
      <c r="AV2346" s="31" t="str">
        <f>IFERROR(时间!$B$4+AU2346,"上周无销量")</f>
        <v>上周无销量</v>
      </c>
    </row>
    <row r="2347" spans="1:48">
      <c r="A2347" s="16" t="s">
        <v>4062</v>
      </c>
      <c r="B2347" t="s">
        <v>3460</v>
      </c>
      <c r="C2347" t="s">
        <v>4040</v>
      </c>
      <c r="D2347" s="24">
        <v>1</v>
      </c>
      <c r="E2347" s="24">
        <v>1</v>
      </c>
      <c r="F2347" s="24">
        <v>0</v>
      </c>
      <c r="G2347" s="24">
        <v>0</v>
      </c>
      <c r="H2347" s="25">
        <v>20.98</v>
      </c>
      <c r="I2347">
        <v>3</v>
      </c>
      <c r="J2347" s="26">
        <v>0</v>
      </c>
      <c r="K2347" s="26">
        <v>0</v>
      </c>
      <c r="L2347" s="26">
        <v>0</v>
      </c>
      <c r="M2347">
        <v>3</v>
      </c>
      <c r="N2347">
        <v>0</v>
      </c>
      <c r="O2347">
        <v>0</v>
      </c>
      <c r="P2347" t="s">
        <v>52</v>
      </c>
      <c r="Q2347" t="s">
        <v>52</v>
      </c>
      <c r="R2347" t="s">
        <v>52</v>
      </c>
      <c r="S2347" t="s">
        <v>52</v>
      </c>
      <c r="T2347" t="s">
        <v>52</v>
      </c>
      <c r="U2347" t="s">
        <v>52</v>
      </c>
      <c r="V2347" t="s">
        <v>52</v>
      </c>
      <c r="W2347" t="s">
        <v>52</v>
      </c>
      <c r="X2347" s="18" t="s">
        <v>52</v>
      </c>
      <c r="Y2347" s="18" t="s">
        <v>52</v>
      </c>
      <c r="Z2347" s="18" t="s">
        <v>52</v>
      </c>
      <c r="AA2347" s="18" t="s">
        <v>52</v>
      </c>
      <c r="AB2347" t="s">
        <v>52</v>
      </c>
      <c r="AC2347" t="s">
        <v>52</v>
      </c>
      <c r="AD2347" t="s">
        <v>52</v>
      </c>
      <c r="AE2347" t="s">
        <v>52</v>
      </c>
      <c r="AF2347" s="18" t="s">
        <v>52</v>
      </c>
      <c r="AG2347" s="18" t="s">
        <v>52</v>
      </c>
      <c r="AH2347" s="18" t="s">
        <v>52</v>
      </c>
      <c r="AI2347" s="18" t="s">
        <v>52</v>
      </c>
      <c r="AJ2347">
        <v>3</v>
      </c>
      <c r="AK2347">
        <v>6</v>
      </c>
      <c r="AL2347">
        <v>8</v>
      </c>
      <c r="AM2347">
        <v>1</v>
      </c>
      <c r="AN2347" s="18">
        <v>0.333333333333333</v>
      </c>
      <c r="AO2347" s="18">
        <v>0.166666666666667</v>
      </c>
      <c r="AP2347" s="18">
        <v>0</v>
      </c>
      <c r="AQ2347" s="18">
        <v>0</v>
      </c>
      <c r="AR2347" s="29">
        <v>0.142857142857143</v>
      </c>
      <c r="AS2347" s="29">
        <v>8.57142857142857</v>
      </c>
      <c r="AT2347" s="29">
        <v>-5.57142857142857</v>
      </c>
      <c r="AU2347" s="24">
        <f t="shared" si="37"/>
        <v>21</v>
      </c>
      <c r="AV2347" s="31">
        <f>IFERROR(时间!$B$4+AU2347,"上周无销量")</f>
        <v>43339</v>
      </c>
    </row>
    <row r="2348" spans="1:48">
      <c r="A2348" s="16" t="s">
        <v>4063</v>
      </c>
      <c r="B2348" t="s">
        <v>3462</v>
      </c>
      <c r="C2348" t="s">
        <v>4040</v>
      </c>
      <c r="D2348" s="24">
        <v>0</v>
      </c>
      <c r="E2348" s="24">
        <v>1</v>
      </c>
      <c r="F2348" s="24">
        <v>0</v>
      </c>
      <c r="G2348" s="24">
        <v>0</v>
      </c>
      <c r="H2348" s="25">
        <v>20.98</v>
      </c>
      <c r="I2348">
        <v>8</v>
      </c>
      <c r="J2348" s="26">
        <v>0</v>
      </c>
      <c r="K2348" s="26">
        <v>0</v>
      </c>
      <c r="L2348" s="26">
        <v>0</v>
      </c>
      <c r="M2348">
        <v>8</v>
      </c>
      <c r="N2348">
        <v>0</v>
      </c>
      <c r="O2348">
        <v>7</v>
      </c>
      <c r="P2348" t="s">
        <v>52</v>
      </c>
      <c r="Q2348" t="s">
        <v>52</v>
      </c>
      <c r="R2348" t="s">
        <v>52</v>
      </c>
      <c r="S2348" t="s">
        <v>52</v>
      </c>
      <c r="T2348" t="s">
        <v>52</v>
      </c>
      <c r="U2348" t="s">
        <v>52</v>
      </c>
      <c r="V2348" t="s">
        <v>52</v>
      </c>
      <c r="W2348" t="s">
        <v>52</v>
      </c>
      <c r="X2348" s="18" t="s">
        <v>52</v>
      </c>
      <c r="Y2348" s="18" t="s">
        <v>52</v>
      </c>
      <c r="Z2348" s="18" t="s">
        <v>52</v>
      </c>
      <c r="AA2348" s="18" t="s">
        <v>52</v>
      </c>
      <c r="AB2348" t="s">
        <v>52</v>
      </c>
      <c r="AC2348" t="s">
        <v>52</v>
      </c>
      <c r="AD2348" t="s">
        <v>52</v>
      </c>
      <c r="AE2348" t="s">
        <v>52</v>
      </c>
      <c r="AF2348" s="18" t="s">
        <v>52</v>
      </c>
      <c r="AG2348" s="18" t="s">
        <v>52</v>
      </c>
      <c r="AH2348" s="18" t="s">
        <v>52</v>
      </c>
      <c r="AI2348" s="18" t="s">
        <v>52</v>
      </c>
      <c r="AJ2348">
        <v>1</v>
      </c>
      <c r="AK2348">
        <v>7</v>
      </c>
      <c r="AL2348">
        <v>4</v>
      </c>
      <c r="AM2348">
        <v>6</v>
      </c>
      <c r="AN2348" s="18">
        <v>0</v>
      </c>
      <c r="AO2348" s="18">
        <v>0.142857142857143</v>
      </c>
      <c r="AP2348" s="18">
        <v>0</v>
      </c>
      <c r="AQ2348" s="18">
        <v>0</v>
      </c>
      <c r="AR2348" s="29">
        <v>0</v>
      </c>
      <c r="AS2348" s="29">
        <v>0</v>
      </c>
      <c r="AT2348" s="29">
        <v>8</v>
      </c>
      <c r="AU2348" s="24" t="str">
        <f t="shared" si="37"/>
        <v>库存为8</v>
      </c>
      <c r="AV2348" s="31" t="str">
        <f>IFERROR(时间!$B$4+AU2348,"上周无销量")</f>
        <v>上周无销量</v>
      </c>
    </row>
    <row r="2349" spans="1:48">
      <c r="A2349" s="16" t="s">
        <v>4064</v>
      </c>
      <c r="B2349" t="s">
        <v>3464</v>
      </c>
      <c r="C2349" t="s">
        <v>4040</v>
      </c>
      <c r="D2349" s="24">
        <v>0</v>
      </c>
      <c r="E2349" s="24">
        <v>0</v>
      </c>
      <c r="F2349" s="24">
        <v>0</v>
      </c>
      <c r="G2349" s="24">
        <v>1</v>
      </c>
      <c r="H2349" s="25">
        <v>20.98</v>
      </c>
      <c r="I2349">
        <v>3</v>
      </c>
      <c r="J2349" s="26">
        <v>0</v>
      </c>
      <c r="K2349" s="26">
        <v>0</v>
      </c>
      <c r="L2349" s="26">
        <v>0</v>
      </c>
      <c r="M2349">
        <v>3</v>
      </c>
      <c r="N2349">
        <v>0</v>
      </c>
      <c r="O2349">
        <v>0</v>
      </c>
      <c r="P2349" t="s">
        <v>52</v>
      </c>
      <c r="Q2349" t="s">
        <v>52</v>
      </c>
      <c r="R2349" t="s">
        <v>52</v>
      </c>
      <c r="S2349" t="s">
        <v>52</v>
      </c>
      <c r="T2349" t="s">
        <v>52</v>
      </c>
      <c r="U2349" t="s">
        <v>52</v>
      </c>
      <c r="V2349" t="s">
        <v>52</v>
      </c>
      <c r="W2349" t="s">
        <v>52</v>
      </c>
      <c r="X2349" s="18" t="s">
        <v>52</v>
      </c>
      <c r="Y2349" s="18" t="s">
        <v>52</v>
      </c>
      <c r="Z2349" s="18" t="s">
        <v>52</v>
      </c>
      <c r="AA2349" s="18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s="18" t="s">
        <v>52</v>
      </c>
      <c r="AG2349" s="18" t="s">
        <v>52</v>
      </c>
      <c r="AH2349" s="18" t="s">
        <v>52</v>
      </c>
      <c r="AI2349" s="18" t="s">
        <v>52</v>
      </c>
      <c r="AJ2349">
        <v>4</v>
      </c>
      <c r="AK2349">
        <v>3</v>
      </c>
      <c r="AL2349">
        <v>1</v>
      </c>
      <c r="AM2349">
        <v>2</v>
      </c>
      <c r="AN2349" s="18">
        <v>0</v>
      </c>
      <c r="AO2349" s="18">
        <v>0</v>
      </c>
      <c r="AP2349" s="18">
        <v>0</v>
      </c>
      <c r="AQ2349" s="18">
        <v>0.5</v>
      </c>
      <c r="AR2349" s="29">
        <v>0</v>
      </c>
      <c r="AS2349" s="29">
        <v>0</v>
      </c>
      <c r="AT2349" s="29">
        <v>3</v>
      </c>
      <c r="AU2349" s="24" t="str">
        <f t="shared" si="37"/>
        <v>库存为3</v>
      </c>
      <c r="AV2349" s="31" t="str">
        <f>IFERROR(时间!$B$4+AU2349,"上周无销量")</f>
        <v>上周无销量</v>
      </c>
    </row>
    <row r="2350" spans="1:48">
      <c r="A2350" s="16" t="s">
        <v>4065</v>
      </c>
      <c r="B2350" t="s">
        <v>3466</v>
      </c>
      <c r="C2350" t="s">
        <v>4040</v>
      </c>
      <c r="D2350" s="24">
        <v>2</v>
      </c>
      <c r="E2350" s="24">
        <v>0</v>
      </c>
      <c r="F2350" s="24">
        <v>0</v>
      </c>
      <c r="G2350" s="24">
        <v>0</v>
      </c>
      <c r="H2350" s="25">
        <v>20.98</v>
      </c>
      <c r="I2350">
        <v>0</v>
      </c>
      <c r="J2350" s="26">
        <v>0</v>
      </c>
      <c r="K2350" s="26">
        <v>0</v>
      </c>
      <c r="L2350" s="26">
        <v>2</v>
      </c>
      <c r="M2350">
        <v>2</v>
      </c>
      <c r="N2350">
        <v>0</v>
      </c>
      <c r="O2350">
        <v>0</v>
      </c>
      <c r="P2350" t="s">
        <v>52</v>
      </c>
      <c r="Q2350" t="s">
        <v>52</v>
      </c>
      <c r="R2350" t="s">
        <v>52</v>
      </c>
      <c r="S2350" t="s">
        <v>52</v>
      </c>
      <c r="T2350" t="s">
        <v>52</v>
      </c>
      <c r="U2350" t="s">
        <v>52</v>
      </c>
      <c r="V2350" t="s">
        <v>52</v>
      </c>
      <c r="W2350" t="s">
        <v>52</v>
      </c>
      <c r="X2350" s="18" t="s">
        <v>52</v>
      </c>
      <c r="Y2350" s="18" t="s">
        <v>52</v>
      </c>
      <c r="Z2350" s="18" t="s">
        <v>52</v>
      </c>
      <c r="AA2350" s="18" t="s">
        <v>52</v>
      </c>
      <c r="AB2350" t="s">
        <v>52</v>
      </c>
      <c r="AC2350" t="s">
        <v>52</v>
      </c>
      <c r="AD2350" t="s">
        <v>52</v>
      </c>
      <c r="AE2350" t="s">
        <v>52</v>
      </c>
      <c r="AF2350" s="18" t="s">
        <v>52</v>
      </c>
      <c r="AG2350" s="18" t="s">
        <v>52</v>
      </c>
      <c r="AH2350" s="18" t="s">
        <v>52</v>
      </c>
      <c r="AI2350" s="18" t="s">
        <v>52</v>
      </c>
      <c r="AJ2350">
        <v>5</v>
      </c>
      <c r="AK2350">
        <v>4</v>
      </c>
      <c r="AL2350">
        <v>8</v>
      </c>
      <c r="AM2350">
        <v>1</v>
      </c>
      <c r="AN2350" s="18">
        <v>0.4</v>
      </c>
      <c r="AO2350" s="18">
        <v>0</v>
      </c>
      <c r="AP2350" s="18">
        <v>0</v>
      </c>
      <c r="AQ2350" s="18">
        <v>0</v>
      </c>
      <c r="AR2350" s="29">
        <v>0.285714285714286</v>
      </c>
      <c r="AS2350" s="29">
        <v>17.1428571428571</v>
      </c>
      <c r="AT2350" s="29">
        <v>-15.1428571428571</v>
      </c>
      <c r="AU2350" s="24">
        <f t="shared" si="37"/>
        <v>7</v>
      </c>
      <c r="AV2350" s="31">
        <f>IFERROR(时间!$B$4+AU2350,"上周无销量")</f>
        <v>43325</v>
      </c>
    </row>
    <row r="2351" spans="1:48">
      <c r="A2351" s="16" t="s">
        <v>4066</v>
      </c>
      <c r="B2351" t="s">
        <v>3468</v>
      </c>
      <c r="C2351" t="s">
        <v>4040</v>
      </c>
      <c r="D2351" s="24">
        <v>1</v>
      </c>
      <c r="E2351" s="24">
        <v>2</v>
      </c>
      <c r="F2351" s="24">
        <v>0</v>
      </c>
      <c r="G2351" s="24">
        <v>1</v>
      </c>
      <c r="H2351" s="25">
        <v>20.98</v>
      </c>
      <c r="I2351">
        <v>12</v>
      </c>
      <c r="J2351" s="26">
        <v>0</v>
      </c>
      <c r="K2351" s="26">
        <v>0</v>
      </c>
      <c r="L2351" s="26">
        <v>0</v>
      </c>
      <c r="M2351">
        <v>12</v>
      </c>
      <c r="N2351">
        <v>0</v>
      </c>
      <c r="O2351">
        <v>0</v>
      </c>
      <c r="P2351">
        <v>3804</v>
      </c>
      <c r="Q2351">
        <v>0</v>
      </c>
      <c r="R2351">
        <v>0</v>
      </c>
      <c r="S2351">
        <v>0</v>
      </c>
      <c r="T2351">
        <v>8</v>
      </c>
      <c r="U2351">
        <v>0</v>
      </c>
      <c r="V2351">
        <v>0</v>
      </c>
      <c r="W2351">
        <v>0</v>
      </c>
      <c r="X2351" s="18">
        <v>0.00210304942166141</v>
      </c>
      <c r="Y2351" s="18" t="s">
        <v>52</v>
      </c>
      <c r="Z2351" s="18" t="s">
        <v>52</v>
      </c>
      <c r="AA2351" s="18" t="s">
        <v>52</v>
      </c>
      <c r="AB2351">
        <v>4.69</v>
      </c>
      <c r="AC2351">
        <v>0</v>
      </c>
      <c r="AD2351">
        <v>0</v>
      </c>
      <c r="AE2351">
        <v>0</v>
      </c>
      <c r="AF2351" s="18">
        <v>0.223546234509056</v>
      </c>
      <c r="AG2351" s="18" t="s">
        <v>52</v>
      </c>
      <c r="AH2351" s="18" t="s">
        <v>52</v>
      </c>
      <c r="AI2351" s="18" t="s">
        <v>52</v>
      </c>
      <c r="AJ2351">
        <v>15</v>
      </c>
      <c r="AK2351">
        <v>12</v>
      </c>
      <c r="AL2351">
        <v>3</v>
      </c>
      <c r="AM2351">
        <v>4</v>
      </c>
      <c r="AN2351" s="18">
        <v>0.0666666666666667</v>
      </c>
      <c r="AO2351" s="18">
        <v>0.166666666666667</v>
      </c>
      <c r="AP2351" s="18">
        <v>0</v>
      </c>
      <c r="AQ2351" s="18">
        <v>0.25</v>
      </c>
      <c r="AR2351" s="29">
        <v>0.142857142857143</v>
      </c>
      <c r="AS2351" s="29">
        <v>8.57142857142857</v>
      </c>
      <c r="AT2351" s="29">
        <v>3.42857142857143</v>
      </c>
      <c r="AU2351" s="24">
        <f t="shared" si="37"/>
        <v>84</v>
      </c>
      <c r="AV2351" s="31">
        <f>IFERROR(时间!$B$4+AU2351,"上周无销量")</f>
        <v>43402</v>
      </c>
    </row>
    <row r="2352" spans="1:48">
      <c r="A2352" s="16" t="s">
        <v>4067</v>
      </c>
      <c r="B2352" t="s">
        <v>3470</v>
      </c>
      <c r="C2352" t="s">
        <v>4040</v>
      </c>
      <c r="D2352" s="24">
        <v>2</v>
      </c>
      <c r="E2352" s="24">
        <v>1</v>
      </c>
      <c r="F2352" s="24">
        <v>0</v>
      </c>
      <c r="G2352" s="24">
        <v>0</v>
      </c>
      <c r="H2352" s="25">
        <v>20.98</v>
      </c>
      <c r="I2352">
        <v>4</v>
      </c>
      <c r="J2352" s="26">
        <v>0</v>
      </c>
      <c r="K2352" s="26">
        <v>0</v>
      </c>
      <c r="L2352" s="26">
        <v>0</v>
      </c>
      <c r="M2352">
        <v>4</v>
      </c>
      <c r="N2352">
        <v>0</v>
      </c>
      <c r="O2352">
        <v>0</v>
      </c>
      <c r="P2352" t="s">
        <v>52</v>
      </c>
      <c r="Q2352" t="s">
        <v>52</v>
      </c>
      <c r="R2352" t="s">
        <v>52</v>
      </c>
      <c r="S2352" t="s">
        <v>52</v>
      </c>
      <c r="T2352" t="s">
        <v>52</v>
      </c>
      <c r="U2352" t="s">
        <v>52</v>
      </c>
      <c r="V2352" t="s">
        <v>52</v>
      </c>
      <c r="W2352" t="s">
        <v>52</v>
      </c>
      <c r="X2352" s="18" t="s">
        <v>52</v>
      </c>
      <c r="Y2352" s="18" t="s">
        <v>52</v>
      </c>
      <c r="Z2352" s="18" t="s">
        <v>52</v>
      </c>
      <c r="AA2352" s="18" t="s">
        <v>52</v>
      </c>
      <c r="AB2352" t="s">
        <v>52</v>
      </c>
      <c r="AC2352" t="s">
        <v>52</v>
      </c>
      <c r="AD2352" t="s">
        <v>52</v>
      </c>
      <c r="AE2352" t="s">
        <v>52</v>
      </c>
      <c r="AF2352" s="18" t="s">
        <v>52</v>
      </c>
      <c r="AG2352" s="18" t="s">
        <v>52</v>
      </c>
      <c r="AH2352" s="18" t="s">
        <v>52</v>
      </c>
      <c r="AI2352" s="18" t="s">
        <v>52</v>
      </c>
      <c r="AJ2352">
        <v>2</v>
      </c>
      <c r="AK2352">
        <v>2</v>
      </c>
      <c r="AL2352">
        <v>1</v>
      </c>
      <c r="AM2352">
        <v>5</v>
      </c>
      <c r="AN2352" s="18">
        <v>1</v>
      </c>
      <c r="AO2352" s="18">
        <v>0.5</v>
      </c>
      <c r="AP2352" s="18">
        <v>0</v>
      </c>
      <c r="AQ2352" s="18">
        <v>0</v>
      </c>
      <c r="AR2352" s="29">
        <v>0.285714285714286</v>
      </c>
      <c r="AS2352" s="29">
        <v>17.1428571428571</v>
      </c>
      <c r="AT2352" s="29">
        <v>-13.1428571428571</v>
      </c>
      <c r="AU2352" s="24">
        <f t="shared" si="37"/>
        <v>14</v>
      </c>
      <c r="AV2352" s="31">
        <f>IFERROR(时间!$B$4+AU2352,"上周无销量")</f>
        <v>43332</v>
      </c>
    </row>
    <row r="2353" spans="1:48">
      <c r="A2353" s="16" t="s">
        <v>4068</v>
      </c>
      <c r="B2353" t="s">
        <v>3472</v>
      </c>
      <c r="C2353" t="s">
        <v>4040</v>
      </c>
      <c r="D2353" s="24">
        <v>0</v>
      </c>
      <c r="E2353" s="24">
        <v>1</v>
      </c>
      <c r="F2353" s="24">
        <v>0</v>
      </c>
      <c r="G2353" s="24">
        <v>0</v>
      </c>
      <c r="H2353" s="25">
        <v>20.98</v>
      </c>
      <c r="I2353">
        <v>4</v>
      </c>
      <c r="J2353" s="26">
        <v>0</v>
      </c>
      <c r="K2353" s="26">
        <v>0</v>
      </c>
      <c r="L2353" s="26">
        <v>0</v>
      </c>
      <c r="M2353">
        <v>4</v>
      </c>
      <c r="N2353">
        <v>0</v>
      </c>
      <c r="O2353">
        <v>0</v>
      </c>
      <c r="P2353" t="s">
        <v>52</v>
      </c>
      <c r="Q2353" t="s">
        <v>52</v>
      </c>
      <c r="R2353" t="s">
        <v>52</v>
      </c>
      <c r="S2353" t="s">
        <v>52</v>
      </c>
      <c r="T2353" t="s">
        <v>52</v>
      </c>
      <c r="U2353" t="s">
        <v>52</v>
      </c>
      <c r="V2353" t="s">
        <v>52</v>
      </c>
      <c r="W2353" t="s">
        <v>52</v>
      </c>
      <c r="X2353" s="18" t="s">
        <v>52</v>
      </c>
      <c r="Y2353" s="18" t="s">
        <v>52</v>
      </c>
      <c r="Z2353" s="18" t="s">
        <v>52</v>
      </c>
      <c r="AA2353" s="18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s="18" t="s">
        <v>52</v>
      </c>
      <c r="AG2353" s="18" t="s">
        <v>52</v>
      </c>
      <c r="AH2353" s="18" t="s">
        <v>52</v>
      </c>
      <c r="AI2353" s="18" t="s">
        <v>52</v>
      </c>
      <c r="AJ2353">
        <v>5</v>
      </c>
      <c r="AK2353">
        <v>5</v>
      </c>
      <c r="AL2353">
        <v>4</v>
      </c>
      <c r="AM2353">
        <v>5</v>
      </c>
      <c r="AN2353" s="18">
        <v>0</v>
      </c>
      <c r="AO2353" s="18">
        <v>0.2</v>
      </c>
      <c r="AP2353" s="18">
        <v>0</v>
      </c>
      <c r="AQ2353" s="18">
        <v>0</v>
      </c>
      <c r="AR2353" s="29">
        <v>0</v>
      </c>
      <c r="AS2353" s="29">
        <v>0</v>
      </c>
      <c r="AT2353" s="29">
        <v>4</v>
      </c>
      <c r="AU2353" s="24" t="str">
        <f t="shared" si="37"/>
        <v>库存为4</v>
      </c>
      <c r="AV2353" s="31" t="str">
        <f>IFERROR(时间!$B$4+AU2353,"上周无销量")</f>
        <v>上周无销量</v>
      </c>
    </row>
    <row r="2354" spans="1:48">
      <c r="A2354" s="16" t="s">
        <v>4069</v>
      </c>
      <c r="B2354" t="s">
        <v>3712</v>
      </c>
      <c r="C2354" t="s">
        <v>4070</v>
      </c>
      <c r="D2354" s="24">
        <v>0</v>
      </c>
      <c r="E2354" s="24">
        <v>0</v>
      </c>
      <c r="F2354" s="24">
        <v>0</v>
      </c>
      <c r="G2354" s="24">
        <v>0</v>
      </c>
      <c r="H2354" s="25">
        <v>0</v>
      </c>
      <c r="I2354">
        <v>0</v>
      </c>
      <c r="J2354" s="26">
        <v>0</v>
      </c>
      <c r="K2354" s="26">
        <v>0</v>
      </c>
      <c r="L2354" s="26">
        <v>0</v>
      </c>
      <c r="M2354">
        <v>0</v>
      </c>
      <c r="N2354">
        <v>0</v>
      </c>
      <c r="O2354">
        <v>0</v>
      </c>
      <c r="P2354" t="s">
        <v>52</v>
      </c>
      <c r="Q2354" t="s">
        <v>52</v>
      </c>
      <c r="R2354" t="s">
        <v>52</v>
      </c>
      <c r="S2354" t="s">
        <v>52</v>
      </c>
      <c r="T2354" t="s">
        <v>52</v>
      </c>
      <c r="U2354" t="s">
        <v>52</v>
      </c>
      <c r="V2354" t="s">
        <v>52</v>
      </c>
      <c r="W2354" t="s">
        <v>52</v>
      </c>
      <c r="X2354" s="18" t="s">
        <v>52</v>
      </c>
      <c r="Y2354" s="18" t="s">
        <v>52</v>
      </c>
      <c r="Z2354" s="18" t="s">
        <v>52</v>
      </c>
      <c r="AA2354" s="18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s="18" t="s">
        <v>52</v>
      </c>
      <c r="AG2354" s="18" t="s">
        <v>52</v>
      </c>
      <c r="AH2354" s="18" t="s">
        <v>52</v>
      </c>
      <c r="AI2354" s="18" t="s">
        <v>52</v>
      </c>
      <c r="AJ2354">
        <v>3</v>
      </c>
      <c r="AK2354">
        <v>13</v>
      </c>
      <c r="AL2354">
        <v>5</v>
      </c>
      <c r="AM2354">
        <v>6</v>
      </c>
      <c r="AN2354" s="18">
        <v>0</v>
      </c>
      <c r="AO2354" s="18">
        <v>0</v>
      </c>
      <c r="AP2354" s="18">
        <v>0</v>
      </c>
      <c r="AQ2354" s="18">
        <v>0</v>
      </c>
      <c r="AR2354" s="29">
        <v>0</v>
      </c>
      <c r="AS2354" s="29">
        <v>0</v>
      </c>
      <c r="AT2354" s="29">
        <v>0</v>
      </c>
      <c r="AU2354" s="24" t="str">
        <f t="shared" si="37"/>
        <v>库存为0</v>
      </c>
      <c r="AV2354" s="31" t="str">
        <f>IFERROR(时间!$B$4+AU2354,"上周无销量")</f>
        <v>上周无销量</v>
      </c>
    </row>
    <row r="2355" spans="1:48">
      <c r="A2355" s="16" t="s">
        <v>4071</v>
      </c>
      <c r="B2355" t="s">
        <v>3714</v>
      </c>
      <c r="C2355" t="s">
        <v>4070</v>
      </c>
      <c r="D2355" s="24">
        <v>1</v>
      </c>
      <c r="E2355" s="24">
        <v>1</v>
      </c>
      <c r="F2355" s="24">
        <v>2</v>
      </c>
      <c r="G2355" s="24">
        <v>1</v>
      </c>
      <c r="H2355" s="25">
        <v>22.98</v>
      </c>
      <c r="I2355">
        <v>5</v>
      </c>
      <c r="J2355" s="26">
        <v>5</v>
      </c>
      <c r="K2355" s="26">
        <v>0</v>
      </c>
      <c r="L2355" s="26">
        <v>0</v>
      </c>
      <c r="M2355">
        <v>10</v>
      </c>
      <c r="N2355">
        <v>0</v>
      </c>
      <c r="O2355">
        <v>0</v>
      </c>
      <c r="P2355" t="s">
        <v>52</v>
      </c>
      <c r="Q2355" t="s">
        <v>52</v>
      </c>
      <c r="R2355" t="s">
        <v>52</v>
      </c>
      <c r="S2355" t="s">
        <v>52</v>
      </c>
      <c r="T2355" t="s">
        <v>52</v>
      </c>
      <c r="U2355" t="s">
        <v>52</v>
      </c>
      <c r="V2355" t="s">
        <v>52</v>
      </c>
      <c r="W2355" t="s">
        <v>52</v>
      </c>
      <c r="X2355" s="18" t="s">
        <v>52</v>
      </c>
      <c r="Y2355" s="18" t="s">
        <v>52</v>
      </c>
      <c r="Z2355" s="18" t="s">
        <v>52</v>
      </c>
      <c r="AA2355" s="18" t="s">
        <v>52</v>
      </c>
      <c r="AB2355" t="s">
        <v>52</v>
      </c>
      <c r="AC2355" t="s">
        <v>52</v>
      </c>
      <c r="AD2355" t="s">
        <v>52</v>
      </c>
      <c r="AE2355" t="s">
        <v>52</v>
      </c>
      <c r="AF2355" s="18" t="s">
        <v>52</v>
      </c>
      <c r="AG2355" s="18" t="s">
        <v>52</v>
      </c>
      <c r="AH2355" s="18" t="s">
        <v>52</v>
      </c>
      <c r="AI2355" s="18" t="s">
        <v>52</v>
      </c>
      <c r="AJ2355">
        <v>17</v>
      </c>
      <c r="AK2355">
        <v>11</v>
      </c>
      <c r="AL2355">
        <v>20</v>
      </c>
      <c r="AM2355">
        <v>11</v>
      </c>
      <c r="AN2355" s="18">
        <v>0.0588235294117647</v>
      </c>
      <c r="AO2355" s="18">
        <v>0.0909090909090909</v>
      </c>
      <c r="AP2355" s="18">
        <v>0.1</v>
      </c>
      <c r="AQ2355" s="18">
        <v>0.0909090909090909</v>
      </c>
      <c r="AR2355" s="29">
        <v>0.142857142857143</v>
      </c>
      <c r="AS2355" s="29">
        <v>8.57142857142857</v>
      </c>
      <c r="AT2355" s="29">
        <v>1.42857142857143</v>
      </c>
      <c r="AU2355" s="24">
        <f t="shared" si="37"/>
        <v>70</v>
      </c>
      <c r="AV2355" s="31">
        <f>IFERROR(时间!$B$4+AU2355,"上周无销量")</f>
        <v>43388</v>
      </c>
    </row>
    <row r="2356" spans="1:48">
      <c r="A2356" s="16" t="s">
        <v>4072</v>
      </c>
      <c r="B2356" t="s">
        <v>4006</v>
      </c>
      <c r="C2356" t="s">
        <v>4070</v>
      </c>
      <c r="D2356" s="24">
        <v>0</v>
      </c>
      <c r="E2356" s="24">
        <v>0</v>
      </c>
      <c r="F2356" s="24">
        <v>0</v>
      </c>
      <c r="G2356" s="24">
        <v>0</v>
      </c>
      <c r="H2356" s="25">
        <v>0</v>
      </c>
      <c r="I2356">
        <v>0</v>
      </c>
      <c r="J2356" s="26">
        <v>0</v>
      </c>
      <c r="K2356" s="26">
        <v>0</v>
      </c>
      <c r="L2356" s="26">
        <v>0</v>
      </c>
      <c r="M2356">
        <v>0</v>
      </c>
      <c r="N2356">
        <v>0</v>
      </c>
      <c r="O2356">
        <v>0</v>
      </c>
      <c r="P2356" t="s">
        <v>52</v>
      </c>
      <c r="Q2356" t="s">
        <v>52</v>
      </c>
      <c r="R2356" t="s">
        <v>52</v>
      </c>
      <c r="S2356" t="s">
        <v>52</v>
      </c>
      <c r="T2356" t="s">
        <v>52</v>
      </c>
      <c r="U2356" t="s">
        <v>52</v>
      </c>
      <c r="V2356" t="s">
        <v>52</v>
      </c>
      <c r="W2356" t="s">
        <v>52</v>
      </c>
      <c r="X2356" s="18" t="s">
        <v>52</v>
      </c>
      <c r="Y2356" s="18" t="s">
        <v>52</v>
      </c>
      <c r="Z2356" s="18" t="s">
        <v>52</v>
      </c>
      <c r="AA2356" s="18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s="18" t="s">
        <v>52</v>
      </c>
      <c r="AG2356" s="18" t="s">
        <v>52</v>
      </c>
      <c r="AH2356" s="18" t="s">
        <v>52</v>
      </c>
      <c r="AI2356" s="18" t="s">
        <v>52</v>
      </c>
      <c r="AJ2356">
        <v>22</v>
      </c>
      <c r="AK2356">
        <v>26</v>
      </c>
      <c r="AL2356">
        <v>20</v>
      </c>
      <c r="AM2356">
        <v>12</v>
      </c>
      <c r="AN2356" s="18">
        <v>0</v>
      </c>
      <c r="AO2356" s="18">
        <v>0</v>
      </c>
      <c r="AP2356" s="18">
        <v>0</v>
      </c>
      <c r="AQ2356" s="18">
        <v>0</v>
      </c>
      <c r="AR2356" s="29">
        <v>0</v>
      </c>
      <c r="AS2356" s="29">
        <v>0</v>
      </c>
      <c r="AT2356" s="29">
        <v>0</v>
      </c>
      <c r="AU2356" s="24" t="str">
        <f t="shared" si="37"/>
        <v>库存为0</v>
      </c>
      <c r="AV2356" s="31" t="str">
        <f>IFERROR(时间!$B$4+AU2356,"上周无销量")</f>
        <v>上周无销量</v>
      </c>
    </row>
    <row r="2357" spans="1:48">
      <c r="A2357" s="16" t="s">
        <v>4073</v>
      </c>
      <c r="B2357" t="s">
        <v>3716</v>
      </c>
      <c r="C2357" t="s">
        <v>4070</v>
      </c>
      <c r="D2357" s="24">
        <v>0</v>
      </c>
      <c r="E2357" s="24">
        <v>0</v>
      </c>
      <c r="F2357" s="24">
        <v>0</v>
      </c>
      <c r="G2357" s="24">
        <v>0</v>
      </c>
      <c r="H2357" s="25">
        <v>0</v>
      </c>
      <c r="I2357">
        <v>0</v>
      </c>
      <c r="J2357" s="26">
        <v>0</v>
      </c>
      <c r="K2357" s="26">
        <v>0</v>
      </c>
      <c r="L2357" s="26">
        <v>0</v>
      </c>
      <c r="M2357">
        <v>0</v>
      </c>
      <c r="N2357">
        <v>0</v>
      </c>
      <c r="O2357">
        <v>0</v>
      </c>
      <c r="P2357" t="s">
        <v>52</v>
      </c>
      <c r="Q2357" t="s">
        <v>52</v>
      </c>
      <c r="R2357" t="s">
        <v>52</v>
      </c>
      <c r="S2357" t="s">
        <v>52</v>
      </c>
      <c r="T2357" t="s">
        <v>52</v>
      </c>
      <c r="U2357" t="s">
        <v>52</v>
      </c>
      <c r="V2357" t="s">
        <v>52</v>
      </c>
      <c r="W2357" t="s">
        <v>52</v>
      </c>
      <c r="X2357" s="18" t="s">
        <v>52</v>
      </c>
      <c r="Y2357" s="18" t="s">
        <v>52</v>
      </c>
      <c r="Z2357" s="18" t="s">
        <v>52</v>
      </c>
      <c r="AA2357" s="18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s="18" t="s">
        <v>52</v>
      </c>
      <c r="AG2357" s="18" t="s">
        <v>52</v>
      </c>
      <c r="AH2357" s="18" t="s">
        <v>52</v>
      </c>
      <c r="AI2357" s="18" t="s">
        <v>52</v>
      </c>
      <c r="AJ2357">
        <v>16</v>
      </c>
      <c r="AK2357">
        <v>4</v>
      </c>
      <c r="AL2357">
        <v>11</v>
      </c>
      <c r="AM2357">
        <v>6</v>
      </c>
      <c r="AN2357" s="18">
        <v>0</v>
      </c>
      <c r="AO2357" s="18">
        <v>0</v>
      </c>
      <c r="AP2357" s="18">
        <v>0</v>
      </c>
      <c r="AQ2357" s="18">
        <v>0</v>
      </c>
      <c r="AR2357" s="29">
        <v>0</v>
      </c>
      <c r="AS2357" s="29">
        <v>0</v>
      </c>
      <c r="AT2357" s="29">
        <v>0</v>
      </c>
      <c r="AU2357" s="24" t="str">
        <f t="shared" si="37"/>
        <v>库存为0</v>
      </c>
      <c r="AV2357" s="31" t="str">
        <f>IFERROR(时间!$B$4+AU2357,"上周无销量")</f>
        <v>上周无销量</v>
      </c>
    </row>
    <row r="2358" spans="1:48">
      <c r="A2358" s="16" t="s">
        <v>4074</v>
      </c>
      <c r="B2358" t="s">
        <v>3682</v>
      </c>
      <c r="C2358" t="s">
        <v>4070</v>
      </c>
      <c r="D2358" s="24">
        <v>0</v>
      </c>
      <c r="E2358" s="24">
        <v>0</v>
      </c>
      <c r="F2358" s="24">
        <v>0</v>
      </c>
      <c r="G2358" s="24">
        <v>0</v>
      </c>
      <c r="H2358" s="25">
        <v>0</v>
      </c>
      <c r="I2358">
        <v>0</v>
      </c>
      <c r="J2358" s="26">
        <v>0</v>
      </c>
      <c r="K2358" s="26">
        <v>0</v>
      </c>
      <c r="L2358" s="26">
        <v>0</v>
      </c>
      <c r="M2358">
        <v>0</v>
      </c>
      <c r="N2358">
        <v>0</v>
      </c>
      <c r="O2358">
        <v>0</v>
      </c>
      <c r="P2358" t="s">
        <v>52</v>
      </c>
      <c r="Q2358" t="s">
        <v>52</v>
      </c>
      <c r="R2358" t="s">
        <v>52</v>
      </c>
      <c r="S2358" t="s">
        <v>52</v>
      </c>
      <c r="T2358" t="s">
        <v>52</v>
      </c>
      <c r="U2358" t="s">
        <v>52</v>
      </c>
      <c r="V2358" t="s">
        <v>52</v>
      </c>
      <c r="W2358" t="s">
        <v>52</v>
      </c>
      <c r="X2358" s="18" t="s">
        <v>52</v>
      </c>
      <c r="Y2358" s="18" t="s">
        <v>52</v>
      </c>
      <c r="Z2358" s="18" t="s">
        <v>52</v>
      </c>
      <c r="AA2358" s="1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s="18" t="s">
        <v>52</v>
      </c>
      <c r="AG2358" s="18" t="s">
        <v>52</v>
      </c>
      <c r="AH2358" s="18" t="s">
        <v>52</v>
      </c>
      <c r="AI2358" s="18" t="s">
        <v>52</v>
      </c>
      <c r="AJ2358">
        <v>3</v>
      </c>
      <c r="AK2358">
        <v>8</v>
      </c>
      <c r="AL2358">
        <v>13</v>
      </c>
      <c r="AM2358">
        <v>2</v>
      </c>
      <c r="AN2358" s="18">
        <v>0</v>
      </c>
      <c r="AO2358" s="18">
        <v>0</v>
      </c>
      <c r="AP2358" s="18">
        <v>0</v>
      </c>
      <c r="AQ2358" s="18">
        <v>0</v>
      </c>
      <c r="AR2358" s="29">
        <v>0</v>
      </c>
      <c r="AS2358" s="29">
        <v>0</v>
      </c>
      <c r="AT2358" s="29">
        <v>0</v>
      </c>
      <c r="AU2358" s="24" t="str">
        <f t="shared" si="37"/>
        <v>库存为0</v>
      </c>
      <c r="AV2358" s="31" t="str">
        <f>IFERROR(时间!$B$4+AU2358,"上周无销量")</f>
        <v>上周无销量</v>
      </c>
    </row>
    <row r="2359" spans="1:48">
      <c r="A2359" s="16" t="s">
        <v>4075</v>
      </c>
      <c r="B2359" t="s">
        <v>4009</v>
      </c>
      <c r="C2359" t="s">
        <v>4070</v>
      </c>
      <c r="D2359" s="24">
        <v>1</v>
      </c>
      <c r="E2359" s="24">
        <v>0</v>
      </c>
      <c r="F2359" s="24">
        <v>0</v>
      </c>
      <c r="G2359" s="24">
        <v>0</v>
      </c>
      <c r="H2359" s="25">
        <v>22.98</v>
      </c>
      <c r="I2359">
        <v>8</v>
      </c>
      <c r="J2359" s="26">
        <v>0</v>
      </c>
      <c r="K2359" s="26">
        <v>0</v>
      </c>
      <c r="L2359" s="26">
        <v>0</v>
      </c>
      <c r="M2359">
        <v>8</v>
      </c>
      <c r="N2359">
        <v>0</v>
      </c>
      <c r="O2359">
        <v>0</v>
      </c>
      <c r="P2359" t="s">
        <v>52</v>
      </c>
      <c r="Q2359" t="s">
        <v>52</v>
      </c>
      <c r="R2359" t="s">
        <v>52</v>
      </c>
      <c r="S2359" t="s">
        <v>52</v>
      </c>
      <c r="T2359" t="s">
        <v>52</v>
      </c>
      <c r="U2359" t="s">
        <v>52</v>
      </c>
      <c r="V2359" t="s">
        <v>52</v>
      </c>
      <c r="W2359" t="s">
        <v>52</v>
      </c>
      <c r="X2359" s="18" t="s">
        <v>52</v>
      </c>
      <c r="Y2359" s="18" t="s">
        <v>52</v>
      </c>
      <c r="Z2359" s="18" t="s">
        <v>52</v>
      </c>
      <c r="AA2359" s="18" t="s">
        <v>52</v>
      </c>
      <c r="AB2359" t="s">
        <v>52</v>
      </c>
      <c r="AC2359" t="s">
        <v>52</v>
      </c>
      <c r="AD2359" t="s">
        <v>52</v>
      </c>
      <c r="AE2359" t="s">
        <v>52</v>
      </c>
      <c r="AF2359" s="18" t="s">
        <v>52</v>
      </c>
      <c r="AG2359" s="18" t="s">
        <v>52</v>
      </c>
      <c r="AH2359" s="18" t="s">
        <v>52</v>
      </c>
      <c r="AI2359" s="18" t="s">
        <v>52</v>
      </c>
      <c r="AJ2359">
        <v>3</v>
      </c>
      <c r="AK2359">
        <v>3</v>
      </c>
      <c r="AL2359">
        <v>4</v>
      </c>
      <c r="AM2359">
        <v>0</v>
      </c>
      <c r="AN2359" s="18">
        <v>0.333333333333333</v>
      </c>
      <c r="AO2359" s="18">
        <v>0</v>
      </c>
      <c r="AP2359" s="18">
        <v>0</v>
      </c>
      <c r="AQ2359" s="18" t="s">
        <v>52</v>
      </c>
      <c r="AR2359" s="29">
        <v>0.142857142857143</v>
      </c>
      <c r="AS2359" s="29">
        <v>8.57142857142857</v>
      </c>
      <c r="AT2359" s="29">
        <v>-0.571428571428571</v>
      </c>
      <c r="AU2359" s="24">
        <f t="shared" si="37"/>
        <v>56</v>
      </c>
      <c r="AV2359" s="31">
        <f>IFERROR(时间!$B$4+AU2359,"上周无销量")</f>
        <v>43374</v>
      </c>
    </row>
    <row r="2360" spans="1:48">
      <c r="A2360" s="16" t="s">
        <v>4076</v>
      </c>
      <c r="B2360" t="s">
        <v>3686</v>
      </c>
      <c r="C2360" t="s">
        <v>4070</v>
      </c>
      <c r="D2360" s="24">
        <v>0</v>
      </c>
      <c r="E2360" s="24">
        <v>0</v>
      </c>
      <c r="F2360" s="24">
        <v>0</v>
      </c>
      <c r="G2360" s="24">
        <v>0</v>
      </c>
      <c r="H2360" s="25">
        <v>0</v>
      </c>
      <c r="I2360">
        <v>0</v>
      </c>
      <c r="J2360" s="26">
        <v>0</v>
      </c>
      <c r="K2360" s="26">
        <v>0</v>
      </c>
      <c r="L2360" s="26">
        <v>0</v>
      </c>
      <c r="M2360">
        <v>0</v>
      </c>
      <c r="N2360">
        <v>0</v>
      </c>
      <c r="O2360">
        <v>0</v>
      </c>
      <c r="P2360" t="s">
        <v>52</v>
      </c>
      <c r="Q2360" t="s">
        <v>52</v>
      </c>
      <c r="R2360" t="s">
        <v>52</v>
      </c>
      <c r="S2360" t="s">
        <v>52</v>
      </c>
      <c r="T2360" t="s">
        <v>52</v>
      </c>
      <c r="U2360" t="s">
        <v>52</v>
      </c>
      <c r="V2360" t="s">
        <v>52</v>
      </c>
      <c r="W2360" t="s">
        <v>52</v>
      </c>
      <c r="X2360" s="18" t="s">
        <v>52</v>
      </c>
      <c r="Y2360" s="18" t="s">
        <v>52</v>
      </c>
      <c r="Z2360" s="18" t="s">
        <v>52</v>
      </c>
      <c r="AA2360" s="18" t="s">
        <v>52</v>
      </c>
      <c r="AB2360" t="s">
        <v>52</v>
      </c>
      <c r="AC2360" t="s">
        <v>52</v>
      </c>
      <c r="AD2360" t="s">
        <v>52</v>
      </c>
      <c r="AE2360" t="s">
        <v>52</v>
      </c>
      <c r="AF2360" s="18" t="s">
        <v>52</v>
      </c>
      <c r="AG2360" s="18" t="s">
        <v>52</v>
      </c>
      <c r="AH2360" s="18" t="s">
        <v>52</v>
      </c>
      <c r="AI2360" s="18" t="s">
        <v>52</v>
      </c>
      <c r="AJ2360">
        <v>1</v>
      </c>
      <c r="AK2360">
        <v>8</v>
      </c>
      <c r="AL2360">
        <v>4</v>
      </c>
      <c r="AM2360">
        <v>3</v>
      </c>
      <c r="AN2360" s="18">
        <v>0</v>
      </c>
      <c r="AO2360" s="18">
        <v>0</v>
      </c>
      <c r="AP2360" s="18">
        <v>0</v>
      </c>
      <c r="AQ2360" s="18">
        <v>0</v>
      </c>
      <c r="AR2360" s="29">
        <v>0</v>
      </c>
      <c r="AS2360" s="29">
        <v>0</v>
      </c>
      <c r="AT2360" s="29">
        <v>0</v>
      </c>
      <c r="AU2360" s="24" t="str">
        <f t="shared" si="37"/>
        <v>库存为0</v>
      </c>
      <c r="AV2360" s="31" t="str">
        <f>IFERROR(时间!$B$4+AU2360,"上周无销量")</f>
        <v>上周无销量</v>
      </c>
    </row>
    <row r="2361" spans="1:48">
      <c r="A2361" s="16" t="s">
        <v>4077</v>
      </c>
      <c r="B2361" t="s">
        <v>3688</v>
      </c>
      <c r="C2361" t="s">
        <v>4070</v>
      </c>
      <c r="D2361" s="24">
        <v>0</v>
      </c>
      <c r="E2361" s="24">
        <v>0</v>
      </c>
      <c r="F2361" s="24">
        <v>0</v>
      </c>
      <c r="G2361" s="24">
        <v>0</v>
      </c>
      <c r="H2361" s="25">
        <v>0</v>
      </c>
      <c r="I2361">
        <v>0</v>
      </c>
      <c r="J2361" s="26">
        <v>0</v>
      </c>
      <c r="K2361" s="26">
        <v>0</v>
      </c>
      <c r="L2361" s="26">
        <v>0</v>
      </c>
      <c r="M2361">
        <v>0</v>
      </c>
      <c r="N2361">
        <v>0</v>
      </c>
      <c r="O2361">
        <v>0</v>
      </c>
      <c r="P2361" t="s">
        <v>52</v>
      </c>
      <c r="Q2361" t="s">
        <v>52</v>
      </c>
      <c r="R2361" t="s">
        <v>52</v>
      </c>
      <c r="S2361" t="s">
        <v>52</v>
      </c>
      <c r="T2361" t="s">
        <v>52</v>
      </c>
      <c r="U2361" t="s">
        <v>52</v>
      </c>
      <c r="V2361" t="s">
        <v>52</v>
      </c>
      <c r="W2361" t="s">
        <v>52</v>
      </c>
      <c r="X2361" s="18" t="s">
        <v>52</v>
      </c>
      <c r="Y2361" s="18" t="s">
        <v>52</v>
      </c>
      <c r="Z2361" s="18" t="s">
        <v>52</v>
      </c>
      <c r="AA2361" s="18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s="18" t="s">
        <v>52</v>
      </c>
      <c r="AG2361" s="18" t="s">
        <v>52</v>
      </c>
      <c r="AH2361" s="18" t="s">
        <v>52</v>
      </c>
      <c r="AI2361" s="18" t="s">
        <v>52</v>
      </c>
      <c r="AJ2361">
        <v>5</v>
      </c>
      <c r="AK2361">
        <v>2</v>
      </c>
      <c r="AL2361">
        <v>4</v>
      </c>
      <c r="AM2361">
        <v>2</v>
      </c>
      <c r="AN2361" s="18">
        <v>0</v>
      </c>
      <c r="AO2361" s="18">
        <v>0</v>
      </c>
      <c r="AP2361" s="18">
        <v>0</v>
      </c>
      <c r="AQ2361" s="18">
        <v>0</v>
      </c>
      <c r="AR2361" s="29">
        <v>0</v>
      </c>
      <c r="AS2361" s="29">
        <v>0</v>
      </c>
      <c r="AT2361" s="29">
        <v>0</v>
      </c>
      <c r="AU2361" s="24" t="str">
        <f t="shared" si="37"/>
        <v>库存为0</v>
      </c>
      <c r="AV2361" s="31" t="str">
        <f>IFERROR(时间!$B$4+AU2361,"上周无销量")</f>
        <v>上周无销量</v>
      </c>
    </row>
    <row r="2362" spans="1:48">
      <c r="A2362" s="16" t="s">
        <v>4078</v>
      </c>
      <c r="B2362" t="s">
        <v>3690</v>
      </c>
      <c r="C2362" t="s">
        <v>4070</v>
      </c>
      <c r="D2362" s="24">
        <v>0</v>
      </c>
      <c r="E2362" s="24">
        <v>0</v>
      </c>
      <c r="F2362" s="24">
        <v>0</v>
      </c>
      <c r="G2362" s="24">
        <v>0</v>
      </c>
      <c r="H2362" s="25">
        <v>0</v>
      </c>
      <c r="I2362">
        <v>0</v>
      </c>
      <c r="J2362" s="26">
        <v>0</v>
      </c>
      <c r="K2362" s="26">
        <v>0</v>
      </c>
      <c r="L2362" s="26">
        <v>0</v>
      </c>
      <c r="M2362">
        <v>0</v>
      </c>
      <c r="N2362">
        <v>0</v>
      </c>
      <c r="O2362">
        <v>0</v>
      </c>
      <c r="P2362" t="s">
        <v>52</v>
      </c>
      <c r="Q2362" t="s">
        <v>52</v>
      </c>
      <c r="R2362" t="s">
        <v>52</v>
      </c>
      <c r="S2362" t="s">
        <v>52</v>
      </c>
      <c r="T2362" t="s">
        <v>52</v>
      </c>
      <c r="U2362" t="s">
        <v>52</v>
      </c>
      <c r="V2362" t="s">
        <v>52</v>
      </c>
      <c r="W2362" t="s">
        <v>52</v>
      </c>
      <c r="X2362" s="18" t="s">
        <v>52</v>
      </c>
      <c r="Y2362" s="18" t="s">
        <v>52</v>
      </c>
      <c r="Z2362" s="18" t="s">
        <v>52</v>
      </c>
      <c r="AA2362" s="18" t="s">
        <v>52</v>
      </c>
      <c r="AB2362" t="s">
        <v>52</v>
      </c>
      <c r="AC2362" t="s">
        <v>52</v>
      </c>
      <c r="AD2362" t="s">
        <v>52</v>
      </c>
      <c r="AE2362" t="s">
        <v>52</v>
      </c>
      <c r="AF2362" s="18" t="s">
        <v>52</v>
      </c>
      <c r="AG2362" s="18" t="s">
        <v>52</v>
      </c>
      <c r="AH2362" s="18" t="s">
        <v>52</v>
      </c>
      <c r="AI2362" s="18" t="s">
        <v>52</v>
      </c>
      <c r="AJ2362">
        <v>2</v>
      </c>
      <c r="AK2362">
        <v>4</v>
      </c>
      <c r="AL2362">
        <v>7</v>
      </c>
      <c r="AM2362">
        <v>2</v>
      </c>
      <c r="AN2362" s="18">
        <v>0</v>
      </c>
      <c r="AO2362" s="18">
        <v>0</v>
      </c>
      <c r="AP2362" s="18">
        <v>0</v>
      </c>
      <c r="AQ2362" s="18">
        <v>0</v>
      </c>
      <c r="AR2362" s="29">
        <v>0</v>
      </c>
      <c r="AS2362" s="29">
        <v>0</v>
      </c>
      <c r="AT2362" s="29">
        <v>0</v>
      </c>
      <c r="AU2362" s="24" t="str">
        <f t="shared" si="37"/>
        <v>库存为0</v>
      </c>
      <c r="AV2362" s="31" t="str">
        <f>IFERROR(时间!$B$4+AU2362,"上周无销量")</f>
        <v>上周无销量</v>
      </c>
    </row>
    <row r="2363" spans="1:48">
      <c r="A2363" s="16" t="s">
        <v>4079</v>
      </c>
      <c r="B2363" t="s">
        <v>3858</v>
      </c>
      <c r="C2363" t="s">
        <v>4070</v>
      </c>
      <c r="D2363" s="24">
        <v>1</v>
      </c>
      <c r="E2363" s="24">
        <v>0</v>
      </c>
      <c r="F2363" s="24">
        <v>0</v>
      </c>
      <c r="G2363" s="24">
        <v>1</v>
      </c>
      <c r="H2363" s="25">
        <v>22.98</v>
      </c>
      <c r="I2363">
        <v>5</v>
      </c>
      <c r="J2363" s="26">
        <v>0</v>
      </c>
      <c r="K2363" s="26">
        <v>0</v>
      </c>
      <c r="L2363" s="26">
        <v>0</v>
      </c>
      <c r="M2363">
        <v>5</v>
      </c>
      <c r="N2363">
        <v>0</v>
      </c>
      <c r="O2363">
        <v>0</v>
      </c>
      <c r="P2363" t="s">
        <v>52</v>
      </c>
      <c r="Q2363" t="s">
        <v>52</v>
      </c>
      <c r="R2363" t="s">
        <v>52</v>
      </c>
      <c r="S2363" t="s">
        <v>52</v>
      </c>
      <c r="T2363" t="s">
        <v>52</v>
      </c>
      <c r="U2363" t="s">
        <v>52</v>
      </c>
      <c r="V2363" t="s">
        <v>52</v>
      </c>
      <c r="W2363" t="s">
        <v>52</v>
      </c>
      <c r="X2363" s="18" t="s">
        <v>52</v>
      </c>
      <c r="Y2363" s="18" t="s">
        <v>52</v>
      </c>
      <c r="Z2363" s="18" t="s">
        <v>52</v>
      </c>
      <c r="AA2363" s="18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s="18" t="s">
        <v>52</v>
      </c>
      <c r="AG2363" s="18" t="s">
        <v>52</v>
      </c>
      <c r="AH2363" s="18" t="s">
        <v>52</v>
      </c>
      <c r="AI2363" s="18" t="s">
        <v>52</v>
      </c>
      <c r="AJ2363">
        <v>8</v>
      </c>
      <c r="AK2363">
        <v>3</v>
      </c>
      <c r="AL2363">
        <v>7</v>
      </c>
      <c r="AM2363">
        <v>3</v>
      </c>
      <c r="AN2363" s="18">
        <v>0.125</v>
      </c>
      <c r="AO2363" s="18">
        <v>0</v>
      </c>
      <c r="AP2363" s="18">
        <v>0</v>
      </c>
      <c r="AQ2363" s="18">
        <v>0.333333333333333</v>
      </c>
      <c r="AR2363" s="29">
        <v>0.142857142857143</v>
      </c>
      <c r="AS2363" s="29">
        <v>8.57142857142857</v>
      </c>
      <c r="AT2363" s="29">
        <v>-3.57142857142857</v>
      </c>
      <c r="AU2363" s="24">
        <f t="shared" si="37"/>
        <v>35</v>
      </c>
      <c r="AV2363" s="31">
        <f>IFERROR(时间!$B$4+AU2363,"上周无销量")</f>
        <v>43353</v>
      </c>
    </row>
    <row r="2364" spans="1:48">
      <c r="A2364" s="16" t="s">
        <v>4080</v>
      </c>
      <c r="B2364" t="s">
        <v>3694</v>
      </c>
      <c r="C2364" t="s">
        <v>4070</v>
      </c>
      <c r="D2364" s="24">
        <v>0</v>
      </c>
      <c r="E2364" s="24">
        <v>0</v>
      </c>
      <c r="F2364" s="24">
        <v>0</v>
      </c>
      <c r="G2364" s="24">
        <v>0</v>
      </c>
      <c r="H2364" s="25">
        <v>0</v>
      </c>
      <c r="I2364">
        <v>0</v>
      </c>
      <c r="J2364" s="26">
        <v>0</v>
      </c>
      <c r="K2364" s="26">
        <v>0</v>
      </c>
      <c r="L2364" s="26">
        <v>0</v>
      </c>
      <c r="M2364">
        <v>0</v>
      </c>
      <c r="N2364">
        <v>0</v>
      </c>
      <c r="O2364">
        <v>0</v>
      </c>
      <c r="P2364" t="s">
        <v>52</v>
      </c>
      <c r="Q2364" t="s">
        <v>52</v>
      </c>
      <c r="R2364" t="s">
        <v>52</v>
      </c>
      <c r="S2364" t="s">
        <v>52</v>
      </c>
      <c r="T2364" t="s">
        <v>52</v>
      </c>
      <c r="U2364" t="s">
        <v>52</v>
      </c>
      <c r="V2364" t="s">
        <v>52</v>
      </c>
      <c r="W2364" t="s">
        <v>52</v>
      </c>
      <c r="X2364" s="18" t="s">
        <v>52</v>
      </c>
      <c r="Y2364" s="18" t="s">
        <v>52</v>
      </c>
      <c r="Z2364" s="18" t="s">
        <v>52</v>
      </c>
      <c r="AA2364" s="18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s="18" t="s">
        <v>52</v>
      </c>
      <c r="AG2364" s="18" t="s">
        <v>52</v>
      </c>
      <c r="AH2364" s="18" t="s">
        <v>52</v>
      </c>
      <c r="AI2364" s="18" t="s">
        <v>52</v>
      </c>
      <c r="AJ2364">
        <v>4</v>
      </c>
      <c r="AK2364">
        <v>3</v>
      </c>
      <c r="AL2364">
        <v>6</v>
      </c>
      <c r="AM2364">
        <v>2</v>
      </c>
      <c r="AN2364" s="18">
        <v>0</v>
      </c>
      <c r="AO2364" s="18">
        <v>0</v>
      </c>
      <c r="AP2364" s="18">
        <v>0</v>
      </c>
      <c r="AQ2364" s="18">
        <v>0</v>
      </c>
      <c r="AR2364" s="29">
        <v>0</v>
      </c>
      <c r="AS2364" s="29">
        <v>0</v>
      </c>
      <c r="AT2364" s="29">
        <v>0</v>
      </c>
      <c r="AU2364" s="24" t="str">
        <f t="shared" si="37"/>
        <v>库存为0</v>
      </c>
      <c r="AV2364" s="31" t="str">
        <f>IFERROR(时间!$B$4+AU2364,"上周无销量")</f>
        <v>上周无销量</v>
      </c>
    </row>
    <row r="2365" spans="1:48">
      <c r="A2365" s="16" t="s">
        <v>4081</v>
      </c>
      <c r="B2365" t="s">
        <v>3696</v>
      </c>
      <c r="C2365" t="s">
        <v>4070</v>
      </c>
      <c r="D2365" s="24">
        <v>0</v>
      </c>
      <c r="E2365" s="24">
        <v>0</v>
      </c>
      <c r="F2365" s="24">
        <v>0</v>
      </c>
      <c r="G2365" s="24">
        <v>0</v>
      </c>
      <c r="H2365" s="25">
        <v>0</v>
      </c>
      <c r="I2365">
        <v>0</v>
      </c>
      <c r="J2365" s="26">
        <v>0</v>
      </c>
      <c r="K2365" s="26">
        <v>0</v>
      </c>
      <c r="L2365" s="26">
        <v>0</v>
      </c>
      <c r="M2365">
        <v>0</v>
      </c>
      <c r="N2365">
        <v>0</v>
      </c>
      <c r="O2365">
        <v>0</v>
      </c>
      <c r="P2365" t="s">
        <v>52</v>
      </c>
      <c r="Q2365" t="s">
        <v>52</v>
      </c>
      <c r="R2365" t="s">
        <v>52</v>
      </c>
      <c r="S2365" t="s">
        <v>52</v>
      </c>
      <c r="T2365" t="s">
        <v>52</v>
      </c>
      <c r="U2365" t="s">
        <v>52</v>
      </c>
      <c r="V2365" t="s">
        <v>52</v>
      </c>
      <c r="W2365" t="s">
        <v>52</v>
      </c>
      <c r="X2365" s="18" t="s">
        <v>52</v>
      </c>
      <c r="Y2365" s="18" t="s">
        <v>52</v>
      </c>
      <c r="Z2365" s="18" t="s">
        <v>52</v>
      </c>
      <c r="AA2365" s="18" t="s">
        <v>52</v>
      </c>
      <c r="AB2365" t="s">
        <v>52</v>
      </c>
      <c r="AC2365" t="s">
        <v>52</v>
      </c>
      <c r="AD2365" t="s">
        <v>52</v>
      </c>
      <c r="AE2365" t="s">
        <v>52</v>
      </c>
      <c r="AF2365" s="18" t="s">
        <v>52</v>
      </c>
      <c r="AG2365" s="18" t="s">
        <v>52</v>
      </c>
      <c r="AH2365" s="18" t="s">
        <v>52</v>
      </c>
      <c r="AI2365" s="18" t="s">
        <v>52</v>
      </c>
      <c r="AJ2365">
        <v>6</v>
      </c>
      <c r="AK2365">
        <v>2</v>
      </c>
      <c r="AL2365">
        <v>3</v>
      </c>
      <c r="AM2365">
        <v>3</v>
      </c>
      <c r="AN2365" s="18">
        <v>0</v>
      </c>
      <c r="AO2365" s="18">
        <v>0</v>
      </c>
      <c r="AP2365" s="18">
        <v>0</v>
      </c>
      <c r="AQ2365" s="18">
        <v>0</v>
      </c>
      <c r="AR2365" s="29">
        <v>0</v>
      </c>
      <c r="AS2365" s="29">
        <v>0</v>
      </c>
      <c r="AT2365" s="29">
        <v>0</v>
      </c>
      <c r="AU2365" s="24" t="str">
        <f t="shared" si="37"/>
        <v>库存为0</v>
      </c>
      <c r="AV2365" s="31" t="str">
        <f>IFERROR(时间!$B$4+AU2365,"上周无销量")</f>
        <v>上周无销量</v>
      </c>
    </row>
    <row r="2366" spans="1:48">
      <c r="A2366" s="16" t="s">
        <v>4082</v>
      </c>
      <c r="B2366" t="s">
        <v>3698</v>
      </c>
      <c r="C2366" t="s">
        <v>4070</v>
      </c>
      <c r="D2366" s="24">
        <v>0</v>
      </c>
      <c r="E2366" s="24">
        <v>0</v>
      </c>
      <c r="F2366" s="24">
        <v>0</v>
      </c>
      <c r="G2366" s="24">
        <v>0</v>
      </c>
      <c r="H2366" s="25">
        <v>0</v>
      </c>
      <c r="I2366">
        <v>0</v>
      </c>
      <c r="J2366" s="26">
        <v>0</v>
      </c>
      <c r="K2366" s="26">
        <v>0</v>
      </c>
      <c r="L2366" s="26">
        <v>0</v>
      </c>
      <c r="M2366">
        <v>0</v>
      </c>
      <c r="N2366">
        <v>0</v>
      </c>
      <c r="O2366">
        <v>0</v>
      </c>
      <c r="P2366" t="s">
        <v>52</v>
      </c>
      <c r="Q2366" t="s">
        <v>52</v>
      </c>
      <c r="R2366" t="s">
        <v>52</v>
      </c>
      <c r="S2366" t="s">
        <v>52</v>
      </c>
      <c r="T2366" t="s">
        <v>52</v>
      </c>
      <c r="U2366" t="s">
        <v>52</v>
      </c>
      <c r="V2366" t="s">
        <v>52</v>
      </c>
      <c r="W2366" t="s">
        <v>52</v>
      </c>
      <c r="X2366" s="18" t="s">
        <v>52</v>
      </c>
      <c r="Y2366" s="18" t="s">
        <v>52</v>
      </c>
      <c r="Z2366" s="18" t="s">
        <v>52</v>
      </c>
      <c r="AA2366" s="18" t="s">
        <v>52</v>
      </c>
      <c r="AB2366" t="s">
        <v>52</v>
      </c>
      <c r="AC2366" t="s">
        <v>52</v>
      </c>
      <c r="AD2366" t="s">
        <v>52</v>
      </c>
      <c r="AE2366" t="s">
        <v>52</v>
      </c>
      <c r="AF2366" s="18" t="s">
        <v>52</v>
      </c>
      <c r="AG2366" s="18" t="s">
        <v>52</v>
      </c>
      <c r="AH2366" s="18" t="s">
        <v>52</v>
      </c>
      <c r="AI2366" s="18" t="s">
        <v>52</v>
      </c>
      <c r="AJ2366">
        <v>3</v>
      </c>
      <c r="AK2366">
        <v>10</v>
      </c>
      <c r="AL2366">
        <v>4</v>
      </c>
      <c r="AM2366">
        <v>5</v>
      </c>
      <c r="AN2366" s="18">
        <v>0</v>
      </c>
      <c r="AO2366" s="18">
        <v>0</v>
      </c>
      <c r="AP2366" s="18">
        <v>0</v>
      </c>
      <c r="AQ2366" s="18">
        <v>0</v>
      </c>
      <c r="AR2366" s="29">
        <v>0</v>
      </c>
      <c r="AS2366" s="29">
        <v>0</v>
      </c>
      <c r="AT2366" s="29">
        <v>0</v>
      </c>
      <c r="AU2366" s="24" t="str">
        <f t="shared" si="37"/>
        <v>库存为0</v>
      </c>
      <c r="AV2366" s="31" t="str">
        <f>IFERROR(时间!$B$4+AU2366,"上周无销量")</f>
        <v>上周无销量</v>
      </c>
    </row>
    <row r="2367" spans="1:48">
      <c r="A2367" s="16" t="s">
        <v>4083</v>
      </c>
      <c r="B2367" t="s">
        <v>3700</v>
      </c>
      <c r="C2367" t="s">
        <v>4070</v>
      </c>
      <c r="D2367" s="24">
        <v>0</v>
      </c>
      <c r="E2367" s="24">
        <v>0</v>
      </c>
      <c r="F2367" s="24">
        <v>0</v>
      </c>
      <c r="G2367" s="24">
        <v>0</v>
      </c>
      <c r="H2367" s="25">
        <v>0</v>
      </c>
      <c r="I2367">
        <v>0</v>
      </c>
      <c r="J2367" s="26">
        <v>0</v>
      </c>
      <c r="K2367" s="26">
        <v>0</v>
      </c>
      <c r="L2367" s="26">
        <v>0</v>
      </c>
      <c r="M2367">
        <v>0</v>
      </c>
      <c r="N2367">
        <v>0</v>
      </c>
      <c r="O2367">
        <v>0</v>
      </c>
      <c r="P2367" t="s">
        <v>52</v>
      </c>
      <c r="Q2367" t="s">
        <v>52</v>
      </c>
      <c r="R2367" t="s">
        <v>52</v>
      </c>
      <c r="S2367" t="s">
        <v>52</v>
      </c>
      <c r="T2367" t="s">
        <v>52</v>
      </c>
      <c r="U2367" t="s">
        <v>52</v>
      </c>
      <c r="V2367" t="s">
        <v>52</v>
      </c>
      <c r="W2367" t="s">
        <v>52</v>
      </c>
      <c r="X2367" s="18" t="s">
        <v>52</v>
      </c>
      <c r="Y2367" s="18" t="s">
        <v>52</v>
      </c>
      <c r="Z2367" s="18" t="s">
        <v>52</v>
      </c>
      <c r="AA2367" s="18" t="s">
        <v>52</v>
      </c>
      <c r="AB2367" t="s">
        <v>52</v>
      </c>
      <c r="AC2367" t="s">
        <v>52</v>
      </c>
      <c r="AD2367" t="s">
        <v>52</v>
      </c>
      <c r="AE2367" t="s">
        <v>52</v>
      </c>
      <c r="AF2367" s="18" t="s">
        <v>52</v>
      </c>
      <c r="AG2367" s="18" t="s">
        <v>52</v>
      </c>
      <c r="AH2367" s="18" t="s">
        <v>52</v>
      </c>
      <c r="AI2367" s="18" t="s">
        <v>52</v>
      </c>
      <c r="AJ2367">
        <v>5</v>
      </c>
      <c r="AK2367">
        <v>13</v>
      </c>
      <c r="AL2367">
        <v>10</v>
      </c>
      <c r="AM2367">
        <v>2</v>
      </c>
      <c r="AN2367" s="18">
        <v>0</v>
      </c>
      <c r="AO2367" s="18">
        <v>0</v>
      </c>
      <c r="AP2367" s="18">
        <v>0</v>
      </c>
      <c r="AQ2367" s="18">
        <v>0</v>
      </c>
      <c r="AR2367" s="29">
        <v>0</v>
      </c>
      <c r="AS2367" s="29">
        <v>0</v>
      </c>
      <c r="AT2367" s="29">
        <v>0</v>
      </c>
      <c r="AU2367" s="24" t="str">
        <f t="shared" si="37"/>
        <v>库存为0</v>
      </c>
      <c r="AV2367" s="31" t="str">
        <f>IFERROR(时间!$B$4+AU2367,"上周无销量")</f>
        <v>上周无销量</v>
      </c>
    </row>
    <row r="2368" spans="1:48">
      <c r="A2368" s="16" t="s">
        <v>4084</v>
      </c>
      <c r="B2368" t="s">
        <v>3702</v>
      </c>
      <c r="C2368" t="s">
        <v>4070</v>
      </c>
      <c r="D2368" s="24">
        <v>0</v>
      </c>
      <c r="E2368" s="24">
        <v>0</v>
      </c>
      <c r="F2368" s="24">
        <v>0</v>
      </c>
      <c r="G2368" s="24">
        <v>0</v>
      </c>
      <c r="H2368" s="25">
        <v>0</v>
      </c>
      <c r="I2368">
        <v>0</v>
      </c>
      <c r="J2368" s="26">
        <v>0</v>
      </c>
      <c r="K2368" s="26">
        <v>0</v>
      </c>
      <c r="L2368" s="26">
        <v>0</v>
      </c>
      <c r="M2368">
        <v>0</v>
      </c>
      <c r="N2368">
        <v>0</v>
      </c>
      <c r="O2368">
        <v>0</v>
      </c>
      <c r="P2368" t="s">
        <v>52</v>
      </c>
      <c r="Q2368" t="s">
        <v>52</v>
      </c>
      <c r="R2368" t="s">
        <v>52</v>
      </c>
      <c r="S2368" t="s">
        <v>52</v>
      </c>
      <c r="T2368" t="s">
        <v>52</v>
      </c>
      <c r="U2368" t="s">
        <v>52</v>
      </c>
      <c r="V2368" t="s">
        <v>52</v>
      </c>
      <c r="W2368" t="s">
        <v>52</v>
      </c>
      <c r="X2368" s="18" t="s">
        <v>52</v>
      </c>
      <c r="Y2368" s="18" t="s">
        <v>52</v>
      </c>
      <c r="Z2368" s="18" t="s">
        <v>52</v>
      </c>
      <c r="AA2368" s="18" t="s">
        <v>52</v>
      </c>
      <c r="AB2368" t="s">
        <v>52</v>
      </c>
      <c r="AC2368" t="s">
        <v>52</v>
      </c>
      <c r="AD2368" t="s">
        <v>52</v>
      </c>
      <c r="AE2368" t="s">
        <v>52</v>
      </c>
      <c r="AF2368" s="18" t="s">
        <v>52</v>
      </c>
      <c r="AG2368" s="18" t="s">
        <v>52</v>
      </c>
      <c r="AH2368" s="18" t="s">
        <v>52</v>
      </c>
      <c r="AI2368" s="18" t="s">
        <v>52</v>
      </c>
      <c r="AJ2368">
        <v>5</v>
      </c>
      <c r="AK2368">
        <v>3</v>
      </c>
      <c r="AL2368">
        <v>8</v>
      </c>
      <c r="AM2368">
        <v>3</v>
      </c>
      <c r="AN2368" s="18">
        <v>0</v>
      </c>
      <c r="AO2368" s="18">
        <v>0</v>
      </c>
      <c r="AP2368" s="18">
        <v>0</v>
      </c>
      <c r="AQ2368" s="18">
        <v>0</v>
      </c>
      <c r="AR2368" s="29">
        <v>0</v>
      </c>
      <c r="AS2368" s="29">
        <v>0</v>
      </c>
      <c r="AT2368" s="29">
        <v>0</v>
      </c>
      <c r="AU2368" s="24" t="str">
        <f t="shared" si="37"/>
        <v>库存为0</v>
      </c>
      <c r="AV2368" s="31" t="str">
        <f>IFERROR(时间!$B$4+AU2368,"上周无销量")</f>
        <v>上周无销量</v>
      </c>
    </row>
    <row r="2369" spans="1:48">
      <c r="A2369" s="16" t="s">
        <v>4085</v>
      </c>
      <c r="B2369" t="s">
        <v>3710</v>
      </c>
      <c r="C2369" t="s">
        <v>4070</v>
      </c>
      <c r="D2369" s="24">
        <v>0</v>
      </c>
      <c r="E2369" s="24">
        <v>0</v>
      </c>
      <c r="F2369" s="24">
        <v>0</v>
      </c>
      <c r="G2369" s="24">
        <v>0</v>
      </c>
      <c r="H2369" s="25">
        <v>0</v>
      </c>
      <c r="I2369">
        <v>6</v>
      </c>
      <c r="J2369" s="26">
        <v>0</v>
      </c>
      <c r="K2369" s="26">
        <v>0</v>
      </c>
      <c r="L2369" s="26">
        <v>0</v>
      </c>
      <c r="M2369">
        <v>6</v>
      </c>
      <c r="N2369">
        <v>0</v>
      </c>
      <c r="O2369">
        <v>0</v>
      </c>
      <c r="P2369" t="s">
        <v>52</v>
      </c>
      <c r="Q2369" t="s">
        <v>52</v>
      </c>
      <c r="R2369" t="s">
        <v>52</v>
      </c>
      <c r="S2369" t="s">
        <v>52</v>
      </c>
      <c r="T2369" t="s">
        <v>52</v>
      </c>
      <c r="U2369" t="s">
        <v>52</v>
      </c>
      <c r="V2369" t="s">
        <v>52</v>
      </c>
      <c r="W2369" t="s">
        <v>52</v>
      </c>
      <c r="X2369" s="18" t="s">
        <v>52</v>
      </c>
      <c r="Y2369" s="18" t="s">
        <v>52</v>
      </c>
      <c r="Z2369" s="18" t="s">
        <v>52</v>
      </c>
      <c r="AA2369" s="18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s="18" t="s">
        <v>52</v>
      </c>
      <c r="AG2369" s="18" t="s">
        <v>52</v>
      </c>
      <c r="AH2369" s="18" t="s">
        <v>52</v>
      </c>
      <c r="AI2369" s="18" t="s">
        <v>52</v>
      </c>
      <c r="AJ2369">
        <v>3</v>
      </c>
      <c r="AK2369">
        <v>3</v>
      </c>
      <c r="AL2369">
        <v>4</v>
      </c>
      <c r="AM2369">
        <v>5</v>
      </c>
      <c r="AN2369" s="18">
        <v>0</v>
      </c>
      <c r="AO2369" s="18">
        <v>0</v>
      </c>
      <c r="AP2369" s="18">
        <v>0</v>
      </c>
      <c r="AQ2369" s="18">
        <v>0</v>
      </c>
      <c r="AR2369" s="29">
        <v>0</v>
      </c>
      <c r="AS2369" s="29">
        <v>0</v>
      </c>
      <c r="AT2369" s="29">
        <v>6</v>
      </c>
      <c r="AU2369" s="24" t="str">
        <f t="shared" si="37"/>
        <v>库存为6</v>
      </c>
      <c r="AV2369" s="31" t="str">
        <f>IFERROR(时间!$B$4+AU2369,"上周无销量")</f>
        <v>上周无销量</v>
      </c>
    </row>
    <row r="2370" spans="1:48">
      <c r="A2370" s="16" t="s">
        <v>4086</v>
      </c>
      <c r="B2370" t="s">
        <v>3704</v>
      </c>
      <c r="C2370" t="s">
        <v>4070</v>
      </c>
      <c r="D2370" s="24">
        <v>0</v>
      </c>
      <c r="E2370" s="24">
        <v>0</v>
      </c>
      <c r="F2370" s="24">
        <v>0</v>
      </c>
      <c r="G2370" s="24">
        <v>0</v>
      </c>
      <c r="H2370" s="25">
        <v>0</v>
      </c>
      <c r="I2370">
        <v>0</v>
      </c>
      <c r="J2370" s="26">
        <v>0</v>
      </c>
      <c r="K2370" s="26">
        <v>0</v>
      </c>
      <c r="L2370" s="26">
        <v>0</v>
      </c>
      <c r="M2370">
        <v>0</v>
      </c>
      <c r="N2370">
        <v>0</v>
      </c>
      <c r="O2370">
        <v>0</v>
      </c>
      <c r="P2370" t="s">
        <v>52</v>
      </c>
      <c r="Q2370" t="s">
        <v>52</v>
      </c>
      <c r="R2370" t="s">
        <v>52</v>
      </c>
      <c r="S2370" t="s">
        <v>52</v>
      </c>
      <c r="T2370" t="s">
        <v>52</v>
      </c>
      <c r="U2370" t="s">
        <v>52</v>
      </c>
      <c r="V2370" t="s">
        <v>52</v>
      </c>
      <c r="W2370" t="s">
        <v>52</v>
      </c>
      <c r="X2370" s="18" t="s">
        <v>52</v>
      </c>
      <c r="Y2370" s="18" t="s">
        <v>52</v>
      </c>
      <c r="Z2370" s="18" t="s">
        <v>52</v>
      </c>
      <c r="AA2370" s="18" t="s">
        <v>52</v>
      </c>
      <c r="AB2370" t="s">
        <v>52</v>
      </c>
      <c r="AC2370" t="s">
        <v>52</v>
      </c>
      <c r="AD2370" t="s">
        <v>52</v>
      </c>
      <c r="AE2370" t="s">
        <v>52</v>
      </c>
      <c r="AF2370" s="18" t="s">
        <v>52</v>
      </c>
      <c r="AG2370" s="18" t="s">
        <v>52</v>
      </c>
      <c r="AH2370" s="18" t="s">
        <v>52</v>
      </c>
      <c r="AI2370" s="18" t="s">
        <v>52</v>
      </c>
      <c r="AJ2370">
        <v>7</v>
      </c>
      <c r="AK2370">
        <v>11</v>
      </c>
      <c r="AL2370">
        <v>11</v>
      </c>
      <c r="AM2370">
        <v>4</v>
      </c>
      <c r="AN2370" s="18">
        <v>0</v>
      </c>
      <c r="AO2370" s="18">
        <v>0</v>
      </c>
      <c r="AP2370" s="18">
        <v>0</v>
      </c>
      <c r="AQ2370" s="18">
        <v>0</v>
      </c>
      <c r="AR2370" s="29">
        <v>0</v>
      </c>
      <c r="AS2370" s="29">
        <v>0</v>
      </c>
      <c r="AT2370" s="29">
        <v>0</v>
      </c>
      <c r="AU2370" s="24" t="str">
        <f t="shared" si="37"/>
        <v>库存为0</v>
      </c>
      <c r="AV2370" s="31" t="str">
        <f>IFERROR(时间!$B$4+AU2370,"上周无销量")</f>
        <v>上周无销量</v>
      </c>
    </row>
    <row r="2371" spans="1:48">
      <c r="A2371" s="16" t="s">
        <v>4087</v>
      </c>
      <c r="B2371" t="s">
        <v>3706</v>
      </c>
      <c r="C2371" t="s">
        <v>4070</v>
      </c>
      <c r="D2371" s="24">
        <v>0</v>
      </c>
      <c r="E2371" s="24">
        <v>0</v>
      </c>
      <c r="F2371" s="24">
        <v>0</v>
      </c>
      <c r="G2371" s="24">
        <v>0</v>
      </c>
      <c r="H2371" s="25">
        <v>0</v>
      </c>
      <c r="I2371">
        <v>0</v>
      </c>
      <c r="J2371" s="26">
        <v>0</v>
      </c>
      <c r="K2371" s="26">
        <v>0</v>
      </c>
      <c r="L2371" s="26">
        <v>0</v>
      </c>
      <c r="M2371">
        <v>0</v>
      </c>
      <c r="N2371">
        <v>0</v>
      </c>
      <c r="O2371">
        <v>0</v>
      </c>
      <c r="P2371" t="s">
        <v>52</v>
      </c>
      <c r="Q2371" t="s">
        <v>52</v>
      </c>
      <c r="R2371" t="s">
        <v>52</v>
      </c>
      <c r="S2371" t="s">
        <v>52</v>
      </c>
      <c r="T2371" t="s">
        <v>52</v>
      </c>
      <c r="U2371" t="s">
        <v>52</v>
      </c>
      <c r="V2371" t="s">
        <v>52</v>
      </c>
      <c r="W2371" t="s">
        <v>52</v>
      </c>
      <c r="X2371" s="18" t="s">
        <v>52</v>
      </c>
      <c r="Y2371" s="18" t="s">
        <v>52</v>
      </c>
      <c r="Z2371" s="18" t="s">
        <v>52</v>
      </c>
      <c r="AA2371" s="18" t="s">
        <v>52</v>
      </c>
      <c r="AB2371" t="s">
        <v>52</v>
      </c>
      <c r="AC2371" t="s">
        <v>52</v>
      </c>
      <c r="AD2371" t="s">
        <v>52</v>
      </c>
      <c r="AE2371" t="s">
        <v>52</v>
      </c>
      <c r="AF2371" s="18" t="s">
        <v>52</v>
      </c>
      <c r="AG2371" s="18" t="s">
        <v>52</v>
      </c>
      <c r="AH2371" s="18" t="s">
        <v>52</v>
      </c>
      <c r="AI2371" s="18" t="s">
        <v>52</v>
      </c>
      <c r="AJ2371">
        <v>16</v>
      </c>
      <c r="AK2371">
        <v>17</v>
      </c>
      <c r="AL2371">
        <v>15</v>
      </c>
      <c r="AM2371">
        <v>10</v>
      </c>
      <c r="AN2371" s="18">
        <v>0</v>
      </c>
      <c r="AO2371" s="18">
        <v>0</v>
      </c>
      <c r="AP2371" s="18">
        <v>0</v>
      </c>
      <c r="AQ2371" s="18">
        <v>0</v>
      </c>
      <c r="AR2371" s="29">
        <v>0</v>
      </c>
      <c r="AS2371" s="29">
        <v>0</v>
      </c>
      <c r="AT2371" s="29">
        <v>0</v>
      </c>
      <c r="AU2371" s="24" t="str">
        <f t="shared" si="37"/>
        <v>库存为0</v>
      </c>
      <c r="AV2371" s="31" t="str">
        <f>IFERROR(时间!$B$4+AU2371,"上周无销量")</f>
        <v>上周无销量</v>
      </c>
    </row>
    <row r="2372" spans="1:48">
      <c r="A2372" s="16" t="s">
        <v>4088</v>
      </c>
      <c r="B2372" t="s">
        <v>3708</v>
      </c>
      <c r="C2372" t="s">
        <v>4070</v>
      </c>
      <c r="D2372" s="24">
        <v>0</v>
      </c>
      <c r="E2372" s="24">
        <v>0</v>
      </c>
      <c r="F2372" s="24">
        <v>0</v>
      </c>
      <c r="G2372" s="24">
        <v>0</v>
      </c>
      <c r="H2372" s="25">
        <v>0</v>
      </c>
      <c r="I2372">
        <v>0</v>
      </c>
      <c r="J2372" s="26">
        <v>0</v>
      </c>
      <c r="K2372" s="26">
        <v>0</v>
      </c>
      <c r="L2372" s="26">
        <v>0</v>
      </c>
      <c r="M2372">
        <v>0</v>
      </c>
      <c r="N2372">
        <v>0</v>
      </c>
      <c r="O2372">
        <v>0</v>
      </c>
      <c r="P2372" t="s">
        <v>52</v>
      </c>
      <c r="Q2372" t="s">
        <v>52</v>
      </c>
      <c r="R2372" t="s">
        <v>52</v>
      </c>
      <c r="S2372" t="s">
        <v>52</v>
      </c>
      <c r="T2372" t="s">
        <v>52</v>
      </c>
      <c r="U2372" t="s">
        <v>52</v>
      </c>
      <c r="V2372" t="s">
        <v>52</v>
      </c>
      <c r="W2372" t="s">
        <v>52</v>
      </c>
      <c r="X2372" s="18" t="s">
        <v>52</v>
      </c>
      <c r="Y2372" s="18" t="s">
        <v>52</v>
      </c>
      <c r="Z2372" s="18" t="s">
        <v>52</v>
      </c>
      <c r="AA2372" s="18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s="18" t="s">
        <v>52</v>
      </c>
      <c r="AG2372" s="18" t="s">
        <v>52</v>
      </c>
      <c r="AH2372" s="18" t="s">
        <v>52</v>
      </c>
      <c r="AI2372" s="18" t="s">
        <v>52</v>
      </c>
      <c r="AJ2372">
        <v>0</v>
      </c>
      <c r="AK2372">
        <v>0</v>
      </c>
      <c r="AL2372">
        <v>0</v>
      </c>
      <c r="AM2372">
        <v>0</v>
      </c>
      <c r="AN2372" s="18" t="s">
        <v>52</v>
      </c>
      <c r="AO2372" s="18" t="s">
        <v>52</v>
      </c>
      <c r="AP2372" s="18" t="s">
        <v>52</v>
      </c>
      <c r="AQ2372" s="18" t="s">
        <v>52</v>
      </c>
      <c r="AR2372" s="29">
        <v>0</v>
      </c>
      <c r="AS2372" s="29">
        <v>0</v>
      </c>
      <c r="AT2372" s="29">
        <v>0</v>
      </c>
      <c r="AU2372" s="24" t="str">
        <f t="shared" si="37"/>
        <v>库存为0</v>
      </c>
      <c r="AV2372" s="31" t="str">
        <f>IFERROR(时间!$B$4+AU2372,"上周无销量")</f>
        <v>上周无销量</v>
      </c>
    </row>
    <row r="2373" spans="1:48">
      <c r="A2373" s="16" t="s">
        <v>4089</v>
      </c>
      <c r="B2373" t="s">
        <v>3078</v>
      </c>
      <c r="C2373" t="s">
        <v>4070</v>
      </c>
      <c r="D2373" s="24">
        <v>1</v>
      </c>
      <c r="E2373" s="24">
        <v>0</v>
      </c>
      <c r="F2373" s="24">
        <v>0</v>
      </c>
      <c r="G2373" s="24">
        <v>1</v>
      </c>
      <c r="H2373" s="25">
        <v>22.98</v>
      </c>
      <c r="I2373">
        <v>0</v>
      </c>
      <c r="J2373" s="26">
        <v>0</v>
      </c>
      <c r="K2373" s="26">
        <v>0</v>
      </c>
      <c r="L2373" s="26">
        <v>0</v>
      </c>
      <c r="M2373">
        <v>0</v>
      </c>
      <c r="N2373">
        <v>0</v>
      </c>
      <c r="O2373">
        <v>0</v>
      </c>
      <c r="P2373">
        <v>53</v>
      </c>
      <c r="Q2373">
        <v>121</v>
      </c>
      <c r="R2373">
        <v>196</v>
      </c>
      <c r="S2373">
        <v>268</v>
      </c>
      <c r="T2373">
        <v>0</v>
      </c>
      <c r="U2373">
        <v>0</v>
      </c>
      <c r="V2373">
        <v>0</v>
      </c>
      <c r="W2373">
        <v>2</v>
      </c>
      <c r="X2373" s="18">
        <v>0</v>
      </c>
      <c r="Y2373" s="18">
        <v>0</v>
      </c>
      <c r="Z2373" s="18">
        <v>0</v>
      </c>
      <c r="AA2373" s="18">
        <v>0.00746268656716418</v>
      </c>
      <c r="AB2373">
        <v>0</v>
      </c>
      <c r="AC2373">
        <v>0</v>
      </c>
      <c r="AD2373">
        <v>0</v>
      </c>
      <c r="AE2373">
        <v>1.23</v>
      </c>
      <c r="AF2373" s="18" t="s">
        <v>52</v>
      </c>
      <c r="AG2373" s="18" t="s">
        <v>52</v>
      </c>
      <c r="AH2373" s="18" t="s">
        <v>52</v>
      </c>
      <c r="AI2373" s="18">
        <v>0.0535248041775457</v>
      </c>
      <c r="AJ2373">
        <v>7</v>
      </c>
      <c r="AK2373">
        <v>10</v>
      </c>
      <c r="AL2373">
        <v>5</v>
      </c>
      <c r="AM2373">
        <v>7</v>
      </c>
      <c r="AN2373" s="18">
        <v>0.142857142857143</v>
      </c>
      <c r="AO2373" s="18">
        <v>0</v>
      </c>
      <c r="AP2373" s="18">
        <v>0</v>
      </c>
      <c r="AQ2373" s="18">
        <v>0.142857142857143</v>
      </c>
      <c r="AR2373" s="29">
        <v>0.142857142857143</v>
      </c>
      <c r="AS2373" s="29">
        <v>8.57142857142857</v>
      </c>
      <c r="AT2373" s="29">
        <v>-8.57142857142857</v>
      </c>
      <c r="AU2373" s="24">
        <f t="shared" si="37"/>
        <v>0</v>
      </c>
      <c r="AV2373" s="31">
        <f>IFERROR(时间!$B$4+AU2373,"上周无销量")</f>
        <v>43318</v>
      </c>
    </row>
    <row r="2374" spans="1:48">
      <c r="A2374" s="16" t="s">
        <v>4090</v>
      </c>
      <c r="B2374" t="s">
        <v>3718</v>
      </c>
      <c r="C2374" t="s">
        <v>4070</v>
      </c>
      <c r="D2374" s="24">
        <v>0</v>
      </c>
      <c r="E2374" s="24">
        <v>0</v>
      </c>
      <c r="F2374" s="24">
        <v>0</v>
      </c>
      <c r="G2374" s="24">
        <v>0</v>
      </c>
      <c r="H2374" s="25">
        <v>0</v>
      </c>
      <c r="I2374">
        <v>0</v>
      </c>
      <c r="J2374" s="26">
        <v>0</v>
      </c>
      <c r="K2374" s="26">
        <v>0</v>
      </c>
      <c r="L2374" s="26">
        <v>0</v>
      </c>
      <c r="M2374">
        <v>0</v>
      </c>
      <c r="N2374">
        <v>0</v>
      </c>
      <c r="O2374">
        <v>0</v>
      </c>
      <c r="P2374" t="s">
        <v>52</v>
      </c>
      <c r="Q2374" t="s">
        <v>52</v>
      </c>
      <c r="R2374" t="s">
        <v>52</v>
      </c>
      <c r="S2374" t="s">
        <v>52</v>
      </c>
      <c r="T2374" t="s">
        <v>52</v>
      </c>
      <c r="U2374" t="s">
        <v>52</v>
      </c>
      <c r="V2374" t="s">
        <v>52</v>
      </c>
      <c r="W2374" t="s">
        <v>52</v>
      </c>
      <c r="X2374" s="18" t="s">
        <v>52</v>
      </c>
      <c r="Y2374" s="18" t="s">
        <v>52</v>
      </c>
      <c r="Z2374" s="18" t="s">
        <v>52</v>
      </c>
      <c r="AA2374" s="18" t="s">
        <v>52</v>
      </c>
      <c r="AB2374" t="s">
        <v>52</v>
      </c>
      <c r="AC2374" t="s">
        <v>52</v>
      </c>
      <c r="AD2374" t="s">
        <v>52</v>
      </c>
      <c r="AE2374" t="s">
        <v>52</v>
      </c>
      <c r="AF2374" s="18" t="s">
        <v>52</v>
      </c>
      <c r="AG2374" s="18" t="s">
        <v>52</v>
      </c>
      <c r="AH2374" s="18" t="s">
        <v>52</v>
      </c>
      <c r="AI2374" s="18" t="s">
        <v>52</v>
      </c>
      <c r="AJ2374">
        <v>5</v>
      </c>
      <c r="AK2374">
        <v>5</v>
      </c>
      <c r="AL2374">
        <v>9</v>
      </c>
      <c r="AM2374">
        <v>6</v>
      </c>
      <c r="AN2374" s="18">
        <v>0</v>
      </c>
      <c r="AO2374" s="18">
        <v>0</v>
      </c>
      <c r="AP2374" s="18">
        <v>0</v>
      </c>
      <c r="AQ2374" s="18">
        <v>0</v>
      </c>
      <c r="AR2374" s="29">
        <v>0</v>
      </c>
      <c r="AS2374" s="29">
        <v>0</v>
      </c>
      <c r="AT2374" s="29">
        <v>0</v>
      </c>
      <c r="AU2374" s="24" t="str">
        <f t="shared" ref="AU2374:AU2437" si="38">IF(AR2374="","库存为"&amp;M2374,IF(AS2374=0,"库存为"&amp;M2374,INT(M2374/AR2374)))</f>
        <v>库存为0</v>
      </c>
      <c r="AV2374" s="31" t="str">
        <f>IFERROR(时间!$B$4+AU2374,"上周无销量")</f>
        <v>上周无销量</v>
      </c>
    </row>
    <row r="2375" spans="1:48">
      <c r="A2375" s="16" t="s">
        <v>4091</v>
      </c>
      <c r="B2375" t="s">
        <v>4011</v>
      </c>
      <c r="C2375" t="s">
        <v>4070</v>
      </c>
      <c r="D2375" s="24">
        <v>1</v>
      </c>
      <c r="E2375" s="24">
        <v>0</v>
      </c>
      <c r="F2375" s="24">
        <v>0</v>
      </c>
      <c r="G2375" s="24">
        <v>0</v>
      </c>
      <c r="H2375" s="25">
        <v>22.98</v>
      </c>
      <c r="I2375">
        <v>9</v>
      </c>
      <c r="J2375" s="26">
        <v>0</v>
      </c>
      <c r="K2375" s="26">
        <v>0</v>
      </c>
      <c r="L2375" s="26">
        <v>0</v>
      </c>
      <c r="M2375">
        <v>9</v>
      </c>
      <c r="N2375">
        <v>0</v>
      </c>
      <c r="O2375">
        <v>0</v>
      </c>
      <c r="P2375" t="s">
        <v>52</v>
      </c>
      <c r="Q2375" t="s">
        <v>52</v>
      </c>
      <c r="R2375" t="s">
        <v>52</v>
      </c>
      <c r="S2375" t="s">
        <v>52</v>
      </c>
      <c r="T2375" t="s">
        <v>52</v>
      </c>
      <c r="U2375" t="s">
        <v>52</v>
      </c>
      <c r="V2375" t="s">
        <v>52</v>
      </c>
      <c r="W2375" t="s">
        <v>52</v>
      </c>
      <c r="X2375" s="18" t="s">
        <v>52</v>
      </c>
      <c r="Y2375" s="18" t="s">
        <v>52</v>
      </c>
      <c r="Z2375" s="18" t="s">
        <v>52</v>
      </c>
      <c r="AA2375" s="18" t="s">
        <v>52</v>
      </c>
      <c r="AB2375" t="s">
        <v>52</v>
      </c>
      <c r="AC2375" t="s">
        <v>52</v>
      </c>
      <c r="AD2375" t="s">
        <v>52</v>
      </c>
      <c r="AE2375" t="s">
        <v>52</v>
      </c>
      <c r="AF2375" s="18" t="s">
        <v>52</v>
      </c>
      <c r="AG2375" s="18" t="s">
        <v>52</v>
      </c>
      <c r="AH2375" s="18" t="s">
        <v>52</v>
      </c>
      <c r="AI2375" s="18" t="s">
        <v>52</v>
      </c>
      <c r="AJ2375">
        <v>7</v>
      </c>
      <c r="AK2375">
        <v>7</v>
      </c>
      <c r="AL2375">
        <v>7</v>
      </c>
      <c r="AM2375">
        <v>1</v>
      </c>
      <c r="AN2375" s="18">
        <v>0.142857142857143</v>
      </c>
      <c r="AO2375" s="18">
        <v>0</v>
      </c>
      <c r="AP2375" s="18">
        <v>0</v>
      </c>
      <c r="AQ2375" s="18">
        <v>0</v>
      </c>
      <c r="AR2375" s="29">
        <v>0.142857142857143</v>
      </c>
      <c r="AS2375" s="29">
        <v>8.57142857142857</v>
      </c>
      <c r="AT2375" s="29">
        <v>0.428571428571429</v>
      </c>
      <c r="AU2375" s="24">
        <f t="shared" si="38"/>
        <v>63</v>
      </c>
      <c r="AV2375" s="31">
        <f>IFERROR(时间!$B$4+AU2375,"上周无销量")</f>
        <v>43381</v>
      </c>
    </row>
    <row r="2376" spans="1:48">
      <c r="A2376" s="16" t="s">
        <v>4092</v>
      </c>
      <c r="B2376" t="s">
        <v>3720</v>
      </c>
      <c r="C2376" t="s">
        <v>4070</v>
      </c>
      <c r="D2376" s="24">
        <v>0</v>
      </c>
      <c r="E2376" s="24">
        <v>0</v>
      </c>
      <c r="F2376" s="24">
        <v>0</v>
      </c>
      <c r="G2376" s="24">
        <v>0</v>
      </c>
      <c r="H2376" s="25">
        <v>0</v>
      </c>
      <c r="I2376">
        <v>0</v>
      </c>
      <c r="J2376" s="26">
        <v>0</v>
      </c>
      <c r="K2376" s="26">
        <v>0</v>
      </c>
      <c r="L2376" s="26">
        <v>0</v>
      </c>
      <c r="M2376">
        <v>0</v>
      </c>
      <c r="N2376">
        <v>0</v>
      </c>
      <c r="O2376">
        <v>0</v>
      </c>
      <c r="P2376" t="s">
        <v>52</v>
      </c>
      <c r="Q2376" t="s">
        <v>52</v>
      </c>
      <c r="R2376" t="s">
        <v>52</v>
      </c>
      <c r="S2376" t="s">
        <v>52</v>
      </c>
      <c r="T2376" t="s">
        <v>52</v>
      </c>
      <c r="U2376" t="s">
        <v>52</v>
      </c>
      <c r="V2376" t="s">
        <v>52</v>
      </c>
      <c r="W2376" t="s">
        <v>52</v>
      </c>
      <c r="X2376" s="18" t="s">
        <v>52</v>
      </c>
      <c r="Y2376" s="18" t="s">
        <v>52</v>
      </c>
      <c r="Z2376" s="18" t="s">
        <v>52</v>
      </c>
      <c r="AA2376" s="18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s="18" t="s">
        <v>52</v>
      </c>
      <c r="AG2376" s="18" t="s">
        <v>52</v>
      </c>
      <c r="AH2376" s="18" t="s">
        <v>52</v>
      </c>
      <c r="AI2376" s="18" t="s">
        <v>52</v>
      </c>
      <c r="AJ2376">
        <v>6</v>
      </c>
      <c r="AK2376">
        <v>3</v>
      </c>
      <c r="AL2376">
        <v>14</v>
      </c>
      <c r="AM2376">
        <v>2</v>
      </c>
      <c r="AN2376" s="18">
        <v>0</v>
      </c>
      <c r="AO2376" s="18">
        <v>0</v>
      </c>
      <c r="AP2376" s="18">
        <v>0</v>
      </c>
      <c r="AQ2376" s="18">
        <v>0</v>
      </c>
      <c r="AR2376" s="29">
        <v>0</v>
      </c>
      <c r="AS2376" s="29">
        <v>0</v>
      </c>
      <c r="AT2376" s="29">
        <v>0</v>
      </c>
      <c r="AU2376" s="24" t="str">
        <f t="shared" si="38"/>
        <v>库存为0</v>
      </c>
      <c r="AV2376" s="31" t="str">
        <f>IFERROR(时间!$B$4+AU2376,"上周无销量")</f>
        <v>上周无销量</v>
      </c>
    </row>
    <row r="2377" spans="1:48">
      <c r="A2377" s="16" t="s">
        <v>4093</v>
      </c>
      <c r="B2377" t="s">
        <v>3722</v>
      </c>
      <c r="C2377" t="s">
        <v>4070</v>
      </c>
      <c r="D2377" s="24">
        <v>0</v>
      </c>
      <c r="E2377" s="24">
        <v>0</v>
      </c>
      <c r="F2377" s="24">
        <v>0</v>
      </c>
      <c r="G2377" s="24">
        <v>0</v>
      </c>
      <c r="H2377" s="25">
        <v>0</v>
      </c>
      <c r="I2377">
        <v>0</v>
      </c>
      <c r="J2377" s="26">
        <v>0</v>
      </c>
      <c r="K2377" s="26">
        <v>0</v>
      </c>
      <c r="L2377" s="26">
        <v>0</v>
      </c>
      <c r="M2377">
        <v>0</v>
      </c>
      <c r="N2377">
        <v>0</v>
      </c>
      <c r="O2377">
        <v>0</v>
      </c>
      <c r="P2377" t="s">
        <v>52</v>
      </c>
      <c r="Q2377" t="s">
        <v>52</v>
      </c>
      <c r="R2377" t="s">
        <v>52</v>
      </c>
      <c r="S2377" t="s">
        <v>52</v>
      </c>
      <c r="T2377" t="s">
        <v>52</v>
      </c>
      <c r="U2377" t="s">
        <v>52</v>
      </c>
      <c r="V2377" t="s">
        <v>52</v>
      </c>
      <c r="W2377" t="s">
        <v>52</v>
      </c>
      <c r="X2377" s="18" t="s">
        <v>52</v>
      </c>
      <c r="Y2377" s="18" t="s">
        <v>52</v>
      </c>
      <c r="Z2377" s="18" t="s">
        <v>52</v>
      </c>
      <c r="AA2377" s="18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s="18" t="s">
        <v>52</v>
      </c>
      <c r="AG2377" s="18" t="s">
        <v>52</v>
      </c>
      <c r="AH2377" s="18" t="s">
        <v>52</v>
      </c>
      <c r="AI2377" s="18" t="s">
        <v>52</v>
      </c>
      <c r="AJ2377">
        <v>4</v>
      </c>
      <c r="AK2377">
        <v>3</v>
      </c>
      <c r="AL2377">
        <v>4</v>
      </c>
      <c r="AM2377">
        <v>3</v>
      </c>
      <c r="AN2377" s="18">
        <v>0</v>
      </c>
      <c r="AO2377" s="18">
        <v>0</v>
      </c>
      <c r="AP2377" s="18">
        <v>0</v>
      </c>
      <c r="AQ2377" s="18">
        <v>0</v>
      </c>
      <c r="AR2377" s="29">
        <v>0</v>
      </c>
      <c r="AS2377" s="29">
        <v>0</v>
      </c>
      <c r="AT2377" s="29">
        <v>0</v>
      </c>
      <c r="AU2377" s="24" t="str">
        <f t="shared" si="38"/>
        <v>库存为0</v>
      </c>
      <c r="AV2377" s="31" t="str">
        <f>IFERROR(时间!$B$4+AU2377,"上周无销量")</f>
        <v>上周无销量</v>
      </c>
    </row>
    <row r="2378" spans="1:48">
      <c r="A2378" s="16" t="s">
        <v>4094</v>
      </c>
      <c r="B2378" t="s">
        <v>4013</v>
      </c>
      <c r="C2378" t="s">
        <v>4070</v>
      </c>
      <c r="D2378" s="24">
        <v>0</v>
      </c>
      <c r="E2378" s="24">
        <v>0</v>
      </c>
      <c r="F2378" s="24">
        <v>0</v>
      </c>
      <c r="G2378" s="24">
        <v>0</v>
      </c>
      <c r="H2378" s="25">
        <v>0</v>
      </c>
      <c r="I2378">
        <v>0</v>
      </c>
      <c r="J2378" s="26">
        <v>0</v>
      </c>
      <c r="K2378" s="26">
        <v>0</v>
      </c>
      <c r="L2378" s="26">
        <v>0</v>
      </c>
      <c r="M2378">
        <v>0</v>
      </c>
      <c r="N2378">
        <v>0</v>
      </c>
      <c r="O2378">
        <v>0</v>
      </c>
      <c r="P2378" t="s">
        <v>52</v>
      </c>
      <c r="Q2378" t="s">
        <v>52</v>
      </c>
      <c r="R2378" t="s">
        <v>52</v>
      </c>
      <c r="S2378" t="s">
        <v>52</v>
      </c>
      <c r="T2378" t="s">
        <v>52</v>
      </c>
      <c r="U2378" t="s">
        <v>52</v>
      </c>
      <c r="V2378" t="s">
        <v>52</v>
      </c>
      <c r="W2378" t="s">
        <v>52</v>
      </c>
      <c r="X2378" s="18" t="s">
        <v>52</v>
      </c>
      <c r="Y2378" s="18" t="s">
        <v>52</v>
      </c>
      <c r="Z2378" s="18" t="s">
        <v>52</v>
      </c>
      <c r="AA2378" s="18" t="s">
        <v>52</v>
      </c>
      <c r="AB2378" t="s">
        <v>52</v>
      </c>
      <c r="AC2378" t="s">
        <v>52</v>
      </c>
      <c r="AD2378" t="s">
        <v>52</v>
      </c>
      <c r="AE2378" t="s">
        <v>52</v>
      </c>
      <c r="AF2378" s="18" t="s">
        <v>52</v>
      </c>
      <c r="AG2378" s="18" t="s">
        <v>52</v>
      </c>
      <c r="AH2378" s="18" t="s">
        <v>52</v>
      </c>
      <c r="AI2378" s="18" t="s">
        <v>52</v>
      </c>
      <c r="AJ2378">
        <v>2</v>
      </c>
      <c r="AK2378">
        <v>5</v>
      </c>
      <c r="AL2378">
        <v>7</v>
      </c>
      <c r="AM2378">
        <v>5</v>
      </c>
      <c r="AN2378" s="18">
        <v>0</v>
      </c>
      <c r="AO2378" s="18">
        <v>0</v>
      </c>
      <c r="AP2378" s="18">
        <v>0</v>
      </c>
      <c r="AQ2378" s="18">
        <v>0</v>
      </c>
      <c r="AR2378" s="29">
        <v>0</v>
      </c>
      <c r="AS2378" s="29">
        <v>0</v>
      </c>
      <c r="AT2378" s="29">
        <v>0</v>
      </c>
      <c r="AU2378" s="24" t="str">
        <f t="shared" si="38"/>
        <v>库存为0</v>
      </c>
      <c r="AV2378" s="31" t="str">
        <f>IFERROR(时间!$B$4+AU2378,"上周无销量")</f>
        <v>上周无销量</v>
      </c>
    </row>
    <row r="2379" spans="1:48">
      <c r="A2379" s="16" t="s">
        <v>4095</v>
      </c>
      <c r="B2379" t="s">
        <v>3726</v>
      </c>
      <c r="C2379" t="s">
        <v>4070</v>
      </c>
      <c r="D2379" s="24">
        <v>0</v>
      </c>
      <c r="E2379" s="24">
        <v>1</v>
      </c>
      <c r="F2379" s="24">
        <v>0</v>
      </c>
      <c r="G2379" s="24">
        <v>0</v>
      </c>
      <c r="H2379" s="25">
        <v>22.98</v>
      </c>
      <c r="I2379">
        <v>1</v>
      </c>
      <c r="J2379" s="26">
        <v>0</v>
      </c>
      <c r="K2379" s="26">
        <v>0</v>
      </c>
      <c r="L2379" s="26">
        <v>0</v>
      </c>
      <c r="M2379">
        <v>1</v>
      </c>
      <c r="N2379">
        <v>0</v>
      </c>
      <c r="O2379">
        <v>0</v>
      </c>
      <c r="P2379" t="s">
        <v>52</v>
      </c>
      <c r="Q2379" t="s">
        <v>52</v>
      </c>
      <c r="R2379" t="s">
        <v>52</v>
      </c>
      <c r="S2379" t="s">
        <v>52</v>
      </c>
      <c r="T2379" t="s">
        <v>52</v>
      </c>
      <c r="U2379" t="s">
        <v>52</v>
      </c>
      <c r="V2379" t="s">
        <v>52</v>
      </c>
      <c r="W2379" t="s">
        <v>52</v>
      </c>
      <c r="X2379" s="18" t="s">
        <v>52</v>
      </c>
      <c r="Y2379" s="18" t="s">
        <v>52</v>
      </c>
      <c r="Z2379" s="18" t="s">
        <v>52</v>
      </c>
      <c r="AA2379" s="18" t="s">
        <v>52</v>
      </c>
      <c r="AB2379" t="s">
        <v>52</v>
      </c>
      <c r="AC2379" t="s">
        <v>52</v>
      </c>
      <c r="AD2379" t="s">
        <v>52</v>
      </c>
      <c r="AE2379" t="s">
        <v>52</v>
      </c>
      <c r="AF2379" s="18" t="s">
        <v>52</v>
      </c>
      <c r="AG2379" s="18" t="s">
        <v>52</v>
      </c>
      <c r="AH2379" s="18" t="s">
        <v>52</v>
      </c>
      <c r="AI2379" s="18" t="s">
        <v>52</v>
      </c>
      <c r="AJ2379">
        <v>11</v>
      </c>
      <c r="AK2379">
        <v>18</v>
      </c>
      <c r="AL2379">
        <v>11</v>
      </c>
      <c r="AM2379">
        <v>3</v>
      </c>
      <c r="AN2379" s="18">
        <v>0</v>
      </c>
      <c r="AO2379" s="18">
        <v>0.0555555555555556</v>
      </c>
      <c r="AP2379" s="18">
        <v>0</v>
      </c>
      <c r="AQ2379" s="18">
        <v>0</v>
      </c>
      <c r="AR2379" s="29">
        <v>0</v>
      </c>
      <c r="AS2379" s="29">
        <v>0</v>
      </c>
      <c r="AT2379" s="29">
        <v>1</v>
      </c>
      <c r="AU2379" s="24" t="str">
        <f t="shared" si="38"/>
        <v>库存为1</v>
      </c>
      <c r="AV2379" s="31" t="str">
        <f>IFERROR(时间!$B$4+AU2379,"上周无销量")</f>
        <v>上周无销量</v>
      </c>
    </row>
    <row r="2380" spans="1:48">
      <c r="A2380" s="16" t="s">
        <v>4096</v>
      </c>
      <c r="B2380" t="s">
        <v>3728</v>
      </c>
      <c r="C2380" t="s">
        <v>4070</v>
      </c>
      <c r="D2380" s="24">
        <v>0</v>
      </c>
      <c r="E2380" s="24">
        <v>0</v>
      </c>
      <c r="F2380" s="24">
        <v>0</v>
      </c>
      <c r="G2380" s="24">
        <v>0</v>
      </c>
      <c r="H2380" s="25">
        <v>0</v>
      </c>
      <c r="I2380">
        <v>0</v>
      </c>
      <c r="J2380" s="26">
        <v>0</v>
      </c>
      <c r="K2380" s="26">
        <v>0</v>
      </c>
      <c r="L2380" s="26">
        <v>0</v>
      </c>
      <c r="M2380">
        <v>0</v>
      </c>
      <c r="N2380">
        <v>0</v>
      </c>
      <c r="O2380">
        <v>0</v>
      </c>
      <c r="P2380" t="s">
        <v>52</v>
      </c>
      <c r="Q2380" t="s">
        <v>52</v>
      </c>
      <c r="R2380" t="s">
        <v>52</v>
      </c>
      <c r="S2380" t="s">
        <v>52</v>
      </c>
      <c r="T2380" t="s">
        <v>52</v>
      </c>
      <c r="U2380" t="s">
        <v>52</v>
      </c>
      <c r="V2380" t="s">
        <v>52</v>
      </c>
      <c r="W2380" t="s">
        <v>52</v>
      </c>
      <c r="X2380" s="18" t="s">
        <v>52</v>
      </c>
      <c r="Y2380" s="18" t="s">
        <v>52</v>
      </c>
      <c r="Z2380" s="18" t="s">
        <v>52</v>
      </c>
      <c r="AA2380" s="18" t="s">
        <v>52</v>
      </c>
      <c r="AB2380" t="s">
        <v>52</v>
      </c>
      <c r="AC2380" t="s">
        <v>52</v>
      </c>
      <c r="AD2380" t="s">
        <v>52</v>
      </c>
      <c r="AE2380" t="s">
        <v>52</v>
      </c>
      <c r="AF2380" s="18" t="s">
        <v>52</v>
      </c>
      <c r="AG2380" s="18" t="s">
        <v>52</v>
      </c>
      <c r="AH2380" s="18" t="s">
        <v>52</v>
      </c>
      <c r="AI2380" s="18" t="s">
        <v>52</v>
      </c>
      <c r="AJ2380">
        <v>0</v>
      </c>
      <c r="AK2380">
        <v>0</v>
      </c>
      <c r="AL2380">
        <v>0</v>
      </c>
      <c r="AM2380">
        <v>0</v>
      </c>
      <c r="AN2380" s="18" t="s">
        <v>52</v>
      </c>
      <c r="AO2380" s="18" t="s">
        <v>52</v>
      </c>
      <c r="AP2380" s="18" t="s">
        <v>52</v>
      </c>
      <c r="AQ2380" s="18" t="s">
        <v>52</v>
      </c>
      <c r="AR2380" s="29">
        <v>0</v>
      </c>
      <c r="AS2380" s="29">
        <v>0</v>
      </c>
      <c r="AT2380" s="29">
        <v>0</v>
      </c>
      <c r="AU2380" s="24" t="str">
        <f t="shared" si="38"/>
        <v>库存为0</v>
      </c>
      <c r="AV2380" s="31" t="str">
        <f>IFERROR(时间!$B$4+AU2380,"上周无销量")</f>
        <v>上周无销量</v>
      </c>
    </row>
    <row r="2381" spans="1:48">
      <c r="A2381" s="16" t="s">
        <v>4097</v>
      </c>
      <c r="B2381" t="s">
        <v>3730</v>
      </c>
      <c r="C2381" t="s">
        <v>4070</v>
      </c>
      <c r="D2381" s="24">
        <v>0</v>
      </c>
      <c r="E2381" s="24">
        <v>0</v>
      </c>
      <c r="F2381" s="24">
        <v>0</v>
      </c>
      <c r="G2381" s="24">
        <v>0</v>
      </c>
      <c r="H2381" s="25">
        <v>0</v>
      </c>
      <c r="I2381">
        <v>0</v>
      </c>
      <c r="J2381" s="26">
        <v>0</v>
      </c>
      <c r="K2381" s="26">
        <v>0</v>
      </c>
      <c r="L2381" s="26">
        <v>0</v>
      </c>
      <c r="M2381">
        <v>0</v>
      </c>
      <c r="N2381">
        <v>0</v>
      </c>
      <c r="O2381">
        <v>0</v>
      </c>
      <c r="P2381" t="s">
        <v>52</v>
      </c>
      <c r="Q2381" t="s">
        <v>52</v>
      </c>
      <c r="R2381" t="s">
        <v>52</v>
      </c>
      <c r="S2381" t="s">
        <v>52</v>
      </c>
      <c r="T2381" t="s">
        <v>52</v>
      </c>
      <c r="U2381" t="s">
        <v>52</v>
      </c>
      <c r="V2381" t="s">
        <v>52</v>
      </c>
      <c r="W2381" t="s">
        <v>52</v>
      </c>
      <c r="X2381" s="18" t="s">
        <v>52</v>
      </c>
      <c r="Y2381" s="18" t="s">
        <v>52</v>
      </c>
      <c r="Z2381" s="18" t="s">
        <v>52</v>
      </c>
      <c r="AA2381" s="18" t="s">
        <v>52</v>
      </c>
      <c r="AB2381" t="s">
        <v>52</v>
      </c>
      <c r="AC2381" t="s">
        <v>52</v>
      </c>
      <c r="AD2381" t="s">
        <v>52</v>
      </c>
      <c r="AE2381" t="s">
        <v>52</v>
      </c>
      <c r="AF2381" s="18" t="s">
        <v>52</v>
      </c>
      <c r="AG2381" s="18" t="s">
        <v>52</v>
      </c>
      <c r="AH2381" s="18" t="s">
        <v>52</v>
      </c>
      <c r="AI2381" s="18" t="s">
        <v>52</v>
      </c>
      <c r="AJ2381">
        <v>11</v>
      </c>
      <c r="AK2381">
        <v>4</v>
      </c>
      <c r="AL2381">
        <v>9</v>
      </c>
      <c r="AM2381">
        <v>9</v>
      </c>
      <c r="AN2381" s="18">
        <v>0</v>
      </c>
      <c r="AO2381" s="18">
        <v>0</v>
      </c>
      <c r="AP2381" s="18">
        <v>0</v>
      </c>
      <c r="AQ2381" s="18">
        <v>0</v>
      </c>
      <c r="AR2381" s="29">
        <v>0</v>
      </c>
      <c r="AS2381" s="29">
        <v>0</v>
      </c>
      <c r="AT2381" s="29">
        <v>0</v>
      </c>
      <c r="AU2381" s="24" t="str">
        <f t="shared" si="38"/>
        <v>库存为0</v>
      </c>
      <c r="AV2381" s="31" t="str">
        <f>IFERROR(时间!$B$4+AU2381,"上周无销量")</f>
        <v>上周无销量</v>
      </c>
    </row>
    <row r="2382" spans="1:48">
      <c r="A2382" s="16" t="s">
        <v>4098</v>
      </c>
      <c r="B2382" t="s">
        <v>3732</v>
      </c>
      <c r="C2382" t="s">
        <v>4070</v>
      </c>
      <c r="D2382" s="24">
        <v>3</v>
      </c>
      <c r="E2382" s="24">
        <v>1</v>
      </c>
      <c r="F2382" s="24">
        <v>2</v>
      </c>
      <c r="G2382" s="24">
        <v>0</v>
      </c>
      <c r="H2382" s="25">
        <v>22.98</v>
      </c>
      <c r="I2382">
        <v>2</v>
      </c>
      <c r="J2382" s="26">
        <v>3</v>
      </c>
      <c r="K2382" s="26">
        <v>0</v>
      </c>
      <c r="L2382" s="26">
        <v>1</v>
      </c>
      <c r="M2382">
        <v>6</v>
      </c>
      <c r="N2382">
        <v>0</v>
      </c>
      <c r="O2382">
        <v>0</v>
      </c>
      <c r="P2382" t="s">
        <v>52</v>
      </c>
      <c r="Q2382" t="s">
        <v>52</v>
      </c>
      <c r="R2382" t="s">
        <v>52</v>
      </c>
      <c r="S2382" t="s">
        <v>52</v>
      </c>
      <c r="T2382" t="s">
        <v>52</v>
      </c>
      <c r="U2382" t="s">
        <v>52</v>
      </c>
      <c r="V2382" t="s">
        <v>52</v>
      </c>
      <c r="W2382" t="s">
        <v>52</v>
      </c>
      <c r="X2382" s="18" t="s">
        <v>52</v>
      </c>
      <c r="Y2382" s="18" t="s">
        <v>52</v>
      </c>
      <c r="Z2382" s="18" t="s">
        <v>52</v>
      </c>
      <c r="AA2382" s="18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s="18" t="s">
        <v>52</v>
      </c>
      <c r="AG2382" s="18" t="s">
        <v>52</v>
      </c>
      <c r="AH2382" s="18" t="s">
        <v>52</v>
      </c>
      <c r="AI2382" s="18" t="s">
        <v>52</v>
      </c>
      <c r="AJ2382">
        <v>8</v>
      </c>
      <c r="AK2382">
        <v>14</v>
      </c>
      <c r="AL2382">
        <v>10</v>
      </c>
      <c r="AM2382">
        <v>6</v>
      </c>
      <c r="AN2382" s="18">
        <v>0.375</v>
      </c>
      <c r="AO2382" s="18">
        <v>0.0714285714285714</v>
      </c>
      <c r="AP2382" s="18">
        <v>0.2</v>
      </c>
      <c r="AQ2382" s="18">
        <v>0</v>
      </c>
      <c r="AR2382" s="29">
        <v>0.428571428571429</v>
      </c>
      <c r="AS2382" s="29">
        <v>25.7142857142857</v>
      </c>
      <c r="AT2382" s="29">
        <v>-19.7142857142857</v>
      </c>
      <c r="AU2382" s="24">
        <f t="shared" si="38"/>
        <v>14</v>
      </c>
      <c r="AV2382" s="31">
        <f>IFERROR(时间!$B$4+AU2382,"上周无销量")</f>
        <v>43332</v>
      </c>
    </row>
    <row r="2383" spans="1:48">
      <c r="A2383" s="16" t="s">
        <v>4099</v>
      </c>
      <c r="B2383" t="s">
        <v>3734</v>
      </c>
      <c r="C2383" t="s">
        <v>4070</v>
      </c>
      <c r="D2383" s="24">
        <v>1</v>
      </c>
      <c r="E2383" s="24">
        <v>1</v>
      </c>
      <c r="F2383" s="24">
        <v>0</v>
      </c>
      <c r="G2383" s="24">
        <v>0</v>
      </c>
      <c r="H2383" s="25">
        <v>22.98</v>
      </c>
      <c r="I2383">
        <v>0</v>
      </c>
      <c r="J2383" s="26">
        <v>0</v>
      </c>
      <c r="K2383" s="26">
        <v>0</v>
      </c>
      <c r="L2383" s="26">
        <v>0</v>
      </c>
      <c r="M2383">
        <v>0</v>
      </c>
      <c r="N2383">
        <v>0</v>
      </c>
      <c r="O2383">
        <v>0</v>
      </c>
      <c r="P2383" t="s">
        <v>52</v>
      </c>
      <c r="Q2383" t="s">
        <v>52</v>
      </c>
      <c r="R2383" t="s">
        <v>52</v>
      </c>
      <c r="S2383" t="s">
        <v>52</v>
      </c>
      <c r="T2383" t="s">
        <v>52</v>
      </c>
      <c r="U2383" t="s">
        <v>52</v>
      </c>
      <c r="V2383" t="s">
        <v>52</v>
      </c>
      <c r="W2383" t="s">
        <v>52</v>
      </c>
      <c r="X2383" s="18" t="s">
        <v>52</v>
      </c>
      <c r="Y2383" s="18" t="s">
        <v>52</v>
      </c>
      <c r="Z2383" s="18" t="s">
        <v>52</v>
      </c>
      <c r="AA2383" s="18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s="18" t="s">
        <v>52</v>
      </c>
      <c r="AG2383" s="18" t="s">
        <v>52</v>
      </c>
      <c r="AH2383" s="18" t="s">
        <v>52</v>
      </c>
      <c r="AI2383" s="18" t="s">
        <v>52</v>
      </c>
      <c r="AJ2383">
        <v>13</v>
      </c>
      <c r="AK2383">
        <v>15</v>
      </c>
      <c r="AL2383">
        <v>13</v>
      </c>
      <c r="AM2383">
        <v>6</v>
      </c>
      <c r="AN2383" s="18">
        <v>0.0769230769230769</v>
      </c>
      <c r="AO2383" s="18">
        <v>0.0666666666666667</v>
      </c>
      <c r="AP2383" s="18">
        <v>0</v>
      </c>
      <c r="AQ2383" s="18">
        <v>0</v>
      </c>
      <c r="AR2383" s="29">
        <v>0.142857142857143</v>
      </c>
      <c r="AS2383" s="29">
        <v>8.57142857142857</v>
      </c>
      <c r="AT2383" s="29">
        <v>-8.57142857142857</v>
      </c>
      <c r="AU2383" s="24">
        <f t="shared" si="38"/>
        <v>0</v>
      </c>
      <c r="AV2383" s="31">
        <f>IFERROR(时间!$B$4+AU2383,"上周无销量")</f>
        <v>43318</v>
      </c>
    </row>
    <row r="2384" spans="1:48">
      <c r="A2384" s="16" t="s">
        <v>4100</v>
      </c>
      <c r="B2384" t="s">
        <v>3736</v>
      </c>
      <c r="C2384" t="s">
        <v>4070</v>
      </c>
      <c r="D2384" s="24">
        <v>0</v>
      </c>
      <c r="E2384" s="24">
        <v>0</v>
      </c>
      <c r="F2384" s="24">
        <v>0</v>
      </c>
      <c r="G2384" s="24">
        <v>0</v>
      </c>
      <c r="H2384" s="25">
        <v>0</v>
      </c>
      <c r="I2384">
        <v>0</v>
      </c>
      <c r="J2384" s="26">
        <v>0</v>
      </c>
      <c r="K2384" s="26">
        <v>0</v>
      </c>
      <c r="L2384" s="26">
        <v>0</v>
      </c>
      <c r="M2384">
        <v>0</v>
      </c>
      <c r="N2384">
        <v>0</v>
      </c>
      <c r="O2384">
        <v>0</v>
      </c>
      <c r="P2384" t="s">
        <v>52</v>
      </c>
      <c r="Q2384" t="s">
        <v>52</v>
      </c>
      <c r="R2384" t="s">
        <v>52</v>
      </c>
      <c r="S2384" t="s">
        <v>52</v>
      </c>
      <c r="T2384" t="s">
        <v>52</v>
      </c>
      <c r="U2384" t="s">
        <v>52</v>
      </c>
      <c r="V2384" t="s">
        <v>52</v>
      </c>
      <c r="W2384" t="s">
        <v>52</v>
      </c>
      <c r="X2384" s="18" t="s">
        <v>52</v>
      </c>
      <c r="Y2384" s="18" t="s">
        <v>52</v>
      </c>
      <c r="Z2384" s="18" t="s">
        <v>52</v>
      </c>
      <c r="AA2384" s="18" t="s">
        <v>52</v>
      </c>
      <c r="AB2384" t="s">
        <v>52</v>
      </c>
      <c r="AC2384" t="s">
        <v>52</v>
      </c>
      <c r="AD2384" t="s">
        <v>52</v>
      </c>
      <c r="AE2384" t="s">
        <v>52</v>
      </c>
      <c r="AF2384" s="18" t="s">
        <v>52</v>
      </c>
      <c r="AG2384" s="18" t="s">
        <v>52</v>
      </c>
      <c r="AH2384" s="18" t="s">
        <v>52</v>
      </c>
      <c r="AI2384" s="18" t="s">
        <v>52</v>
      </c>
      <c r="AJ2384">
        <v>2</v>
      </c>
      <c r="AK2384">
        <v>11</v>
      </c>
      <c r="AL2384">
        <v>19</v>
      </c>
      <c r="AM2384">
        <v>5</v>
      </c>
      <c r="AN2384" s="18">
        <v>0</v>
      </c>
      <c r="AO2384" s="18">
        <v>0</v>
      </c>
      <c r="AP2384" s="18">
        <v>0</v>
      </c>
      <c r="AQ2384" s="18">
        <v>0</v>
      </c>
      <c r="AR2384" s="29">
        <v>0</v>
      </c>
      <c r="AS2384" s="29">
        <v>0</v>
      </c>
      <c r="AT2384" s="29">
        <v>0</v>
      </c>
      <c r="AU2384" s="24" t="str">
        <f t="shared" si="38"/>
        <v>库存为0</v>
      </c>
      <c r="AV2384" s="31" t="str">
        <f>IFERROR(时间!$B$4+AU2384,"上周无销量")</f>
        <v>上周无销量</v>
      </c>
    </row>
    <row r="2385" spans="1:48">
      <c r="A2385" s="16" t="s">
        <v>4101</v>
      </c>
      <c r="B2385" t="s">
        <v>3738</v>
      </c>
      <c r="C2385" t="s">
        <v>4070</v>
      </c>
      <c r="D2385" s="24">
        <v>0</v>
      </c>
      <c r="E2385" s="24">
        <v>0</v>
      </c>
      <c r="F2385" s="24">
        <v>0</v>
      </c>
      <c r="G2385" s="24">
        <v>0</v>
      </c>
      <c r="H2385" s="25">
        <v>0</v>
      </c>
      <c r="I2385">
        <v>0</v>
      </c>
      <c r="J2385" s="26">
        <v>0</v>
      </c>
      <c r="K2385" s="26">
        <v>0</v>
      </c>
      <c r="L2385" s="26">
        <v>0</v>
      </c>
      <c r="M2385">
        <v>0</v>
      </c>
      <c r="N2385">
        <v>0</v>
      </c>
      <c r="O2385">
        <v>0</v>
      </c>
      <c r="P2385" t="s">
        <v>52</v>
      </c>
      <c r="Q2385" t="s">
        <v>52</v>
      </c>
      <c r="R2385" t="s">
        <v>52</v>
      </c>
      <c r="S2385" t="s">
        <v>52</v>
      </c>
      <c r="T2385" t="s">
        <v>52</v>
      </c>
      <c r="U2385" t="s">
        <v>52</v>
      </c>
      <c r="V2385" t="s">
        <v>52</v>
      </c>
      <c r="W2385" t="s">
        <v>52</v>
      </c>
      <c r="X2385" s="18" t="s">
        <v>52</v>
      </c>
      <c r="Y2385" s="18" t="s">
        <v>52</v>
      </c>
      <c r="Z2385" s="18" t="s">
        <v>52</v>
      </c>
      <c r="AA2385" s="18" t="s">
        <v>52</v>
      </c>
      <c r="AB2385" t="s">
        <v>52</v>
      </c>
      <c r="AC2385" t="s">
        <v>52</v>
      </c>
      <c r="AD2385" t="s">
        <v>52</v>
      </c>
      <c r="AE2385" t="s">
        <v>52</v>
      </c>
      <c r="AF2385" s="18" t="s">
        <v>52</v>
      </c>
      <c r="AG2385" s="18" t="s">
        <v>52</v>
      </c>
      <c r="AH2385" s="18" t="s">
        <v>52</v>
      </c>
      <c r="AI2385" s="18" t="s">
        <v>52</v>
      </c>
      <c r="AJ2385">
        <v>12</v>
      </c>
      <c r="AK2385">
        <v>4</v>
      </c>
      <c r="AL2385">
        <v>10</v>
      </c>
      <c r="AM2385">
        <v>2</v>
      </c>
      <c r="AN2385" s="18">
        <v>0</v>
      </c>
      <c r="AO2385" s="18">
        <v>0</v>
      </c>
      <c r="AP2385" s="18">
        <v>0</v>
      </c>
      <c r="AQ2385" s="18">
        <v>0</v>
      </c>
      <c r="AR2385" s="29">
        <v>0</v>
      </c>
      <c r="AS2385" s="29">
        <v>0</v>
      </c>
      <c r="AT2385" s="29">
        <v>0</v>
      </c>
      <c r="AU2385" s="24" t="str">
        <f t="shared" si="38"/>
        <v>库存为0</v>
      </c>
      <c r="AV2385" s="31" t="str">
        <f>IFERROR(时间!$B$4+AU2385,"上周无销量")</f>
        <v>上周无销量</v>
      </c>
    </row>
    <row r="2386" spans="1:48">
      <c r="A2386" s="16" t="s">
        <v>4102</v>
      </c>
      <c r="B2386" t="s">
        <v>3740</v>
      </c>
      <c r="C2386" t="s">
        <v>4070</v>
      </c>
      <c r="D2386" s="24">
        <v>0</v>
      </c>
      <c r="E2386" s="24">
        <v>0</v>
      </c>
      <c r="F2386" s="24">
        <v>0</v>
      </c>
      <c r="G2386" s="24">
        <v>0</v>
      </c>
      <c r="H2386" s="25">
        <v>0</v>
      </c>
      <c r="I2386">
        <v>0</v>
      </c>
      <c r="J2386" s="26">
        <v>0</v>
      </c>
      <c r="K2386" s="26">
        <v>0</v>
      </c>
      <c r="L2386" s="26">
        <v>0</v>
      </c>
      <c r="M2386">
        <v>0</v>
      </c>
      <c r="N2386">
        <v>0</v>
      </c>
      <c r="O2386">
        <v>0</v>
      </c>
      <c r="P2386" t="s">
        <v>52</v>
      </c>
      <c r="Q2386" t="s">
        <v>52</v>
      </c>
      <c r="R2386" t="s">
        <v>52</v>
      </c>
      <c r="S2386" t="s">
        <v>52</v>
      </c>
      <c r="T2386" t="s">
        <v>52</v>
      </c>
      <c r="U2386" t="s">
        <v>52</v>
      </c>
      <c r="V2386" t="s">
        <v>52</v>
      </c>
      <c r="W2386" t="s">
        <v>52</v>
      </c>
      <c r="X2386" s="18" t="s">
        <v>52</v>
      </c>
      <c r="Y2386" s="18" t="s">
        <v>52</v>
      </c>
      <c r="Z2386" s="18" t="s">
        <v>52</v>
      </c>
      <c r="AA2386" s="18" t="s">
        <v>52</v>
      </c>
      <c r="AB2386" t="s">
        <v>52</v>
      </c>
      <c r="AC2386" t="s">
        <v>52</v>
      </c>
      <c r="AD2386" t="s">
        <v>52</v>
      </c>
      <c r="AE2386" t="s">
        <v>52</v>
      </c>
      <c r="AF2386" s="18" t="s">
        <v>52</v>
      </c>
      <c r="AG2386" s="18" t="s">
        <v>52</v>
      </c>
      <c r="AH2386" s="18" t="s">
        <v>52</v>
      </c>
      <c r="AI2386" s="18" t="s">
        <v>52</v>
      </c>
      <c r="AJ2386">
        <v>0</v>
      </c>
      <c r="AK2386">
        <v>0</v>
      </c>
      <c r="AL2386">
        <v>0</v>
      </c>
      <c r="AM2386">
        <v>0</v>
      </c>
      <c r="AN2386" s="18" t="s">
        <v>52</v>
      </c>
      <c r="AO2386" s="18" t="s">
        <v>52</v>
      </c>
      <c r="AP2386" s="18" t="s">
        <v>52</v>
      </c>
      <c r="AQ2386" s="18" t="s">
        <v>52</v>
      </c>
      <c r="AR2386" s="29">
        <v>0</v>
      </c>
      <c r="AS2386" s="29">
        <v>0</v>
      </c>
      <c r="AT2386" s="29">
        <v>0</v>
      </c>
      <c r="AU2386" s="24" t="str">
        <f t="shared" si="38"/>
        <v>库存为0</v>
      </c>
      <c r="AV2386" s="31" t="str">
        <f>IFERROR(时间!$B$4+AU2386,"上周无销量")</f>
        <v>上周无销量</v>
      </c>
    </row>
    <row r="2387" spans="1:48">
      <c r="A2387" s="16" t="s">
        <v>4103</v>
      </c>
      <c r="B2387" t="s">
        <v>3742</v>
      </c>
      <c r="C2387" t="s">
        <v>4070</v>
      </c>
      <c r="D2387" s="24">
        <v>0</v>
      </c>
      <c r="E2387" s="24">
        <v>0</v>
      </c>
      <c r="F2387" s="24">
        <v>0</v>
      </c>
      <c r="G2387" s="24">
        <v>0</v>
      </c>
      <c r="H2387" s="25">
        <v>0</v>
      </c>
      <c r="I2387">
        <v>0</v>
      </c>
      <c r="J2387" s="26">
        <v>0</v>
      </c>
      <c r="K2387" s="26">
        <v>0</v>
      </c>
      <c r="L2387" s="26">
        <v>0</v>
      </c>
      <c r="M2387">
        <v>0</v>
      </c>
      <c r="N2387">
        <v>0</v>
      </c>
      <c r="O2387">
        <v>0</v>
      </c>
      <c r="P2387" t="s">
        <v>52</v>
      </c>
      <c r="Q2387" t="s">
        <v>52</v>
      </c>
      <c r="R2387" t="s">
        <v>52</v>
      </c>
      <c r="S2387" t="s">
        <v>52</v>
      </c>
      <c r="T2387" t="s">
        <v>52</v>
      </c>
      <c r="U2387" t="s">
        <v>52</v>
      </c>
      <c r="V2387" t="s">
        <v>52</v>
      </c>
      <c r="W2387" t="s">
        <v>52</v>
      </c>
      <c r="X2387" s="18" t="s">
        <v>52</v>
      </c>
      <c r="Y2387" s="18" t="s">
        <v>52</v>
      </c>
      <c r="Z2387" s="18" t="s">
        <v>52</v>
      </c>
      <c r="AA2387" s="18" t="s">
        <v>52</v>
      </c>
      <c r="AB2387" t="s">
        <v>52</v>
      </c>
      <c r="AC2387" t="s">
        <v>52</v>
      </c>
      <c r="AD2387" t="s">
        <v>52</v>
      </c>
      <c r="AE2387" t="s">
        <v>52</v>
      </c>
      <c r="AF2387" s="18" t="s">
        <v>52</v>
      </c>
      <c r="AG2387" s="18" t="s">
        <v>52</v>
      </c>
      <c r="AH2387" s="18" t="s">
        <v>52</v>
      </c>
      <c r="AI2387" s="18" t="s">
        <v>52</v>
      </c>
      <c r="AJ2387">
        <v>0</v>
      </c>
      <c r="AK2387">
        <v>0</v>
      </c>
      <c r="AL2387">
        <v>0</v>
      </c>
      <c r="AM2387">
        <v>0</v>
      </c>
      <c r="AN2387" s="18" t="s">
        <v>52</v>
      </c>
      <c r="AO2387" s="18" t="s">
        <v>52</v>
      </c>
      <c r="AP2387" s="18" t="s">
        <v>52</v>
      </c>
      <c r="AQ2387" s="18" t="s">
        <v>52</v>
      </c>
      <c r="AR2387" s="29">
        <v>0</v>
      </c>
      <c r="AS2387" s="29">
        <v>0</v>
      </c>
      <c r="AT2387" s="29">
        <v>0</v>
      </c>
      <c r="AU2387" s="24" t="str">
        <f t="shared" si="38"/>
        <v>库存为0</v>
      </c>
      <c r="AV2387" s="31" t="str">
        <f>IFERROR(时间!$B$4+AU2387,"上周无销量")</f>
        <v>上周无销量</v>
      </c>
    </row>
    <row r="2388" spans="1:48">
      <c r="A2388" s="16" t="s">
        <v>4104</v>
      </c>
      <c r="B2388" t="s">
        <v>3744</v>
      </c>
      <c r="C2388" t="s">
        <v>4070</v>
      </c>
      <c r="D2388" s="24">
        <v>0</v>
      </c>
      <c r="E2388" s="24">
        <v>0</v>
      </c>
      <c r="F2388" s="24">
        <v>0</v>
      </c>
      <c r="G2388" s="24">
        <v>0</v>
      </c>
      <c r="H2388" s="25">
        <v>0</v>
      </c>
      <c r="I2388">
        <v>0</v>
      </c>
      <c r="J2388" s="26">
        <v>0</v>
      </c>
      <c r="K2388" s="26">
        <v>0</v>
      </c>
      <c r="L2388" s="26">
        <v>0</v>
      </c>
      <c r="M2388">
        <v>0</v>
      </c>
      <c r="N2388">
        <v>0</v>
      </c>
      <c r="O2388">
        <v>0</v>
      </c>
      <c r="P2388" t="s">
        <v>52</v>
      </c>
      <c r="Q2388" t="s">
        <v>52</v>
      </c>
      <c r="R2388" t="s">
        <v>52</v>
      </c>
      <c r="S2388" t="s">
        <v>52</v>
      </c>
      <c r="T2388" t="s">
        <v>52</v>
      </c>
      <c r="U2388" t="s">
        <v>52</v>
      </c>
      <c r="V2388" t="s">
        <v>52</v>
      </c>
      <c r="W2388" t="s">
        <v>52</v>
      </c>
      <c r="X2388" s="18" t="s">
        <v>52</v>
      </c>
      <c r="Y2388" s="18" t="s">
        <v>52</v>
      </c>
      <c r="Z2388" s="18" t="s">
        <v>52</v>
      </c>
      <c r="AA2388" s="1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s="18" t="s">
        <v>52</v>
      </c>
      <c r="AG2388" s="18" t="s">
        <v>52</v>
      </c>
      <c r="AH2388" s="18" t="s">
        <v>52</v>
      </c>
      <c r="AI2388" s="18" t="s">
        <v>52</v>
      </c>
      <c r="AJ2388">
        <v>10</v>
      </c>
      <c r="AK2388">
        <v>11</v>
      </c>
      <c r="AL2388">
        <v>13</v>
      </c>
      <c r="AM2388">
        <v>6</v>
      </c>
      <c r="AN2388" s="18">
        <v>0</v>
      </c>
      <c r="AO2388" s="18">
        <v>0</v>
      </c>
      <c r="AP2388" s="18">
        <v>0</v>
      </c>
      <c r="AQ2388" s="18">
        <v>0</v>
      </c>
      <c r="AR2388" s="29">
        <v>0</v>
      </c>
      <c r="AS2388" s="29">
        <v>0</v>
      </c>
      <c r="AT2388" s="29">
        <v>0</v>
      </c>
      <c r="AU2388" s="24" t="str">
        <f t="shared" si="38"/>
        <v>库存为0</v>
      </c>
      <c r="AV2388" s="31" t="str">
        <f>IFERROR(时间!$B$4+AU2388,"上周无销量")</f>
        <v>上周无销量</v>
      </c>
    </row>
    <row r="2389" spans="1:48">
      <c r="A2389" s="16" t="s">
        <v>4105</v>
      </c>
      <c r="B2389" t="s">
        <v>4106</v>
      </c>
      <c r="C2389" t="s">
        <v>4070</v>
      </c>
      <c r="D2389" s="24">
        <v>0</v>
      </c>
      <c r="E2389" s="24">
        <v>0</v>
      </c>
      <c r="F2389" s="24">
        <v>0</v>
      </c>
      <c r="G2389" s="24">
        <v>0</v>
      </c>
      <c r="H2389" s="25">
        <v>0</v>
      </c>
      <c r="I2389">
        <v>0</v>
      </c>
      <c r="J2389" s="26">
        <v>0</v>
      </c>
      <c r="K2389" s="26">
        <v>0</v>
      </c>
      <c r="L2389" s="26">
        <v>0</v>
      </c>
      <c r="M2389">
        <v>0</v>
      </c>
      <c r="N2389">
        <v>0</v>
      </c>
      <c r="O2389">
        <v>0</v>
      </c>
      <c r="P2389" t="s">
        <v>52</v>
      </c>
      <c r="Q2389" t="s">
        <v>52</v>
      </c>
      <c r="R2389" t="s">
        <v>52</v>
      </c>
      <c r="S2389" t="s">
        <v>52</v>
      </c>
      <c r="T2389" t="s">
        <v>52</v>
      </c>
      <c r="U2389" t="s">
        <v>52</v>
      </c>
      <c r="V2389" t="s">
        <v>52</v>
      </c>
      <c r="W2389" t="s">
        <v>52</v>
      </c>
      <c r="X2389" s="18" t="s">
        <v>52</v>
      </c>
      <c r="Y2389" s="18" t="s">
        <v>52</v>
      </c>
      <c r="Z2389" s="18" t="s">
        <v>52</v>
      </c>
      <c r="AA2389" s="18" t="s">
        <v>52</v>
      </c>
      <c r="AB2389" t="s">
        <v>52</v>
      </c>
      <c r="AC2389" t="s">
        <v>52</v>
      </c>
      <c r="AD2389" t="s">
        <v>52</v>
      </c>
      <c r="AE2389" t="s">
        <v>52</v>
      </c>
      <c r="AF2389" s="18" t="s">
        <v>52</v>
      </c>
      <c r="AG2389" s="18" t="s">
        <v>52</v>
      </c>
      <c r="AH2389" s="18" t="s">
        <v>52</v>
      </c>
      <c r="AI2389" s="18" t="s">
        <v>52</v>
      </c>
      <c r="AJ2389">
        <v>0</v>
      </c>
      <c r="AK2389">
        <v>0</v>
      </c>
      <c r="AL2389">
        <v>0</v>
      </c>
      <c r="AM2389">
        <v>0</v>
      </c>
      <c r="AN2389" s="18" t="s">
        <v>52</v>
      </c>
      <c r="AO2389" s="18" t="s">
        <v>52</v>
      </c>
      <c r="AP2389" s="18" t="s">
        <v>52</v>
      </c>
      <c r="AQ2389" s="18" t="s">
        <v>52</v>
      </c>
      <c r="AR2389" s="29">
        <v>0</v>
      </c>
      <c r="AS2389" s="29">
        <v>0</v>
      </c>
      <c r="AT2389" s="29">
        <v>0</v>
      </c>
      <c r="AU2389" s="24" t="str">
        <f t="shared" si="38"/>
        <v>库存为0</v>
      </c>
      <c r="AV2389" s="31" t="str">
        <f>IFERROR(时间!$B$4+AU2389,"上周无销量")</f>
        <v>上周无销量</v>
      </c>
    </row>
    <row r="2390" spans="1:48">
      <c r="A2390" s="16" t="s">
        <v>4107</v>
      </c>
      <c r="B2390" t="s">
        <v>3755</v>
      </c>
      <c r="C2390" t="s">
        <v>4070</v>
      </c>
      <c r="D2390" s="24">
        <v>0</v>
      </c>
      <c r="E2390" s="24">
        <v>0</v>
      </c>
      <c r="F2390" s="24">
        <v>0</v>
      </c>
      <c r="G2390" s="24">
        <v>0</v>
      </c>
      <c r="H2390" s="25">
        <v>0</v>
      </c>
      <c r="I2390">
        <v>0</v>
      </c>
      <c r="J2390" s="26">
        <v>0</v>
      </c>
      <c r="K2390" s="26">
        <v>0</v>
      </c>
      <c r="L2390" s="26">
        <v>0</v>
      </c>
      <c r="M2390">
        <v>0</v>
      </c>
      <c r="N2390">
        <v>0</v>
      </c>
      <c r="O2390">
        <v>0</v>
      </c>
      <c r="P2390" t="s">
        <v>52</v>
      </c>
      <c r="Q2390" t="s">
        <v>52</v>
      </c>
      <c r="R2390" t="s">
        <v>52</v>
      </c>
      <c r="S2390" t="s">
        <v>52</v>
      </c>
      <c r="T2390" t="s">
        <v>52</v>
      </c>
      <c r="U2390" t="s">
        <v>52</v>
      </c>
      <c r="V2390" t="s">
        <v>52</v>
      </c>
      <c r="W2390" t="s">
        <v>52</v>
      </c>
      <c r="X2390" s="18" t="s">
        <v>52</v>
      </c>
      <c r="Y2390" s="18" t="s">
        <v>52</v>
      </c>
      <c r="Z2390" s="18" t="s">
        <v>52</v>
      </c>
      <c r="AA2390" s="18" t="s">
        <v>52</v>
      </c>
      <c r="AB2390" t="s">
        <v>52</v>
      </c>
      <c r="AC2390" t="s">
        <v>52</v>
      </c>
      <c r="AD2390" t="s">
        <v>52</v>
      </c>
      <c r="AE2390" t="s">
        <v>52</v>
      </c>
      <c r="AF2390" s="18" t="s">
        <v>52</v>
      </c>
      <c r="AG2390" s="18" t="s">
        <v>52</v>
      </c>
      <c r="AH2390" s="18" t="s">
        <v>52</v>
      </c>
      <c r="AI2390" s="18" t="s">
        <v>52</v>
      </c>
      <c r="AJ2390">
        <v>8</v>
      </c>
      <c r="AK2390">
        <v>7</v>
      </c>
      <c r="AL2390">
        <v>7</v>
      </c>
      <c r="AM2390">
        <v>3</v>
      </c>
      <c r="AN2390" s="18">
        <v>0</v>
      </c>
      <c r="AO2390" s="18">
        <v>0</v>
      </c>
      <c r="AP2390" s="18">
        <v>0</v>
      </c>
      <c r="AQ2390" s="18">
        <v>0</v>
      </c>
      <c r="AR2390" s="29">
        <v>0</v>
      </c>
      <c r="AS2390" s="29">
        <v>0</v>
      </c>
      <c r="AT2390" s="29">
        <v>0</v>
      </c>
      <c r="AU2390" s="24" t="str">
        <f t="shared" si="38"/>
        <v>库存为0</v>
      </c>
      <c r="AV2390" s="31" t="str">
        <f>IFERROR(时间!$B$4+AU2390,"上周无销量")</f>
        <v>上周无销量</v>
      </c>
    </row>
    <row r="2391" spans="1:48">
      <c r="A2391" s="16" t="s">
        <v>4108</v>
      </c>
      <c r="B2391" t="s">
        <v>3757</v>
      </c>
      <c r="C2391" t="s">
        <v>4070</v>
      </c>
      <c r="D2391" s="24">
        <v>0</v>
      </c>
      <c r="E2391" s="24">
        <v>0</v>
      </c>
      <c r="F2391" s="24">
        <v>0</v>
      </c>
      <c r="G2391" s="24">
        <v>0</v>
      </c>
      <c r="H2391" s="25">
        <v>0</v>
      </c>
      <c r="I2391">
        <v>0</v>
      </c>
      <c r="J2391" s="26">
        <v>0</v>
      </c>
      <c r="K2391" s="26">
        <v>0</v>
      </c>
      <c r="L2391" s="26">
        <v>0</v>
      </c>
      <c r="M2391">
        <v>0</v>
      </c>
      <c r="N2391">
        <v>0</v>
      </c>
      <c r="O2391">
        <v>0</v>
      </c>
      <c r="P2391" t="s">
        <v>52</v>
      </c>
      <c r="Q2391" t="s">
        <v>52</v>
      </c>
      <c r="R2391" t="s">
        <v>52</v>
      </c>
      <c r="S2391" t="s">
        <v>52</v>
      </c>
      <c r="T2391" t="s">
        <v>52</v>
      </c>
      <c r="U2391" t="s">
        <v>52</v>
      </c>
      <c r="V2391" t="s">
        <v>52</v>
      </c>
      <c r="W2391" t="s">
        <v>52</v>
      </c>
      <c r="X2391" s="18" t="s">
        <v>52</v>
      </c>
      <c r="Y2391" s="18" t="s">
        <v>52</v>
      </c>
      <c r="Z2391" s="18" t="s">
        <v>52</v>
      </c>
      <c r="AA2391" s="18" t="s">
        <v>52</v>
      </c>
      <c r="AB2391" t="s">
        <v>52</v>
      </c>
      <c r="AC2391" t="s">
        <v>52</v>
      </c>
      <c r="AD2391" t="s">
        <v>52</v>
      </c>
      <c r="AE2391" t="s">
        <v>52</v>
      </c>
      <c r="AF2391" s="18" t="s">
        <v>52</v>
      </c>
      <c r="AG2391" s="18" t="s">
        <v>52</v>
      </c>
      <c r="AH2391" s="18" t="s">
        <v>52</v>
      </c>
      <c r="AI2391" s="18" t="s">
        <v>52</v>
      </c>
      <c r="AJ2391">
        <v>8</v>
      </c>
      <c r="AK2391">
        <v>10</v>
      </c>
      <c r="AL2391">
        <v>8</v>
      </c>
      <c r="AM2391">
        <v>9</v>
      </c>
      <c r="AN2391" s="18">
        <v>0</v>
      </c>
      <c r="AO2391" s="18">
        <v>0</v>
      </c>
      <c r="AP2391" s="18">
        <v>0</v>
      </c>
      <c r="AQ2391" s="18">
        <v>0</v>
      </c>
      <c r="AR2391" s="29">
        <v>0</v>
      </c>
      <c r="AS2391" s="29">
        <v>0</v>
      </c>
      <c r="AT2391" s="29">
        <v>0</v>
      </c>
      <c r="AU2391" s="24" t="str">
        <f t="shared" si="38"/>
        <v>库存为0</v>
      </c>
      <c r="AV2391" s="31" t="str">
        <f>IFERROR(时间!$B$4+AU2391,"上周无销量")</f>
        <v>上周无销量</v>
      </c>
    </row>
    <row r="2392" spans="1:48">
      <c r="A2392" s="16" t="s">
        <v>4109</v>
      </c>
      <c r="B2392" t="s">
        <v>3759</v>
      </c>
      <c r="C2392" t="s">
        <v>4070</v>
      </c>
      <c r="D2392" s="24">
        <v>0</v>
      </c>
      <c r="E2392" s="24">
        <v>0</v>
      </c>
      <c r="F2392" s="24">
        <v>0</v>
      </c>
      <c r="G2392" s="24">
        <v>0</v>
      </c>
      <c r="H2392" s="25">
        <v>0</v>
      </c>
      <c r="I2392">
        <v>0</v>
      </c>
      <c r="J2392" s="26">
        <v>0</v>
      </c>
      <c r="K2392" s="26">
        <v>0</v>
      </c>
      <c r="L2392" s="26">
        <v>0</v>
      </c>
      <c r="M2392">
        <v>0</v>
      </c>
      <c r="N2392">
        <v>0</v>
      </c>
      <c r="O2392">
        <v>0</v>
      </c>
      <c r="P2392" t="s">
        <v>52</v>
      </c>
      <c r="Q2392" t="s">
        <v>52</v>
      </c>
      <c r="R2392" t="s">
        <v>52</v>
      </c>
      <c r="S2392" t="s">
        <v>52</v>
      </c>
      <c r="T2392" t="s">
        <v>52</v>
      </c>
      <c r="U2392" t="s">
        <v>52</v>
      </c>
      <c r="V2392" t="s">
        <v>52</v>
      </c>
      <c r="W2392" t="s">
        <v>52</v>
      </c>
      <c r="X2392" s="18" t="s">
        <v>52</v>
      </c>
      <c r="Y2392" s="18" t="s">
        <v>52</v>
      </c>
      <c r="Z2392" s="18" t="s">
        <v>52</v>
      </c>
      <c r="AA2392" s="18" t="s">
        <v>52</v>
      </c>
      <c r="AB2392" t="s">
        <v>52</v>
      </c>
      <c r="AC2392" t="s">
        <v>52</v>
      </c>
      <c r="AD2392" t="s">
        <v>52</v>
      </c>
      <c r="AE2392" t="s">
        <v>52</v>
      </c>
      <c r="AF2392" s="18" t="s">
        <v>52</v>
      </c>
      <c r="AG2392" s="18" t="s">
        <v>52</v>
      </c>
      <c r="AH2392" s="18" t="s">
        <v>52</v>
      </c>
      <c r="AI2392" s="18" t="s">
        <v>52</v>
      </c>
      <c r="AJ2392">
        <v>0</v>
      </c>
      <c r="AK2392">
        <v>0</v>
      </c>
      <c r="AL2392">
        <v>0</v>
      </c>
      <c r="AM2392">
        <v>2</v>
      </c>
      <c r="AN2392" s="18" t="s">
        <v>52</v>
      </c>
      <c r="AO2392" s="18" t="s">
        <v>52</v>
      </c>
      <c r="AP2392" s="18" t="s">
        <v>52</v>
      </c>
      <c r="AQ2392" s="18">
        <v>0</v>
      </c>
      <c r="AR2392" s="29">
        <v>0</v>
      </c>
      <c r="AS2392" s="29">
        <v>0</v>
      </c>
      <c r="AT2392" s="29">
        <v>0</v>
      </c>
      <c r="AU2392" s="24" t="str">
        <f t="shared" si="38"/>
        <v>库存为0</v>
      </c>
      <c r="AV2392" s="31" t="str">
        <f>IFERROR(时间!$B$4+AU2392,"上周无销量")</f>
        <v>上周无销量</v>
      </c>
    </row>
    <row r="2393" spans="1:48">
      <c r="A2393" s="16" t="s">
        <v>4110</v>
      </c>
      <c r="B2393" t="s">
        <v>3761</v>
      </c>
      <c r="C2393" t="s">
        <v>4070</v>
      </c>
      <c r="D2393" s="24">
        <v>0</v>
      </c>
      <c r="E2393" s="24">
        <v>0</v>
      </c>
      <c r="F2393" s="24">
        <v>0</v>
      </c>
      <c r="G2393" s="24">
        <v>0</v>
      </c>
      <c r="H2393" s="25">
        <v>0</v>
      </c>
      <c r="I2393">
        <v>0</v>
      </c>
      <c r="J2393" s="26">
        <v>0</v>
      </c>
      <c r="K2393" s="26">
        <v>0</v>
      </c>
      <c r="L2393" s="26">
        <v>0</v>
      </c>
      <c r="M2393">
        <v>0</v>
      </c>
      <c r="N2393">
        <v>0</v>
      </c>
      <c r="O2393">
        <v>0</v>
      </c>
      <c r="P2393" t="s">
        <v>52</v>
      </c>
      <c r="Q2393" t="s">
        <v>52</v>
      </c>
      <c r="R2393" t="s">
        <v>52</v>
      </c>
      <c r="S2393" t="s">
        <v>52</v>
      </c>
      <c r="T2393" t="s">
        <v>52</v>
      </c>
      <c r="U2393" t="s">
        <v>52</v>
      </c>
      <c r="V2393" t="s">
        <v>52</v>
      </c>
      <c r="W2393" t="s">
        <v>52</v>
      </c>
      <c r="X2393" s="18" t="s">
        <v>52</v>
      </c>
      <c r="Y2393" s="18" t="s">
        <v>52</v>
      </c>
      <c r="Z2393" s="18" t="s">
        <v>52</v>
      </c>
      <c r="AA2393" s="18" t="s">
        <v>52</v>
      </c>
      <c r="AB2393" t="s">
        <v>52</v>
      </c>
      <c r="AC2393" t="s">
        <v>52</v>
      </c>
      <c r="AD2393" t="s">
        <v>52</v>
      </c>
      <c r="AE2393" t="s">
        <v>52</v>
      </c>
      <c r="AF2393" s="18" t="s">
        <v>52</v>
      </c>
      <c r="AG2393" s="18" t="s">
        <v>52</v>
      </c>
      <c r="AH2393" s="18" t="s">
        <v>52</v>
      </c>
      <c r="AI2393" s="18" t="s">
        <v>52</v>
      </c>
      <c r="AJ2393">
        <v>6</v>
      </c>
      <c r="AK2393">
        <v>1</v>
      </c>
      <c r="AL2393">
        <v>1</v>
      </c>
      <c r="AM2393">
        <v>6</v>
      </c>
      <c r="AN2393" s="18">
        <v>0</v>
      </c>
      <c r="AO2393" s="18">
        <v>0</v>
      </c>
      <c r="AP2393" s="18">
        <v>0</v>
      </c>
      <c r="AQ2393" s="18">
        <v>0</v>
      </c>
      <c r="AR2393" s="29">
        <v>0</v>
      </c>
      <c r="AS2393" s="29">
        <v>0</v>
      </c>
      <c r="AT2393" s="29">
        <v>0</v>
      </c>
      <c r="AU2393" s="24" t="str">
        <f t="shared" si="38"/>
        <v>库存为0</v>
      </c>
      <c r="AV2393" s="31" t="str">
        <f>IFERROR(时间!$B$4+AU2393,"上周无销量")</f>
        <v>上周无销量</v>
      </c>
    </row>
    <row r="2394" spans="1:48">
      <c r="A2394" s="16" t="s">
        <v>4111</v>
      </c>
      <c r="B2394" t="s">
        <v>3746</v>
      </c>
      <c r="C2394" t="s">
        <v>4070</v>
      </c>
      <c r="D2394" s="24">
        <v>0</v>
      </c>
      <c r="E2394" s="24">
        <v>0</v>
      </c>
      <c r="F2394" s="24">
        <v>0</v>
      </c>
      <c r="G2394" s="24">
        <v>0</v>
      </c>
      <c r="H2394" s="25">
        <v>0</v>
      </c>
      <c r="I2394">
        <v>0</v>
      </c>
      <c r="J2394" s="26">
        <v>0</v>
      </c>
      <c r="K2394" s="26">
        <v>0</v>
      </c>
      <c r="L2394" s="26">
        <v>0</v>
      </c>
      <c r="M2394">
        <v>0</v>
      </c>
      <c r="N2394">
        <v>0</v>
      </c>
      <c r="O2394">
        <v>0</v>
      </c>
      <c r="P2394" t="s">
        <v>52</v>
      </c>
      <c r="Q2394" t="s">
        <v>52</v>
      </c>
      <c r="R2394" t="s">
        <v>52</v>
      </c>
      <c r="S2394" t="s">
        <v>52</v>
      </c>
      <c r="T2394" t="s">
        <v>52</v>
      </c>
      <c r="U2394" t="s">
        <v>52</v>
      </c>
      <c r="V2394" t="s">
        <v>52</v>
      </c>
      <c r="W2394" t="s">
        <v>52</v>
      </c>
      <c r="X2394" s="18" t="s">
        <v>52</v>
      </c>
      <c r="Y2394" s="18" t="s">
        <v>52</v>
      </c>
      <c r="Z2394" s="18" t="s">
        <v>52</v>
      </c>
      <c r="AA2394" s="18" t="s">
        <v>52</v>
      </c>
      <c r="AB2394" t="s">
        <v>52</v>
      </c>
      <c r="AC2394" t="s">
        <v>52</v>
      </c>
      <c r="AD2394" t="s">
        <v>52</v>
      </c>
      <c r="AE2394" t="s">
        <v>52</v>
      </c>
      <c r="AF2394" s="18" t="s">
        <v>52</v>
      </c>
      <c r="AG2394" s="18" t="s">
        <v>52</v>
      </c>
      <c r="AH2394" s="18" t="s">
        <v>52</v>
      </c>
      <c r="AI2394" s="18" t="s">
        <v>52</v>
      </c>
      <c r="AJ2394">
        <v>20</v>
      </c>
      <c r="AK2394">
        <v>8</v>
      </c>
      <c r="AL2394">
        <v>11</v>
      </c>
      <c r="AM2394">
        <v>9</v>
      </c>
      <c r="AN2394" s="18">
        <v>0</v>
      </c>
      <c r="AO2394" s="18">
        <v>0</v>
      </c>
      <c r="AP2394" s="18">
        <v>0</v>
      </c>
      <c r="AQ2394" s="18">
        <v>0</v>
      </c>
      <c r="AR2394" s="29">
        <v>0</v>
      </c>
      <c r="AS2394" s="29">
        <v>0</v>
      </c>
      <c r="AT2394" s="29">
        <v>0</v>
      </c>
      <c r="AU2394" s="24" t="str">
        <f t="shared" si="38"/>
        <v>库存为0</v>
      </c>
      <c r="AV2394" s="31" t="str">
        <f>IFERROR(时间!$B$4+AU2394,"上周无销量")</f>
        <v>上周无销量</v>
      </c>
    </row>
    <row r="2395" spans="1:48">
      <c r="A2395" s="16" t="s">
        <v>4112</v>
      </c>
      <c r="B2395" t="s">
        <v>3748</v>
      </c>
      <c r="C2395" t="s">
        <v>4070</v>
      </c>
      <c r="D2395" s="24">
        <v>0</v>
      </c>
      <c r="E2395" s="24">
        <v>0</v>
      </c>
      <c r="F2395" s="24">
        <v>0</v>
      </c>
      <c r="G2395" s="24">
        <v>0</v>
      </c>
      <c r="H2395" s="25">
        <v>0</v>
      </c>
      <c r="I2395">
        <v>2</v>
      </c>
      <c r="J2395" s="26">
        <v>4</v>
      </c>
      <c r="K2395" s="26">
        <v>0</v>
      </c>
      <c r="L2395" s="26">
        <v>0</v>
      </c>
      <c r="M2395">
        <v>6</v>
      </c>
      <c r="N2395">
        <v>0</v>
      </c>
      <c r="O2395">
        <v>0</v>
      </c>
      <c r="P2395" t="s">
        <v>52</v>
      </c>
      <c r="Q2395" t="s">
        <v>52</v>
      </c>
      <c r="R2395" t="s">
        <v>52</v>
      </c>
      <c r="S2395" t="s">
        <v>52</v>
      </c>
      <c r="T2395" t="s">
        <v>52</v>
      </c>
      <c r="U2395" t="s">
        <v>52</v>
      </c>
      <c r="V2395" t="s">
        <v>52</v>
      </c>
      <c r="W2395" t="s">
        <v>52</v>
      </c>
      <c r="X2395" s="18" t="s">
        <v>52</v>
      </c>
      <c r="Y2395" s="18" t="s">
        <v>52</v>
      </c>
      <c r="Z2395" s="18" t="s">
        <v>52</v>
      </c>
      <c r="AA2395" s="18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s="18" t="s">
        <v>52</v>
      </c>
      <c r="AG2395" s="18" t="s">
        <v>52</v>
      </c>
      <c r="AH2395" s="18" t="s">
        <v>52</v>
      </c>
      <c r="AI2395" s="18" t="s">
        <v>52</v>
      </c>
      <c r="AJ2395">
        <v>36</v>
      </c>
      <c r="AK2395">
        <v>40</v>
      </c>
      <c r="AL2395">
        <v>35</v>
      </c>
      <c r="AM2395">
        <v>32</v>
      </c>
      <c r="AN2395" s="18">
        <v>0</v>
      </c>
      <c r="AO2395" s="18">
        <v>0</v>
      </c>
      <c r="AP2395" s="18">
        <v>0</v>
      </c>
      <c r="AQ2395" s="18">
        <v>0</v>
      </c>
      <c r="AR2395" s="29">
        <v>0</v>
      </c>
      <c r="AS2395" s="29">
        <v>0</v>
      </c>
      <c r="AT2395" s="29">
        <v>6</v>
      </c>
      <c r="AU2395" s="24" t="str">
        <f t="shared" si="38"/>
        <v>库存为6</v>
      </c>
      <c r="AV2395" s="31" t="str">
        <f>IFERROR(时间!$B$4+AU2395,"上周无销量")</f>
        <v>上周无销量</v>
      </c>
    </row>
    <row r="2396" spans="1:48">
      <c r="A2396" s="16" t="s">
        <v>4113</v>
      </c>
      <c r="B2396" t="s">
        <v>3751</v>
      </c>
      <c r="C2396" t="s">
        <v>4070</v>
      </c>
      <c r="D2396" s="24">
        <v>0</v>
      </c>
      <c r="E2396" s="24">
        <v>0</v>
      </c>
      <c r="F2396" s="24">
        <v>0</v>
      </c>
      <c r="G2396" s="24">
        <v>0</v>
      </c>
      <c r="H2396" s="25">
        <v>0</v>
      </c>
      <c r="I2396">
        <v>0</v>
      </c>
      <c r="J2396" s="26">
        <v>0</v>
      </c>
      <c r="K2396" s="26">
        <v>0</v>
      </c>
      <c r="L2396" s="26">
        <v>0</v>
      </c>
      <c r="M2396">
        <v>0</v>
      </c>
      <c r="N2396">
        <v>0</v>
      </c>
      <c r="O2396">
        <v>0</v>
      </c>
      <c r="P2396" t="s">
        <v>52</v>
      </c>
      <c r="Q2396" t="s">
        <v>52</v>
      </c>
      <c r="R2396" t="s">
        <v>52</v>
      </c>
      <c r="S2396" t="s">
        <v>52</v>
      </c>
      <c r="T2396" t="s">
        <v>52</v>
      </c>
      <c r="U2396" t="s">
        <v>52</v>
      </c>
      <c r="V2396" t="s">
        <v>52</v>
      </c>
      <c r="W2396" t="s">
        <v>52</v>
      </c>
      <c r="X2396" s="18" t="s">
        <v>52</v>
      </c>
      <c r="Y2396" s="18" t="s">
        <v>52</v>
      </c>
      <c r="Z2396" s="18" t="s">
        <v>52</v>
      </c>
      <c r="AA2396" s="18" t="s">
        <v>52</v>
      </c>
      <c r="AB2396" t="s">
        <v>52</v>
      </c>
      <c r="AC2396" t="s">
        <v>52</v>
      </c>
      <c r="AD2396" t="s">
        <v>52</v>
      </c>
      <c r="AE2396" t="s">
        <v>52</v>
      </c>
      <c r="AF2396" s="18" t="s">
        <v>52</v>
      </c>
      <c r="AG2396" s="18" t="s">
        <v>52</v>
      </c>
      <c r="AH2396" s="18" t="s">
        <v>52</v>
      </c>
      <c r="AI2396" s="18" t="s">
        <v>52</v>
      </c>
      <c r="AJ2396">
        <v>0</v>
      </c>
      <c r="AK2396">
        <v>0</v>
      </c>
      <c r="AL2396">
        <v>0</v>
      </c>
      <c r="AM2396">
        <v>4</v>
      </c>
      <c r="AN2396" s="18" t="s">
        <v>52</v>
      </c>
      <c r="AO2396" s="18" t="s">
        <v>52</v>
      </c>
      <c r="AP2396" s="18" t="s">
        <v>52</v>
      </c>
      <c r="AQ2396" s="18">
        <v>0</v>
      </c>
      <c r="AR2396" s="29">
        <v>0</v>
      </c>
      <c r="AS2396" s="29">
        <v>0</v>
      </c>
      <c r="AT2396" s="29">
        <v>0</v>
      </c>
      <c r="AU2396" s="24" t="str">
        <f t="shared" si="38"/>
        <v>库存为0</v>
      </c>
      <c r="AV2396" s="31" t="str">
        <f>IFERROR(时间!$B$4+AU2396,"上周无销量")</f>
        <v>上周无销量</v>
      </c>
    </row>
    <row r="2397" spans="1:48">
      <c r="A2397" s="16" t="s">
        <v>4114</v>
      </c>
      <c r="B2397" t="s">
        <v>3753</v>
      </c>
      <c r="C2397" t="s">
        <v>4070</v>
      </c>
      <c r="D2397" s="24">
        <v>0</v>
      </c>
      <c r="E2397" s="24">
        <v>0</v>
      </c>
      <c r="F2397" s="24">
        <v>0</v>
      </c>
      <c r="G2397" s="24">
        <v>0</v>
      </c>
      <c r="H2397" s="25">
        <v>0</v>
      </c>
      <c r="I2397">
        <v>0</v>
      </c>
      <c r="J2397" s="26">
        <v>0</v>
      </c>
      <c r="K2397" s="26">
        <v>0</v>
      </c>
      <c r="L2397" s="26">
        <v>0</v>
      </c>
      <c r="M2397">
        <v>0</v>
      </c>
      <c r="N2397">
        <v>0</v>
      </c>
      <c r="O2397">
        <v>0</v>
      </c>
      <c r="P2397" t="s">
        <v>52</v>
      </c>
      <c r="Q2397" t="s">
        <v>52</v>
      </c>
      <c r="R2397" t="s">
        <v>52</v>
      </c>
      <c r="S2397" t="s">
        <v>52</v>
      </c>
      <c r="T2397" t="s">
        <v>52</v>
      </c>
      <c r="U2397" t="s">
        <v>52</v>
      </c>
      <c r="V2397" t="s">
        <v>52</v>
      </c>
      <c r="W2397" t="s">
        <v>52</v>
      </c>
      <c r="X2397" s="18" t="s">
        <v>52</v>
      </c>
      <c r="Y2397" s="18" t="s">
        <v>52</v>
      </c>
      <c r="Z2397" s="18" t="s">
        <v>52</v>
      </c>
      <c r="AA2397" s="18" t="s">
        <v>52</v>
      </c>
      <c r="AB2397" t="s">
        <v>52</v>
      </c>
      <c r="AC2397" t="s">
        <v>52</v>
      </c>
      <c r="AD2397" t="s">
        <v>52</v>
      </c>
      <c r="AE2397" t="s">
        <v>52</v>
      </c>
      <c r="AF2397" s="18" t="s">
        <v>52</v>
      </c>
      <c r="AG2397" s="18" t="s">
        <v>52</v>
      </c>
      <c r="AH2397" s="18" t="s">
        <v>52</v>
      </c>
      <c r="AI2397" s="18" t="s">
        <v>52</v>
      </c>
      <c r="AJ2397">
        <v>8</v>
      </c>
      <c r="AK2397">
        <v>3</v>
      </c>
      <c r="AL2397">
        <v>7</v>
      </c>
      <c r="AM2397">
        <v>4</v>
      </c>
      <c r="AN2397" s="18">
        <v>0</v>
      </c>
      <c r="AO2397" s="18">
        <v>0</v>
      </c>
      <c r="AP2397" s="18">
        <v>0</v>
      </c>
      <c r="AQ2397" s="18">
        <v>0</v>
      </c>
      <c r="AR2397" s="29">
        <v>0</v>
      </c>
      <c r="AS2397" s="29">
        <v>0</v>
      </c>
      <c r="AT2397" s="29">
        <v>0</v>
      </c>
      <c r="AU2397" s="24" t="str">
        <f t="shared" si="38"/>
        <v>库存为0</v>
      </c>
      <c r="AV2397" s="31" t="str">
        <f>IFERROR(时间!$B$4+AU2397,"上周无销量")</f>
        <v>上周无销量</v>
      </c>
    </row>
    <row r="2398" spans="1:48">
      <c r="A2398" s="16" t="s">
        <v>4115</v>
      </c>
      <c r="B2398" t="s">
        <v>3801</v>
      </c>
      <c r="C2398" t="s">
        <v>4116</v>
      </c>
      <c r="D2398" s="24">
        <v>0</v>
      </c>
      <c r="E2398" s="24">
        <v>0</v>
      </c>
      <c r="F2398" s="24">
        <v>0</v>
      </c>
      <c r="G2398" s="24">
        <v>0</v>
      </c>
      <c r="H2398" s="25">
        <v>0</v>
      </c>
      <c r="I2398">
        <v>0</v>
      </c>
      <c r="J2398" s="26">
        <v>0</v>
      </c>
      <c r="K2398" s="26">
        <v>0</v>
      </c>
      <c r="L2398" s="26">
        <v>0</v>
      </c>
      <c r="M2398">
        <v>0</v>
      </c>
      <c r="N2398">
        <v>0</v>
      </c>
      <c r="O2398">
        <v>0</v>
      </c>
      <c r="P2398" t="s">
        <v>52</v>
      </c>
      <c r="Q2398" t="s">
        <v>52</v>
      </c>
      <c r="R2398" t="s">
        <v>52</v>
      </c>
      <c r="S2398" t="s">
        <v>52</v>
      </c>
      <c r="T2398" t="s">
        <v>52</v>
      </c>
      <c r="U2398" t="s">
        <v>52</v>
      </c>
      <c r="V2398" t="s">
        <v>52</v>
      </c>
      <c r="W2398" t="s">
        <v>52</v>
      </c>
      <c r="X2398" s="18" t="s">
        <v>52</v>
      </c>
      <c r="Y2398" s="18" t="s">
        <v>52</v>
      </c>
      <c r="Z2398" s="18" t="s">
        <v>52</v>
      </c>
      <c r="AA2398" s="18" t="s">
        <v>52</v>
      </c>
      <c r="AB2398" t="s">
        <v>52</v>
      </c>
      <c r="AC2398" t="s">
        <v>52</v>
      </c>
      <c r="AD2398" t="s">
        <v>52</v>
      </c>
      <c r="AE2398" t="s">
        <v>52</v>
      </c>
      <c r="AF2398" s="18" t="s">
        <v>52</v>
      </c>
      <c r="AG2398" s="18" t="s">
        <v>52</v>
      </c>
      <c r="AH2398" s="18" t="s">
        <v>52</v>
      </c>
      <c r="AI2398" s="18" t="s">
        <v>52</v>
      </c>
      <c r="AJ2398">
        <v>7</v>
      </c>
      <c r="AK2398">
        <v>9</v>
      </c>
      <c r="AL2398">
        <v>9</v>
      </c>
      <c r="AM2398">
        <v>5</v>
      </c>
      <c r="AN2398" s="18">
        <v>0</v>
      </c>
      <c r="AO2398" s="18">
        <v>0</v>
      </c>
      <c r="AP2398" s="18">
        <v>0</v>
      </c>
      <c r="AQ2398" s="18">
        <v>0</v>
      </c>
      <c r="AR2398" s="29">
        <v>0</v>
      </c>
      <c r="AS2398" s="29">
        <v>0</v>
      </c>
      <c r="AT2398" s="29">
        <v>0</v>
      </c>
      <c r="AU2398" s="24" t="str">
        <f t="shared" si="38"/>
        <v>库存为0</v>
      </c>
      <c r="AV2398" s="31" t="str">
        <f>IFERROR(时间!$B$4+AU2398,"上周无销量")</f>
        <v>上周无销量</v>
      </c>
    </row>
    <row r="2399" spans="1:48">
      <c r="A2399" s="16" t="s">
        <v>4117</v>
      </c>
      <c r="B2399" t="s">
        <v>3804</v>
      </c>
      <c r="C2399" t="s">
        <v>4116</v>
      </c>
      <c r="D2399" s="24">
        <v>0</v>
      </c>
      <c r="E2399" s="24">
        <v>1</v>
      </c>
      <c r="F2399" s="24">
        <v>0</v>
      </c>
      <c r="G2399" s="24">
        <v>1</v>
      </c>
      <c r="H2399" s="25">
        <v>23.98</v>
      </c>
      <c r="I2399">
        <v>9</v>
      </c>
      <c r="J2399" s="26">
        <v>0</v>
      </c>
      <c r="K2399" s="26">
        <v>0</v>
      </c>
      <c r="L2399" s="26">
        <v>1</v>
      </c>
      <c r="M2399">
        <v>10</v>
      </c>
      <c r="N2399">
        <v>0</v>
      </c>
      <c r="O2399">
        <v>0</v>
      </c>
      <c r="P2399" t="s">
        <v>52</v>
      </c>
      <c r="Q2399" t="s">
        <v>52</v>
      </c>
      <c r="R2399" t="s">
        <v>52</v>
      </c>
      <c r="S2399" t="s">
        <v>52</v>
      </c>
      <c r="T2399" t="s">
        <v>52</v>
      </c>
      <c r="U2399" t="s">
        <v>52</v>
      </c>
      <c r="V2399" t="s">
        <v>52</v>
      </c>
      <c r="W2399" t="s">
        <v>52</v>
      </c>
      <c r="X2399" s="18" t="s">
        <v>52</v>
      </c>
      <c r="Y2399" s="18" t="s">
        <v>52</v>
      </c>
      <c r="Z2399" s="18" t="s">
        <v>52</v>
      </c>
      <c r="AA2399" s="18" t="s">
        <v>52</v>
      </c>
      <c r="AB2399" t="s">
        <v>52</v>
      </c>
      <c r="AC2399" t="s">
        <v>52</v>
      </c>
      <c r="AD2399" t="s">
        <v>52</v>
      </c>
      <c r="AE2399" t="s">
        <v>52</v>
      </c>
      <c r="AF2399" s="18" t="s">
        <v>52</v>
      </c>
      <c r="AG2399" s="18" t="s">
        <v>52</v>
      </c>
      <c r="AH2399" s="18" t="s">
        <v>52</v>
      </c>
      <c r="AI2399" s="18" t="s">
        <v>52</v>
      </c>
      <c r="AJ2399">
        <v>11</v>
      </c>
      <c r="AK2399">
        <v>9</v>
      </c>
      <c r="AL2399">
        <v>11</v>
      </c>
      <c r="AM2399">
        <v>8</v>
      </c>
      <c r="AN2399" s="18">
        <v>0</v>
      </c>
      <c r="AO2399" s="18">
        <v>0.111111111111111</v>
      </c>
      <c r="AP2399" s="18">
        <v>0</v>
      </c>
      <c r="AQ2399" s="18">
        <v>0.125</v>
      </c>
      <c r="AR2399" s="29">
        <v>0</v>
      </c>
      <c r="AS2399" s="29">
        <v>0</v>
      </c>
      <c r="AT2399" s="29">
        <v>10</v>
      </c>
      <c r="AU2399" s="24" t="str">
        <f t="shared" si="38"/>
        <v>库存为10</v>
      </c>
      <c r="AV2399" s="31" t="str">
        <f>IFERROR(时间!$B$4+AU2399,"上周无销量")</f>
        <v>上周无销量</v>
      </c>
    </row>
    <row r="2400" spans="1:48">
      <c r="A2400" s="16" t="s">
        <v>4118</v>
      </c>
      <c r="B2400" t="s">
        <v>3806</v>
      </c>
      <c r="C2400" t="s">
        <v>4116</v>
      </c>
      <c r="D2400" s="24">
        <v>0</v>
      </c>
      <c r="E2400" s="24">
        <v>0</v>
      </c>
      <c r="F2400" s="24">
        <v>0</v>
      </c>
      <c r="G2400" s="24">
        <v>0</v>
      </c>
      <c r="H2400" s="25">
        <v>0</v>
      </c>
      <c r="I2400">
        <v>0</v>
      </c>
      <c r="J2400" s="26">
        <v>0</v>
      </c>
      <c r="K2400" s="26">
        <v>0</v>
      </c>
      <c r="L2400" s="26">
        <v>0</v>
      </c>
      <c r="M2400">
        <v>0</v>
      </c>
      <c r="N2400">
        <v>0</v>
      </c>
      <c r="O2400">
        <v>0</v>
      </c>
      <c r="P2400" t="s">
        <v>52</v>
      </c>
      <c r="Q2400" t="s">
        <v>52</v>
      </c>
      <c r="R2400" t="s">
        <v>52</v>
      </c>
      <c r="S2400" t="s">
        <v>52</v>
      </c>
      <c r="T2400" t="s">
        <v>52</v>
      </c>
      <c r="U2400" t="s">
        <v>52</v>
      </c>
      <c r="V2400" t="s">
        <v>52</v>
      </c>
      <c r="W2400" t="s">
        <v>52</v>
      </c>
      <c r="X2400" s="18" t="s">
        <v>52</v>
      </c>
      <c r="Y2400" s="18" t="s">
        <v>52</v>
      </c>
      <c r="Z2400" s="18" t="s">
        <v>52</v>
      </c>
      <c r="AA2400" s="18" t="s">
        <v>52</v>
      </c>
      <c r="AB2400" t="s">
        <v>52</v>
      </c>
      <c r="AC2400" t="s">
        <v>52</v>
      </c>
      <c r="AD2400" t="s">
        <v>52</v>
      </c>
      <c r="AE2400" t="s">
        <v>52</v>
      </c>
      <c r="AF2400" s="18" t="s">
        <v>52</v>
      </c>
      <c r="AG2400" s="18" t="s">
        <v>52</v>
      </c>
      <c r="AH2400" s="18" t="s">
        <v>52</v>
      </c>
      <c r="AI2400" s="18" t="s">
        <v>52</v>
      </c>
      <c r="AJ2400">
        <v>20</v>
      </c>
      <c r="AK2400">
        <v>8</v>
      </c>
      <c r="AL2400">
        <v>0</v>
      </c>
      <c r="AM2400">
        <v>0</v>
      </c>
      <c r="AN2400" s="18">
        <v>0</v>
      </c>
      <c r="AO2400" s="18">
        <v>0</v>
      </c>
      <c r="AP2400" s="18" t="s">
        <v>52</v>
      </c>
      <c r="AQ2400" s="18" t="s">
        <v>52</v>
      </c>
      <c r="AR2400" s="29">
        <v>0</v>
      </c>
      <c r="AS2400" s="29">
        <v>0</v>
      </c>
      <c r="AT2400" s="29">
        <v>0</v>
      </c>
      <c r="AU2400" s="24" t="str">
        <f t="shared" si="38"/>
        <v>库存为0</v>
      </c>
      <c r="AV2400" s="31" t="str">
        <f>IFERROR(时间!$B$4+AU2400,"上周无销量")</f>
        <v>上周无销量</v>
      </c>
    </row>
    <row r="2401" spans="1:48">
      <c r="A2401" s="16" t="s">
        <v>4119</v>
      </c>
      <c r="B2401" t="s">
        <v>3808</v>
      </c>
      <c r="C2401" t="s">
        <v>4116</v>
      </c>
      <c r="D2401" s="24">
        <v>0</v>
      </c>
      <c r="E2401" s="24">
        <v>0</v>
      </c>
      <c r="F2401" s="24">
        <v>0</v>
      </c>
      <c r="G2401" s="24">
        <v>0</v>
      </c>
      <c r="H2401" s="25">
        <v>0</v>
      </c>
      <c r="I2401">
        <v>0</v>
      </c>
      <c r="J2401" s="26">
        <v>0</v>
      </c>
      <c r="K2401" s="26">
        <v>0</v>
      </c>
      <c r="L2401" s="26">
        <v>0</v>
      </c>
      <c r="M2401">
        <v>0</v>
      </c>
      <c r="N2401">
        <v>0</v>
      </c>
      <c r="O2401">
        <v>0</v>
      </c>
      <c r="P2401" t="s">
        <v>52</v>
      </c>
      <c r="Q2401" t="s">
        <v>52</v>
      </c>
      <c r="R2401" t="s">
        <v>52</v>
      </c>
      <c r="S2401" t="s">
        <v>52</v>
      </c>
      <c r="T2401" t="s">
        <v>52</v>
      </c>
      <c r="U2401" t="s">
        <v>52</v>
      </c>
      <c r="V2401" t="s">
        <v>52</v>
      </c>
      <c r="W2401" t="s">
        <v>52</v>
      </c>
      <c r="X2401" s="18" t="s">
        <v>52</v>
      </c>
      <c r="Y2401" s="18" t="s">
        <v>52</v>
      </c>
      <c r="Z2401" s="18" t="s">
        <v>52</v>
      </c>
      <c r="AA2401" s="18" t="s">
        <v>52</v>
      </c>
      <c r="AB2401" t="s">
        <v>52</v>
      </c>
      <c r="AC2401" t="s">
        <v>52</v>
      </c>
      <c r="AD2401" t="s">
        <v>52</v>
      </c>
      <c r="AE2401" t="s">
        <v>52</v>
      </c>
      <c r="AF2401" s="18" t="s">
        <v>52</v>
      </c>
      <c r="AG2401" s="18" t="s">
        <v>52</v>
      </c>
      <c r="AH2401" s="18" t="s">
        <v>52</v>
      </c>
      <c r="AI2401" s="18" t="s">
        <v>52</v>
      </c>
      <c r="AJ2401">
        <v>3</v>
      </c>
      <c r="AK2401">
        <v>5</v>
      </c>
      <c r="AL2401">
        <v>8</v>
      </c>
      <c r="AM2401">
        <v>5</v>
      </c>
      <c r="AN2401" s="18">
        <v>0</v>
      </c>
      <c r="AO2401" s="18">
        <v>0</v>
      </c>
      <c r="AP2401" s="18">
        <v>0</v>
      </c>
      <c r="AQ2401" s="18">
        <v>0</v>
      </c>
      <c r="AR2401" s="29">
        <v>0</v>
      </c>
      <c r="AS2401" s="29">
        <v>0</v>
      </c>
      <c r="AT2401" s="29">
        <v>0</v>
      </c>
      <c r="AU2401" s="24" t="str">
        <f t="shared" si="38"/>
        <v>库存为0</v>
      </c>
      <c r="AV2401" s="31" t="str">
        <f>IFERROR(时间!$B$4+AU2401,"上周无销量")</f>
        <v>上周无销量</v>
      </c>
    </row>
    <row r="2402" spans="1:48">
      <c r="A2402" s="16" t="s">
        <v>4120</v>
      </c>
      <c r="B2402" t="s">
        <v>3763</v>
      </c>
      <c r="C2402" t="s">
        <v>4116</v>
      </c>
      <c r="D2402" s="24">
        <v>0</v>
      </c>
      <c r="E2402" s="24">
        <v>0</v>
      </c>
      <c r="F2402" s="24">
        <v>0</v>
      </c>
      <c r="G2402" s="24">
        <v>0</v>
      </c>
      <c r="H2402" s="25">
        <v>0</v>
      </c>
      <c r="I2402">
        <v>0</v>
      </c>
      <c r="J2402" s="26">
        <v>0</v>
      </c>
      <c r="K2402" s="26">
        <v>0</v>
      </c>
      <c r="L2402" s="26">
        <v>0</v>
      </c>
      <c r="M2402">
        <v>0</v>
      </c>
      <c r="N2402">
        <v>0</v>
      </c>
      <c r="O2402">
        <v>0</v>
      </c>
      <c r="P2402" t="s">
        <v>52</v>
      </c>
      <c r="Q2402" t="s">
        <v>52</v>
      </c>
      <c r="R2402" t="s">
        <v>52</v>
      </c>
      <c r="S2402" t="s">
        <v>52</v>
      </c>
      <c r="T2402" t="s">
        <v>52</v>
      </c>
      <c r="U2402" t="s">
        <v>52</v>
      </c>
      <c r="V2402" t="s">
        <v>52</v>
      </c>
      <c r="W2402" t="s">
        <v>52</v>
      </c>
      <c r="X2402" s="18" t="s">
        <v>52</v>
      </c>
      <c r="Y2402" s="18" t="s">
        <v>52</v>
      </c>
      <c r="Z2402" s="18" t="s">
        <v>52</v>
      </c>
      <c r="AA2402" s="18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s="18" t="s">
        <v>52</v>
      </c>
      <c r="AG2402" s="18" t="s">
        <v>52</v>
      </c>
      <c r="AH2402" s="18" t="s">
        <v>52</v>
      </c>
      <c r="AI2402" s="18" t="s">
        <v>52</v>
      </c>
      <c r="AJ2402">
        <v>4</v>
      </c>
      <c r="AK2402">
        <v>6</v>
      </c>
      <c r="AL2402">
        <v>9</v>
      </c>
      <c r="AM2402">
        <v>3</v>
      </c>
      <c r="AN2402" s="18">
        <v>0</v>
      </c>
      <c r="AO2402" s="18">
        <v>0</v>
      </c>
      <c r="AP2402" s="18">
        <v>0</v>
      </c>
      <c r="AQ2402" s="18">
        <v>0</v>
      </c>
      <c r="AR2402" s="29">
        <v>0</v>
      </c>
      <c r="AS2402" s="29">
        <v>0</v>
      </c>
      <c r="AT2402" s="29">
        <v>0</v>
      </c>
      <c r="AU2402" s="24" t="str">
        <f t="shared" si="38"/>
        <v>库存为0</v>
      </c>
      <c r="AV2402" s="31" t="str">
        <f>IFERROR(时间!$B$4+AU2402,"上周无销量")</f>
        <v>上周无销量</v>
      </c>
    </row>
    <row r="2403" spans="1:48">
      <c r="A2403" s="16" t="s">
        <v>4121</v>
      </c>
      <c r="B2403" t="s">
        <v>3766</v>
      </c>
      <c r="C2403" t="s">
        <v>4116</v>
      </c>
      <c r="D2403" s="24">
        <v>0</v>
      </c>
      <c r="E2403" s="24">
        <v>0</v>
      </c>
      <c r="F2403" s="24">
        <v>0</v>
      </c>
      <c r="G2403" s="24">
        <v>0</v>
      </c>
      <c r="H2403" s="25">
        <v>0</v>
      </c>
      <c r="I2403">
        <v>0</v>
      </c>
      <c r="J2403" s="26">
        <v>0</v>
      </c>
      <c r="K2403" s="26">
        <v>0</v>
      </c>
      <c r="L2403" s="26">
        <v>0</v>
      </c>
      <c r="M2403">
        <v>0</v>
      </c>
      <c r="N2403">
        <v>0</v>
      </c>
      <c r="O2403">
        <v>0</v>
      </c>
      <c r="P2403" t="s">
        <v>52</v>
      </c>
      <c r="Q2403" t="s">
        <v>52</v>
      </c>
      <c r="R2403" t="s">
        <v>52</v>
      </c>
      <c r="S2403" t="s">
        <v>52</v>
      </c>
      <c r="T2403" t="s">
        <v>52</v>
      </c>
      <c r="U2403" t="s">
        <v>52</v>
      </c>
      <c r="V2403" t="s">
        <v>52</v>
      </c>
      <c r="W2403" t="s">
        <v>52</v>
      </c>
      <c r="X2403" s="18" t="s">
        <v>52</v>
      </c>
      <c r="Y2403" s="18" t="s">
        <v>52</v>
      </c>
      <c r="Z2403" s="18" t="s">
        <v>52</v>
      </c>
      <c r="AA2403" s="18" t="s">
        <v>52</v>
      </c>
      <c r="AB2403" t="s">
        <v>52</v>
      </c>
      <c r="AC2403" t="s">
        <v>52</v>
      </c>
      <c r="AD2403" t="s">
        <v>52</v>
      </c>
      <c r="AE2403" t="s">
        <v>52</v>
      </c>
      <c r="AF2403" s="18" t="s">
        <v>52</v>
      </c>
      <c r="AG2403" s="18" t="s">
        <v>52</v>
      </c>
      <c r="AH2403" s="18" t="s">
        <v>52</v>
      </c>
      <c r="AI2403" s="18" t="s">
        <v>52</v>
      </c>
      <c r="AJ2403">
        <v>16</v>
      </c>
      <c r="AK2403">
        <v>10</v>
      </c>
      <c r="AL2403">
        <v>16</v>
      </c>
      <c r="AM2403">
        <v>9</v>
      </c>
      <c r="AN2403" s="18">
        <v>0</v>
      </c>
      <c r="AO2403" s="18">
        <v>0</v>
      </c>
      <c r="AP2403" s="18">
        <v>0</v>
      </c>
      <c r="AQ2403" s="18">
        <v>0</v>
      </c>
      <c r="AR2403" s="29">
        <v>0</v>
      </c>
      <c r="AS2403" s="29">
        <v>0</v>
      </c>
      <c r="AT2403" s="29">
        <v>0</v>
      </c>
      <c r="AU2403" s="24" t="str">
        <f t="shared" si="38"/>
        <v>库存为0</v>
      </c>
      <c r="AV2403" s="31" t="str">
        <f>IFERROR(时间!$B$4+AU2403,"上周无销量")</f>
        <v>上周无销量</v>
      </c>
    </row>
    <row r="2404" spans="1:48">
      <c r="A2404" s="16" t="s">
        <v>4122</v>
      </c>
      <c r="B2404" t="s">
        <v>3772</v>
      </c>
      <c r="C2404" t="s">
        <v>4116</v>
      </c>
      <c r="D2404" s="24">
        <v>0</v>
      </c>
      <c r="E2404" s="24">
        <v>0</v>
      </c>
      <c r="F2404" s="24">
        <v>0</v>
      </c>
      <c r="G2404" s="24">
        <v>0</v>
      </c>
      <c r="H2404" s="25">
        <v>0</v>
      </c>
      <c r="I2404">
        <v>3</v>
      </c>
      <c r="J2404" s="26">
        <v>0</v>
      </c>
      <c r="K2404" s="26">
        <v>0</v>
      </c>
      <c r="L2404" s="26">
        <v>0</v>
      </c>
      <c r="M2404">
        <v>3</v>
      </c>
      <c r="N2404">
        <v>0</v>
      </c>
      <c r="O2404">
        <v>0</v>
      </c>
      <c r="P2404" t="s">
        <v>52</v>
      </c>
      <c r="Q2404" t="s">
        <v>52</v>
      </c>
      <c r="R2404" t="s">
        <v>52</v>
      </c>
      <c r="S2404" t="s">
        <v>52</v>
      </c>
      <c r="T2404" t="s">
        <v>52</v>
      </c>
      <c r="U2404" t="s">
        <v>52</v>
      </c>
      <c r="V2404" t="s">
        <v>52</v>
      </c>
      <c r="W2404" t="s">
        <v>52</v>
      </c>
      <c r="X2404" s="18" t="s">
        <v>52</v>
      </c>
      <c r="Y2404" s="18" t="s">
        <v>52</v>
      </c>
      <c r="Z2404" s="18" t="s">
        <v>52</v>
      </c>
      <c r="AA2404" s="18" t="s">
        <v>52</v>
      </c>
      <c r="AB2404" t="s">
        <v>52</v>
      </c>
      <c r="AC2404" t="s">
        <v>52</v>
      </c>
      <c r="AD2404" t="s">
        <v>52</v>
      </c>
      <c r="AE2404" t="s">
        <v>52</v>
      </c>
      <c r="AF2404" s="18" t="s">
        <v>52</v>
      </c>
      <c r="AG2404" s="18" t="s">
        <v>52</v>
      </c>
      <c r="AH2404" s="18" t="s">
        <v>52</v>
      </c>
      <c r="AI2404" s="18" t="s">
        <v>52</v>
      </c>
      <c r="AJ2404">
        <v>5</v>
      </c>
      <c r="AK2404">
        <v>12</v>
      </c>
      <c r="AL2404">
        <v>18</v>
      </c>
      <c r="AM2404">
        <v>16</v>
      </c>
      <c r="AN2404" s="18">
        <v>0</v>
      </c>
      <c r="AO2404" s="18">
        <v>0</v>
      </c>
      <c r="AP2404" s="18">
        <v>0</v>
      </c>
      <c r="AQ2404" s="18">
        <v>0</v>
      </c>
      <c r="AR2404" s="29">
        <v>0</v>
      </c>
      <c r="AS2404" s="29">
        <v>0</v>
      </c>
      <c r="AT2404" s="29">
        <v>3</v>
      </c>
      <c r="AU2404" s="24" t="str">
        <f t="shared" si="38"/>
        <v>库存为3</v>
      </c>
      <c r="AV2404" s="31" t="str">
        <f>IFERROR(时间!$B$4+AU2404,"上周无销量")</f>
        <v>上周无销量</v>
      </c>
    </row>
    <row r="2405" spans="1:48">
      <c r="A2405" s="16" t="s">
        <v>4123</v>
      </c>
      <c r="B2405" t="s">
        <v>3774</v>
      </c>
      <c r="C2405" t="s">
        <v>4116</v>
      </c>
      <c r="D2405" s="24">
        <v>0</v>
      </c>
      <c r="E2405" s="24">
        <v>0</v>
      </c>
      <c r="F2405" s="24">
        <v>0</v>
      </c>
      <c r="G2405" s="24">
        <v>0</v>
      </c>
      <c r="H2405" s="25">
        <v>0</v>
      </c>
      <c r="I2405">
        <v>0</v>
      </c>
      <c r="J2405" s="26">
        <v>0</v>
      </c>
      <c r="K2405" s="26">
        <v>0</v>
      </c>
      <c r="L2405" s="26">
        <v>0</v>
      </c>
      <c r="M2405">
        <v>0</v>
      </c>
      <c r="N2405">
        <v>0</v>
      </c>
      <c r="O2405">
        <v>0</v>
      </c>
      <c r="P2405" t="s">
        <v>52</v>
      </c>
      <c r="Q2405" t="s">
        <v>52</v>
      </c>
      <c r="R2405" t="s">
        <v>52</v>
      </c>
      <c r="S2405" t="s">
        <v>52</v>
      </c>
      <c r="T2405" t="s">
        <v>52</v>
      </c>
      <c r="U2405" t="s">
        <v>52</v>
      </c>
      <c r="V2405" t="s">
        <v>52</v>
      </c>
      <c r="W2405" t="s">
        <v>52</v>
      </c>
      <c r="X2405" s="18" t="s">
        <v>52</v>
      </c>
      <c r="Y2405" s="18" t="s">
        <v>52</v>
      </c>
      <c r="Z2405" s="18" t="s">
        <v>52</v>
      </c>
      <c r="AA2405" s="18" t="s">
        <v>52</v>
      </c>
      <c r="AB2405" t="s">
        <v>52</v>
      </c>
      <c r="AC2405" t="s">
        <v>52</v>
      </c>
      <c r="AD2405" t="s">
        <v>52</v>
      </c>
      <c r="AE2405" t="s">
        <v>52</v>
      </c>
      <c r="AF2405" s="18" t="s">
        <v>52</v>
      </c>
      <c r="AG2405" s="18" t="s">
        <v>52</v>
      </c>
      <c r="AH2405" s="18" t="s">
        <v>52</v>
      </c>
      <c r="AI2405" s="18" t="s">
        <v>52</v>
      </c>
      <c r="AJ2405">
        <v>2</v>
      </c>
      <c r="AK2405">
        <v>5</v>
      </c>
      <c r="AL2405">
        <v>6</v>
      </c>
      <c r="AM2405">
        <v>3</v>
      </c>
      <c r="AN2405" s="18">
        <v>0</v>
      </c>
      <c r="AO2405" s="18">
        <v>0</v>
      </c>
      <c r="AP2405" s="18">
        <v>0</v>
      </c>
      <c r="AQ2405" s="18">
        <v>0</v>
      </c>
      <c r="AR2405" s="29">
        <v>0</v>
      </c>
      <c r="AS2405" s="29">
        <v>0</v>
      </c>
      <c r="AT2405" s="29">
        <v>0</v>
      </c>
      <c r="AU2405" s="24" t="str">
        <f t="shared" si="38"/>
        <v>库存为0</v>
      </c>
      <c r="AV2405" s="31" t="str">
        <f>IFERROR(时间!$B$4+AU2405,"上周无销量")</f>
        <v>上周无销量</v>
      </c>
    </row>
    <row r="2406" spans="1:48">
      <c r="A2406" s="16" t="s">
        <v>4124</v>
      </c>
      <c r="B2406" t="s">
        <v>3776</v>
      </c>
      <c r="C2406" t="s">
        <v>4116</v>
      </c>
      <c r="D2406" s="24">
        <v>0</v>
      </c>
      <c r="E2406" s="24">
        <v>0</v>
      </c>
      <c r="F2406" s="24">
        <v>0</v>
      </c>
      <c r="G2406" s="24">
        <v>0</v>
      </c>
      <c r="H2406" s="25">
        <v>0</v>
      </c>
      <c r="I2406">
        <v>0</v>
      </c>
      <c r="J2406" s="26">
        <v>0</v>
      </c>
      <c r="K2406" s="26">
        <v>0</v>
      </c>
      <c r="L2406" s="26">
        <v>0</v>
      </c>
      <c r="M2406">
        <v>0</v>
      </c>
      <c r="N2406">
        <v>0</v>
      </c>
      <c r="O2406">
        <v>0</v>
      </c>
      <c r="P2406" t="s">
        <v>52</v>
      </c>
      <c r="Q2406" t="s">
        <v>52</v>
      </c>
      <c r="R2406" t="s">
        <v>52</v>
      </c>
      <c r="S2406" t="s">
        <v>52</v>
      </c>
      <c r="T2406" t="s">
        <v>52</v>
      </c>
      <c r="U2406" t="s">
        <v>52</v>
      </c>
      <c r="V2406" t="s">
        <v>52</v>
      </c>
      <c r="W2406" t="s">
        <v>52</v>
      </c>
      <c r="X2406" s="18" t="s">
        <v>52</v>
      </c>
      <c r="Y2406" s="18" t="s">
        <v>52</v>
      </c>
      <c r="Z2406" s="18" t="s">
        <v>52</v>
      </c>
      <c r="AA2406" s="18" t="s">
        <v>52</v>
      </c>
      <c r="AB2406" t="s">
        <v>52</v>
      </c>
      <c r="AC2406" t="s">
        <v>52</v>
      </c>
      <c r="AD2406" t="s">
        <v>52</v>
      </c>
      <c r="AE2406" t="s">
        <v>52</v>
      </c>
      <c r="AF2406" s="18" t="s">
        <v>52</v>
      </c>
      <c r="AG2406" s="18" t="s">
        <v>52</v>
      </c>
      <c r="AH2406" s="18" t="s">
        <v>52</v>
      </c>
      <c r="AI2406" s="18" t="s">
        <v>52</v>
      </c>
      <c r="AJ2406">
        <v>9</v>
      </c>
      <c r="AK2406">
        <v>3</v>
      </c>
      <c r="AL2406">
        <v>3</v>
      </c>
      <c r="AM2406">
        <v>7</v>
      </c>
      <c r="AN2406" s="18">
        <v>0</v>
      </c>
      <c r="AO2406" s="18">
        <v>0</v>
      </c>
      <c r="AP2406" s="18">
        <v>0</v>
      </c>
      <c r="AQ2406" s="18">
        <v>0</v>
      </c>
      <c r="AR2406" s="29">
        <v>0</v>
      </c>
      <c r="AS2406" s="29">
        <v>0</v>
      </c>
      <c r="AT2406" s="29">
        <v>0</v>
      </c>
      <c r="AU2406" s="24" t="str">
        <f t="shared" si="38"/>
        <v>库存为0</v>
      </c>
      <c r="AV2406" s="31" t="str">
        <f>IFERROR(时间!$B$4+AU2406,"上周无销量")</f>
        <v>上周无销量</v>
      </c>
    </row>
    <row r="2407" spans="1:48">
      <c r="A2407" s="16" t="s">
        <v>4125</v>
      </c>
      <c r="B2407" t="s">
        <v>3778</v>
      </c>
      <c r="C2407" t="s">
        <v>4116</v>
      </c>
      <c r="D2407" s="24">
        <v>0</v>
      </c>
      <c r="E2407" s="24">
        <v>0</v>
      </c>
      <c r="F2407" s="24">
        <v>0</v>
      </c>
      <c r="G2407" s="24">
        <v>0</v>
      </c>
      <c r="H2407" s="25">
        <v>0</v>
      </c>
      <c r="I2407">
        <v>0</v>
      </c>
      <c r="J2407" s="26">
        <v>0</v>
      </c>
      <c r="K2407" s="26">
        <v>0</v>
      </c>
      <c r="L2407" s="26">
        <v>0</v>
      </c>
      <c r="M2407">
        <v>0</v>
      </c>
      <c r="N2407">
        <v>0</v>
      </c>
      <c r="O2407">
        <v>0</v>
      </c>
      <c r="P2407" t="s">
        <v>52</v>
      </c>
      <c r="Q2407" t="s">
        <v>52</v>
      </c>
      <c r="R2407" t="s">
        <v>52</v>
      </c>
      <c r="S2407" t="s">
        <v>52</v>
      </c>
      <c r="T2407" t="s">
        <v>52</v>
      </c>
      <c r="U2407" t="s">
        <v>52</v>
      </c>
      <c r="V2407" t="s">
        <v>52</v>
      </c>
      <c r="W2407" t="s">
        <v>52</v>
      </c>
      <c r="X2407" s="18" t="s">
        <v>52</v>
      </c>
      <c r="Y2407" s="18" t="s">
        <v>52</v>
      </c>
      <c r="Z2407" s="18" t="s">
        <v>52</v>
      </c>
      <c r="AA2407" s="18" t="s">
        <v>52</v>
      </c>
      <c r="AB2407" t="s">
        <v>52</v>
      </c>
      <c r="AC2407" t="s">
        <v>52</v>
      </c>
      <c r="AD2407" t="s">
        <v>52</v>
      </c>
      <c r="AE2407" t="s">
        <v>52</v>
      </c>
      <c r="AF2407" s="18" t="s">
        <v>52</v>
      </c>
      <c r="AG2407" s="18" t="s">
        <v>52</v>
      </c>
      <c r="AH2407" s="18" t="s">
        <v>52</v>
      </c>
      <c r="AI2407" s="18" t="s">
        <v>52</v>
      </c>
      <c r="AJ2407">
        <v>8</v>
      </c>
      <c r="AK2407">
        <v>5</v>
      </c>
      <c r="AL2407">
        <v>3</v>
      </c>
      <c r="AM2407">
        <v>4</v>
      </c>
      <c r="AN2407" s="18">
        <v>0</v>
      </c>
      <c r="AO2407" s="18">
        <v>0</v>
      </c>
      <c r="AP2407" s="18">
        <v>0</v>
      </c>
      <c r="AQ2407" s="18">
        <v>0</v>
      </c>
      <c r="AR2407" s="29">
        <v>0</v>
      </c>
      <c r="AS2407" s="29">
        <v>0</v>
      </c>
      <c r="AT2407" s="29">
        <v>0</v>
      </c>
      <c r="AU2407" s="24" t="str">
        <f t="shared" si="38"/>
        <v>库存为0</v>
      </c>
      <c r="AV2407" s="31" t="str">
        <f>IFERROR(时间!$B$4+AU2407,"上周无销量")</f>
        <v>上周无销量</v>
      </c>
    </row>
    <row r="2408" spans="1:48">
      <c r="A2408" s="16" t="s">
        <v>4126</v>
      </c>
      <c r="B2408" t="s">
        <v>3780</v>
      </c>
      <c r="C2408" t="s">
        <v>4116</v>
      </c>
      <c r="D2408" s="24">
        <v>0</v>
      </c>
      <c r="E2408" s="24">
        <v>0</v>
      </c>
      <c r="F2408" s="24">
        <v>0</v>
      </c>
      <c r="G2408" s="24">
        <v>0</v>
      </c>
      <c r="H2408" s="25">
        <v>0</v>
      </c>
      <c r="I2408">
        <v>0</v>
      </c>
      <c r="J2408" s="26">
        <v>0</v>
      </c>
      <c r="K2408" s="26">
        <v>0</v>
      </c>
      <c r="L2408" s="26">
        <v>0</v>
      </c>
      <c r="M2408">
        <v>0</v>
      </c>
      <c r="N2408">
        <v>0</v>
      </c>
      <c r="O2408">
        <v>0</v>
      </c>
      <c r="P2408" t="s">
        <v>52</v>
      </c>
      <c r="Q2408" t="s">
        <v>52</v>
      </c>
      <c r="R2408" t="s">
        <v>52</v>
      </c>
      <c r="S2408" t="s">
        <v>52</v>
      </c>
      <c r="T2408" t="s">
        <v>52</v>
      </c>
      <c r="U2408" t="s">
        <v>52</v>
      </c>
      <c r="V2408" t="s">
        <v>52</v>
      </c>
      <c r="W2408" t="s">
        <v>52</v>
      </c>
      <c r="X2408" s="18" t="s">
        <v>52</v>
      </c>
      <c r="Y2408" s="18" t="s">
        <v>52</v>
      </c>
      <c r="Z2408" s="18" t="s">
        <v>52</v>
      </c>
      <c r="AA2408" s="18" t="s">
        <v>52</v>
      </c>
      <c r="AB2408" t="s">
        <v>52</v>
      </c>
      <c r="AC2408" t="s">
        <v>52</v>
      </c>
      <c r="AD2408" t="s">
        <v>52</v>
      </c>
      <c r="AE2408" t="s">
        <v>52</v>
      </c>
      <c r="AF2408" s="18" t="s">
        <v>52</v>
      </c>
      <c r="AG2408" s="18" t="s">
        <v>52</v>
      </c>
      <c r="AH2408" s="18" t="s">
        <v>52</v>
      </c>
      <c r="AI2408" s="18" t="s">
        <v>52</v>
      </c>
      <c r="AJ2408">
        <v>2</v>
      </c>
      <c r="AK2408">
        <v>4</v>
      </c>
      <c r="AL2408">
        <v>6</v>
      </c>
      <c r="AM2408">
        <v>2</v>
      </c>
      <c r="AN2408" s="18">
        <v>0</v>
      </c>
      <c r="AO2408" s="18">
        <v>0</v>
      </c>
      <c r="AP2408" s="18">
        <v>0</v>
      </c>
      <c r="AQ2408" s="18">
        <v>0</v>
      </c>
      <c r="AR2408" s="29">
        <v>0</v>
      </c>
      <c r="AS2408" s="29">
        <v>0</v>
      </c>
      <c r="AT2408" s="29">
        <v>0</v>
      </c>
      <c r="AU2408" s="24" t="str">
        <f t="shared" si="38"/>
        <v>库存为0</v>
      </c>
      <c r="AV2408" s="31" t="str">
        <f>IFERROR(时间!$B$4+AU2408,"上周无销量")</f>
        <v>上周无销量</v>
      </c>
    </row>
    <row r="2409" spans="1:48">
      <c r="A2409" s="16" t="s">
        <v>4127</v>
      </c>
      <c r="B2409" t="s">
        <v>3782</v>
      </c>
      <c r="C2409" t="s">
        <v>4116</v>
      </c>
      <c r="D2409" s="24">
        <v>0</v>
      </c>
      <c r="E2409" s="24">
        <v>0</v>
      </c>
      <c r="F2409" s="24">
        <v>0</v>
      </c>
      <c r="G2409" s="24">
        <v>0</v>
      </c>
      <c r="H2409" s="25">
        <v>0</v>
      </c>
      <c r="I2409">
        <v>0</v>
      </c>
      <c r="J2409" s="26">
        <v>0</v>
      </c>
      <c r="K2409" s="26">
        <v>0</v>
      </c>
      <c r="L2409" s="26">
        <v>0</v>
      </c>
      <c r="M2409">
        <v>0</v>
      </c>
      <c r="N2409">
        <v>0</v>
      </c>
      <c r="O2409">
        <v>0</v>
      </c>
      <c r="P2409" t="s">
        <v>52</v>
      </c>
      <c r="Q2409" t="s">
        <v>52</v>
      </c>
      <c r="R2409" t="s">
        <v>52</v>
      </c>
      <c r="S2409" t="s">
        <v>52</v>
      </c>
      <c r="T2409" t="s">
        <v>52</v>
      </c>
      <c r="U2409" t="s">
        <v>52</v>
      </c>
      <c r="V2409" t="s">
        <v>52</v>
      </c>
      <c r="W2409" t="s">
        <v>52</v>
      </c>
      <c r="X2409" s="18" t="s">
        <v>52</v>
      </c>
      <c r="Y2409" s="18" t="s">
        <v>52</v>
      </c>
      <c r="Z2409" s="18" t="s">
        <v>52</v>
      </c>
      <c r="AA2409" s="18" t="s">
        <v>52</v>
      </c>
      <c r="AB2409" t="s">
        <v>52</v>
      </c>
      <c r="AC2409" t="s">
        <v>52</v>
      </c>
      <c r="AD2409" t="s">
        <v>52</v>
      </c>
      <c r="AE2409" t="s">
        <v>52</v>
      </c>
      <c r="AF2409" s="18" t="s">
        <v>52</v>
      </c>
      <c r="AG2409" s="18" t="s">
        <v>52</v>
      </c>
      <c r="AH2409" s="18" t="s">
        <v>52</v>
      </c>
      <c r="AI2409" s="18" t="s">
        <v>52</v>
      </c>
      <c r="AJ2409">
        <v>4</v>
      </c>
      <c r="AK2409">
        <v>6</v>
      </c>
      <c r="AL2409">
        <v>3</v>
      </c>
      <c r="AM2409">
        <v>3</v>
      </c>
      <c r="AN2409" s="18">
        <v>0</v>
      </c>
      <c r="AO2409" s="18">
        <v>0</v>
      </c>
      <c r="AP2409" s="18">
        <v>0</v>
      </c>
      <c r="AQ2409" s="18">
        <v>0</v>
      </c>
      <c r="AR2409" s="29">
        <v>0</v>
      </c>
      <c r="AS2409" s="29">
        <v>0</v>
      </c>
      <c r="AT2409" s="29">
        <v>0</v>
      </c>
      <c r="AU2409" s="24" t="str">
        <f t="shared" si="38"/>
        <v>库存为0</v>
      </c>
      <c r="AV2409" s="31" t="str">
        <f>IFERROR(时间!$B$4+AU2409,"上周无销量")</f>
        <v>上周无销量</v>
      </c>
    </row>
    <row r="2410" spans="1:48">
      <c r="A2410" s="16" t="s">
        <v>4128</v>
      </c>
      <c r="B2410" t="s">
        <v>3784</v>
      </c>
      <c r="C2410" t="s">
        <v>4116</v>
      </c>
      <c r="D2410" s="24">
        <v>0</v>
      </c>
      <c r="E2410" s="24">
        <v>0</v>
      </c>
      <c r="F2410" s="24">
        <v>0</v>
      </c>
      <c r="G2410" s="24">
        <v>0</v>
      </c>
      <c r="H2410" s="25">
        <v>0</v>
      </c>
      <c r="I2410">
        <v>0</v>
      </c>
      <c r="J2410" s="26">
        <v>0</v>
      </c>
      <c r="K2410" s="26">
        <v>0</v>
      </c>
      <c r="L2410" s="26">
        <v>0</v>
      </c>
      <c r="M2410">
        <v>0</v>
      </c>
      <c r="N2410">
        <v>0</v>
      </c>
      <c r="O2410">
        <v>0</v>
      </c>
      <c r="P2410" t="s">
        <v>52</v>
      </c>
      <c r="Q2410" t="s">
        <v>52</v>
      </c>
      <c r="R2410" t="s">
        <v>52</v>
      </c>
      <c r="S2410" t="s">
        <v>52</v>
      </c>
      <c r="T2410" t="s">
        <v>52</v>
      </c>
      <c r="U2410" t="s">
        <v>52</v>
      </c>
      <c r="V2410" t="s">
        <v>52</v>
      </c>
      <c r="W2410" t="s">
        <v>52</v>
      </c>
      <c r="X2410" s="18" t="s">
        <v>52</v>
      </c>
      <c r="Y2410" s="18" t="s">
        <v>52</v>
      </c>
      <c r="Z2410" s="18" t="s">
        <v>52</v>
      </c>
      <c r="AA2410" s="18" t="s">
        <v>52</v>
      </c>
      <c r="AB2410" t="s">
        <v>52</v>
      </c>
      <c r="AC2410" t="s">
        <v>52</v>
      </c>
      <c r="AD2410" t="s">
        <v>52</v>
      </c>
      <c r="AE2410" t="s">
        <v>52</v>
      </c>
      <c r="AF2410" s="18" t="s">
        <v>52</v>
      </c>
      <c r="AG2410" s="18" t="s">
        <v>52</v>
      </c>
      <c r="AH2410" s="18" t="s">
        <v>52</v>
      </c>
      <c r="AI2410" s="18" t="s">
        <v>52</v>
      </c>
      <c r="AJ2410">
        <v>5</v>
      </c>
      <c r="AK2410">
        <v>7</v>
      </c>
      <c r="AL2410">
        <v>4</v>
      </c>
      <c r="AM2410">
        <v>2</v>
      </c>
      <c r="AN2410" s="18">
        <v>0</v>
      </c>
      <c r="AO2410" s="18">
        <v>0</v>
      </c>
      <c r="AP2410" s="18">
        <v>0</v>
      </c>
      <c r="AQ2410" s="18">
        <v>0</v>
      </c>
      <c r="AR2410" s="29">
        <v>0</v>
      </c>
      <c r="AS2410" s="29">
        <v>0</v>
      </c>
      <c r="AT2410" s="29">
        <v>0</v>
      </c>
      <c r="AU2410" s="24" t="str">
        <f t="shared" si="38"/>
        <v>库存为0</v>
      </c>
      <c r="AV2410" s="31" t="str">
        <f>IFERROR(时间!$B$4+AU2410,"上周无销量")</f>
        <v>上周无销量</v>
      </c>
    </row>
    <row r="2411" spans="1:48">
      <c r="A2411" s="16" t="s">
        <v>4129</v>
      </c>
      <c r="B2411" t="s">
        <v>3786</v>
      </c>
      <c r="C2411" t="s">
        <v>4116</v>
      </c>
      <c r="D2411" s="24">
        <v>0</v>
      </c>
      <c r="E2411" s="24">
        <v>0</v>
      </c>
      <c r="F2411" s="24">
        <v>0</v>
      </c>
      <c r="G2411" s="24">
        <v>0</v>
      </c>
      <c r="H2411" s="25">
        <v>0</v>
      </c>
      <c r="I2411">
        <v>0</v>
      </c>
      <c r="J2411" s="26">
        <v>0</v>
      </c>
      <c r="K2411" s="26">
        <v>0</v>
      </c>
      <c r="L2411" s="26">
        <v>0</v>
      </c>
      <c r="M2411">
        <v>0</v>
      </c>
      <c r="N2411">
        <v>0</v>
      </c>
      <c r="O2411">
        <v>0</v>
      </c>
      <c r="P2411" t="s">
        <v>52</v>
      </c>
      <c r="Q2411" t="s">
        <v>52</v>
      </c>
      <c r="R2411" t="s">
        <v>52</v>
      </c>
      <c r="S2411" t="s">
        <v>52</v>
      </c>
      <c r="T2411" t="s">
        <v>52</v>
      </c>
      <c r="U2411" t="s">
        <v>52</v>
      </c>
      <c r="V2411" t="s">
        <v>52</v>
      </c>
      <c r="W2411" t="s">
        <v>52</v>
      </c>
      <c r="X2411" s="18" t="s">
        <v>52</v>
      </c>
      <c r="Y2411" s="18" t="s">
        <v>52</v>
      </c>
      <c r="Z2411" s="18" t="s">
        <v>52</v>
      </c>
      <c r="AA2411" s="18" t="s">
        <v>52</v>
      </c>
      <c r="AB2411" t="s">
        <v>52</v>
      </c>
      <c r="AC2411" t="s">
        <v>52</v>
      </c>
      <c r="AD2411" t="s">
        <v>52</v>
      </c>
      <c r="AE2411" t="s">
        <v>52</v>
      </c>
      <c r="AF2411" s="18" t="s">
        <v>52</v>
      </c>
      <c r="AG2411" s="18" t="s">
        <v>52</v>
      </c>
      <c r="AH2411" s="18" t="s">
        <v>52</v>
      </c>
      <c r="AI2411" s="18" t="s">
        <v>52</v>
      </c>
      <c r="AJ2411">
        <v>9</v>
      </c>
      <c r="AK2411">
        <v>5</v>
      </c>
      <c r="AL2411">
        <v>10</v>
      </c>
      <c r="AM2411">
        <v>8</v>
      </c>
      <c r="AN2411" s="18">
        <v>0</v>
      </c>
      <c r="AO2411" s="18">
        <v>0</v>
      </c>
      <c r="AP2411" s="18">
        <v>0</v>
      </c>
      <c r="AQ2411" s="18">
        <v>0</v>
      </c>
      <c r="AR2411" s="29">
        <v>0</v>
      </c>
      <c r="AS2411" s="29">
        <v>0</v>
      </c>
      <c r="AT2411" s="29">
        <v>0</v>
      </c>
      <c r="AU2411" s="24" t="str">
        <f t="shared" si="38"/>
        <v>库存为0</v>
      </c>
      <c r="AV2411" s="31" t="str">
        <f>IFERROR(时间!$B$4+AU2411,"上周无销量")</f>
        <v>上周无销量</v>
      </c>
    </row>
    <row r="2412" spans="1:48">
      <c r="A2412" s="16" t="s">
        <v>4130</v>
      </c>
      <c r="B2412" t="s">
        <v>3788</v>
      </c>
      <c r="C2412" t="s">
        <v>4116</v>
      </c>
      <c r="D2412" s="24">
        <v>0</v>
      </c>
      <c r="E2412" s="24">
        <v>0</v>
      </c>
      <c r="F2412" s="24">
        <v>0</v>
      </c>
      <c r="G2412" s="24">
        <v>0</v>
      </c>
      <c r="H2412" s="25">
        <v>0</v>
      </c>
      <c r="I2412">
        <v>0</v>
      </c>
      <c r="J2412" s="26">
        <v>0</v>
      </c>
      <c r="K2412" s="26">
        <v>0</v>
      </c>
      <c r="L2412" s="26">
        <v>0</v>
      </c>
      <c r="M2412">
        <v>0</v>
      </c>
      <c r="N2412">
        <v>0</v>
      </c>
      <c r="O2412">
        <v>0</v>
      </c>
      <c r="P2412" t="s">
        <v>52</v>
      </c>
      <c r="Q2412" t="s">
        <v>52</v>
      </c>
      <c r="R2412" t="s">
        <v>52</v>
      </c>
      <c r="S2412" t="s">
        <v>52</v>
      </c>
      <c r="T2412" t="s">
        <v>52</v>
      </c>
      <c r="U2412" t="s">
        <v>52</v>
      </c>
      <c r="V2412" t="s">
        <v>52</v>
      </c>
      <c r="W2412" t="s">
        <v>52</v>
      </c>
      <c r="X2412" s="18" t="s">
        <v>52</v>
      </c>
      <c r="Y2412" s="18" t="s">
        <v>52</v>
      </c>
      <c r="Z2412" s="18" t="s">
        <v>52</v>
      </c>
      <c r="AA2412" s="18" t="s">
        <v>52</v>
      </c>
      <c r="AB2412" t="s">
        <v>52</v>
      </c>
      <c r="AC2412" t="s">
        <v>52</v>
      </c>
      <c r="AD2412" t="s">
        <v>52</v>
      </c>
      <c r="AE2412" t="s">
        <v>52</v>
      </c>
      <c r="AF2412" s="18" t="s">
        <v>52</v>
      </c>
      <c r="AG2412" s="18" t="s">
        <v>52</v>
      </c>
      <c r="AH2412" s="18" t="s">
        <v>52</v>
      </c>
      <c r="AI2412" s="18" t="s">
        <v>52</v>
      </c>
      <c r="AJ2412">
        <v>4</v>
      </c>
      <c r="AK2412">
        <v>8</v>
      </c>
      <c r="AL2412">
        <v>5</v>
      </c>
      <c r="AM2412">
        <v>2</v>
      </c>
      <c r="AN2412" s="18">
        <v>0</v>
      </c>
      <c r="AO2412" s="18">
        <v>0</v>
      </c>
      <c r="AP2412" s="18">
        <v>0</v>
      </c>
      <c r="AQ2412" s="18">
        <v>0</v>
      </c>
      <c r="AR2412" s="29">
        <v>0</v>
      </c>
      <c r="AS2412" s="29">
        <v>0</v>
      </c>
      <c r="AT2412" s="29">
        <v>0</v>
      </c>
      <c r="AU2412" s="24" t="str">
        <f t="shared" si="38"/>
        <v>库存为0</v>
      </c>
      <c r="AV2412" s="31" t="str">
        <f>IFERROR(时间!$B$4+AU2412,"上周无销量")</f>
        <v>上周无销量</v>
      </c>
    </row>
    <row r="2413" spans="1:48">
      <c r="A2413" s="16" t="s">
        <v>4131</v>
      </c>
      <c r="B2413" t="s">
        <v>3790</v>
      </c>
      <c r="C2413" t="s">
        <v>4116</v>
      </c>
      <c r="D2413" s="24">
        <v>0</v>
      </c>
      <c r="E2413" s="24">
        <v>0</v>
      </c>
      <c r="F2413" s="24">
        <v>0</v>
      </c>
      <c r="G2413" s="24">
        <v>0</v>
      </c>
      <c r="H2413" s="25">
        <v>0</v>
      </c>
      <c r="I2413">
        <v>0</v>
      </c>
      <c r="J2413" s="26">
        <v>0</v>
      </c>
      <c r="K2413" s="26">
        <v>0</v>
      </c>
      <c r="L2413" s="26">
        <v>0</v>
      </c>
      <c r="M2413">
        <v>0</v>
      </c>
      <c r="N2413">
        <v>0</v>
      </c>
      <c r="O2413">
        <v>0</v>
      </c>
      <c r="P2413" t="s">
        <v>52</v>
      </c>
      <c r="Q2413" t="s">
        <v>52</v>
      </c>
      <c r="R2413" t="s">
        <v>52</v>
      </c>
      <c r="S2413" t="s">
        <v>52</v>
      </c>
      <c r="T2413" t="s">
        <v>52</v>
      </c>
      <c r="U2413" t="s">
        <v>52</v>
      </c>
      <c r="V2413" t="s">
        <v>52</v>
      </c>
      <c r="W2413" t="s">
        <v>52</v>
      </c>
      <c r="X2413" s="18" t="s">
        <v>52</v>
      </c>
      <c r="Y2413" s="18" t="s">
        <v>52</v>
      </c>
      <c r="Z2413" s="18" t="s">
        <v>52</v>
      </c>
      <c r="AA2413" s="18" t="s">
        <v>52</v>
      </c>
      <c r="AB2413" t="s">
        <v>52</v>
      </c>
      <c r="AC2413" t="s">
        <v>52</v>
      </c>
      <c r="AD2413" t="s">
        <v>52</v>
      </c>
      <c r="AE2413" t="s">
        <v>52</v>
      </c>
      <c r="AF2413" s="18" t="s">
        <v>52</v>
      </c>
      <c r="AG2413" s="18" t="s">
        <v>52</v>
      </c>
      <c r="AH2413" s="18" t="s">
        <v>52</v>
      </c>
      <c r="AI2413" s="18" t="s">
        <v>52</v>
      </c>
      <c r="AJ2413">
        <v>2</v>
      </c>
      <c r="AK2413">
        <v>4</v>
      </c>
      <c r="AL2413">
        <v>2</v>
      </c>
      <c r="AM2413">
        <v>3</v>
      </c>
      <c r="AN2413" s="18">
        <v>0</v>
      </c>
      <c r="AO2413" s="18">
        <v>0</v>
      </c>
      <c r="AP2413" s="18">
        <v>0</v>
      </c>
      <c r="AQ2413" s="18">
        <v>0</v>
      </c>
      <c r="AR2413" s="29">
        <v>0</v>
      </c>
      <c r="AS2413" s="29">
        <v>0</v>
      </c>
      <c r="AT2413" s="29">
        <v>0</v>
      </c>
      <c r="AU2413" s="24" t="str">
        <f t="shared" si="38"/>
        <v>库存为0</v>
      </c>
      <c r="AV2413" s="31" t="str">
        <f>IFERROR(时间!$B$4+AU2413,"上周无销量")</f>
        <v>上周无销量</v>
      </c>
    </row>
    <row r="2414" spans="1:48">
      <c r="A2414" s="16" t="s">
        <v>4132</v>
      </c>
      <c r="B2414" t="s">
        <v>3792</v>
      </c>
      <c r="C2414" t="s">
        <v>4116</v>
      </c>
      <c r="D2414" s="24">
        <v>0</v>
      </c>
      <c r="E2414" s="24">
        <v>0</v>
      </c>
      <c r="F2414" s="24">
        <v>0</v>
      </c>
      <c r="G2414" s="24">
        <v>0</v>
      </c>
      <c r="H2414" s="25">
        <v>0</v>
      </c>
      <c r="I2414">
        <v>0</v>
      </c>
      <c r="J2414" s="26">
        <v>0</v>
      </c>
      <c r="K2414" s="26">
        <v>0</v>
      </c>
      <c r="L2414" s="26">
        <v>0</v>
      </c>
      <c r="M2414">
        <v>0</v>
      </c>
      <c r="N2414">
        <v>0</v>
      </c>
      <c r="O2414">
        <v>0</v>
      </c>
      <c r="P2414" t="s">
        <v>52</v>
      </c>
      <c r="Q2414" t="s">
        <v>52</v>
      </c>
      <c r="R2414" t="s">
        <v>52</v>
      </c>
      <c r="S2414" t="s">
        <v>52</v>
      </c>
      <c r="T2414" t="s">
        <v>52</v>
      </c>
      <c r="U2414" t="s">
        <v>52</v>
      </c>
      <c r="V2414" t="s">
        <v>52</v>
      </c>
      <c r="W2414" t="s">
        <v>52</v>
      </c>
      <c r="X2414" s="18" t="s">
        <v>52</v>
      </c>
      <c r="Y2414" s="18" t="s">
        <v>52</v>
      </c>
      <c r="Z2414" s="18" t="s">
        <v>52</v>
      </c>
      <c r="AA2414" s="18" t="s">
        <v>52</v>
      </c>
      <c r="AB2414" t="s">
        <v>52</v>
      </c>
      <c r="AC2414" t="s">
        <v>52</v>
      </c>
      <c r="AD2414" t="s">
        <v>52</v>
      </c>
      <c r="AE2414" t="s">
        <v>52</v>
      </c>
      <c r="AF2414" s="18" t="s">
        <v>52</v>
      </c>
      <c r="AG2414" s="18" t="s">
        <v>52</v>
      </c>
      <c r="AH2414" s="18" t="s">
        <v>52</v>
      </c>
      <c r="AI2414" s="18" t="s">
        <v>52</v>
      </c>
      <c r="AJ2414">
        <v>8</v>
      </c>
      <c r="AK2414">
        <v>6</v>
      </c>
      <c r="AL2414">
        <v>9</v>
      </c>
      <c r="AM2414">
        <v>6</v>
      </c>
      <c r="AN2414" s="18">
        <v>0</v>
      </c>
      <c r="AO2414" s="18">
        <v>0</v>
      </c>
      <c r="AP2414" s="18">
        <v>0</v>
      </c>
      <c r="AQ2414" s="18">
        <v>0</v>
      </c>
      <c r="AR2414" s="29">
        <v>0</v>
      </c>
      <c r="AS2414" s="29">
        <v>0</v>
      </c>
      <c r="AT2414" s="29">
        <v>0</v>
      </c>
      <c r="AU2414" s="24" t="str">
        <f t="shared" si="38"/>
        <v>库存为0</v>
      </c>
      <c r="AV2414" s="31" t="str">
        <f>IFERROR(时间!$B$4+AU2414,"上周无销量")</f>
        <v>上周无销量</v>
      </c>
    </row>
    <row r="2415" spans="1:48">
      <c r="A2415" s="16" t="s">
        <v>4133</v>
      </c>
      <c r="B2415" t="s">
        <v>3795</v>
      </c>
      <c r="C2415" t="s">
        <v>4116</v>
      </c>
      <c r="D2415" s="24">
        <v>0</v>
      </c>
      <c r="E2415" s="24">
        <v>0</v>
      </c>
      <c r="F2415" s="24">
        <v>0</v>
      </c>
      <c r="G2415" s="24">
        <v>0</v>
      </c>
      <c r="H2415" s="25">
        <v>0</v>
      </c>
      <c r="I2415">
        <v>0</v>
      </c>
      <c r="J2415" s="26">
        <v>0</v>
      </c>
      <c r="K2415" s="26">
        <v>0</v>
      </c>
      <c r="L2415" s="26">
        <v>0</v>
      </c>
      <c r="M2415">
        <v>0</v>
      </c>
      <c r="N2415">
        <v>0</v>
      </c>
      <c r="O2415">
        <v>0</v>
      </c>
      <c r="P2415" t="s">
        <v>52</v>
      </c>
      <c r="Q2415" t="s">
        <v>52</v>
      </c>
      <c r="R2415" t="s">
        <v>52</v>
      </c>
      <c r="S2415" t="s">
        <v>52</v>
      </c>
      <c r="T2415" t="s">
        <v>52</v>
      </c>
      <c r="U2415" t="s">
        <v>52</v>
      </c>
      <c r="V2415" t="s">
        <v>52</v>
      </c>
      <c r="W2415" t="s">
        <v>52</v>
      </c>
      <c r="X2415" s="18" t="s">
        <v>52</v>
      </c>
      <c r="Y2415" s="18" t="s">
        <v>52</v>
      </c>
      <c r="Z2415" s="18" t="s">
        <v>52</v>
      </c>
      <c r="AA2415" s="18" t="s">
        <v>52</v>
      </c>
      <c r="AB2415" t="s">
        <v>52</v>
      </c>
      <c r="AC2415" t="s">
        <v>52</v>
      </c>
      <c r="AD2415" t="s">
        <v>52</v>
      </c>
      <c r="AE2415" t="s">
        <v>52</v>
      </c>
      <c r="AF2415" s="18" t="s">
        <v>52</v>
      </c>
      <c r="AG2415" s="18" t="s">
        <v>52</v>
      </c>
      <c r="AH2415" s="18" t="s">
        <v>52</v>
      </c>
      <c r="AI2415" s="18" t="s">
        <v>52</v>
      </c>
      <c r="AJ2415">
        <v>0</v>
      </c>
      <c r="AK2415">
        <v>9</v>
      </c>
      <c r="AL2415">
        <v>5</v>
      </c>
      <c r="AM2415">
        <v>8</v>
      </c>
      <c r="AN2415" s="18" t="s">
        <v>52</v>
      </c>
      <c r="AO2415" s="18">
        <v>0</v>
      </c>
      <c r="AP2415" s="18">
        <v>0</v>
      </c>
      <c r="AQ2415" s="18">
        <v>0</v>
      </c>
      <c r="AR2415" s="29">
        <v>0</v>
      </c>
      <c r="AS2415" s="29">
        <v>0</v>
      </c>
      <c r="AT2415" s="29">
        <v>0</v>
      </c>
      <c r="AU2415" s="24" t="str">
        <f t="shared" si="38"/>
        <v>库存为0</v>
      </c>
      <c r="AV2415" s="31" t="str">
        <f>IFERROR(时间!$B$4+AU2415,"上周无销量")</f>
        <v>上周无销量</v>
      </c>
    </row>
    <row r="2416" spans="1:48">
      <c r="A2416" s="16" t="s">
        <v>4134</v>
      </c>
      <c r="B2416" t="s">
        <v>3797</v>
      </c>
      <c r="C2416" t="s">
        <v>4116</v>
      </c>
      <c r="D2416" s="24">
        <v>0</v>
      </c>
      <c r="E2416" s="24">
        <v>0</v>
      </c>
      <c r="F2416" s="24">
        <v>1</v>
      </c>
      <c r="G2416" s="24">
        <v>1</v>
      </c>
      <c r="H2416" s="25">
        <v>23.98</v>
      </c>
      <c r="I2416">
        <v>4</v>
      </c>
      <c r="J2416" s="26">
        <v>0</v>
      </c>
      <c r="K2416" s="26">
        <v>0</v>
      </c>
      <c r="L2416" s="26">
        <v>0</v>
      </c>
      <c r="M2416">
        <v>4</v>
      </c>
      <c r="N2416">
        <v>0</v>
      </c>
      <c r="O2416">
        <v>0</v>
      </c>
      <c r="P2416" t="s">
        <v>52</v>
      </c>
      <c r="Q2416" t="s">
        <v>52</v>
      </c>
      <c r="R2416" t="s">
        <v>52</v>
      </c>
      <c r="S2416" t="s">
        <v>52</v>
      </c>
      <c r="T2416" t="s">
        <v>52</v>
      </c>
      <c r="U2416" t="s">
        <v>52</v>
      </c>
      <c r="V2416" t="s">
        <v>52</v>
      </c>
      <c r="W2416" t="s">
        <v>52</v>
      </c>
      <c r="X2416" s="18" t="s">
        <v>52</v>
      </c>
      <c r="Y2416" s="18" t="s">
        <v>52</v>
      </c>
      <c r="Z2416" s="18" t="s">
        <v>52</v>
      </c>
      <c r="AA2416" s="18" t="s">
        <v>52</v>
      </c>
      <c r="AB2416" t="s">
        <v>52</v>
      </c>
      <c r="AC2416" t="s">
        <v>52</v>
      </c>
      <c r="AD2416" t="s">
        <v>52</v>
      </c>
      <c r="AE2416" t="s">
        <v>52</v>
      </c>
      <c r="AF2416" s="18" t="s">
        <v>52</v>
      </c>
      <c r="AG2416" s="18" t="s">
        <v>52</v>
      </c>
      <c r="AH2416" s="18" t="s">
        <v>52</v>
      </c>
      <c r="AI2416" s="18" t="s">
        <v>52</v>
      </c>
      <c r="AJ2416">
        <v>15</v>
      </c>
      <c r="AK2416">
        <v>7</v>
      </c>
      <c r="AL2416">
        <v>6</v>
      </c>
      <c r="AM2416">
        <v>8</v>
      </c>
      <c r="AN2416" s="18">
        <v>0</v>
      </c>
      <c r="AO2416" s="18">
        <v>0</v>
      </c>
      <c r="AP2416" s="18">
        <v>0.166666666666667</v>
      </c>
      <c r="AQ2416" s="18">
        <v>0.125</v>
      </c>
      <c r="AR2416" s="29">
        <v>0</v>
      </c>
      <c r="AS2416" s="29">
        <v>0</v>
      </c>
      <c r="AT2416" s="29">
        <v>4</v>
      </c>
      <c r="AU2416" s="24" t="str">
        <f t="shared" si="38"/>
        <v>库存为4</v>
      </c>
      <c r="AV2416" s="31" t="str">
        <f>IFERROR(时间!$B$4+AU2416,"上周无销量")</f>
        <v>上周无销量</v>
      </c>
    </row>
    <row r="2417" spans="1:48">
      <c r="A2417" s="16" t="s">
        <v>4135</v>
      </c>
      <c r="B2417" t="s">
        <v>3799</v>
      </c>
      <c r="C2417" t="s">
        <v>4116</v>
      </c>
      <c r="D2417" s="24">
        <v>0</v>
      </c>
      <c r="E2417" s="24">
        <v>0</v>
      </c>
      <c r="F2417" s="24">
        <v>0</v>
      </c>
      <c r="G2417" s="24">
        <v>0</v>
      </c>
      <c r="H2417" s="25">
        <v>0</v>
      </c>
      <c r="I2417">
        <v>0</v>
      </c>
      <c r="J2417" s="26">
        <v>0</v>
      </c>
      <c r="K2417" s="26">
        <v>0</v>
      </c>
      <c r="L2417" s="26">
        <v>0</v>
      </c>
      <c r="M2417">
        <v>0</v>
      </c>
      <c r="N2417">
        <v>0</v>
      </c>
      <c r="O2417">
        <v>0</v>
      </c>
      <c r="P2417" t="s">
        <v>52</v>
      </c>
      <c r="Q2417" t="s">
        <v>52</v>
      </c>
      <c r="R2417" t="s">
        <v>52</v>
      </c>
      <c r="S2417" t="s">
        <v>52</v>
      </c>
      <c r="T2417" t="s">
        <v>52</v>
      </c>
      <c r="U2417" t="s">
        <v>52</v>
      </c>
      <c r="V2417" t="s">
        <v>52</v>
      </c>
      <c r="W2417" t="s">
        <v>52</v>
      </c>
      <c r="X2417" s="18" t="s">
        <v>52</v>
      </c>
      <c r="Y2417" s="18" t="s">
        <v>52</v>
      </c>
      <c r="Z2417" s="18" t="s">
        <v>52</v>
      </c>
      <c r="AA2417" s="18" t="s">
        <v>52</v>
      </c>
      <c r="AB2417" t="s">
        <v>52</v>
      </c>
      <c r="AC2417" t="s">
        <v>52</v>
      </c>
      <c r="AD2417" t="s">
        <v>52</v>
      </c>
      <c r="AE2417" t="s">
        <v>52</v>
      </c>
      <c r="AF2417" s="18" t="s">
        <v>52</v>
      </c>
      <c r="AG2417" s="18" t="s">
        <v>52</v>
      </c>
      <c r="AH2417" s="18" t="s">
        <v>52</v>
      </c>
      <c r="AI2417" s="18" t="s">
        <v>52</v>
      </c>
      <c r="AJ2417">
        <v>7</v>
      </c>
      <c r="AK2417">
        <v>6</v>
      </c>
      <c r="AL2417">
        <v>7</v>
      </c>
      <c r="AM2417">
        <v>5</v>
      </c>
      <c r="AN2417" s="18">
        <v>0</v>
      </c>
      <c r="AO2417" s="18">
        <v>0</v>
      </c>
      <c r="AP2417" s="18">
        <v>0</v>
      </c>
      <c r="AQ2417" s="18">
        <v>0</v>
      </c>
      <c r="AR2417" s="29">
        <v>0</v>
      </c>
      <c r="AS2417" s="29">
        <v>0</v>
      </c>
      <c r="AT2417" s="29">
        <v>0</v>
      </c>
      <c r="AU2417" s="24" t="str">
        <f t="shared" si="38"/>
        <v>库存为0</v>
      </c>
      <c r="AV2417" s="31" t="str">
        <f>IFERROR(时间!$B$4+AU2417,"上周无销量")</f>
        <v>上周无销量</v>
      </c>
    </row>
    <row r="2418" spans="1:48">
      <c r="A2418" s="16" t="s">
        <v>4136</v>
      </c>
      <c r="B2418" t="s">
        <v>3810</v>
      </c>
      <c r="C2418" t="s">
        <v>4116</v>
      </c>
      <c r="D2418" s="24">
        <v>0</v>
      </c>
      <c r="E2418" s="24">
        <v>0</v>
      </c>
      <c r="F2418" s="24">
        <v>0</v>
      </c>
      <c r="G2418" s="24">
        <v>0</v>
      </c>
      <c r="H2418" s="25">
        <v>0</v>
      </c>
      <c r="I2418">
        <v>0</v>
      </c>
      <c r="J2418" s="26">
        <v>0</v>
      </c>
      <c r="K2418" s="26">
        <v>0</v>
      </c>
      <c r="L2418" s="26">
        <v>0</v>
      </c>
      <c r="M2418">
        <v>0</v>
      </c>
      <c r="N2418">
        <v>0</v>
      </c>
      <c r="O2418">
        <v>0</v>
      </c>
      <c r="P2418" t="s">
        <v>52</v>
      </c>
      <c r="Q2418" t="s">
        <v>52</v>
      </c>
      <c r="R2418" t="s">
        <v>52</v>
      </c>
      <c r="S2418" t="s">
        <v>52</v>
      </c>
      <c r="T2418" t="s">
        <v>52</v>
      </c>
      <c r="U2418" t="s">
        <v>52</v>
      </c>
      <c r="V2418" t="s">
        <v>52</v>
      </c>
      <c r="W2418" t="s">
        <v>52</v>
      </c>
      <c r="X2418" s="18" t="s">
        <v>52</v>
      </c>
      <c r="Y2418" s="18" t="s">
        <v>52</v>
      </c>
      <c r="Z2418" s="18" t="s">
        <v>52</v>
      </c>
      <c r="AA2418" s="18" t="s">
        <v>52</v>
      </c>
      <c r="AB2418" t="s">
        <v>52</v>
      </c>
      <c r="AC2418" t="s">
        <v>52</v>
      </c>
      <c r="AD2418" t="s">
        <v>52</v>
      </c>
      <c r="AE2418" t="s">
        <v>52</v>
      </c>
      <c r="AF2418" s="18" t="s">
        <v>52</v>
      </c>
      <c r="AG2418" s="18" t="s">
        <v>52</v>
      </c>
      <c r="AH2418" s="18" t="s">
        <v>52</v>
      </c>
      <c r="AI2418" s="18" t="s">
        <v>52</v>
      </c>
      <c r="AJ2418">
        <v>0</v>
      </c>
      <c r="AK2418">
        <v>8</v>
      </c>
      <c r="AL2418">
        <v>3</v>
      </c>
      <c r="AM2418">
        <v>3</v>
      </c>
      <c r="AN2418" s="18" t="s">
        <v>52</v>
      </c>
      <c r="AO2418" s="18">
        <v>0</v>
      </c>
      <c r="AP2418" s="18">
        <v>0</v>
      </c>
      <c r="AQ2418" s="18">
        <v>0</v>
      </c>
      <c r="AR2418" s="29">
        <v>0</v>
      </c>
      <c r="AS2418" s="29">
        <v>0</v>
      </c>
      <c r="AT2418" s="29">
        <v>0</v>
      </c>
      <c r="AU2418" s="24" t="str">
        <f t="shared" si="38"/>
        <v>库存为0</v>
      </c>
      <c r="AV2418" s="31" t="str">
        <f>IFERROR(时间!$B$4+AU2418,"上周无销量")</f>
        <v>上周无销量</v>
      </c>
    </row>
    <row r="2419" spans="1:48">
      <c r="A2419" s="16" t="s">
        <v>4137</v>
      </c>
      <c r="B2419" t="s">
        <v>3812</v>
      </c>
      <c r="C2419" t="s">
        <v>4116</v>
      </c>
      <c r="D2419" s="24">
        <v>0</v>
      </c>
      <c r="E2419" s="24">
        <v>0</v>
      </c>
      <c r="F2419" s="24">
        <v>0</v>
      </c>
      <c r="G2419" s="24">
        <v>0</v>
      </c>
      <c r="H2419" s="25">
        <v>0</v>
      </c>
      <c r="I2419">
        <v>0</v>
      </c>
      <c r="J2419" s="26">
        <v>0</v>
      </c>
      <c r="K2419" s="26">
        <v>0</v>
      </c>
      <c r="L2419" s="26">
        <v>0</v>
      </c>
      <c r="M2419">
        <v>0</v>
      </c>
      <c r="N2419">
        <v>0</v>
      </c>
      <c r="O2419">
        <v>0</v>
      </c>
      <c r="P2419" t="s">
        <v>52</v>
      </c>
      <c r="Q2419" t="s">
        <v>52</v>
      </c>
      <c r="R2419" t="s">
        <v>52</v>
      </c>
      <c r="S2419" t="s">
        <v>52</v>
      </c>
      <c r="T2419" t="s">
        <v>52</v>
      </c>
      <c r="U2419" t="s">
        <v>52</v>
      </c>
      <c r="V2419" t="s">
        <v>52</v>
      </c>
      <c r="W2419" t="s">
        <v>52</v>
      </c>
      <c r="X2419" s="18" t="s">
        <v>52</v>
      </c>
      <c r="Y2419" s="18" t="s">
        <v>52</v>
      </c>
      <c r="Z2419" s="18" t="s">
        <v>52</v>
      </c>
      <c r="AA2419" s="18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s="18" t="s">
        <v>52</v>
      </c>
      <c r="AG2419" s="18" t="s">
        <v>52</v>
      </c>
      <c r="AH2419" s="18" t="s">
        <v>52</v>
      </c>
      <c r="AI2419" s="18" t="s">
        <v>52</v>
      </c>
      <c r="AJ2419">
        <v>3</v>
      </c>
      <c r="AK2419">
        <v>6</v>
      </c>
      <c r="AL2419">
        <v>7</v>
      </c>
      <c r="AM2419">
        <v>8</v>
      </c>
      <c r="AN2419" s="18">
        <v>0</v>
      </c>
      <c r="AO2419" s="18">
        <v>0</v>
      </c>
      <c r="AP2419" s="18">
        <v>0</v>
      </c>
      <c r="AQ2419" s="18">
        <v>0</v>
      </c>
      <c r="AR2419" s="29">
        <v>0</v>
      </c>
      <c r="AS2419" s="29">
        <v>0</v>
      </c>
      <c r="AT2419" s="29">
        <v>0</v>
      </c>
      <c r="AU2419" s="24" t="str">
        <f t="shared" si="38"/>
        <v>库存为0</v>
      </c>
      <c r="AV2419" s="31" t="str">
        <f>IFERROR(时间!$B$4+AU2419,"上周无销量")</f>
        <v>上周无销量</v>
      </c>
    </row>
    <row r="2420" spans="1:48">
      <c r="A2420" s="16" t="s">
        <v>4138</v>
      </c>
      <c r="B2420" t="s">
        <v>3814</v>
      </c>
      <c r="C2420" t="s">
        <v>4116</v>
      </c>
      <c r="D2420" s="24">
        <v>0</v>
      </c>
      <c r="E2420" s="24">
        <v>0</v>
      </c>
      <c r="F2420" s="24">
        <v>0</v>
      </c>
      <c r="G2420" s="24">
        <v>0</v>
      </c>
      <c r="H2420" s="25">
        <v>0</v>
      </c>
      <c r="I2420">
        <v>3</v>
      </c>
      <c r="J2420" s="26">
        <v>0</v>
      </c>
      <c r="K2420" s="26">
        <v>0</v>
      </c>
      <c r="L2420" s="26">
        <v>0</v>
      </c>
      <c r="M2420">
        <v>3</v>
      </c>
      <c r="N2420">
        <v>0</v>
      </c>
      <c r="O2420">
        <v>0</v>
      </c>
      <c r="P2420" t="s">
        <v>52</v>
      </c>
      <c r="Q2420" t="s">
        <v>52</v>
      </c>
      <c r="R2420" t="s">
        <v>52</v>
      </c>
      <c r="S2420" t="s">
        <v>52</v>
      </c>
      <c r="T2420" t="s">
        <v>52</v>
      </c>
      <c r="U2420" t="s">
        <v>52</v>
      </c>
      <c r="V2420" t="s">
        <v>52</v>
      </c>
      <c r="W2420" t="s">
        <v>52</v>
      </c>
      <c r="X2420" s="18" t="s">
        <v>52</v>
      </c>
      <c r="Y2420" s="18" t="s">
        <v>52</v>
      </c>
      <c r="Z2420" s="18" t="s">
        <v>52</v>
      </c>
      <c r="AA2420" s="18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s="18" t="s">
        <v>52</v>
      </c>
      <c r="AG2420" s="18" t="s">
        <v>52</v>
      </c>
      <c r="AH2420" s="18" t="s">
        <v>52</v>
      </c>
      <c r="AI2420" s="18" t="s">
        <v>52</v>
      </c>
      <c r="AJ2420">
        <v>2</v>
      </c>
      <c r="AK2420">
        <v>8</v>
      </c>
      <c r="AL2420">
        <v>7</v>
      </c>
      <c r="AM2420">
        <v>4</v>
      </c>
      <c r="AN2420" s="18">
        <v>0</v>
      </c>
      <c r="AO2420" s="18">
        <v>0</v>
      </c>
      <c r="AP2420" s="18">
        <v>0</v>
      </c>
      <c r="AQ2420" s="18">
        <v>0</v>
      </c>
      <c r="AR2420" s="29">
        <v>0</v>
      </c>
      <c r="AS2420" s="29">
        <v>0</v>
      </c>
      <c r="AT2420" s="29">
        <v>3</v>
      </c>
      <c r="AU2420" s="24" t="str">
        <f t="shared" si="38"/>
        <v>库存为3</v>
      </c>
      <c r="AV2420" s="31" t="str">
        <f>IFERROR(时间!$B$4+AU2420,"上周无销量")</f>
        <v>上周无销量</v>
      </c>
    </row>
    <row r="2421" spans="1:48">
      <c r="A2421" s="16" t="s">
        <v>4139</v>
      </c>
      <c r="B2421" t="s">
        <v>3816</v>
      </c>
      <c r="C2421" t="s">
        <v>4116</v>
      </c>
      <c r="D2421" s="24">
        <v>0</v>
      </c>
      <c r="E2421" s="24">
        <v>0</v>
      </c>
      <c r="F2421" s="24">
        <v>0</v>
      </c>
      <c r="G2421" s="24">
        <v>0</v>
      </c>
      <c r="H2421" s="25">
        <v>0</v>
      </c>
      <c r="I2421">
        <v>0</v>
      </c>
      <c r="J2421" s="26">
        <v>0</v>
      </c>
      <c r="K2421" s="26">
        <v>0</v>
      </c>
      <c r="L2421" s="26">
        <v>0</v>
      </c>
      <c r="M2421">
        <v>0</v>
      </c>
      <c r="N2421">
        <v>0</v>
      </c>
      <c r="O2421">
        <v>0</v>
      </c>
      <c r="P2421" t="s">
        <v>52</v>
      </c>
      <c r="Q2421" t="s">
        <v>52</v>
      </c>
      <c r="R2421" t="s">
        <v>52</v>
      </c>
      <c r="S2421" t="s">
        <v>52</v>
      </c>
      <c r="T2421" t="s">
        <v>52</v>
      </c>
      <c r="U2421" t="s">
        <v>52</v>
      </c>
      <c r="V2421" t="s">
        <v>52</v>
      </c>
      <c r="W2421" t="s">
        <v>52</v>
      </c>
      <c r="X2421" s="18" t="s">
        <v>52</v>
      </c>
      <c r="Y2421" s="18" t="s">
        <v>52</v>
      </c>
      <c r="Z2421" s="18" t="s">
        <v>52</v>
      </c>
      <c r="AA2421" s="18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s="18" t="s">
        <v>52</v>
      </c>
      <c r="AG2421" s="18" t="s">
        <v>52</v>
      </c>
      <c r="AH2421" s="18" t="s">
        <v>52</v>
      </c>
      <c r="AI2421" s="18" t="s">
        <v>52</v>
      </c>
      <c r="AJ2421">
        <v>2</v>
      </c>
      <c r="AK2421">
        <v>4</v>
      </c>
      <c r="AL2421">
        <v>5</v>
      </c>
      <c r="AM2421">
        <v>2</v>
      </c>
      <c r="AN2421" s="18">
        <v>0</v>
      </c>
      <c r="AO2421" s="18">
        <v>0</v>
      </c>
      <c r="AP2421" s="18">
        <v>0</v>
      </c>
      <c r="AQ2421" s="18">
        <v>0</v>
      </c>
      <c r="AR2421" s="29">
        <v>0</v>
      </c>
      <c r="AS2421" s="29">
        <v>0</v>
      </c>
      <c r="AT2421" s="29">
        <v>0</v>
      </c>
      <c r="AU2421" s="24" t="str">
        <f t="shared" si="38"/>
        <v>库存为0</v>
      </c>
      <c r="AV2421" s="31" t="str">
        <f>IFERROR(时间!$B$4+AU2421,"上周无销量")</f>
        <v>上周无销量</v>
      </c>
    </row>
    <row r="2422" spans="1:48">
      <c r="A2422" s="16" t="s">
        <v>4140</v>
      </c>
      <c r="B2422" t="s">
        <v>3818</v>
      </c>
      <c r="C2422" t="s">
        <v>4116</v>
      </c>
      <c r="D2422" s="24">
        <v>0</v>
      </c>
      <c r="E2422" s="24">
        <v>0</v>
      </c>
      <c r="F2422" s="24">
        <v>0</v>
      </c>
      <c r="G2422" s="24">
        <v>0</v>
      </c>
      <c r="H2422" s="25">
        <v>0</v>
      </c>
      <c r="I2422">
        <v>0</v>
      </c>
      <c r="J2422" s="26">
        <v>0</v>
      </c>
      <c r="K2422" s="26">
        <v>0</v>
      </c>
      <c r="L2422" s="26">
        <v>0</v>
      </c>
      <c r="M2422">
        <v>0</v>
      </c>
      <c r="N2422">
        <v>0</v>
      </c>
      <c r="O2422">
        <v>0</v>
      </c>
      <c r="P2422" t="s">
        <v>52</v>
      </c>
      <c r="Q2422" t="s">
        <v>52</v>
      </c>
      <c r="R2422" t="s">
        <v>52</v>
      </c>
      <c r="S2422" t="s">
        <v>52</v>
      </c>
      <c r="T2422" t="s">
        <v>52</v>
      </c>
      <c r="U2422" t="s">
        <v>52</v>
      </c>
      <c r="V2422" t="s">
        <v>52</v>
      </c>
      <c r="W2422" t="s">
        <v>52</v>
      </c>
      <c r="X2422" s="18" t="s">
        <v>52</v>
      </c>
      <c r="Y2422" s="18" t="s">
        <v>52</v>
      </c>
      <c r="Z2422" s="18" t="s">
        <v>52</v>
      </c>
      <c r="AA2422" s="18" t="s">
        <v>52</v>
      </c>
      <c r="AB2422" t="s">
        <v>52</v>
      </c>
      <c r="AC2422" t="s">
        <v>52</v>
      </c>
      <c r="AD2422" t="s">
        <v>52</v>
      </c>
      <c r="AE2422" t="s">
        <v>52</v>
      </c>
      <c r="AF2422" s="18" t="s">
        <v>52</v>
      </c>
      <c r="AG2422" s="18" t="s">
        <v>52</v>
      </c>
      <c r="AH2422" s="18" t="s">
        <v>52</v>
      </c>
      <c r="AI2422" s="18" t="s">
        <v>52</v>
      </c>
      <c r="AJ2422">
        <v>3</v>
      </c>
      <c r="AK2422">
        <v>5</v>
      </c>
      <c r="AL2422">
        <v>4</v>
      </c>
      <c r="AM2422">
        <v>5</v>
      </c>
      <c r="AN2422" s="18">
        <v>0</v>
      </c>
      <c r="AO2422" s="18">
        <v>0</v>
      </c>
      <c r="AP2422" s="18">
        <v>0</v>
      </c>
      <c r="AQ2422" s="18">
        <v>0</v>
      </c>
      <c r="AR2422" s="29">
        <v>0</v>
      </c>
      <c r="AS2422" s="29">
        <v>0</v>
      </c>
      <c r="AT2422" s="29">
        <v>0</v>
      </c>
      <c r="AU2422" s="24" t="str">
        <f t="shared" si="38"/>
        <v>库存为0</v>
      </c>
      <c r="AV2422" s="31" t="str">
        <f>IFERROR(时间!$B$4+AU2422,"上周无销量")</f>
        <v>上周无销量</v>
      </c>
    </row>
    <row r="2423" spans="1:48">
      <c r="A2423" s="16" t="s">
        <v>4141</v>
      </c>
      <c r="B2423" t="s">
        <v>3820</v>
      </c>
      <c r="C2423" t="s">
        <v>4116</v>
      </c>
      <c r="D2423" s="24">
        <v>0</v>
      </c>
      <c r="E2423" s="24">
        <v>0</v>
      </c>
      <c r="F2423" s="24">
        <v>0</v>
      </c>
      <c r="G2423" s="24">
        <v>0</v>
      </c>
      <c r="H2423" s="25">
        <v>0</v>
      </c>
      <c r="I2423">
        <v>0</v>
      </c>
      <c r="J2423" s="26">
        <v>0</v>
      </c>
      <c r="K2423" s="26">
        <v>0</v>
      </c>
      <c r="L2423" s="26">
        <v>0</v>
      </c>
      <c r="M2423">
        <v>0</v>
      </c>
      <c r="N2423">
        <v>0</v>
      </c>
      <c r="O2423">
        <v>0</v>
      </c>
      <c r="P2423" t="s">
        <v>52</v>
      </c>
      <c r="Q2423" t="s">
        <v>52</v>
      </c>
      <c r="R2423" t="s">
        <v>52</v>
      </c>
      <c r="S2423" t="s">
        <v>52</v>
      </c>
      <c r="T2423" t="s">
        <v>52</v>
      </c>
      <c r="U2423" t="s">
        <v>52</v>
      </c>
      <c r="V2423" t="s">
        <v>52</v>
      </c>
      <c r="W2423" t="s">
        <v>52</v>
      </c>
      <c r="X2423" s="18" t="s">
        <v>52</v>
      </c>
      <c r="Y2423" s="18" t="s">
        <v>52</v>
      </c>
      <c r="Z2423" s="18" t="s">
        <v>52</v>
      </c>
      <c r="AA2423" s="18" t="s">
        <v>52</v>
      </c>
      <c r="AB2423" t="s">
        <v>52</v>
      </c>
      <c r="AC2423" t="s">
        <v>52</v>
      </c>
      <c r="AD2423" t="s">
        <v>52</v>
      </c>
      <c r="AE2423" t="s">
        <v>52</v>
      </c>
      <c r="AF2423" s="18" t="s">
        <v>52</v>
      </c>
      <c r="AG2423" s="18" t="s">
        <v>52</v>
      </c>
      <c r="AH2423" s="18" t="s">
        <v>52</v>
      </c>
      <c r="AI2423" s="18" t="s">
        <v>52</v>
      </c>
      <c r="AJ2423">
        <v>9</v>
      </c>
      <c r="AK2423">
        <v>17</v>
      </c>
      <c r="AL2423">
        <v>8</v>
      </c>
      <c r="AM2423">
        <v>8</v>
      </c>
      <c r="AN2423" s="18">
        <v>0</v>
      </c>
      <c r="AO2423" s="18">
        <v>0</v>
      </c>
      <c r="AP2423" s="18">
        <v>0</v>
      </c>
      <c r="AQ2423" s="18">
        <v>0</v>
      </c>
      <c r="AR2423" s="29">
        <v>0</v>
      </c>
      <c r="AS2423" s="29">
        <v>0</v>
      </c>
      <c r="AT2423" s="29">
        <v>0</v>
      </c>
      <c r="AU2423" s="24" t="str">
        <f t="shared" si="38"/>
        <v>库存为0</v>
      </c>
      <c r="AV2423" s="31" t="str">
        <f>IFERROR(时间!$B$4+AU2423,"上周无销量")</f>
        <v>上周无销量</v>
      </c>
    </row>
    <row r="2424" spans="1:48">
      <c r="A2424" s="16" t="s">
        <v>4142</v>
      </c>
      <c r="B2424" t="s">
        <v>3822</v>
      </c>
      <c r="C2424" t="s">
        <v>4116</v>
      </c>
      <c r="D2424" s="24">
        <v>0</v>
      </c>
      <c r="E2424" s="24">
        <v>0</v>
      </c>
      <c r="F2424" s="24">
        <v>0</v>
      </c>
      <c r="G2424" s="24">
        <v>0</v>
      </c>
      <c r="H2424" s="25">
        <v>0</v>
      </c>
      <c r="I2424">
        <v>0</v>
      </c>
      <c r="J2424" s="26">
        <v>0</v>
      </c>
      <c r="K2424" s="26">
        <v>0</v>
      </c>
      <c r="L2424" s="26">
        <v>0</v>
      </c>
      <c r="M2424">
        <v>0</v>
      </c>
      <c r="N2424">
        <v>0</v>
      </c>
      <c r="O2424">
        <v>0</v>
      </c>
      <c r="P2424" t="s">
        <v>52</v>
      </c>
      <c r="Q2424" t="s">
        <v>52</v>
      </c>
      <c r="R2424" t="s">
        <v>52</v>
      </c>
      <c r="S2424" t="s">
        <v>52</v>
      </c>
      <c r="T2424" t="s">
        <v>52</v>
      </c>
      <c r="U2424" t="s">
        <v>52</v>
      </c>
      <c r="V2424" t="s">
        <v>52</v>
      </c>
      <c r="W2424" t="s">
        <v>52</v>
      </c>
      <c r="X2424" s="18" t="s">
        <v>52</v>
      </c>
      <c r="Y2424" s="18" t="s">
        <v>52</v>
      </c>
      <c r="Z2424" s="18" t="s">
        <v>52</v>
      </c>
      <c r="AA2424" s="18" t="s">
        <v>52</v>
      </c>
      <c r="AB2424" t="s">
        <v>52</v>
      </c>
      <c r="AC2424" t="s">
        <v>52</v>
      </c>
      <c r="AD2424" t="s">
        <v>52</v>
      </c>
      <c r="AE2424" t="s">
        <v>52</v>
      </c>
      <c r="AF2424" s="18" t="s">
        <v>52</v>
      </c>
      <c r="AG2424" s="18" t="s">
        <v>52</v>
      </c>
      <c r="AH2424" s="18" t="s">
        <v>52</v>
      </c>
      <c r="AI2424" s="18" t="s">
        <v>52</v>
      </c>
      <c r="AJ2424">
        <v>1</v>
      </c>
      <c r="AK2424">
        <v>3</v>
      </c>
      <c r="AL2424">
        <v>2</v>
      </c>
      <c r="AM2424">
        <v>6</v>
      </c>
      <c r="AN2424" s="18">
        <v>0</v>
      </c>
      <c r="AO2424" s="18">
        <v>0</v>
      </c>
      <c r="AP2424" s="18">
        <v>0</v>
      </c>
      <c r="AQ2424" s="18">
        <v>0</v>
      </c>
      <c r="AR2424" s="29">
        <v>0</v>
      </c>
      <c r="AS2424" s="29">
        <v>0</v>
      </c>
      <c r="AT2424" s="29">
        <v>0</v>
      </c>
      <c r="AU2424" s="24" t="str">
        <f t="shared" si="38"/>
        <v>库存为0</v>
      </c>
      <c r="AV2424" s="31" t="str">
        <f>IFERROR(时间!$B$4+AU2424,"上周无销量")</f>
        <v>上周无销量</v>
      </c>
    </row>
    <row r="2425" spans="1:48">
      <c r="A2425" s="16" t="s">
        <v>4143</v>
      </c>
      <c r="B2425" t="s">
        <v>3824</v>
      </c>
      <c r="C2425" t="s">
        <v>4116</v>
      </c>
      <c r="D2425" s="24">
        <v>0</v>
      </c>
      <c r="E2425" s="24">
        <v>0</v>
      </c>
      <c r="F2425" s="24">
        <v>0</v>
      </c>
      <c r="G2425" s="24">
        <v>0</v>
      </c>
      <c r="H2425" s="25">
        <v>0</v>
      </c>
      <c r="I2425">
        <v>0</v>
      </c>
      <c r="J2425" s="26">
        <v>0</v>
      </c>
      <c r="K2425" s="26">
        <v>0</v>
      </c>
      <c r="L2425" s="26">
        <v>0</v>
      </c>
      <c r="M2425">
        <v>0</v>
      </c>
      <c r="N2425">
        <v>0</v>
      </c>
      <c r="O2425">
        <v>0</v>
      </c>
      <c r="P2425" t="s">
        <v>52</v>
      </c>
      <c r="Q2425" t="s">
        <v>52</v>
      </c>
      <c r="R2425" t="s">
        <v>52</v>
      </c>
      <c r="S2425" t="s">
        <v>52</v>
      </c>
      <c r="T2425" t="s">
        <v>52</v>
      </c>
      <c r="U2425" t="s">
        <v>52</v>
      </c>
      <c r="V2425" t="s">
        <v>52</v>
      </c>
      <c r="W2425" t="s">
        <v>52</v>
      </c>
      <c r="X2425" s="18" t="s">
        <v>52</v>
      </c>
      <c r="Y2425" s="18" t="s">
        <v>52</v>
      </c>
      <c r="Z2425" s="18" t="s">
        <v>52</v>
      </c>
      <c r="AA2425" s="18" t="s">
        <v>52</v>
      </c>
      <c r="AB2425" t="s">
        <v>52</v>
      </c>
      <c r="AC2425" t="s">
        <v>52</v>
      </c>
      <c r="AD2425" t="s">
        <v>52</v>
      </c>
      <c r="AE2425" t="s">
        <v>52</v>
      </c>
      <c r="AF2425" s="18" t="s">
        <v>52</v>
      </c>
      <c r="AG2425" s="18" t="s">
        <v>52</v>
      </c>
      <c r="AH2425" s="18" t="s">
        <v>52</v>
      </c>
      <c r="AI2425" s="18" t="s">
        <v>52</v>
      </c>
      <c r="AJ2425">
        <v>5</v>
      </c>
      <c r="AK2425">
        <v>5</v>
      </c>
      <c r="AL2425">
        <v>4</v>
      </c>
      <c r="AM2425">
        <v>3</v>
      </c>
      <c r="AN2425" s="18">
        <v>0</v>
      </c>
      <c r="AO2425" s="18">
        <v>0</v>
      </c>
      <c r="AP2425" s="18">
        <v>0</v>
      </c>
      <c r="AQ2425" s="18">
        <v>0</v>
      </c>
      <c r="AR2425" s="29">
        <v>0</v>
      </c>
      <c r="AS2425" s="29">
        <v>0</v>
      </c>
      <c r="AT2425" s="29">
        <v>0</v>
      </c>
      <c r="AU2425" s="24" t="str">
        <f t="shared" si="38"/>
        <v>库存为0</v>
      </c>
      <c r="AV2425" s="31" t="str">
        <f>IFERROR(时间!$B$4+AU2425,"上周无销量")</f>
        <v>上周无销量</v>
      </c>
    </row>
    <row r="2426" spans="1:48">
      <c r="A2426" s="16" t="s">
        <v>4144</v>
      </c>
      <c r="B2426" t="s">
        <v>3826</v>
      </c>
      <c r="C2426" t="s">
        <v>4116</v>
      </c>
      <c r="D2426" s="24">
        <v>0</v>
      </c>
      <c r="E2426" s="24">
        <v>0</v>
      </c>
      <c r="F2426" s="24">
        <v>0</v>
      </c>
      <c r="G2426" s="24">
        <v>0</v>
      </c>
      <c r="H2426" s="25">
        <v>0</v>
      </c>
      <c r="I2426">
        <v>0</v>
      </c>
      <c r="J2426" s="26">
        <v>0</v>
      </c>
      <c r="K2426" s="26">
        <v>0</v>
      </c>
      <c r="L2426" s="26">
        <v>0</v>
      </c>
      <c r="M2426">
        <v>0</v>
      </c>
      <c r="N2426">
        <v>0</v>
      </c>
      <c r="O2426">
        <v>0</v>
      </c>
      <c r="P2426" t="s">
        <v>52</v>
      </c>
      <c r="Q2426" t="s">
        <v>52</v>
      </c>
      <c r="R2426" t="s">
        <v>52</v>
      </c>
      <c r="S2426" t="s">
        <v>52</v>
      </c>
      <c r="T2426" t="s">
        <v>52</v>
      </c>
      <c r="U2426" t="s">
        <v>52</v>
      </c>
      <c r="V2426" t="s">
        <v>52</v>
      </c>
      <c r="W2426" t="s">
        <v>52</v>
      </c>
      <c r="X2426" s="18" t="s">
        <v>52</v>
      </c>
      <c r="Y2426" s="18" t="s">
        <v>52</v>
      </c>
      <c r="Z2426" s="18" t="s">
        <v>52</v>
      </c>
      <c r="AA2426" s="18" t="s">
        <v>52</v>
      </c>
      <c r="AB2426" t="s">
        <v>52</v>
      </c>
      <c r="AC2426" t="s">
        <v>52</v>
      </c>
      <c r="AD2426" t="s">
        <v>52</v>
      </c>
      <c r="AE2426" t="s">
        <v>52</v>
      </c>
      <c r="AF2426" s="18" t="s">
        <v>52</v>
      </c>
      <c r="AG2426" s="18" t="s">
        <v>52</v>
      </c>
      <c r="AH2426" s="18" t="s">
        <v>52</v>
      </c>
      <c r="AI2426" s="18" t="s">
        <v>52</v>
      </c>
      <c r="AJ2426">
        <v>6</v>
      </c>
      <c r="AK2426">
        <v>3</v>
      </c>
      <c r="AL2426">
        <v>5</v>
      </c>
      <c r="AM2426">
        <v>4</v>
      </c>
      <c r="AN2426" s="18">
        <v>0</v>
      </c>
      <c r="AO2426" s="18">
        <v>0</v>
      </c>
      <c r="AP2426" s="18">
        <v>0</v>
      </c>
      <c r="AQ2426" s="18">
        <v>0</v>
      </c>
      <c r="AR2426" s="29">
        <v>0</v>
      </c>
      <c r="AS2426" s="29">
        <v>0</v>
      </c>
      <c r="AT2426" s="29">
        <v>0</v>
      </c>
      <c r="AU2426" s="24" t="str">
        <f t="shared" si="38"/>
        <v>库存为0</v>
      </c>
      <c r="AV2426" s="31" t="str">
        <f>IFERROR(时间!$B$4+AU2426,"上周无销量")</f>
        <v>上周无销量</v>
      </c>
    </row>
    <row r="2427" spans="1:48">
      <c r="A2427" s="16" t="s">
        <v>4145</v>
      </c>
      <c r="B2427" t="s">
        <v>3828</v>
      </c>
      <c r="C2427" t="s">
        <v>4116</v>
      </c>
      <c r="D2427" s="24">
        <v>0</v>
      </c>
      <c r="E2427" s="24">
        <v>0</v>
      </c>
      <c r="F2427" s="24">
        <v>0</v>
      </c>
      <c r="G2427" s="24">
        <v>0</v>
      </c>
      <c r="H2427" s="25">
        <v>0</v>
      </c>
      <c r="I2427">
        <v>0</v>
      </c>
      <c r="J2427" s="26">
        <v>0</v>
      </c>
      <c r="K2427" s="26">
        <v>0</v>
      </c>
      <c r="L2427" s="26">
        <v>0</v>
      </c>
      <c r="M2427">
        <v>0</v>
      </c>
      <c r="N2427">
        <v>0</v>
      </c>
      <c r="O2427">
        <v>0</v>
      </c>
      <c r="P2427" t="s">
        <v>52</v>
      </c>
      <c r="Q2427" t="s">
        <v>52</v>
      </c>
      <c r="R2427" t="s">
        <v>52</v>
      </c>
      <c r="S2427" t="s">
        <v>52</v>
      </c>
      <c r="T2427" t="s">
        <v>52</v>
      </c>
      <c r="U2427" t="s">
        <v>52</v>
      </c>
      <c r="V2427" t="s">
        <v>52</v>
      </c>
      <c r="W2427" t="s">
        <v>52</v>
      </c>
      <c r="X2427" s="18" t="s">
        <v>52</v>
      </c>
      <c r="Y2427" s="18" t="s">
        <v>52</v>
      </c>
      <c r="Z2427" s="18" t="s">
        <v>52</v>
      </c>
      <c r="AA2427" s="18" t="s">
        <v>52</v>
      </c>
      <c r="AB2427" t="s">
        <v>52</v>
      </c>
      <c r="AC2427" t="s">
        <v>52</v>
      </c>
      <c r="AD2427" t="s">
        <v>52</v>
      </c>
      <c r="AE2427" t="s">
        <v>52</v>
      </c>
      <c r="AF2427" s="18" t="s">
        <v>52</v>
      </c>
      <c r="AG2427" s="18" t="s">
        <v>52</v>
      </c>
      <c r="AH2427" s="18" t="s">
        <v>52</v>
      </c>
      <c r="AI2427" s="18" t="s">
        <v>52</v>
      </c>
      <c r="AJ2427">
        <v>14</v>
      </c>
      <c r="AK2427">
        <v>9</v>
      </c>
      <c r="AL2427">
        <v>10</v>
      </c>
      <c r="AM2427">
        <v>5</v>
      </c>
      <c r="AN2427" s="18">
        <v>0</v>
      </c>
      <c r="AO2427" s="18">
        <v>0</v>
      </c>
      <c r="AP2427" s="18">
        <v>0</v>
      </c>
      <c r="AQ2427" s="18">
        <v>0</v>
      </c>
      <c r="AR2427" s="29">
        <v>0</v>
      </c>
      <c r="AS2427" s="29">
        <v>0</v>
      </c>
      <c r="AT2427" s="29">
        <v>0</v>
      </c>
      <c r="AU2427" s="24" t="str">
        <f t="shared" si="38"/>
        <v>库存为0</v>
      </c>
      <c r="AV2427" s="31" t="str">
        <f>IFERROR(时间!$B$4+AU2427,"上周无销量")</f>
        <v>上周无销量</v>
      </c>
    </row>
    <row r="2428" spans="1:48">
      <c r="A2428" s="16" t="s">
        <v>4146</v>
      </c>
      <c r="B2428" t="s">
        <v>3830</v>
      </c>
      <c r="C2428" t="s">
        <v>4116</v>
      </c>
      <c r="D2428" s="24">
        <v>1</v>
      </c>
      <c r="E2428" s="24">
        <v>0</v>
      </c>
      <c r="F2428" s="24">
        <v>1</v>
      </c>
      <c r="G2428" s="24">
        <v>0</v>
      </c>
      <c r="H2428" s="25">
        <v>23.98</v>
      </c>
      <c r="I2428">
        <v>3</v>
      </c>
      <c r="J2428" s="26">
        <v>0</v>
      </c>
      <c r="K2428" s="26">
        <v>0</v>
      </c>
      <c r="L2428" s="26">
        <v>0</v>
      </c>
      <c r="M2428">
        <v>3</v>
      </c>
      <c r="N2428">
        <v>0</v>
      </c>
      <c r="O2428">
        <v>0</v>
      </c>
      <c r="P2428" t="s">
        <v>52</v>
      </c>
      <c r="Q2428" t="s">
        <v>52</v>
      </c>
      <c r="R2428" t="s">
        <v>52</v>
      </c>
      <c r="S2428" t="s">
        <v>52</v>
      </c>
      <c r="T2428" t="s">
        <v>52</v>
      </c>
      <c r="U2428" t="s">
        <v>52</v>
      </c>
      <c r="V2428" t="s">
        <v>52</v>
      </c>
      <c r="W2428" t="s">
        <v>52</v>
      </c>
      <c r="X2428" s="18" t="s">
        <v>52</v>
      </c>
      <c r="Y2428" s="18" t="s">
        <v>52</v>
      </c>
      <c r="Z2428" s="18" t="s">
        <v>52</v>
      </c>
      <c r="AA2428" s="1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s="18" t="s">
        <v>52</v>
      </c>
      <c r="AG2428" s="18" t="s">
        <v>52</v>
      </c>
      <c r="AH2428" s="18" t="s">
        <v>52</v>
      </c>
      <c r="AI2428" s="18" t="s">
        <v>52</v>
      </c>
      <c r="AJ2428">
        <v>14</v>
      </c>
      <c r="AK2428">
        <v>8</v>
      </c>
      <c r="AL2428">
        <v>13</v>
      </c>
      <c r="AM2428">
        <v>2</v>
      </c>
      <c r="AN2428" s="18">
        <v>0.0714285714285714</v>
      </c>
      <c r="AO2428" s="18">
        <v>0</v>
      </c>
      <c r="AP2428" s="18">
        <v>0.0769230769230769</v>
      </c>
      <c r="AQ2428" s="18">
        <v>0</v>
      </c>
      <c r="AR2428" s="29">
        <v>0.142857142857143</v>
      </c>
      <c r="AS2428" s="29">
        <v>8.57142857142857</v>
      </c>
      <c r="AT2428" s="29">
        <v>-5.57142857142857</v>
      </c>
      <c r="AU2428" s="24">
        <f t="shared" si="38"/>
        <v>21</v>
      </c>
      <c r="AV2428" s="31">
        <f>IFERROR(时间!$B$4+AU2428,"上周无销量")</f>
        <v>43339</v>
      </c>
    </row>
    <row r="2429" spans="1:48">
      <c r="A2429" s="16" t="s">
        <v>4147</v>
      </c>
      <c r="B2429" t="s">
        <v>4004</v>
      </c>
      <c r="C2429" t="s">
        <v>4116</v>
      </c>
      <c r="D2429" s="24">
        <v>0</v>
      </c>
      <c r="E2429" s="24">
        <v>0</v>
      </c>
      <c r="F2429" s="24">
        <v>0</v>
      </c>
      <c r="G2429" s="24">
        <v>0</v>
      </c>
      <c r="H2429" s="25">
        <v>0</v>
      </c>
      <c r="I2429">
        <v>8</v>
      </c>
      <c r="J2429" s="26">
        <v>0</v>
      </c>
      <c r="K2429" s="26">
        <v>0</v>
      </c>
      <c r="L2429" s="26">
        <v>0</v>
      </c>
      <c r="M2429">
        <v>8</v>
      </c>
      <c r="N2429">
        <v>0</v>
      </c>
      <c r="O2429">
        <v>0</v>
      </c>
      <c r="P2429">
        <v>77</v>
      </c>
      <c r="Q2429">
        <v>276</v>
      </c>
      <c r="R2429">
        <v>263</v>
      </c>
      <c r="S2429">
        <v>272</v>
      </c>
      <c r="T2429">
        <v>1</v>
      </c>
      <c r="U2429">
        <v>0</v>
      </c>
      <c r="V2429">
        <v>1</v>
      </c>
      <c r="W2429">
        <v>0</v>
      </c>
      <c r="X2429" s="18">
        <v>0.012987012987013</v>
      </c>
      <c r="Y2429" s="18">
        <v>0</v>
      </c>
      <c r="Z2429" s="18">
        <v>0.00380228136882129</v>
      </c>
      <c r="AA2429" s="18">
        <v>0</v>
      </c>
      <c r="AB2429">
        <v>0.55</v>
      </c>
      <c r="AC2429">
        <v>0</v>
      </c>
      <c r="AD2429">
        <v>0.63</v>
      </c>
      <c r="AE2429">
        <v>0</v>
      </c>
      <c r="AF2429" s="18" t="s">
        <v>4148</v>
      </c>
      <c r="AG2429" s="18" t="s">
        <v>52</v>
      </c>
      <c r="AH2429" s="18" t="s">
        <v>4149</v>
      </c>
      <c r="AI2429" s="18" t="s">
        <v>52</v>
      </c>
      <c r="AJ2429">
        <v>2</v>
      </c>
      <c r="AK2429">
        <v>7</v>
      </c>
      <c r="AL2429">
        <v>6</v>
      </c>
      <c r="AM2429">
        <v>0</v>
      </c>
      <c r="AN2429" s="18">
        <v>0</v>
      </c>
      <c r="AO2429" s="18">
        <v>0</v>
      </c>
      <c r="AP2429" s="18">
        <v>0</v>
      </c>
      <c r="AQ2429" s="18" t="s">
        <v>52</v>
      </c>
      <c r="AR2429" s="29">
        <v>0</v>
      </c>
      <c r="AS2429" s="29">
        <v>0</v>
      </c>
      <c r="AT2429" s="29">
        <v>8</v>
      </c>
      <c r="AU2429" s="24" t="str">
        <f t="shared" si="38"/>
        <v>库存为8</v>
      </c>
      <c r="AV2429" s="31" t="str">
        <f>IFERROR(时间!$B$4+AU2429,"上周无销量")</f>
        <v>上周无销量</v>
      </c>
    </row>
    <row r="2430" spans="1:48">
      <c r="A2430" s="16" t="s">
        <v>4150</v>
      </c>
      <c r="B2430" t="s">
        <v>3833</v>
      </c>
      <c r="C2430" t="s">
        <v>4116</v>
      </c>
      <c r="D2430" s="24">
        <v>0</v>
      </c>
      <c r="E2430" s="24">
        <v>0</v>
      </c>
      <c r="F2430" s="24">
        <v>0</v>
      </c>
      <c r="G2430" s="24">
        <v>0</v>
      </c>
      <c r="H2430" s="25">
        <v>0</v>
      </c>
      <c r="I2430">
        <v>0</v>
      </c>
      <c r="J2430" s="26">
        <v>0</v>
      </c>
      <c r="K2430" s="26">
        <v>0</v>
      </c>
      <c r="L2430" s="26">
        <v>0</v>
      </c>
      <c r="M2430">
        <v>0</v>
      </c>
      <c r="N2430">
        <v>0</v>
      </c>
      <c r="O2430">
        <v>0</v>
      </c>
      <c r="P2430" t="s">
        <v>52</v>
      </c>
      <c r="Q2430" t="s">
        <v>52</v>
      </c>
      <c r="R2430" t="s">
        <v>52</v>
      </c>
      <c r="S2430" t="s">
        <v>52</v>
      </c>
      <c r="T2430" t="s">
        <v>52</v>
      </c>
      <c r="U2430" t="s">
        <v>52</v>
      </c>
      <c r="V2430" t="s">
        <v>52</v>
      </c>
      <c r="W2430" t="s">
        <v>52</v>
      </c>
      <c r="X2430" s="18" t="s">
        <v>52</v>
      </c>
      <c r="Y2430" s="18" t="s">
        <v>52</v>
      </c>
      <c r="Z2430" s="18" t="s">
        <v>52</v>
      </c>
      <c r="AA2430" s="18" t="s">
        <v>52</v>
      </c>
      <c r="AB2430" t="s">
        <v>52</v>
      </c>
      <c r="AC2430" t="s">
        <v>52</v>
      </c>
      <c r="AD2430" t="s">
        <v>52</v>
      </c>
      <c r="AE2430" t="s">
        <v>52</v>
      </c>
      <c r="AF2430" s="18" t="s">
        <v>52</v>
      </c>
      <c r="AG2430" s="18" t="s">
        <v>52</v>
      </c>
      <c r="AH2430" s="18" t="s">
        <v>52</v>
      </c>
      <c r="AI2430" s="18" t="s">
        <v>52</v>
      </c>
      <c r="AJ2430">
        <v>4</v>
      </c>
      <c r="AK2430">
        <v>2</v>
      </c>
      <c r="AL2430">
        <v>2</v>
      </c>
      <c r="AM2430">
        <v>4</v>
      </c>
      <c r="AN2430" s="18">
        <v>0</v>
      </c>
      <c r="AO2430" s="18">
        <v>0</v>
      </c>
      <c r="AP2430" s="18">
        <v>0</v>
      </c>
      <c r="AQ2430" s="18">
        <v>0</v>
      </c>
      <c r="AR2430" s="29">
        <v>0</v>
      </c>
      <c r="AS2430" s="29">
        <v>0</v>
      </c>
      <c r="AT2430" s="29">
        <v>0</v>
      </c>
      <c r="AU2430" s="24" t="str">
        <f t="shared" si="38"/>
        <v>库存为0</v>
      </c>
      <c r="AV2430" s="31" t="str">
        <f>IFERROR(时间!$B$4+AU2430,"上周无销量")</f>
        <v>上周无销量</v>
      </c>
    </row>
    <row r="2431" spans="1:48">
      <c r="A2431" s="16" t="s">
        <v>4151</v>
      </c>
      <c r="B2431" t="s">
        <v>3835</v>
      </c>
      <c r="C2431" t="s">
        <v>4116</v>
      </c>
      <c r="D2431" s="24">
        <v>0</v>
      </c>
      <c r="E2431" s="24">
        <v>0</v>
      </c>
      <c r="F2431" s="24">
        <v>0</v>
      </c>
      <c r="G2431" s="24">
        <v>0</v>
      </c>
      <c r="H2431" s="25">
        <v>0</v>
      </c>
      <c r="I2431">
        <v>0</v>
      </c>
      <c r="J2431" s="26">
        <v>0</v>
      </c>
      <c r="K2431" s="26">
        <v>0</v>
      </c>
      <c r="L2431" s="26">
        <v>0</v>
      </c>
      <c r="M2431">
        <v>0</v>
      </c>
      <c r="N2431">
        <v>0</v>
      </c>
      <c r="O2431">
        <v>0</v>
      </c>
      <c r="P2431" t="s">
        <v>52</v>
      </c>
      <c r="Q2431" t="s">
        <v>52</v>
      </c>
      <c r="R2431" t="s">
        <v>52</v>
      </c>
      <c r="S2431" t="s">
        <v>52</v>
      </c>
      <c r="T2431" t="s">
        <v>52</v>
      </c>
      <c r="U2431" t="s">
        <v>52</v>
      </c>
      <c r="V2431" t="s">
        <v>52</v>
      </c>
      <c r="W2431" t="s">
        <v>52</v>
      </c>
      <c r="X2431" s="18" t="s">
        <v>52</v>
      </c>
      <c r="Y2431" s="18" t="s">
        <v>52</v>
      </c>
      <c r="Z2431" s="18" t="s">
        <v>52</v>
      </c>
      <c r="AA2431" s="18" t="s">
        <v>52</v>
      </c>
      <c r="AB2431" t="s">
        <v>52</v>
      </c>
      <c r="AC2431" t="s">
        <v>52</v>
      </c>
      <c r="AD2431" t="s">
        <v>52</v>
      </c>
      <c r="AE2431" t="s">
        <v>52</v>
      </c>
      <c r="AF2431" s="18" t="s">
        <v>52</v>
      </c>
      <c r="AG2431" s="18" t="s">
        <v>52</v>
      </c>
      <c r="AH2431" s="18" t="s">
        <v>52</v>
      </c>
      <c r="AI2431" s="18" t="s">
        <v>52</v>
      </c>
      <c r="AJ2431">
        <v>2</v>
      </c>
      <c r="AK2431">
        <v>2</v>
      </c>
      <c r="AL2431">
        <v>2</v>
      </c>
      <c r="AM2431">
        <v>3</v>
      </c>
      <c r="AN2431" s="18">
        <v>0</v>
      </c>
      <c r="AO2431" s="18">
        <v>0</v>
      </c>
      <c r="AP2431" s="18">
        <v>0</v>
      </c>
      <c r="AQ2431" s="18">
        <v>0</v>
      </c>
      <c r="AR2431" s="29">
        <v>0</v>
      </c>
      <c r="AS2431" s="29">
        <v>0</v>
      </c>
      <c r="AT2431" s="29">
        <v>0</v>
      </c>
      <c r="AU2431" s="24" t="str">
        <f t="shared" si="38"/>
        <v>库存为0</v>
      </c>
      <c r="AV2431" s="31" t="str">
        <f>IFERROR(时间!$B$4+AU2431,"上周无销量")</f>
        <v>上周无销量</v>
      </c>
    </row>
    <row r="2432" spans="1:48">
      <c r="A2432" s="16" t="s">
        <v>4152</v>
      </c>
      <c r="B2432" t="s">
        <v>3837</v>
      </c>
      <c r="C2432" t="s">
        <v>4116</v>
      </c>
      <c r="D2432" s="24">
        <v>0</v>
      </c>
      <c r="E2432" s="24">
        <v>0</v>
      </c>
      <c r="F2432" s="24">
        <v>0</v>
      </c>
      <c r="G2432" s="24">
        <v>0</v>
      </c>
      <c r="H2432" s="25">
        <v>0</v>
      </c>
      <c r="I2432">
        <v>0</v>
      </c>
      <c r="J2432" s="26">
        <v>0</v>
      </c>
      <c r="K2432" s="26">
        <v>0</v>
      </c>
      <c r="L2432" s="26">
        <v>0</v>
      </c>
      <c r="M2432">
        <v>0</v>
      </c>
      <c r="N2432">
        <v>0</v>
      </c>
      <c r="O2432">
        <v>0</v>
      </c>
      <c r="P2432" t="s">
        <v>52</v>
      </c>
      <c r="Q2432" t="s">
        <v>52</v>
      </c>
      <c r="R2432" t="s">
        <v>52</v>
      </c>
      <c r="S2432" t="s">
        <v>52</v>
      </c>
      <c r="T2432" t="s">
        <v>52</v>
      </c>
      <c r="U2432" t="s">
        <v>52</v>
      </c>
      <c r="V2432" t="s">
        <v>52</v>
      </c>
      <c r="W2432" t="s">
        <v>52</v>
      </c>
      <c r="X2432" s="18" t="s">
        <v>52</v>
      </c>
      <c r="Y2432" s="18" t="s">
        <v>52</v>
      </c>
      <c r="Z2432" s="18" t="s">
        <v>52</v>
      </c>
      <c r="AA2432" s="18" t="s">
        <v>52</v>
      </c>
      <c r="AB2432" t="s">
        <v>52</v>
      </c>
      <c r="AC2432" t="s">
        <v>52</v>
      </c>
      <c r="AD2432" t="s">
        <v>52</v>
      </c>
      <c r="AE2432" t="s">
        <v>52</v>
      </c>
      <c r="AF2432" s="18" t="s">
        <v>52</v>
      </c>
      <c r="AG2432" s="18" t="s">
        <v>52</v>
      </c>
      <c r="AH2432" s="18" t="s">
        <v>52</v>
      </c>
      <c r="AI2432" s="18" t="s">
        <v>52</v>
      </c>
      <c r="AJ2432">
        <v>2</v>
      </c>
      <c r="AK2432">
        <v>3</v>
      </c>
      <c r="AL2432">
        <v>4</v>
      </c>
      <c r="AM2432">
        <v>3</v>
      </c>
      <c r="AN2432" s="18">
        <v>0</v>
      </c>
      <c r="AO2432" s="18">
        <v>0</v>
      </c>
      <c r="AP2432" s="18">
        <v>0</v>
      </c>
      <c r="AQ2432" s="18">
        <v>0</v>
      </c>
      <c r="AR2432" s="29">
        <v>0</v>
      </c>
      <c r="AS2432" s="29">
        <v>0</v>
      </c>
      <c r="AT2432" s="29">
        <v>0</v>
      </c>
      <c r="AU2432" s="24" t="str">
        <f t="shared" si="38"/>
        <v>库存为0</v>
      </c>
      <c r="AV2432" s="31" t="str">
        <f>IFERROR(时间!$B$4+AU2432,"上周无销量")</f>
        <v>上周无销量</v>
      </c>
    </row>
    <row r="2433" spans="1:48">
      <c r="A2433" s="16" t="s">
        <v>4153</v>
      </c>
      <c r="B2433" t="s">
        <v>3839</v>
      </c>
      <c r="C2433" t="s">
        <v>4116</v>
      </c>
      <c r="D2433" s="24">
        <v>0</v>
      </c>
      <c r="E2433" s="24">
        <v>0</v>
      </c>
      <c r="F2433" s="24">
        <v>0</v>
      </c>
      <c r="G2433" s="24">
        <v>0</v>
      </c>
      <c r="H2433" s="25">
        <v>0</v>
      </c>
      <c r="I2433">
        <v>0</v>
      </c>
      <c r="J2433" s="26">
        <v>0</v>
      </c>
      <c r="K2433" s="26">
        <v>0</v>
      </c>
      <c r="L2433" s="26">
        <v>0</v>
      </c>
      <c r="M2433">
        <v>0</v>
      </c>
      <c r="N2433">
        <v>0</v>
      </c>
      <c r="O2433">
        <v>0</v>
      </c>
      <c r="P2433" t="s">
        <v>52</v>
      </c>
      <c r="Q2433" t="s">
        <v>52</v>
      </c>
      <c r="R2433" t="s">
        <v>52</v>
      </c>
      <c r="S2433" t="s">
        <v>52</v>
      </c>
      <c r="T2433" t="s">
        <v>52</v>
      </c>
      <c r="U2433" t="s">
        <v>52</v>
      </c>
      <c r="V2433" t="s">
        <v>52</v>
      </c>
      <c r="W2433" t="s">
        <v>52</v>
      </c>
      <c r="X2433" s="18" t="s">
        <v>52</v>
      </c>
      <c r="Y2433" s="18" t="s">
        <v>52</v>
      </c>
      <c r="Z2433" s="18" t="s">
        <v>52</v>
      </c>
      <c r="AA2433" s="18" t="s">
        <v>52</v>
      </c>
      <c r="AB2433" t="s">
        <v>52</v>
      </c>
      <c r="AC2433" t="s">
        <v>52</v>
      </c>
      <c r="AD2433" t="s">
        <v>52</v>
      </c>
      <c r="AE2433" t="s">
        <v>52</v>
      </c>
      <c r="AF2433" s="18" t="s">
        <v>52</v>
      </c>
      <c r="AG2433" s="18" t="s">
        <v>52</v>
      </c>
      <c r="AH2433" s="18" t="s">
        <v>52</v>
      </c>
      <c r="AI2433" s="18" t="s">
        <v>52</v>
      </c>
      <c r="AJ2433">
        <v>2</v>
      </c>
      <c r="AK2433">
        <v>1</v>
      </c>
      <c r="AL2433">
        <v>1</v>
      </c>
      <c r="AM2433">
        <v>6</v>
      </c>
      <c r="AN2433" s="18">
        <v>0</v>
      </c>
      <c r="AO2433" s="18">
        <v>0</v>
      </c>
      <c r="AP2433" s="18">
        <v>0</v>
      </c>
      <c r="AQ2433" s="18">
        <v>0</v>
      </c>
      <c r="AR2433" s="29">
        <v>0</v>
      </c>
      <c r="AS2433" s="29">
        <v>0</v>
      </c>
      <c r="AT2433" s="29">
        <v>0</v>
      </c>
      <c r="AU2433" s="24" t="str">
        <f t="shared" si="38"/>
        <v>库存为0</v>
      </c>
      <c r="AV2433" s="31" t="str">
        <f>IFERROR(时间!$B$4+AU2433,"上周无销量")</f>
        <v>上周无销量</v>
      </c>
    </row>
    <row r="2434" spans="1:48">
      <c r="A2434" s="16" t="s">
        <v>4154</v>
      </c>
      <c r="B2434" t="s">
        <v>3849</v>
      </c>
      <c r="C2434" t="s">
        <v>4116</v>
      </c>
      <c r="D2434" s="24">
        <v>0</v>
      </c>
      <c r="E2434" s="24">
        <v>0</v>
      </c>
      <c r="F2434" s="24">
        <v>0</v>
      </c>
      <c r="G2434" s="24">
        <v>0</v>
      </c>
      <c r="H2434" s="25">
        <v>0</v>
      </c>
      <c r="I2434">
        <v>0</v>
      </c>
      <c r="J2434" s="26">
        <v>0</v>
      </c>
      <c r="K2434" s="26">
        <v>0</v>
      </c>
      <c r="L2434" s="26">
        <v>0</v>
      </c>
      <c r="M2434">
        <v>0</v>
      </c>
      <c r="N2434">
        <v>0</v>
      </c>
      <c r="O2434">
        <v>0</v>
      </c>
      <c r="P2434" t="s">
        <v>52</v>
      </c>
      <c r="Q2434" t="s">
        <v>52</v>
      </c>
      <c r="R2434" t="s">
        <v>52</v>
      </c>
      <c r="S2434" t="s">
        <v>52</v>
      </c>
      <c r="T2434" t="s">
        <v>52</v>
      </c>
      <c r="U2434" t="s">
        <v>52</v>
      </c>
      <c r="V2434" t="s">
        <v>52</v>
      </c>
      <c r="W2434" t="s">
        <v>52</v>
      </c>
      <c r="X2434" s="18" t="s">
        <v>52</v>
      </c>
      <c r="Y2434" s="18" t="s">
        <v>52</v>
      </c>
      <c r="Z2434" s="18" t="s">
        <v>52</v>
      </c>
      <c r="AA2434" s="18" t="s">
        <v>52</v>
      </c>
      <c r="AB2434" t="s">
        <v>52</v>
      </c>
      <c r="AC2434" t="s">
        <v>52</v>
      </c>
      <c r="AD2434" t="s">
        <v>52</v>
      </c>
      <c r="AE2434" t="s">
        <v>52</v>
      </c>
      <c r="AF2434" s="18" t="s">
        <v>52</v>
      </c>
      <c r="AG2434" s="18" t="s">
        <v>52</v>
      </c>
      <c r="AH2434" s="18" t="s">
        <v>52</v>
      </c>
      <c r="AI2434" s="18" t="s">
        <v>52</v>
      </c>
      <c r="AJ2434">
        <v>16</v>
      </c>
      <c r="AK2434">
        <v>4</v>
      </c>
      <c r="AL2434">
        <v>8</v>
      </c>
      <c r="AM2434">
        <v>5</v>
      </c>
      <c r="AN2434" s="18">
        <v>0</v>
      </c>
      <c r="AO2434" s="18">
        <v>0</v>
      </c>
      <c r="AP2434" s="18">
        <v>0</v>
      </c>
      <c r="AQ2434" s="18">
        <v>0</v>
      </c>
      <c r="AR2434" s="29">
        <v>0</v>
      </c>
      <c r="AS2434" s="29">
        <v>0</v>
      </c>
      <c r="AT2434" s="29">
        <v>0</v>
      </c>
      <c r="AU2434" s="24" t="str">
        <f t="shared" si="38"/>
        <v>库存为0</v>
      </c>
      <c r="AV2434" s="31" t="str">
        <f>IFERROR(时间!$B$4+AU2434,"上周无销量")</f>
        <v>上周无销量</v>
      </c>
    </row>
    <row r="2435" spans="1:48">
      <c r="A2435" s="16" t="s">
        <v>4155</v>
      </c>
      <c r="B2435" t="s">
        <v>3852</v>
      </c>
      <c r="C2435" t="s">
        <v>4116</v>
      </c>
      <c r="D2435" s="24">
        <v>0</v>
      </c>
      <c r="E2435" s="24">
        <v>0</v>
      </c>
      <c r="F2435" s="24">
        <v>0</v>
      </c>
      <c r="G2435" s="24">
        <v>0</v>
      </c>
      <c r="H2435" s="25">
        <v>0</v>
      </c>
      <c r="I2435">
        <v>0</v>
      </c>
      <c r="J2435" s="26">
        <v>0</v>
      </c>
      <c r="K2435" s="26">
        <v>0</v>
      </c>
      <c r="L2435" s="26">
        <v>0</v>
      </c>
      <c r="M2435">
        <v>0</v>
      </c>
      <c r="N2435">
        <v>0</v>
      </c>
      <c r="O2435">
        <v>0</v>
      </c>
      <c r="P2435" t="s">
        <v>52</v>
      </c>
      <c r="Q2435" t="s">
        <v>52</v>
      </c>
      <c r="R2435" t="s">
        <v>52</v>
      </c>
      <c r="S2435" t="s">
        <v>52</v>
      </c>
      <c r="T2435" t="s">
        <v>52</v>
      </c>
      <c r="U2435" t="s">
        <v>52</v>
      </c>
      <c r="V2435" t="s">
        <v>52</v>
      </c>
      <c r="W2435" t="s">
        <v>52</v>
      </c>
      <c r="X2435" s="18" t="s">
        <v>52</v>
      </c>
      <c r="Y2435" s="18" t="s">
        <v>52</v>
      </c>
      <c r="Z2435" s="18" t="s">
        <v>52</v>
      </c>
      <c r="AA2435" s="18" t="s">
        <v>52</v>
      </c>
      <c r="AB2435" t="s">
        <v>52</v>
      </c>
      <c r="AC2435" t="s">
        <v>52</v>
      </c>
      <c r="AD2435" t="s">
        <v>52</v>
      </c>
      <c r="AE2435" t="s">
        <v>52</v>
      </c>
      <c r="AF2435" s="18" t="s">
        <v>52</v>
      </c>
      <c r="AG2435" s="18" t="s">
        <v>52</v>
      </c>
      <c r="AH2435" s="18" t="s">
        <v>52</v>
      </c>
      <c r="AI2435" s="18" t="s">
        <v>52</v>
      </c>
      <c r="AJ2435">
        <v>11</v>
      </c>
      <c r="AK2435">
        <v>15</v>
      </c>
      <c r="AL2435">
        <v>14</v>
      </c>
      <c r="AM2435">
        <v>4</v>
      </c>
      <c r="AN2435" s="18">
        <v>0</v>
      </c>
      <c r="AO2435" s="18">
        <v>0</v>
      </c>
      <c r="AP2435" s="18">
        <v>0</v>
      </c>
      <c r="AQ2435" s="18">
        <v>0</v>
      </c>
      <c r="AR2435" s="29">
        <v>0</v>
      </c>
      <c r="AS2435" s="29">
        <v>0</v>
      </c>
      <c r="AT2435" s="29">
        <v>0</v>
      </c>
      <c r="AU2435" s="24" t="str">
        <f t="shared" si="38"/>
        <v>库存为0</v>
      </c>
      <c r="AV2435" s="31" t="str">
        <f>IFERROR(时间!$B$4+AU2435,"上周无销量")</f>
        <v>上周无销量</v>
      </c>
    </row>
    <row r="2436" spans="1:48">
      <c r="A2436" s="16" t="s">
        <v>4156</v>
      </c>
      <c r="B2436" t="s">
        <v>3854</v>
      </c>
      <c r="C2436" t="s">
        <v>4116</v>
      </c>
      <c r="D2436" s="24">
        <v>0</v>
      </c>
      <c r="E2436" s="24">
        <v>0</v>
      </c>
      <c r="F2436" s="24">
        <v>0</v>
      </c>
      <c r="G2436" s="24">
        <v>0</v>
      </c>
      <c r="H2436" s="25">
        <v>0</v>
      </c>
      <c r="I2436">
        <v>5</v>
      </c>
      <c r="J2436" s="26">
        <v>0</v>
      </c>
      <c r="K2436" s="26">
        <v>0</v>
      </c>
      <c r="L2436" s="26">
        <v>0</v>
      </c>
      <c r="M2436">
        <v>5</v>
      </c>
      <c r="N2436">
        <v>0</v>
      </c>
      <c r="O2436">
        <v>0</v>
      </c>
      <c r="P2436" t="s">
        <v>52</v>
      </c>
      <c r="Q2436" t="s">
        <v>52</v>
      </c>
      <c r="R2436" t="s">
        <v>52</v>
      </c>
      <c r="S2436" t="s">
        <v>52</v>
      </c>
      <c r="T2436" t="s">
        <v>52</v>
      </c>
      <c r="U2436" t="s">
        <v>52</v>
      </c>
      <c r="V2436" t="s">
        <v>52</v>
      </c>
      <c r="W2436" t="s">
        <v>52</v>
      </c>
      <c r="X2436" s="18" t="s">
        <v>52</v>
      </c>
      <c r="Y2436" s="18" t="s">
        <v>52</v>
      </c>
      <c r="Z2436" s="18" t="s">
        <v>52</v>
      </c>
      <c r="AA2436" s="18" t="s">
        <v>52</v>
      </c>
      <c r="AB2436" t="s">
        <v>52</v>
      </c>
      <c r="AC2436" t="s">
        <v>52</v>
      </c>
      <c r="AD2436" t="s">
        <v>52</v>
      </c>
      <c r="AE2436" t="s">
        <v>52</v>
      </c>
      <c r="AF2436" s="18" t="s">
        <v>52</v>
      </c>
      <c r="AG2436" s="18" t="s">
        <v>52</v>
      </c>
      <c r="AH2436" s="18" t="s">
        <v>52</v>
      </c>
      <c r="AI2436" s="18" t="s">
        <v>52</v>
      </c>
      <c r="AJ2436">
        <v>4</v>
      </c>
      <c r="AK2436">
        <v>6</v>
      </c>
      <c r="AL2436">
        <v>2</v>
      </c>
      <c r="AM2436">
        <v>2</v>
      </c>
      <c r="AN2436" s="18">
        <v>0</v>
      </c>
      <c r="AO2436" s="18">
        <v>0</v>
      </c>
      <c r="AP2436" s="18">
        <v>0</v>
      </c>
      <c r="AQ2436" s="18">
        <v>0</v>
      </c>
      <c r="AR2436" s="29">
        <v>0</v>
      </c>
      <c r="AS2436" s="29">
        <v>0</v>
      </c>
      <c r="AT2436" s="29">
        <v>5</v>
      </c>
      <c r="AU2436" s="24" t="str">
        <f t="shared" si="38"/>
        <v>库存为5</v>
      </c>
      <c r="AV2436" s="31" t="str">
        <f>IFERROR(时间!$B$4+AU2436,"上周无销量")</f>
        <v>上周无销量</v>
      </c>
    </row>
    <row r="2437" spans="1:48">
      <c r="A2437" s="16" t="s">
        <v>4157</v>
      </c>
      <c r="B2437" t="s">
        <v>3856</v>
      </c>
      <c r="C2437" t="s">
        <v>4116</v>
      </c>
      <c r="D2437" s="24">
        <v>0</v>
      </c>
      <c r="E2437" s="24">
        <v>0</v>
      </c>
      <c r="F2437" s="24">
        <v>0</v>
      </c>
      <c r="G2437" s="24">
        <v>0</v>
      </c>
      <c r="H2437" s="25">
        <v>0</v>
      </c>
      <c r="I2437">
        <v>0</v>
      </c>
      <c r="J2437" s="26">
        <v>0</v>
      </c>
      <c r="K2437" s="26">
        <v>0</v>
      </c>
      <c r="L2437" s="26">
        <v>0</v>
      </c>
      <c r="M2437">
        <v>0</v>
      </c>
      <c r="N2437">
        <v>0</v>
      </c>
      <c r="O2437">
        <v>0</v>
      </c>
      <c r="P2437" t="s">
        <v>52</v>
      </c>
      <c r="Q2437" t="s">
        <v>52</v>
      </c>
      <c r="R2437" t="s">
        <v>52</v>
      </c>
      <c r="S2437" t="s">
        <v>52</v>
      </c>
      <c r="T2437" t="s">
        <v>52</v>
      </c>
      <c r="U2437" t="s">
        <v>52</v>
      </c>
      <c r="V2437" t="s">
        <v>52</v>
      </c>
      <c r="W2437" t="s">
        <v>52</v>
      </c>
      <c r="X2437" s="18" t="s">
        <v>52</v>
      </c>
      <c r="Y2437" s="18" t="s">
        <v>52</v>
      </c>
      <c r="Z2437" s="18" t="s">
        <v>52</v>
      </c>
      <c r="AA2437" s="18" t="s">
        <v>52</v>
      </c>
      <c r="AB2437" t="s">
        <v>52</v>
      </c>
      <c r="AC2437" t="s">
        <v>52</v>
      </c>
      <c r="AD2437" t="s">
        <v>52</v>
      </c>
      <c r="AE2437" t="s">
        <v>52</v>
      </c>
      <c r="AF2437" s="18" t="s">
        <v>52</v>
      </c>
      <c r="AG2437" s="18" t="s">
        <v>52</v>
      </c>
      <c r="AH2437" s="18" t="s">
        <v>52</v>
      </c>
      <c r="AI2437" s="18" t="s">
        <v>52</v>
      </c>
      <c r="AJ2437">
        <v>1</v>
      </c>
      <c r="AK2437">
        <v>4</v>
      </c>
      <c r="AL2437">
        <v>9</v>
      </c>
      <c r="AM2437">
        <v>4</v>
      </c>
      <c r="AN2437" s="18">
        <v>0</v>
      </c>
      <c r="AO2437" s="18">
        <v>0</v>
      </c>
      <c r="AP2437" s="18">
        <v>0</v>
      </c>
      <c r="AQ2437" s="18">
        <v>0</v>
      </c>
      <c r="AR2437" s="29">
        <v>0</v>
      </c>
      <c r="AS2437" s="29">
        <v>0</v>
      </c>
      <c r="AT2437" s="29">
        <v>0</v>
      </c>
      <c r="AU2437" s="24" t="str">
        <f t="shared" si="38"/>
        <v>库存为0</v>
      </c>
      <c r="AV2437" s="31" t="str">
        <f>IFERROR(时间!$B$4+AU2437,"上周无销量")</f>
        <v>上周无销量</v>
      </c>
    </row>
    <row r="2438" spans="1:48">
      <c r="A2438" s="16" t="s">
        <v>4158</v>
      </c>
      <c r="B2438" t="s">
        <v>3841</v>
      </c>
      <c r="C2438" t="s">
        <v>4116</v>
      </c>
      <c r="D2438" s="24">
        <v>0</v>
      </c>
      <c r="E2438" s="24">
        <v>0</v>
      </c>
      <c r="F2438" s="24">
        <v>0</v>
      </c>
      <c r="G2438" s="24">
        <v>0</v>
      </c>
      <c r="H2438" s="25">
        <v>0</v>
      </c>
      <c r="I2438">
        <v>0</v>
      </c>
      <c r="J2438" s="26">
        <v>0</v>
      </c>
      <c r="K2438" s="26">
        <v>0</v>
      </c>
      <c r="L2438" s="26">
        <v>0</v>
      </c>
      <c r="M2438">
        <v>0</v>
      </c>
      <c r="N2438">
        <v>0</v>
      </c>
      <c r="O2438">
        <v>0</v>
      </c>
      <c r="P2438" t="s">
        <v>52</v>
      </c>
      <c r="Q2438" t="s">
        <v>52</v>
      </c>
      <c r="R2438" t="s">
        <v>52</v>
      </c>
      <c r="S2438" t="s">
        <v>52</v>
      </c>
      <c r="T2438" t="s">
        <v>52</v>
      </c>
      <c r="U2438" t="s">
        <v>52</v>
      </c>
      <c r="V2438" t="s">
        <v>52</v>
      </c>
      <c r="W2438" t="s">
        <v>52</v>
      </c>
      <c r="X2438" s="18" t="s">
        <v>52</v>
      </c>
      <c r="Y2438" s="18" t="s">
        <v>52</v>
      </c>
      <c r="Z2438" s="18" t="s">
        <v>52</v>
      </c>
      <c r="AA2438" s="18" t="s">
        <v>52</v>
      </c>
      <c r="AB2438" t="s">
        <v>52</v>
      </c>
      <c r="AC2438" t="s">
        <v>52</v>
      </c>
      <c r="AD2438" t="s">
        <v>52</v>
      </c>
      <c r="AE2438" t="s">
        <v>52</v>
      </c>
      <c r="AF2438" s="18" t="s">
        <v>52</v>
      </c>
      <c r="AG2438" s="18" t="s">
        <v>52</v>
      </c>
      <c r="AH2438" s="18" t="s">
        <v>52</v>
      </c>
      <c r="AI2438" s="18" t="s">
        <v>52</v>
      </c>
      <c r="AJ2438">
        <v>4</v>
      </c>
      <c r="AK2438">
        <v>4</v>
      </c>
      <c r="AL2438">
        <v>4</v>
      </c>
      <c r="AM2438">
        <v>6</v>
      </c>
      <c r="AN2438" s="18">
        <v>0</v>
      </c>
      <c r="AO2438" s="18">
        <v>0</v>
      </c>
      <c r="AP2438" s="18">
        <v>0</v>
      </c>
      <c r="AQ2438" s="18">
        <v>0</v>
      </c>
      <c r="AR2438" s="29">
        <v>0</v>
      </c>
      <c r="AS2438" s="29">
        <v>0</v>
      </c>
      <c r="AT2438" s="29">
        <v>0</v>
      </c>
      <c r="AU2438" s="24" t="str">
        <f t="shared" ref="AU2438:AU2501" si="39">IF(AR2438="","库存为"&amp;M2438,IF(AS2438=0,"库存为"&amp;M2438,INT(M2438/AR2438)))</f>
        <v>库存为0</v>
      </c>
      <c r="AV2438" s="31" t="str">
        <f>IFERROR(时间!$B$4+AU2438,"上周无销量")</f>
        <v>上周无销量</v>
      </c>
    </row>
    <row r="2439" spans="1:48">
      <c r="A2439" s="16" t="s">
        <v>4159</v>
      </c>
      <c r="B2439" t="s">
        <v>3843</v>
      </c>
      <c r="C2439" t="s">
        <v>4116</v>
      </c>
      <c r="D2439" s="24">
        <v>0</v>
      </c>
      <c r="E2439" s="24">
        <v>0</v>
      </c>
      <c r="F2439" s="24">
        <v>0</v>
      </c>
      <c r="G2439" s="24">
        <v>0</v>
      </c>
      <c r="H2439" s="25">
        <v>0</v>
      </c>
      <c r="I2439">
        <v>0</v>
      </c>
      <c r="J2439" s="26">
        <v>0</v>
      </c>
      <c r="K2439" s="26">
        <v>0</v>
      </c>
      <c r="L2439" s="26">
        <v>0</v>
      </c>
      <c r="M2439">
        <v>0</v>
      </c>
      <c r="N2439">
        <v>0</v>
      </c>
      <c r="O2439">
        <v>0</v>
      </c>
      <c r="P2439" t="s">
        <v>52</v>
      </c>
      <c r="Q2439" t="s">
        <v>52</v>
      </c>
      <c r="R2439" t="s">
        <v>52</v>
      </c>
      <c r="S2439" t="s">
        <v>52</v>
      </c>
      <c r="T2439" t="s">
        <v>52</v>
      </c>
      <c r="U2439" t="s">
        <v>52</v>
      </c>
      <c r="V2439" t="s">
        <v>52</v>
      </c>
      <c r="W2439" t="s">
        <v>52</v>
      </c>
      <c r="X2439" s="18" t="s">
        <v>52</v>
      </c>
      <c r="Y2439" s="18" t="s">
        <v>52</v>
      </c>
      <c r="Z2439" s="18" t="s">
        <v>52</v>
      </c>
      <c r="AA2439" s="18" t="s">
        <v>52</v>
      </c>
      <c r="AB2439" t="s">
        <v>52</v>
      </c>
      <c r="AC2439" t="s">
        <v>52</v>
      </c>
      <c r="AD2439" t="s">
        <v>52</v>
      </c>
      <c r="AE2439" t="s">
        <v>52</v>
      </c>
      <c r="AF2439" s="18" t="s">
        <v>52</v>
      </c>
      <c r="AG2439" s="18" t="s">
        <v>52</v>
      </c>
      <c r="AH2439" s="18" t="s">
        <v>52</v>
      </c>
      <c r="AI2439" s="18" t="s">
        <v>52</v>
      </c>
      <c r="AJ2439">
        <v>7</v>
      </c>
      <c r="AK2439">
        <v>1</v>
      </c>
      <c r="AL2439">
        <v>5</v>
      </c>
      <c r="AM2439">
        <v>5</v>
      </c>
      <c r="AN2439" s="18">
        <v>0</v>
      </c>
      <c r="AO2439" s="18">
        <v>0</v>
      </c>
      <c r="AP2439" s="18">
        <v>0</v>
      </c>
      <c r="AQ2439" s="18">
        <v>0</v>
      </c>
      <c r="AR2439" s="29">
        <v>0</v>
      </c>
      <c r="AS2439" s="29">
        <v>0</v>
      </c>
      <c r="AT2439" s="29">
        <v>0</v>
      </c>
      <c r="AU2439" s="24" t="str">
        <f t="shared" si="39"/>
        <v>库存为0</v>
      </c>
      <c r="AV2439" s="31" t="str">
        <f>IFERROR(时间!$B$4+AU2439,"上周无销量")</f>
        <v>上周无销量</v>
      </c>
    </row>
    <row r="2440" spans="1:48">
      <c r="A2440" s="16" t="s">
        <v>4160</v>
      </c>
      <c r="B2440" t="s">
        <v>3845</v>
      </c>
      <c r="C2440" t="s">
        <v>4116</v>
      </c>
      <c r="D2440" s="24">
        <v>0</v>
      </c>
      <c r="E2440" s="24">
        <v>0</v>
      </c>
      <c r="F2440" s="24">
        <v>0</v>
      </c>
      <c r="G2440" s="24">
        <v>0</v>
      </c>
      <c r="H2440" s="25">
        <v>0</v>
      </c>
      <c r="I2440">
        <v>0</v>
      </c>
      <c r="J2440" s="26">
        <v>0</v>
      </c>
      <c r="K2440" s="26">
        <v>0</v>
      </c>
      <c r="L2440" s="26">
        <v>0</v>
      </c>
      <c r="M2440">
        <v>0</v>
      </c>
      <c r="N2440">
        <v>0</v>
      </c>
      <c r="O2440">
        <v>0</v>
      </c>
      <c r="P2440" t="s">
        <v>52</v>
      </c>
      <c r="Q2440" t="s">
        <v>52</v>
      </c>
      <c r="R2440" t="s">
        <v>52</v>
      </c>
      <c r="S2440" t="s">
        <v>52</v>
      </c>
      <c r="T2440" t="s">
        <v>52</v>
      </c>
      <c r="U2440" t="s">
        <v>52</v>
      </c>
      <c r="V2440" t="s">
        <v>52</v>
      </c>
      <c r="W2440" t="s">
        <v>52</v>
      </c>
      <c r="X2440" s="18" t="s">
        <v>52</v>
      </c>
      <c r="Y2440" s="18" t="s">
        <v>52</v>
      </c>
      <c r="Z2440" s="18" t="s">
        <v>52</v>
      </c>
      <c r="AA2440" s="18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s="18" t="s">
        <v>52</v>
      </c>
      <c r="AG2440" s="18" t="s">
        <v>52</v>
      </c>
      <c r="AH2440" s="18" t="s">
        <v>52</v>
      </c>
      <c r="AI2440" s="18" t="s">
        <v>52</v>
      </c>
      <c r="AJ2440">
        <v>5</v>
      </c>
      <c r="AK2440">
        <v>3</v>
      </c>
      <c r="AL2440">
        <v>7</v>
      </c>
      <c r="AM2440">
        <v>2</v>
      </c>
      <c r="AN2440" s="18">
        <v>0</v>
      </c>
      <c r="AO2440" s="18">
        <v>0</v>
      </c>
      <c r="AP2440" s="18">
        <v>0</v>
      </c>
      <c r="AQ2440" s="18">
        <v>0</v>
      </c>
      <c r="AR2440" s="29">
        <v>0</v>
      </c>
      <c r="AS2440" s="29">
        <v>0</v>
      </c>
      <c r="AT2440" s="29">
        <v>0</v>
      </c>
      <c r="AU2440" s="24" t="str">
        <f t="shared" si="39"/>
        <v>库存为0</v>
      </c>
      <c r="AV2440" s="31" t="str">
        <f>IFERROR(时间!$B$4+AU2440,"上周无销量")</f>
        <v>上周无销量</v>
      </c>
    </row>
    <row r="2441" spans="1:48">
      <c r="A2441" s="16" t="s">
        <v>4161</v>
      </c>
      <c r="B2441" t="s">
        <v>3847</v>
      </c>
      <c r="C2441" t="s">
        <v>4116</v>
      </c>
      <c r="D2441" s="24">
        <v>0</v>
      </c>
      <c r="E2441" s="24">
        <v>0</v>
      </c>
      <c r="F2441" s="24">
        <v>0</v>
      </c>
      <c r="G2441" s="24">
        <v>0</v>
      </c>
      <c r="H2441" s="25">
        <v>0</v>
      </c>
      <c r="I2441">
        <v>0</v>
      </c>
      <c r="J2441" s="26">
        <v>0</v>
      </c>
      <c r="K2441" s="26">
        <v>0</v>
      </c>
      <c r="L2441" s="26">
        <v>0</v>
      </c>
      <c r="M2441">
        <v>0</v>
      </c>
      <c r="N2441">
        <v>0</v>
      </c>
      <c r="O2441">
        <v>0</v>
      </c>
      <c r="P2441" t="s">
        <v>52</v>
      </c>
      <c r="Q2441" t="s">
        <v>52</v>
      </c>
      <c r="R2441" t="s">
        <v>52</v>
      </c>
      <c r="S2441" t="s">
        <v>52</v>
      </c>
      <c r="T2441" t="s">
        <v>52</v>
      </c>
      <c r="U2441" t="s">
        <v>52</v>
      </c>
      <c r="V2441" t="s">
        <v>52</v>
      </c>
      <c r="W2441" t="s">
        <v>52</v>
      </c>
      <c r="X2441" s="18" t="s">
        <v>52</v>
      </c>
      <c r="Y2441" s="18" t="s">
        <v>52</v>
      </c>
      <c r="Z2441" s="18" t="s">
        <v>52</v>
      </c>
      <c r="AA2441" s="18" t="s">
        <v>52</v>
      </c>
      <c r="AB2441" t="s">
        <v>52</v>
      </c>
      <c r="AC2441" t="s">
        <v>52</v>
      </c>
      <c r="AD2441" t="s">
        <v>52</v>
      </c>
      <c r="AE2441" t="s">
        <v>52</v>
      </c>
      <c r="AF2441" s="18" t="s">
        <v>52</v>
      </c>
      <c r="AG2441" s="18" t="s">
        <v>52</v>
      </c>
      <c r="AH2441" s="18" t="s">
        <v>52</v>
      </c>
      <c r="AI2441" s="18" t="s">
        <v>52</v>
      </c>
      <c r="AJ2441">
        <v>2</v>
      </c>
      <c r="AK2441">
        <v>5</v>
      </c>
      <c r="AL2441">
        <v>3</v>
      </c>
      <c r="AM2441">
        <v>1</v>
      </c>
      <c r="AN2441" s="18">
        <v>0</v>
      </c>
      <c r="AO2441" s="18">
        <v>0</v>
      </c>
      <c r="AP2441" s="18">
        <v>0</v>
      </c>
      <c r="AQ2441" s="18">
        <v>0</v>
      </c>
      <c r="AR2441" s="29">
        <v>0</v>
      </c>
      <c r="AS2441" s="29">
        <v>0</v>
      </c>
      <c r="AT2441" s="29">
        <v>0</v>
      </c>
      <c r="AU2441" s="24" t="str">
        <f t="shared" si="39"/>
        <v>库存为0</v>
      </c>
      <c r="AV2441" s="31" t="str">
        <f>IFERROR(时间!$B$4+AU2441,"上周无销量")</f>
        <v>上周无销量</v>
      </c>
    </row>
    <row r="2442" spans="1:48">
      <c r="A2442" s="16" t="s">
        <v>4162</v>
      </c>
      <c r="B2442" t="s">
        <v>4163</v>
      </c>
      <c r="C2442" t="s">
        <v>4164</v>
      </c>
      <c r="D2442" s="24">
        <v>0</v>
      </c>
      <c r="E2442" s="24">
        <v>0</v>
      </c>
      <c r="F2442" s="24">
        <v>0</v>
      </c>
      <c r="G2442" s="24">
        <v>0</v>
      </c>
      <c r="H2442" s="25">
        <v>0</v>
      </c>
      <c r="I2442">
        <v>30</v>
      </c>
      <c r="J2442" s="26">
        <v>0</v>
      </c>
      <c r="K2442" s="26">
        <v>0</v>
      </c>
      <c r="L2442" s="26">
        <v>0</v>
      </c>
      <c r="M2442">
        <v>30</v>
      </c>
      <c r="N2442">
        <v>0</v>
      </c>
      <c r="O2442">
        <v>0</v>
      </c>
      <c r="P2442" t="s">
        <v>52</v>
      </c>
      <c r="Q2442" t="s">
        <v>52</v>
      </c>
      <c r="R2442" t="s">
        <v>52</v>
      </c>
      <c r="S2442" t="s">
        <v>52</v>
      </c>
      <c r="T2442" t="s">
        <v>52</v>
      </c>
      <c r="U2442" t="s">
        <v>52</v>
      </c>
      <c r="V2442" t="s">
        <v>52</v>
      </c>
      <c r="W2442" t="s">
        <v>52</v>
      </c>
      <c r="X2442" s="18" t="s">
        <v>52</v>
      </c>
      <c r="Y2442" s="18" t="s">
        <v>52</v>
      </c>
      <c r="Z2442" s="18" t="s">
        <v>52</v>
      </c>
      <c r="AA2442" s="18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s="18" t="s">
        <v>52</v>
      </c>
      <c r="AG2442" s="18" t="s">
        <v>52</v>
      </c>
      <c r="AH2442" s="18" t="s">
        <v>52</v>
      </c>
      <c r="AI2442" s="18" t="s">
        <v>52</v>
      </c>
      <c r="AJ2442">
        <v>21</v>
      </c>
      <c r="AK2442">
        <v>16</v>
      </c>
      <c r="AL2442">
        <v>10</v>
      </c>
      <c r="AM2442">
        <v>6</v>
      </c>
      <c r="AN2442" s="18">
        <v>0</v>
      </c>
      <c r="AO2442" s="18">
        <v>0</v>
      </c>
      <c r="AP2442" s="18">
        <v>0</v>
      </c>
      <c r="AQ2442" s="18">
        <v>0</v>
      </c>
      <c r="AR2442" s="29">
        <v>0</v>
      </c>
      <c r="AS2442" s="29">
        <v>0</v>
      </c>
      <c r="AT2442" s="29">
        <v>30</v>
      </c>
      <c r="AU2442" s="24" t="str">
        <f t="shared" si="39"/>
        <v>库存为30</v>
      </c>
      <c r="AV2442" s="31" t="str">
        <f>IFERROR(时间!$B$4+AU2442,"上周无销量")</f>
        <v>上周无销量</v>
      </c>
    </row>
    <row r="2443" spans="1:48">
      <c r="A2443" s="16" t="s">
        <v>4165</v>
      </c>
      <c r="B2443" t="s">
        <v>4166</v>
      </c>
      <c r="C2443" t="s">
        <v>4164</v>
      </c>
      <c r="D2443" s="24">
        <v>0</v>
      </c>
      <c r="E2443" s="24">
        <v>0</v>
      </c>
      <c r="F2443" s="24">
        <v>0</v>
      </c>
      <c r="G2443" s="24">
        <v>0</v>
      </c>
      <c r="H2443" s="25">
        <v>0</v>
      </c>
      <c r="I2443">
        <v>10</v>
      </c>
      <c r="J2443" s="26">
        <v>0</v>
      </c>
      <c r="K2443" s="26">
        <v>0</v>
      </c>
      <c r="L2443" s="26">
        <v>0</v>
      </c>
      <c r="M2443">
        <v>10</v>
      </c>
      <c r="N2443">
        <v>0</v>
      </c>
      <c r="O2443">
        <v>0</v>
      </c>
      <c r="P2443" t="s">
        <v>52</v>
      </c>
      <c r="Q2443" t="s">
        <v>52</v>
      </c>
      <c r="R2443" t="s">
        <v>52</v>
      </c>
      <c r="S2443" t="s">
        <v>52</v>
      </c>
      <c r="T2443" t="s">
        <v>52</v>
      </c>
      <c r="U2443" t="s">
        <v>52</v>
      </c>
      <c r="V2443" t="s">
        <v>52</v>
      </c>
      <c r="W2443" t="s">
        <v>52</v>
      </c>
      <c r="X2443" s="18" t="s">
        <v>52</v>
      </c>
      <c r="Y2443" s="18" t="s">
        <v>52</v>
      </c>
      <c r="Z2443" s="18" t="s">
        <v>52</v>
      </c>
      <c r="AA2443" s="18" t="s">
        <v>52</v>
      </c>
      <c r="AB2443" t="s">
        <v>52</v>
      </c>
      <c r="AC2443" t="s">
        <v>52</v>
      </c>
      <c r="AD2443" t="s">
        <v>52</v>
      </c>
      <c r="AE2443" t="s">
        <v>52</v>
      </c>
      <c r="AF2443" s="18" t="s">
        <v>52</v>
      </c>
      <c r="AG2443" s="18" t="s">
        <v>52</v>
      </c>
      <c r="AH2443" s="18" t="s">
        <v>52</v>
      </c>
      <c r="AI2443" s="18" t="s">
        <v>52</v>
      </c>
      <c r="AJ2443">
        <v>8</v>
      </c>
      <c r="AK2443">
        <v>4</v>
      </c>
      <c r="AL2443">
        <v>19</v>
      </c>
      <c r="AM2443">
        <v>14</v>
      </c>
      <c r="AN2443" s="18">
        <v>0</v>
      </c>
      <c r="AO2443" s="18">
        <v>0</v>
      </c>
      <c r="AP2443" s="18">
        <v>0</v>
      </c>
      <c r="AQ2443" s="18">
        <v>0</v>
      </c>
      <c r="AR2443" s="29">
        <v>0</v>
      </c>
      <c r="AS2443" s="29">
        <v>0</v>
      </c>
      <c r="AT2443" s="29">
        <v>10</v>
      </c>
      <c r="AU2443" s="24" t="str">
        <f t="shared" si="39"/>
        <v>库存为10</v>
      </c>
      <c r="AV2443" s="31" t="str">
        <f>IFERROR(时间!$B$4+AU2443,"上周无销量")</f>
        <v>上周无销量</v>
      </c>
    </row>
    <row r="2444" spans="1:48">
      <c r="A2444" s="16" t="s">
        <v>4167</v>
      </c>
      <c r="B2444" t="s">
        <v>4168</v>
      </c>
      <c r="C2444" t="s">
        <v>4164</v>
      </c>
      <c r="D2444" s="24">
        <v>0</v>
      </c>
      <c r="E2444" s="24">
        <v>0</v>
      </c>
      <c r="F2444" s="24">
        <v>0</v>
      </c>
      <c r="G2444" s="24">
        <v>0</v>
      </c>
      <c r="H2444" s="25">
        <v>0</v>
      </c>
      <c r="I2444">
        <v>7</v>
      </c>
      <c r="J2444" s="26">
        <v>0</v>
      </c>
      <c r="K2444" s="26">
        <v>0</v>
      </c>
      <c r="L2444" s="26">
        <v>1</v>
      </c>
      <c r="M2444">
        <v>8</v>
      </c>
      <c r="N2444">
        <v>0</v>
      </c>
      <c r="O2444">
        <v>0</v>
      </c>
      <c r="P2444" t="s">
        <v>52</v>
      </c>
      <c r="Q2444" t="s">
        <v>52</v>
      </c>
      <c r="R2444" t="s">
        <v>52</v>
      </c>
      <c r="S2444" t="s">
        <v>52</v>
      </c>
      <c r="T2444" t="s">
        <v>52</v>
      </c>
      <c r="U2444" t="s">
        <v>52</v>
      </c>
      <c r="V2444" t="s">
        <v>52</v>
      </c>
      <c r="W2444" t="s">
        <v>52</v>
      </c>
      <c r="X2444" s="18" t="s">
        <v>52</v>
      </c>
      <c r="Y2444" s="18" t="s">
        <v>52</v>
      </c>
      <c r="Z2444" s="18" t="s">
        <v>52</v>
      </c>
      <c r="AA2444" s="18" t="s">
        <v>52</v>
      </c>
      <c r="AB2444" t="s">
        <v>52</v>
      </c>
      <c r="AC2444" t="s">
        <v>52</v>
      </c>
      <c r="AD2444" t="s">
        <v>52</v>
      </c>
      <c r="AE2444" t="s">
        <v>52</v>
      </c>
      <c r="AF2444" s="18" t="s">
        <v>52</v>
      </c>
      <c r="AG2444" s="18" t="s">
        <v>52</v>
      </c>
      <c r="AH2444" s="18" t="s">
        <v>52</v>
      </c>
      <c r="AI2444" s="18" t="s">
        <v>52</v>
      </c>
      <c r="AJ2444">
        <v>23</v>
      </c>
      <c r="AK2444">
        <v>10</v>
      </c>
      <c r="AL2444">
        <v>20</v>
      </c>
      <c r="AM2444">
        <v>18</v>
      </c>
      <c r="AN2444" s="18">
        <v>0</v>
      </c>
      <c r="AO2444" s="18">
        <v>0</v>
      </c>
      <c r="AP2444" s="18">
        <v>0</v>
      </c>
      <c r="AQ2444" s="18">
        <v>0</v>
      </c>
      <c r="AR2444" s="29">
        <v>0</v>
      </c>
      <c r="AS2444" s="29">
        <v>0</v>
      </c>
      <c r="AT2444" s="29">
        <v>8</v>
      </c>
      <c r="AU2444" s="24" t="str">
        <f t="shared" si="39"/>
        <v>库存为8</v>
      </c>
      <c r="AV2444" s="31" t="str">
        <f>IFERROR(时间!$B$4+AU2444,"上周无销量")</f>
        <v>上周无销量</v>
      </c>
    </row>
    <row r="2445" spans="1:48">
      <c r="A2445" s="16" t="s">
        <v>4169</v>
      </c>
      <c r="B2445" t="s">
        <v>4170</v>
      </c>
      <c r="C2445" t="s">
        <v>4164</v>
      </c>
      <c r="D2445" s="24">
        <v>0</v>
      </c>
      <c r="E2445" s="24">
        <v>0</v>
      </c>
      <c r="F2445" s="24">
        <v>0</v>
      </c>
      <c r="G2445" s="24">
        <v>0</v>
      </c>
      <c r="H2445" s="25">
        <v>0</v>
      </c>
      <c r="I2445">
        <v>0</v>
      </c>
      <c r="J2445" s="26">
        <v>0</v>
      </c>
      <c r="K2445" s="26">
        <v>0</v>
      </c>
      <c r="L2445" s="26">
        <v>1</v>
      </c>
      <c r="M2445">
        <v>1</v>
      </c>
      <c r="N2445">
        <v>0</v>
      </c>
      <c r="O2445">
        <v>0</v>
      </c>
      <c r="P2445" t="s">
        <v>52</v>
      </c>
      <c r="Q2445" t="s">
        <v>52</v>
      </c>
      <c r="R2445" t="s">
        <v>52</v>
      </c>
      <c r="S2445" t="s">
        <v>52</v>
      </c>
      <c r="T2445" t="s">
        <v>52</v>
      </c>
      <c r="U2445" t="s">
        <v>52</v>
      </c>
      <c r="V2445" t="s">
        <v>52</v>
      </c>
      <c r="W2445" t="s">
        <v>52</v>
      </c>
      <c r="X2445" s="18" t="s">
        <v>52</v>
      </c>
      <c r="Y2445" s="18" t="s">
        <v>52</v>
      </c>
      <c r="Z2445" s="18" t="s">
        <v>52</v>
      </c>
      <c r="AA2445" s="18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s="18" t="s">
        <v>52</v>
      </c>
      <c r="AG2445" s="18" t="s">
        <v>52</v>
      </c>
      <c r="AH2445" s="18" t="s">
        <v>52</v>
      </c>
      <c r="AI2445" s="18" t="s">
        <v>52</v>
      </c>
      <c r="AJ2445">
        <v>18</v>
      </c>
      <c r="AK2445">
        <v>16</v>
      </c>
      <c r="AL2445">
        <v>22</v>
      </c>
      <c r="AM2445">
        <v>5</v>
      </c>
      <c r="AN2445" s="18">
        <v>0</v>
      </c>
      <c r="AO2445" s="18">
        <v>0</v>
      </c>
      <c r="AP2445" s="18">
        <v>0</v>
      </c>
      <c r="AQ2445" s="18">
        <v>0</v>
      </c>
      <c r="AR2445" s="29">
        <v>0</v>
      </c>
      <c r="AS2445" s="29">
        <v>0</v>
      </c>
      <c r="AT2445" s="29">
        <v>1</v>
      </c>
      <c r="AU2445" s="24" t="str">
        <f t="shared" si="39"/>
        <v>库存为1</v>
      </c>
      <c r="AV2445" s="31" t="str">
        <f>IFERROR(时间!$B$4+AU2445,"上周无销量")</f>
        <v>上周无销量</v>
      </c>
    </row>
    <row r="2446" spans="1:48">
      <c r="A2446" s="16" t="s">
        <v>4171</v>
      </c>
      <c r="B2446" t="s">
        <v>4172</v>
      </c>
      <c r="C2446" t="s">
        <v>4164</v>
      </c>
      <c r="D2446" s="24">
        <v>1</v>
      </c>
      <c r="E2446" s="24">
        <v>0</v>
      </c>
      <c r="F2446" s="24">
        <v>2</v>
      </c>
      <c r="G2446" s="24">
        <v>0</v>
      </c>
      <c r="H2446" s="25">
        <v>21.98</v>
      </c>
      <c r="I2446">
        <v>18</v>
      </c>
      <c r="J2446" s="26">
        <v>0</v>
      </c>
      <c r="K2446" s="26">
        <v>0</v>
      </c>
      <c r="L2446" s="26">
        <v>1</v>
      </c>
      <c r="M2446">
        <v>19</v>
      </c>
      <c r="N2446">
        <v>0</v>
      </c>
      <c r="O2446">
        <v>8</v>
      </c>
      <c r="P2446">
        <v>19015</v>
      </c>
      <c r="Q2446">
        <v>1579</v>
      </c>
      <c r="R2446">
        <v>5163</v>
      </c>
      <c r="S2446">
        <v>20394</v>
      </c>
      <c r="T2446">
        <v>28</v>
      </c>
      <c r="U2446">
        <v>9</v>
      </c>
      <c r="V2446">
        <v>14</v>
      </c>
      <c r="W2446">
        <v>34</v>
      </c>
      <c r="X2446" s="18">
        <v>0.00147252169339995</v>
      </c>
      <c r="Y2446" s="18">
        <v>0.00569981000633312</v>
      </c>
      <c r="Z2446" s="18">
        <v>0.00271160178190974</v>
      </c>
      <c r="AA2446" s="18">
        <v>0.00166715700696283</v>
      </c>
      <c r="AB2446">
        <v>17.66</v>
      </c>
      <c r="AC2446">
        <v>3.15</v>
      </c>
      <c r="AD2446">
        <v>5.15</v>
      </c>
      <c r="AE2446">
        <v>11.84</v>
      </c>
      <c r="AF2446" s="18">
        <v>0.803457688808007</v>
      </c>
      <c r="AG2446" s="18" t="s">
        <v>4173</v>
      </c>
      <c r="AH2446" s="18">
        <v>0.117151956323931</v>
      </c>
      <c r="AI2446" s="18" t="s">
        <v>4174</v>
      </c>
      <c r="AJ2446">
        <v>19</v>
      </c>
      <c r="AK2446">
        <v>17</v>
      </c>
      <c r="AL2446">
        <v>18</v>
      </c>
      <c r="AM2446">
        <v>12</v>
      </c>
      <c r="AN2446" s="18">
        <v>0.0526315789473684</v>
      </c>
      <c r="AO2446" s="18">
        <v>0</v>
      </c>
      <c r="AP2446" s="18">
        <v>0.111111111111111</v>
      </c>
      <c r="AQ2446" s="18">
        <v>0</v>
      </c>
      <c r="AR2446" s="29">
        <v>0.142857142857143</v>
      </c>
      <c r="AS2446" s="29">
        <v>8.57142857142857</v>
      </c>
      <c r="AT2446" s="29">
        <v>10.4285714285714</v>
      </c>
      <c r="AU2446" s="24">
        <f t="shared" si="39"/>
        <v>133</v>
      </c>
      <c r="AV2446" s="31">
        <f>IFERROR(时间!$B$4+AU2446,"上周无销量")</f>
        <v>43451</v>
      </c>
    </row>
    <row r="2447" spans="1:48">
      <c r="A2447" s="16" t="s">
        <v>4175</v>
      </c>
      <c r="B2447" t="s">
        <v>4176</v>
      </c>
      <c r="C2447" t="s">
        <v>4164</v>
      </c>
      <c r="D2447" s="24">
        <v>0</v>
      </c>
      <c r="E2447" s="24">
        <v>0</v>
      </c>
      <c r="F2447" s="24">
        <v>0</v>
      </c>
      <c r="G2447" s="24">
        <v>0</v>
      </c>
      <c r="H2447" s="25">
        <v>0</v>
      </c>
      <c r="I2447">
        <v>22</v>
      </c>
      <c r="J2447" s="26">
        <v>0</v>
      </c>
      <c r="K2447" s="26">
        <v>0</v>
      </c>
      <c r="L2447" s="26">
        <v>0</v>
      </c>
      <c r="M2447">
        <v>22</v>
      </c>
      <c r="N2447">
        <v>0</v>
      </c>
      <c r="O2447">
        <v>0</v>
      </c>
      <c r="P2447" t="s">
        <v>52</v>
      </c>
      <c r="Q2447" t="s">
        <v>52</v>
      </c>
      <c r="R2447" t="s">
        <v>52</v>
      </c>
      <c r="S2447" t="s">
        <v>52</v>
      </c>
      <c r="T2447" t="s">
        <v>52</v>
      </c>
      <c r="U2447" t="s">
        <v>52</v>
      </c>
      <c r="V2447" t="s">
        <v>52</v>
      </c>
      <c r="W2447" t="s">
        <v>52</v>
      </c>
      <c r="X2447" s="18" t="s">
        <v>52</v>
      </c>
      <c r="Y2447" s="18" t="s">
        <v>52</v>
      </c>
      <c r="Z2447" s="18" t="s">
        <v>52</v>
      </c>
      <c r="AA2447" s="18" t="s">
        <v>52</v>
      </c>
      <c r="AB2447" t="s">
        <v>52</v>
      </c>
      <c r="AC2447" t="s">
        <v>52</v>
      </c>
      <c r="AD2447" t="s">
        <v>52</v>
      </c>
      <c r="AE2447" t="s">
        <v>52</v>
      </c>
      <c r="AF2447" s="18" t="s">
        <v>52</v>
      </c>
      <c r="AG2447" s="18" t="s">
        <v>52</v>
      </c>
      <c r="AH2447" s="18" t="s">
        <v>52</v>
      </c>
      <c r="AI2447" s="18" t="s">
        <v>52</v>
      </c>
      <c r="AJ2447">
        <v>8</v>
      </c>
      <c r="AK2447">
        <v>8</v>
      </c>
      <c r="AL2447">
        <v>10</v>
      </c>
      <c r="AM2447">
        <v>9</v>
      </c>
      <c r="AN2447" s="18">
        <v>0</v>
      </c>
      <c r="AO2447" s="18">
        <v>0</v>
      </c>
      <c r="AP2447" s="18">
        <v>0</v>
      </c>
      <c r="AQ2447" s="18">
        <v>0</v>
      </c>
      <c r="AR2447" s="29">
        <v>0</v>
      </c>
      <c r="AS2447" s="29">
        <v>0</v>
      </c>
      <c r="AT2447" s="29">
        <v>22</v>
      </c>
      <c r="AU2447" s="24" t="str">
        <f t="shared" si="39"/>
        <v>库存为22</v>
      </c>
      <c r="AV2447" s="31" t="str">
        <f>IFERROR(时间!$B$4+AU2447,"上周无销量")</f>
        <v>上周无销量</v>
      </c>
    </row>
    <row r="2448" spans="1:48">
      <c r="A2448" s="16" t="s">
        <v>4177</v>
      </c>
      <c r="B2448" t="s">
        <v>4178</v>
      </c>
      <c r="C2448" t="s">
        <v>4164</v>
      </c>
      <c r="D2448" s="24">
        <v>0</v>
      </c>
      <c r="E2448" s="24">
        <v>0</v>
      </c>
      <c r="F2448" s="24">
        <v>0</v>
      </c>
      <c r="G2448" s="24">
        <v>0</v>
      </c>
      <c r="H2448" s="25">
        <v>0</v>
      </c>
      <c r="I2448">
        <v>21</v>
      </c>
      <c r="J2448" s="26">
        <v>0</v>
      </c>
      <c r="K2448" s="26">
        <v>0</v>
      </c>
      <c r="L2448" s="26">
        <v>0</v>
      </c>
      <c r="M2448">
        <v>21</v>
      </c>
      <c r="N2448">
        <v>0</v>
      </c>
      <c r="O2448">
        <v>0</v>
      </c>
      <c r="P2448" t="s">
        <v>52</v>
      </c>
      <c r="Q2448" t="s">
        <v>52</v>
      </c>
      <c r="R2448" t="s">
        <v>52</v>
      </c>
      <c r="S2448" t="s">
        <v>52</v>
      </c>
      <c r="T2448" t="s">
        <v>52</v>
      </c>
      <c r="U2448" t="s">
        <v>52</v>
      </c>
      <c r="V2448" t="s">
        <v>52</v>
      </c>
      <c r="W2448" t="s">
        <v>52</v>
      </c>
      <c r="X2448" s="18" t="s">
        <v>52</v>
      </c>
      <c r="Y2448" s="18" t="s">
        <v>52</v>
      </c>
      <c r="Z2448" s="18" t="s">
        <v>52</v>
      </c>
      <c r="AA2448" s="18" t="s">
        <v>52</v>
      </c>
      <c r="AB2448" t="s">
        <v>52</v>
      </c>
      <c r="AC2448" t="s">
        <v>52</v>
      </c>
      <c r="AD2448" t="s">
        <v>52</v>
      </c>
      <c r="AE2448" t="s">
        <v>52</v>
      </c>
      <c r="AF2448" s="18" t="s">
        <v>52</v>
      </c>
      <c r="AG2448" s="18" t="s">
        <v>52</v>
      </c>
      <c r="AH2448" s="18" t="s">
        <v>52</v>
      </c>
      <c r="AI2448" s="18" t="s">
        <v>52</v>
      </c>
      <c r="AJ2448">
        <v>5</v>
      </c>
      <c r="AK2448">
        <v>5</v>
      </c>
      <c r="AL2448">
        <v>14</v>
      </c>
      <c r="AM2448">
        <v>8</v>
      </c>
      <c r="AN2448" s="18">
        <v>0</v>
      </c>
      <c r="AO2448" s="18">
        <v>0</v>
      </c>
      <c r="AP2448" s="18">
        <v>0</v>
      </c>
      <c r="AQ2448" s="18">
        <v>0</v>
      </c>
      <c r="AR2448" s="29">
        <v>0</v>
      </c>
      <c r="AS2448" s="29">
        <v>0</v>
      </c>
      <c r="AT2448" s="29">
        <v>21</v>
      </c>
      <c r="AU2448" s="24" t="str">
        <f t="shared" si="39"/>
        <v>库存为21</v>
      </c>
      <c r="AV2448" s="31" t="str">
        <f>IFERROR(时间!$B$4+AU2448,"上周无销量")</f>
        <v>上周无销量</v>
      </c>
    </row>
    <row r="2449" spans="1:48">
      <c r="A2449" s="16" t="s">
        <v>4179</v>
      </c>
      <c r="B2449" t="s">
        <v>4180</v>
      </c>
      <c r="C2449" t="s">
        <v>4164</v>
      </c>
      <c r="D2449" s="24">
        <v>0</v>
      </c>
      <c r="E2449" s="24">
        <v>0</v>
      </c>
      <c r="F2449" s="24">
        <v>0</v>
      </c>
      <c r="G2449" s="24">
        <v>0</v>
      </c>
      <c r="H2449" s="25">
        <v>0</v>
      </c>
      <c r="I2449">
        <v>13</v>
      </c>
      <c r="J2449" s="26">
        <v>0</v>
      </c>
      <c r="K2449" s="26">
        <v>0</v>
      </c>
      <c r="L2449" s="26">
        <v>1</v>
      </c>
      <c r="M2449">
        <v>14</v>
      </c>
      <c r="N2449">
        <v>0</v>
      </c>
      <c r="O2449">
        <v>0</v>
      </c>
      <c r="P2449" t="s">
        <v>52</v>
      </c>
      <c r="Q2449" t="s">
        <v>52</v>
      </c>
      <c r="R2449" t="s">
        <v>52</v>
      </c>
      <c r="S2449" t="s">
        <v>52</v>
      </c>
      <c r="T2449" t="s">
        <v>52</v>
      </c>
      <c r="U2449" t="s">
        <v>52</v>
      </c>
      <c r="V2449" t="s">
        <v>52</v>
      </c>
      <c r="W2449" t="s">
        <v>52</v>
      </c>
      <c r="X2449" s="18" t="s">
        <v>52</v>
      </c>
      <c r="Y2449" s="18" t="s">
        <v>52</v>
      </c>
      <c r="Z2449" s="18" t="s">
        <v>52</v>
      </c>
      <c r="AA2449" s="18" t="s">
        <v>52</v>
      </c>
      <c r="AB2449" t="s">
        <v>52</v>
      </c>
      <c r="AC2449" t="s">
        <v>52</v>
      </c>
      <c r="AD2449" t="s">
        <v>52</v>
      </c>
      <c r="AE2449" t="s">
        <v>52</v>
      </c>
      <c r="AF2449" s="18" t="s">
        <v>52</v>
      </c>
      <c r="AG2449" s="18" t="s">
        <v>52</v>
      </c>
      <c r="AH2449" s="18" t="s">
        <v>52</v>
      </c>
      <c r="AI2449" s="18" t="s">
        <v>52</v>
      </c>
      <c r="AJ2449">
        <v>16</v>
      </c>
      <c r="AK2449">
        <v>10</v>
      </c>
      <c r="AL2449">
        <v>9</v>
      </c>
      <c r="AM2449">
        <v>15</v>
      </c>
      <c r="AN2449" s="18">
        <v>0</v>
      </c>
      <c r="AO2449" s="18">
        <v>0</v>
      </c>
      <c r="AP2449" s="18">
        <v>0</v>
      </c>
      <c r="AQ2449" s="18">
        <v>0</v>
      </c>
      <c r="AR2449" s="29">
        <v>0</v>
      </c>
      <c r="AS2449" s="29">
        <v>0</v>
      </c>
      <c r="AT2449" s="29">
        <v>14</v>
      </c>
      <c r="AU2449" s="24" t="str">
        <f t="shared" si="39"/>
        <v>库存为14</v>
      </c>
      <c r="AV2449" s="31" t="str">
        <f>IFERROR(时间!$B$4+AU2449,"上周无销量")</f>
        <v>上周无销量</v>
      </c>
    </row>
    <row r="2450" spans="1:48">
      <c r="A2450" s="16" t="s">
        <v>4181</v>
      </c>
      <c r="B2450" t="s">
        <v>4182</v>
      </c>
      <c r="C2450" t="s">
        <v>4164</v>
      </c>
      <c r="D2450" s="24">
        <v>0</v>
      </c>
      <c r="E2450" s="24">
        <v>0</v>
      </c>
      <c r="F2450" s="24">
        <v>0</v>
      </c>
      <c r="G2450" s="24">
        <v>0</v>
      </c>
      <c r="H2450" s="25">
        <v>0</v>
      </c>
      <c r="I2450">
        <v>5</v>
      </c>
      <c r="J2450" s="26">
        <v>0</v>
      </c>
      <c r="K2450" s="26">
        <v>0</v>
      </c>
      <c r="L2450" s="26">
        <v>0</v>
      </c>
      <c r="M2450">
        <v>5</v>
      </c>
      <c r="N2450">
        <v>0</v>
      </c>
      <c r="O2450">
        <v>0</v>
      </c>
      <c r="P2450" t="s">
        <v>52</v>
      </c>
      <c r="Q2450" t="s">
        <v>52</v>
      </c>
      <c r="R2450" t="s">
        <v>52</v>
      </c>
      <c r="S2450" t="s">
        <v>52</v>
      </c>
      <c r="T2450" t="s">
        <v>52</v>
      </c>
      <c r="U2450" t="s">
        <v>52</v>
      </c>
      <c r="V2450" t="s">
        <v>52</v>
      </c>
      <c r="W2450" t="s">
        <v>52</v>
      </c>
      <c r="X2450" s="18" t="s">
        <v>52</v>
      </c>
      <c r="Y2450" s="18" t="s">
        <v>52</v>
      </c>
      <c r="Z2450" s="18" t="s">
        <v>52</v>
      </c>
      <c r="AA2450" s="18" t="s">
        <v>52</v>
      </c>
      <c r="AB2450" t="s">
        <v>52</v>
      </c>
      <c r="AC2450" t="s">
        <v>52</v>
      </c>
      <c r="AD2450" t="s">
        <v>52</v>
      </c>
      <c r="AE2450" t="s">
        <v>52</v>
      </c>
      <c r="AF2450" s="18" t="s">
        <v>52</v>
      </c>
      <c r="AG2450" s="18" t="s">
        <v>52</v>
      </c>
      <c r="AH2450" s="18" t="s">
        <v>52</v>
      </c>
      <c r="AI2450" s="18" t="s">
        <v>52</v>
      </c>
      <c r="AJ2450">
        <v>5</v>
      </c>
      <c r="AK2450">
        <v>3</v>
      </c>
      <c r="AL2450">
        <v>6</v>
      </c>
      <c r="AM2450">
        <v>7</v>
      </c>
      <c r="AN2450" s="18">
        <v>0</v>
      </c>
      <c r="AO2450" s="18">
        <v>0</v>
      </c>
      <c r="AP2450" s="18">
        <v>0</v>
      </c>
      <c r="AQ2450" s="18">
        <v>0</v>
      </c>
      <c r="AR2450" s="29">
        <v>0</v>
      </c>
      <c r="AS2450" s="29">
        <v>0</v>
      </c>
      <c r="AT2450" s="29">
        <v>5</v>
      </c>
      <c r="AU2450" s="24" t="str">
        <f t="shared" si="39"/>
        <v>库存为5</v>
      </c>
      <c r="AV2450" s="31" t="str">
        <f>IFERROR(时间!$B$4+AU2450,"上周无销量")</f>
        <v>上周无销量</v>
      </c>
    </row>
    <row r="2451" spans="1:48">
      <c r="A2451" s="16" t="s">
        <v>4183</v>
      </c>
      <c r="B2451" t="s">
        <v>4184</v>
      </c>
      <c r="C2451" t="s">
        <v>4164</v>
      </c>
      <c r="D2451" s="24">
        <v>0</v>
      </c>
      <c r="E2451" s="24">
        <v>0</v>
      </c>
      <c r="F2451" s="24">
        <v>0</v>
      </c>
      <c r="G2451" s="24">
        <v>0</v>
      </c>
      <c r="H2451" s="25">
        <v>0</v>
      </c>
      <c r="I2451">
        <v>16</v>
      </c>
      <c r="J2451" s="26">
        <v>0</v>
      </c>
      <c r="K2451" s="26">
        <v>0</v>
      </c>
      <c r="L2451" s="26">
        <v>0</v>
      </c>
      <c r="M2451">
        <v>16</v>
      </c>
      <c r="N2451">
        <v>0</v>
      </c>
      <c r="O2451">
        <v>0</v>
      </c>
      <c r="P2451" t="s">
        <v>52</v>
      </c>
      <c r="Q2451" t="s">
        <v>52</v>
      </c>
      <c r="R2451" t="s">
        <v>52</v>
      </c>
      <c r="S2451" t="s">
        <v>52</v>
      </c>
      <c r="T2451" t="s">
        <v>52</v>
      </c>
      <c r="U2451" t="s">
        <v>52</v>
      </c>
      <c r="V2451" t="s">
        <v>52</v>
      </c>
      <c r="W2451" t="s">
        <v>52</v>
      </c>
      <c r="X2451" s="18" t="s">
        <v>52</v>
      </c>
      <c r="Y2451" s="18" t="s">
        <v>52</v>
      </c>
      <c r="Z2451" s="18" t="s">
        <v>52</v>
      </c>
      <c r="AA2451" s="18" t="s">
        <v>52</v>
      </c>
      <c r="AB2451" t="s">
        <v>52</v>
      </c>
      <c r="AC2451" t="s">
        <v>52</v>
      </c>
      <c r="AD2451" t="s">
        <v>52</v>
      </c>
      <c r="AE2451" t="s">
        <v>52</v>
      </c>
      <c r="AF2451" s="18" t="s">
        <v>52</v>
      </c>
      <c r="AG2451" s="18" t="s">
        <v>52</v>
      </c>
      <c r="AH2451" s="18" t="s">
        <v>52</v>
      </c>
      <c r="AI2451" s="18" t="s">
        <v>52</v>
      </c>
      <c r="AJ2451">
        <v>4</v>
      </c>
      <c r="AK2451">
        <v>2</v>
      </c>
      <c r="AL2451">
        <v>8</v>
      </c>
      <c r="AM2451">
        <v>5</v>
      </c>
      <c r="AN2451" s="18">
        <v>0</v>
      </c>
      <c r="AO2451" s="18">
        <v>0</v>
      </c>
      <c r="AP2451" s="18">
        <v>0</v>
      </c>
      <c r="AQ2451" s="18">
        <v>0</v>
      </c>
      <c r="AR2451" s="29">
        <v>0</v>
      </c>
      <c r="AS2451" s="29">
        <v>0</v>
      </c>
      <c r="AT2451" s="29">
        <v>16</v>
      </c>
      <c r="AU2451" s="24" t="str">
        <f t="shared" si="39"/>
        <v>库存为16</v>
      </c>
      <c r="AV2451" s="31" t="str">
        <f>IFERROR(时间!$B$4+AU2451,"上周无销量")</f>
        <v>上周无销量</v>
      </c>
    </row>
    <row r="2452" spans="1:48">
      <c r="A2452" s="16" t="s">
        <v>4185</v>
      </c>
      <c r="B2452" t="s">
        <v>4186</v>
      </c>
      <c r="C2452" t="s">
        <v>4164</v>
      </c>
      <c r="D2452" s="24">
        <v>0</v>
      </c>
      <c r="E2452" s="24">
        <v>0</v>
      </c>
      <c r="F2452" s="24">
        <v>1</v>
      </c>
      <c r="G2452" s="24">
        <v>1</v>
      </c>
      <c r="H2452" s="25">
        <v>22.98</v>
      </c>
      <c r="I2452">
        <v>13</v>
      </c>
      <c r="J2452" s="26">
        <v>0</v>
      </c>
      <c r="K2452" s="26">
        <v>0</v>
      </c>
      <c r="L2452" s="26">
        <v>0</v>
      </c>
      <c r="M2452">
        <v>13</v>
      </c>
      <c r="N2452">
        <v>0</v>
      </c>
      <c r="O2452">
        <v>12</v>
      </c>
      <c r="P2452" t="s">
        <v>52</v>
      </c>
      <c r="Q2452" t="s">
        <v>52</v>
      </c>
      <c r="R2452" t="s">
        <v>52</v>
      </c>
      <c r="S2452" t="s">
        <v>52</v>
      </c>
      <c r="T2452" t="s">
        <v>52</v>
      </c>
      <c r="U2452" t="s">
        <v>52</v>
      </c>
      <c r="V2452" t="s">
        <v>52</v>
      </c>
      <c r="W2452" t="s">
        <v>52</v>
      </c>
      <c r="X2452" s="18" t="s">
        <v>52</v>
      </c>
      <c r="Y2452" s="18" t="s">
        <v>52</v>
      </c>
      <c r="Z2452" s="18" t="s">
        <v>52</v>
      </c>
      <c r="AA2452" s="18" t="s">
        <v>52</v>
      </c>
      <c r="AB2452" t="s">
        <v>52</v>
      </c>
      <c r="AC2452" t="s">
        <v>52</v>
      </c>
      <c r="AD2452" t="s">
        <v>52</v>
      </c>
      <c r="AE2452" t="s">
        <v>52</v>
      </c>
      <c r="AF2452" s="18" t="s">
        <v>52</v>
      </c>
      <c r="AG2452" s="18" t="s">
        <v>52</v>
      </c>
      <c r="AH2452" s="18" t="s">
        <v>52</v>
      </c>
      <c r="AI2452" s="18" t="s">
        <v>52</v>
      </c>
      <c r="AJ2452">
        <v>2</v>
      </c>
      <c r="AK2452">
        <v>5</v>
      </c>
      <c r="AL2452">
        <v>4</v>
      </c>
      <c r="AM2452">
        <v>3</v>
      </c>
      <c r="AN2452" s="18">
        <v>0</v>
      </c>
      <c r="AO2452" s="18">
        <v>0</v>
      </c>
      <c r="AP2452" s="18">
        <v>0.25</v>
      </c>
      <c r="AQ2452" s="18">
        <v>0.333333333333333</v>
      </c>
      <c r="AR2452" s="29">
        <v>0</v>
      </c>
      <c r="AS2452" s="29">
        <v>0</v>
      </c>
      <c r="AT2452" s="29">
        <v>13</v>
      </c>
      <c r="AU2452" s="24" t="str">
        <f t="shared" si="39"/>
        <v>库存为13</v>
      </c>
      <c r="AV2452" s="31" t="str">
        <f>IFERROR(时间!$B$4+AU2452,"上周无销量")</f>
        <v>上周无销量</v>
      </c>
    </row>
    <row r="2453" spans="1:48">
      <c r="A2453" s="16" t="s">
        <v>4187</v>
      </c>
      <c r="B2453" t="s">
        <v>4188</v>
      </c>
      <c r="C2453" t="s">
        <v>4164</v>
      </c>
      <c r="D2453" s="24">
        <v>1</v>
      </c>
      <c r="E2453" s="24">
        <v>1</v>
      </c>
      <c r="F2453" s="24">
        <v>1</v>
      </c>
      <c r="G2453" s="24">
        <v>2</v>
      </c>
      <c r="H2453" s="25">
        <v>22.98</v>
      </c>
      <c r="I2453">
        <v>8</v>
      </c>
      <c r="J2453" s="26">
        <v>0</v>
      </c>
      <c r="K2453" s="26">
        <v>0</v>
      </c>
      <c r="L2453" s="26">
        <v>1</v>
      </c>
      <c r="M2453">
        <v>9</v>
      </c>
      <c r="N2453">
        <v>0</v>
      </c>
      <c r="O2453">
        <v>0</v>
      </c>
      <c r="P2453">
        <v>3333</v>
      </c>
      <c r="Q2453">
        <v>150</v>
      </c>
      <c r="R2453">
        <v>207</v>
      </c>
      <c r="S2453">
        <v>542</v>
      </c>
      <c r="T2453">
        <v>6</v>
      </c>
      <c r="U2453">
        <v>2</v>
      </c>
      <c r="V2453">
        <v>1</v>
      </c>
      <c r="W2453">
        <v>2</v>
      </c>
      <c r="X2453" s="18">
        <v>0.0018001800180018</v>
      </c>
      <c r="Y2453" s="18">
        <v>0.0133333333333333</v>
      </c>
      <c r="Z2453" s="18">
        <v>0.00483091787439614</v>
      </c>
      <c r="AA2453" s="18">
        <v>0.003690036900369</v>
      </c>
      <c r="AB2453">
        <v>2.65</v>
      </c>
      <c r="AC2453">
        <v>1.14</v>
      </c>
      <c r="AD2453">
        <v>0.6</v>
      </c>
      <c r="AE2453">
        <v>0.73</v>
      </c>
      <c r="AF2453" s="18">
        <v>0.115317667536989</v>
      </c>
      <c r="AG2453" s="18">
        <v>0.0496083550913838</v>
      </c>
      <c r="AH2453" s="18">
        <v>0.0261096605744125</v>
      </c>
      <c r="AI2453" s="18">
        <v>0.0158833768494343</v>
      </c>
      <c r="AJ2453">
        <v>5</v>
      </c>
      <c r="AK2453">
        <v>12</v>
      </c>
      <c r="AL2453">
        <v>17</v>
      </c>
      <c r="AM2453">
        <v>5</v>
      </c>
      <c r="AN2453" s="18">
        <v>0.2</v>
      </c>
      <c r="AO2453" s="18">
        <v>0.0833333333333333</v>
      </c>
      <c r="AP2453" s="18">
        <v>0.0588235294117647</v>
      </c>
      <c r="AQ2453" s="18">
        <v>0.4</v>
      </c>
      <c r="AR2453" s="29">
        <v>0.142857142857143</v>
      </c>
      <c r="AS2453" s="29">
        <v>8.57142857142857</v>
      </c>
      <c r="AT2453" s="29">
        <v>0.428571428571429</v>
      </c>
      <c r="AU2453" s="24">
        <f t="shared" si="39"/>
        <v>63</v>
      </c>
      <c r="AV2453" s="31">
        <f>IFERROR(时间!$B$4+AU2453,"上周无销量")</f>
        <v>43381</v>
      </c>
    </row>
    <row r="2454" spans="1:48">
      <c r="A2454" s="16" t="s">
        <v>4189</v>
      </c>
      <c r="B2454" t="s">
        <v>4190</v>
      </c>
      <c r="C2454" t="s">
        <v>4164</v>
      </c>
      <c r="D2454" s="24">
        <v>0</v>
      </c>
      <c r="E2454" s="24">
        <v>0</v>
      </c>
      <c r="F2454" s="24">
        <v>0</v>
      </c>
      <c r="G2454" s="24">
        <v>0</v>
      </c>
      <c r="H2454" s="25">
        <v>0</v>
      </c>
      <c r="I2454">
        <v>0</v>
      </c>
      <c r="J2454" s="26">
        <v>0</v>
      </c>
      <c r="K2454" s="26">
        <v>0</v>
      </c>
      <c r="L2454" s="26">
        <v>0</v>
      </c>
      <c r="M2454">
        <v>0</v>
      </c>
      <c r="N2454">
        <v>0</v>
      </c>
      <c r="O2454">
        <v>0</v>
      </c>
      <c r="P2454" t="s">
        <v>52</v>
      </c>
      <c r="Q2454" t="s">
        <v>52</v>
      </c>
      <c r="R2454" t="s">
        <v>52</v>
      </c>
      <c r="S2454" t="s">
        <v>52</v>
      </c>
      <c r="T2454" t="s">
        <v>52</v>
      </c>
      <c r="U2454" t="s">
        <v>52</v>
      </c>
      <c r="V2454" t="s">
        <v>52</v>
      </c>
      <c r="W2454" t="s">
        <v>52</v>
      </c>
      <c r="X2454" s="18" t="s">
        <v>52</v>
      </c>
      <c r="Y2454" s="18" t="s">
        <v>52</v>
      </c>
      <c r="Z2454" s="18" t="s">
        <v>52</v>
      </c>
      <c r="AA2454" s="18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s="18" t="s">
        <v>52</v>
      </c>
      <c r="AG2454" s="18" t="s">
        <v>52</v>
      </c>
      <c r="AH2454" s="18" t="s">
        <v>52</v>
      </c>
      <c r="AI2454" s="18" t="s">
        <v>52</v>
      </c>
      <c r="AJ2454">
        <v>0</v>
      </c>
      <c r="AK2454">
        <v>0</v>
      </c>
      <c r="AL2454">
        <v>0</v>
      </c>
      <c r="AM2454">
        <v>0</v>
      </c>
      <c r="AN2454" s="18" t="s">
        <v>52</v>
      </c>
      <c r="AO2454" s="18" t="s">
        <v>52</v>
      </c>
      <c r="AP2454" s="18" t="s">
        <v>52</v>
      </c>
      <c r="AQ2454" s="18" t="s">
        <v>52</v>
      </c>
      <c r="AR2454" s="29">
        <v>0</v>
      </c>
      <c r="AS2454" s="29">
        <v>0</v>
      </c>
      <c r="AT2454" s="29">
        <v>0</v>
      </c>
      <c r="AU2454" s="24" t="str">
        <f t="shared" si="39"/>
        <v>库存为0</v>
      </c>
      <c r="AV2454" s="31" t="str">
        <f>IFERROR(时间!$B$4+AU2454,"上周无销量")</f>
        <v>上周无销量</v>
      </c>
    </row>
    <row r="2455" spans="1:48">
      <c r="A2455" s="16" t="s">
        <v>4191</v>
      </c>
      <c r="B2455" t="s">
        <v>4192</v>
      </c>
      <c r="C2455" t="s">
        <v>4164</v>
      </c>
      <c r="D2455" s="24">
        <v>0</v>
      </c>
      <c r="E2455" s="24">
        <v>0</v>
      </c>
      <c r="F2455" s="24">
        <v>0</v>
      </c>
      <c r="G2455" s="24">
        <v>0</v>
      </c>
      <c r="H2455" s="25">
        <v>0</v>
      </c>
      <c r="I2455">
        <v>14</v>
      </c>
      <c r="J2455" s="26">
        <v>0</v>
      </c>
      <c r="K2455" s="26">
        <v>0</v>
      </c>
      <c r="L2455" s="26">
        <v>0</v>
      </c>
      <c r="M2455">
        <v>14</v>
      </c>
      <c r="N2455">
        <v>0</v>
      </c>
      <c r="O2455">
        <v>13</v>
      </c>
      <c r="P2455" t="s">
        <v>52</v>
      </c>
      <c r="Q2455" t="s">
        <v>52</v>
      </c>
      <c r="R2455" t="s">
        <v>52</v>
      </c>
      <c r="S2455" t="s">
        <v>52</v>
      </c>
      <c r="T2455" t="s">
        <v>52</v>
      </c>
      <c r="U2455" t="s">
        <v>52</v>
      </c>
      <c r="V2455" t="s">
        <v>52</v>
      </c>
      <c r="W2455" t="s">
        <v>52</v>
      </c>
      <c r="X2455" s="18" t="s">
        <v>52</v>
      </c>
      <c r="Y2455" s="18" t="s">
        <v>52</v>
      </c>
      <c r="Z2455" s="18" t="s">
        <v>52</v>
      </c>
      <c r="AA2455" s="18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s="18" t="s">
        <v>52</v>
      </c>
      <c r="AG2455" s="18" t="s">
        <v>52</v>
      </c>
      <c r="AH2455" s="18" t="s">
        <v>52</v>
      </c>
      <c r="AI2455" s="18" t="s">
        <v>52</v>
      </c>
      <c r="AJ2455">
        <v>5</v>
      </c>
      <c r="AK2455">
        <v>10</v>
      </c>
      <c r="AL2455">
        <v>9</v>
      </c>
      <c r="AM2455">
        <v>7</v>
      </c>
      <c r="AN2455" s="18">
        <v>0</v>
      </c>
      <c r="AO2455" s="18">
        <v>0</v>
      </c>
      <c r="AP2455" s="18">
        <v>0</v>
      </c>
      <c r="AQ2455" s="18">
        <v>0</v>
      </c>
      <c r="AR2455" s="29">
        <v>0</v>
      </c>
      <c r="AS2455" s="29">
        <v>0</v>
      </c>
      <c r="AT2455" s="29">
        <v>14</v>
      </c>
      <c r="AU2455" s="24" t="str">
        <f t="shared" si="39"/>
        <v>库存为14</v>
      </c>
      <c r="AV2455" s="31" t="str">
        <f>IFERROR(时间!$B$4+AU2455,"上周无销量")</f>
        <v>上周无销量</v>
      </c>
    </row>
    <row r="2456" spans="1:48">
      <c r="A2456" s="16" t="s">
        <v>4193</v>
      </c>
      <c r="B2456" t="s">
        <v>4194</v>
      </c>
      <c r="C2456" t="s">
        <v>4164</v>
      </c>
      <c r="D2456" s="24">
        <v>0</v>
      </c>
      <c r="E2456" s="24">
        <v>0</v>
      </c>
      <c r="F2456" s="24">
        <v>1</v>
      </c>
      <c r="G2456" s="24">
        <v>0</v>
      </c>
      <c r="H2456" s="25">
        <v>22.98</v>
      </c>
      <c r="I2456">
        <v>10</v>
      </c>
      <c r="J2456" s="26">
        <v>0</v>
      </c>
      <c r="K2456" s="26">
        <v>0</v>
      </c>
      <c r="L2456" s="26">
        <v>0</v>
      </c>
      <c r="M2456">
        <v>10</v>
      </c>
      <c r="N2456">
        <v>0</v>
      </c>
      <c r="O2456">
        <v>10</v>
      </c>
      <c r="P2456" t="s">
        <v>52</v>
      </c>
      <c r="Q2456" t="s">
        <v>52</v>
      </c>
      <c r="R2456" t="s">
        <v>52</v>
      </c>
      <c r="S2456" t="s">
        <v>52</v>
      </c>
      <c r="T2456" t="s">
        <v>52</v>
      </c>
      <c r="U2456" t="s">
        <v>52</v>
      </c>
      <c r="V2456" t="s">
        <v>52</v>
      </c>
      <c r="W2456" t="s">
        <v>52</v>
      </c>
      <c r="X2456" s="18" t="s">
        <v>52</v>
      </c>
      <c r="Y2456" s="18" t="s">
        <v>52</v>
      </c>
      <c r="Z2456" s="18" t="s">
        <v>52</v>
      </c>
      <c r="AA2456" s="18" t="s">
        <v>52</v>
      </c>
      <c r="AB2456" t="s">
        <v>52</v>
      </c>
      <c r="AC2456" t="s">
        <v>52</v>
      </c>
      <c r="AD2456" t="s">
        <v>52</v>
      </c>
      <c r="AE2456" t="s">
        <v>52</v>
      </c>
      <c r="AF2456" s="18" t="s">
        <v>52</v>
      </c>
      <c r="AG2456" s="18" t="s">
        <v>52</v>
      </c>
      <c r="AH2456" s="18" t="s">
        <v>52</v>
      </c>
      <c r="AI2456" s="18" t="s">
        <v>52</v>
      </c>
      <c r="AJ2456">
        <v>5</v>
      </c>
      <c r="AK2456">
        <v>10</v>
      </c>
      <c r="AL2456">
        <v>7</v>
      </c>
      <c r="AM2456">
        <v>6</v>
      </c>
      <c r="AN2456" s="18">
        <v>0</v>
      </c>
      <c r="AO2456" s="18">
        <v>0</v>
      </c>
      <c r="AP2456" s="18">
        <v>0.142857142857143</v>
      </c>
      <c r="AQ2456" s="18">
        <v>0</v>
      </c>
      <c r="AR2456" s="29">
        <v>0</v>
      </c>
      <c r="AS2456" s="29">
        <v>0</v>
      </c>
      <c r="AT2456" s="29">
        <v>10</v>
      </c>
      <c r="AU2456" s="24" t="str">
        <f t="shared" si="39"/>
        <v>库存为10</v>
      </c>
      <c r="AV2456" s="31" t="str">
        <f>IFERROR(时间!$B$4+AU2456,"上周无销量")</f>
        <v>上周无销量</v>
      </c>
    </row>
    <row r="2457" spans="1:48">
      <c r="A2457" s="16" t="s">
        <v>4195</v>
      </c>
      <c r="B2457" t="s">
        <v>4196</v>
      </c>
      <c r="C2457" t="s">
        <v>4164</v>
      </c>
      <c r="D2457" s="24">
        <v>0</v>
      </c>
      <c r="E2457" s="24">
        <v>0</v>
      </c>
      <c r="F2457" s="24">
        <v>0</v>
      </c>
      <c r="G2457" s="24">
        <v>0</v>
      </c>
      <c r="H2457" s="25">
        <v>0</v>
      </c>
      <c r="I2457">
        <v>6</v>
      </c>
      <c r="J2457" s="26">
        <v>0</v>
      </c>
      <c r="K2457" s="26">
        <v>0</v>
      </c>
      <c r="L2457" s="26">
        <v>0</v>
      </c>
      <c r="M2457">
        <v>6</v>
      </c>
      <c r="N2457">
        <v>0</v>
      </c>
      <c r="O2457">
        <v>0</v>
      </c>
      <c r="P2457" t="s">
        <v>52</v>
      </c>
      <c r="Q2457" t="s">
        <v>52</v>
      </c>
      <c r="R2457" t="s">
        <v>52</v>
      </c>
      <c r="S2457" t="s">
        <v>52</v>
      </c>
      <c r="T2457" t="s">
        <v>52</v>
      </c>
      <c r="U2457" t="s">
        <v>52</v>
      </c>
      <c r="V2457" t="s">
        <v>52</v>
      </c>
      <c r="W2457" t="s">
        <v>52</v>
      </c>
      <c r="X2457" s="18" t="s">
        <v>52</v>
      </c>
      <c r="Y2457" s="18" t="s">
        <v>52</v>
      </c>
      <c r="Z2457" s="18" t="s">
        <v>52</v>
      </c>
      <c r="AA2457" s="18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s="18" t="s">
        <v>52</v>
      </c>
      <c r="AG2457" s="18" t="s">
        <v>52</v>
      </c>
      <c r="AH2457" s="18" t="s">
        <v>52</v>
      </c>
      <c r="AI2457" s="18" t="s">
        <v>52</v>
      </c>
      <c r="AJ2457">
        <v>3</v>
      </c>
      <c r="AK2457">
        <v>6</v>
      </c>
      <c r="AL2457">
        <v>11</v>
      </c>
      <c r="AM2457">
        <v>11</v>
      </c>
      <c r="AN2457" s="18">
        <v>0</v>
      </c>
      <c r="AO2457" s="18">
        <v>0</v>
      </c>
      <c r="AP2457" s="18">
        <v>0</v>
      </c>
      <c r="AQ2457" s="18">
        <v>0</v>
      </c>
      <c r="AR2457" s="29">
        <v>0</v>
      </c>
      <c r="AS2457" s="29">
        <v>0</v>
      </c>
      <c r="AT2457" s="29">
        <v>6</v>
      </c>
      <c r="AU2457" s="24" t="str">
        <f t="shared" si="39"/>
        <v>库存为6</v>
      </c>
      <c r="AV2457" s="31" t="str">
        <f>IFERROR(时间!$B$4+AU2457,"上周无销量")</f>
        <v>上周无销量</v>
      </c>
    </row>
    <row r="2458" spans="1:48">
      <c r="A2458" s="16" t="s">
        <v>4197</v>
      </c>
      <c r="B2458" t="s">
        <v>4198</v>
      </c>
      <c r="C2458" t="s">
        <v>4164</v>
      </c>
      <c r="D2458" s="24">
        <v>0</v>
      </c>
      <c r="E2458" s="24">
        <v>0</v>
      </c>
      <c r="F2458" s="24">
        <v>0</v>
      </c>
      <c r="G2458" s="24">
        <v>0</v>
      </c>
      <c r="H2458" s="25">
        <v>0</v>
      </c>
      <c r="I2458">
        <v>0</v>
      </c>
      <c r="J2458" s="26">
        <v>0</v>
      </c>
      <c r="K2458" s="26">
        <v>0</v>
      </c>
      <c r="L2458" s="26">
        <v>0</v>
      </c>
      <c r="M2458">
        <v>0</v>
      </c>
      <c r="N2458">
        <v>0</v>
      </c>
      <c r="O2458">
        <v>0</v>
      </c>
      <c r="P2458" t="s">
        <v>52</v>
      </c>
      <c r="Q2458" t="s">
        <v>52</v>
      </c>
      <c r="R2458" t="s">
        <v>52</v>
      </c>
      <c r="S2458" t="s">
        <v>52</v>
      </c>
      <c r="T2458" t="s">
        <v>52</v>
      </c>
      <c r="U2458" t="s">
        <v>52</v>
      </c>
      <c r="V2458" t="s">
        <v>52</v>
      </c>
      <c r="W2458" t="s">
        <v>52</v>
      </c>
      <c r="X2458" s="18" t="s">
        <v>52</v>
      </c>
      <c r="Y2458" s="18" t="s">
        <v>52</v>
      </c>
      <c r="Z2458" s="18" t="s">
        <v>52</v>
      </c>
      <c r="AA2458" s="1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s="18" t="s">
        <v>52</v>
      </c>
      <c r="AG2458" s="18" t="s">
        <v>52</v>
      </c>
      <c r="AH2458" s="18" t="s">
        <v>52</v>
      </c>
      <c r="AI2458" s="18" t="s">
        <v>52</v>
      </c>
      <c r="AJ2458">
        <v>5</v>
      </c>
      <c r="AK2458">
        <v>6</v>
      </c>
      <c r="AL2458">
        <v>14</v>
      </c>
      <c r="AM2458">
        <v>14</v>
      </c>
      <c r="AN2458" s="18">
        <v>0</v>
      </c>
      <c r="AO2458" s="18">
        <v>0</v>
      </c>
      <c r="AP2458" s="18">
        <v>0</v>
      </c>
      <c r="AQ2458" s="18">
        <v>0</v>
      </c>
      <c r="AR2458" s="29">
        <v>0</v>
      </c>
      <c r="AS2458" s="29">
        <v>0</v>
      </c>
      <c r="AT2458" s="29">
        <v>0</v>
      </c>
      <c r="AU2458" s="24" t="str">
        <f t="shared" si="39"/>
        <v>库存为0</v>
      </c>
      <c r="AV2458" s="31" t="str">
        <f>IFERROR(时间!$B$4+AU2458,"上周无销量")</f>
        <v>上周无销量</v>
      </c>
    </row>
    <row r="2459" spans="1:48">
      <c r="A2459" s="16" t="s">
        <v>4199</v>
      </c>
      <c r="B2459" t="s">
        <v>4200</v>
      </c>
      <c r="C2459" t="s">
        <v>4164</v>
      </c>
      <c r="D2459" s="24">
        <v>0</v>
      </c>
      <c r="E2459" s="24">
        <v>0</v>
      </c>
      <c r="F2459" s="24">
        <v>0</v>
      </c>
      <c r="G2459" s="24">
        <v>0</v>
      </c>
      <c r="H2459" s="25">
        <v>0</v>
      </c>
      <c r="I2459">
        <v>12</v>
      </c>
      <c r="J2459" s="26">
        <v>0</v>
      </c>
      <c r="K2459" s="26">
        <v>0</v>
      </c>
      <c r="L2459" s="26">
        <v>0</v>
      </c>
      <c r="M2459">
        <v>12</v>
      </c>
      <c r="N2459">
        <v>0</v>
      </c>
      <c r="O2459">
        <v>0</v>
      </c>
      <c r="P2459" t="s">
        <v>52</v>
      </c>
      <c r="Q2459" t="s">
        <v>52</v>
      </c>
      <c r="R2459" t="s">
        <v>52</v>
      </c>
      <c r="S2459" t="s">
        <v>52</v>
      </c>
      <c r="T2459" t="s">
        <v>52</v>
      </c>
      <c r="U2459" t="s">
        <v>52</v>
      </c>
      <c r="V2459" t="s">
        <v>52</v>
      </c>
      <c r="W2459" t="s">
        <v>52</v>
      </c>
      <c r="X2459" s="18" t="s">
        <v>52</v>
      </c>
      <c r="Y2459" s="18" t="s">
        <v>52</v>
      </c>
      <c r="Z2459" s="18" t="s">
        <v>52</v>
      </c>
      <c r="AA2459" s="18" t="s">
        <v>52</v>
      </c>
      <c r="AB2459" t="s">
        <v>52</v>
      </c>
      <c r="AC2459" t="s">
        <v>52</v>
      </c>
      <c r="AD2459" t="s">
        <v>52</v>
      </c>
      <c r="AE2459" t="s">
        <v>52</v>
      </c>
      <c r="AF2459" s="18" t="s">
        <v>52</v>
      </c>
      <c r="AG2459" s="18" t="s">
        <v>52</v>
      </c>
      <c r="AH2459" s="18" t="s">
        <v>52</v>
      </c>
      <c r="AI2459" s="18" t="s">
        <v>52</v>
      </c>
      <c r="AJ2459">
        <v>3</v>
      </c>
      <c r="AK2459">
        <v>10</v>
      </c>
      <c r="AL2459">
        <v>7</v>
      </c>
      <c r="AM2459">
        <v>8</v>
      </c>
      <c r="AN2459" s="18">
        <v>0</v>
      </c>
      <c r="AO2459" s="18">
        <v>0</v>
      </c>
      <c r="AP2459" s="18">
        <v>0</v>
      </c>
      <c r="AQ2459" s="18">
        <v>0</v>
      </c>
      <c r="AR2459" s="29">
        <v>0</v>
      </c>
      <c r="AS2459" s="29">
        <v>0</v>
      </c>
      <c r="AT2459" s="29">
        <v>12</v>
      </c>
      <c r="AU2459" s="24" t="str">
        <f t="shared" si="39"/>
        <v>库存为12</v>
      </c>
      <c r="AV2459" s="31" t="str">
        <f>IFERROR(时间!$B$4+AU2459,"上周无销量")</f>
        <v>上周无销量</v>
      </c>
    </row>
    <row r="2460" spans="1:48">
      <c r="A2460" s="16" t="s">
        <v>4201</v>
      </c>
      <c r="B2460" t="s">
        <v>4202</v>
      </c>
      <c r="C2460" t="s">
        <v>4164</v>
      </c>
      <c r="D2460" s="24">
        <v>0</v>
      </c>
      <c r="E2460" s="24">
        <v>0</v>
      </c>
      <c r="F2460" s="24">
        <v>0</v>
      </c>
      <c r="G2460" s="24">
        <v>0</v>
      </c>
      <c r="H2460" s="25">
        <v>0</v>
      </c>
      <c r="I2460">
        <v>4</v>
      </c>
      <c r="J2460" s="26">
        <v>0</v>
      </c>
      <c r="K2460" s="26">
        <v>0</v>
      </c>
      <c r="L2460" s="26">
        <v>0</v>
      </c>
      <c r="M2460">
        <v>4</v>
      </c>
      <c r="N2460">
        <v>0</v>
      </c>
      <c r="O2460">
        <v>0</v>
      </c>
      <c r="P2460" t="s">
        <v>52</v>
      </c>
      <c r="Q2460" t="s">
        <v>52</v>
      </c>
      <c r="R2460" t="s">
        <v>52</v>
      </c>
      <c r="S2460" t="s">
        <v>52</v>
      </c>
      <c r="T2460" t="s">
        <v>52</v>
      </c>
      <c r="U2460" t="s">
        <v>52</v>
      </c>
      <c r="V2460" t="s">
        <v>52</v>
      </c>
      <c r="W2460" t="s">
        <v>52</v>
      </c>
      <c r="X2460" s="18" t="s">
        <v>52</v>
      </c>
      <c r="Y2460" s="18" t="s">
        <v>52</v>
      </c>
      <c r="Z2460" s="18" t="s">
        <v>52</v>
      </c>
      <c r="AA2460" s="18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s="18" t="s">
        <v>52</v>
      </c>
      <c r="AG2460" s="18" t="s">
        <v>52</v>
      </c>
      <c r="AH2460" s="18" t="s">
        <v>52</v>
      </c>
      <c r="AI2460" s="18" t="s">
        <v>52</v>
      </c>
      <c r="AJ2460">
        <v>7</v>
      </c>
      <c r="AK2460">
        <v>5</v>
      </c>
      <c r="AL2460">
        <v>9</v>
      </c>
      <c r="AM2460">
        <v>6</v>
      </c>
      <c r="AN2460" s="18">
        <v>0</v>
      </c>
      <c r="AO2460" s="18">
        <v>0</v>
      </c>
      <c r="AP2460" s="18">
        <v>0</v>
      </c>
      <c r="AQ2460" s="18">
        <v>0</v>
      </c>
      <c r="AR2460" s="29">
        <v>0</v>
      </c>
      <c r="AS2460" s="29">
        <v>0</v>
      </c>
      <c r="AT2460" s="29">
        <v>4</v>
      </c>
      <c r="AU2460" s="24" t="str">
        <f t="shared" si="39"/>
        <v>库存为4</v>
      </c>
      <c r="AV2460" s="31" t="str">
        <f>IFERROR(时间!$B$4+AU2460,"上周无销量")</f>
        <v>上周无销量</v>
      </c>
    </row>
    <row r="2461" spans="1:48">
      <c r="A2461" s="16" t="s">
        <v>4203</v>
      </c>
      <c r="B2461" t="s">
        <v>4204</v>
      </c>
      <c r="C2461" t="s">
        <v>4164</v>
      </c>
      <c r="D2461" s="24">
        <v>0</v>
      </c>
      <c r="E2461" s="24">
        <v>0</v>
      </c>
      <c r="F2461" s="24">
        <v>0</v>
      </c>
      <c r="G2461" s="24">
        <v>0</v>
      </c>
      <c r="H2461" s="25">
        <v>0</v>
      </c>
      <c r="I2461">
        <v>7</v>
      </c>
      <c r="J2461" s="26">
        <v>0</v>
      </c>
      <c r="K2461" s="26">
        <v>0</v>
      </c>
      <c r="L2461" s="26">
        <v>0</v>
      </c>
      <c r="M2461">
        <v>7</v>
      </c>
      <c r="N2461">
        <v>0</v>
      </c>
      <c r="O2461">
        <v>0</v>
      </c>
      <c r="P2461" t="s">
        <v>52</v>
      </c>
      <c r="Q2461" t="s">
        <v>52</v>
      </c>
      <c r="R2461" t="s">
        <v>52</v>
      </c>
      <c r="S2461" t="s">
        <v>52</v>
      </c>
      <c r="T2461" t="s">
        <v>52</v>
      </c>
      <c r="U2461" t="s">
        <v>52</v>
      </c>
      <c r="V2461" t="s">
        <v>52</v>
      </c>
      <c r="W2461" t="s">
        <v>52</v>
      </c>
      <c r="X2461" s="18" t="s">
        <v>52</v>
      </c>
      <c r="Y2461" s="18" t="s">
        <v>52</v>
      </c>
      <c r="Z2461" s="18" t="s">
        <v>52</v>
      </c>
      <c r="AA2461" s="18" t="s">
        <v>52</v>
      </c>
      <c r="AB2461" t="s">
        <v>52</v>
      </c>
      <c r="AC2461" t="s">
        <v>52</v>
      </c>
      <c r="AD2461" t="s">
        <v>52</v>
      </c>
      <c r="AE2461" t="s">
        <v>52</v>
      </c>
      <c r="AF2461" s="18" t="s">
        <v>52</v>
      </c>
      <c r="AG2461" s="18" t="s">
        <v>52</v>
      </c>
      <c r="AH2461" s="18" t="s">
        <v>52</v>
      </c>
      <c r="AI2461" s="18" t="s">
        <v>52</v>
      </c>
      <c r="AJ2461">
        <v>6</v>
      </c>
      <c r="AK2461">
        <v>2</v>
      </c>
      <c r="AL2461">
        <v>7</v>
      </c>
      <c r="AM2461">
        <v>6</v>
      </c>
      <c r="AN2461" s="18">
        <v>0</v>
      </c>
      <c r="AO2461" s="18">
        <v>0</v>
      </c>
      <c r="AP2461" s="18">
        <v>0</v>
      </c>
      <c r="AQ2461" s="18">
        <v>0</v>
      </c>
      <c r="AR2461" s="29">
        <v>0</v>
      </c>
      <c r="AS2461" s="29">
        <v>0</v>
      </c>
      <c r="AT2461" s="29">
        <v>7</v>
      </c>
      <c r="AU2461" s="24" t="str">
        <f t="shared" si="39"/>
        <v>库存为7</v>
      </c>
      <c r="AV2461" s="31" t="str">
        <f>IFERROR(时间!$B$4+AU2461,"上周无销量")</f>
        <v>上周无销量</v>
      </c>
    </row>
    <row r="2462" spans="1:48">
      <c r="A2462" s="16" t="s">
        <v>4205</v>
      </c>
      <c r="B2462" t="s">
        <v>4206</v>
      </c>
      <c r="C2462" t="s">
        <v>4164</v>
      </c>
      <c r="D2462" s="24">
        <v>0</v>
      </c>
      <c r="E2462" s="24">
        <v>0</v>
      </c>
      <c r="F2462" s="24">
        <v>0</v>
      </c>
      <c r="G2462" s="24">
        <v>0</v>
      </c>
      <c r="H2462" s="25">
        <v>0</v>
      </c>
      <c r="I2462">
        <v>13</v>
      </c>
      <c r="J2462" s="26">
        <v>0</v>
      </c>
      <c r="K2462" s="26">
        <v>0</v>
      </c>
      <c r="L2462" s="26">
        <v>0</v>
      </c>
      <c r="M2462">
        <v>13</v>
      </c>
      <c r="N2462">
        <v>0</v>
      </c>
      <c r="O2462">
        <v>0</v>
      </c>
      <c r="P2462" t="s">
        <v>52</v>
      </c>
      <c r="Q2462" t="s">
        <v>52</v>
      </c>
      <c r="R2462" t="s">
        <v>52</v>
      </c>
      <c r="S2462" t="s">
        <v>52</v>
      </c>
      <c r="T2462" t="s">
        <v>52</v>
      </c>
      <c r="U2462" t="s">
        <v>52</v>
      </c>
      <c r="V2462" t="s">
        <v>52</v>
      </c>
      <c r="W2462" t="s">
        <v>52</v>
      </c>
      <c r="X2462" s="18" t="s">
        <v>52</v>
      </c>
      <c r="Y2462" s="18" t="s">
        <v>52</v>
      </c>
      <c r="Z2462" s="18" t="s">
        <v>52</v>
      </c>
      <c r="AA2462" s="18" t="s">
        <v>52</v>
      </c>
      <c r="AB2462" t="s">
        <v>52</v>
      </c>
      <c r="AC2462" t="s">
        <v>52</v>
      </c>
      <c r="AD2462" t="s">
        <v>52</v>
      </c>
      <c r="AE2462" t="s">
        <v>52</v>
      </c>
      <c r="AF2462" s="18" t="s">
        <v>52</v>
      </c>
      <c r="AG2462" s="18" t="s">
        <v>52</v>
      </c>
      <c r="AH2462" s="18" t="s">
        <v>52</v>
      </c>
      <c r="AI2462" s="18" t="s">
        <v>52</v>
      </c>
      <c r="AJ2462">
        <v>0</v>
      </c>
      <c r="AK2462">
        <v>3</v>
      </c>
      <c r="AL2462">
        <v>2</v>
      </c>
      <c r="AM2462">
        <v>4</v>
      </c>
      <c r="AN2462" s="18" t="s">
        <v>52</v>
      </c>
      <c r="AO2462" s="18">
        <v>0</v>
      </c>
      <c r="AP2462" s="18">
        <v>0</v>
      </c>
      <c r="AQ2462" s="18">
        <v>0</v>
      </c>
      <c r="AR2462" s="29">
        <v>0</v>
      </c>
      <c r="AS2462" s="29">
        <v>0</v>
      </c>
      <c r="AT2462" s="29">
        <v>13</v>
      </c>
      <c r="AU2462" s="24" t="str">
        <f t="shared" si="39"/>
        <v>库存为13</v>
      </c>
      <c r="AV2462" s="31" t="str">
        <f>IFERROR(时间!$B$4+AU2462,"上周无销量")</f>
        <v>上周无销量</v>
      </c>
    </row>
    <row r="2463" spans="1:48">
      <c r="A2463" s="16" t="s">
        <v>4207</v>
      </c>
      <c r="B2463" t="s">
        <v>4208</v>
      </c>
      <c r="C2463" t="s">
        <v>4164</v>
      </c>
      <c r="D2463" s="24">
        <v>0</v>
      </c>
      <c r="E2463" s="24">
        <v>0</v>
      </c>
      <c r="F2463" s="24">
        <v>0</v>
      </c>
      <c r="G2463" s="24">
        <v>0</v>
      </c>
      <c r="H2463" s="25">
        <v>0</v>
      </c>
      <c r="I2463">
        <v>16</v>
      </c>
      <c r="J2463" s="26">
        <v>0</v>
      </c>
      <c r="K2463" s="26">
        <v>0</v>
      </c>
      <c r="L2463" s="26">
        <v>0</v>
      </c>
      <c r="M2463">
        <v>16</v>
      </c>
      <c r="N2463">
        <v>0</v>
      </c>
      <c r="O2463">
        <v>0</v>
      </c>
      <c r="P2463" t="s">
        <v>52</v>
      </c>
      <c r="Q2463" t="s">
        <v>52</v>
      </c>
      <c r="R2463" t="s">
        <v>52</v>
      </c>
      <c r="S2463" t="s">
        <v>52</v>
      </c>
      <c r="T2463" t="s">
        <v>52</v>
      </c>
      <c r="U2463" t="s">
        <v>52</v>
      </c>
      <c r="V2463" t="s">
        <v>52</v>
      </c>
      <c r="W2463" t="s">
        <v>52</v>
      </c>
      <c r="X2463" s="18" t="s">
        <v>52</v>
      </c>
      <c r="Y2463" s="18" t="s">
        <v>52</v>
      </c>
      <c r="Z2463" s="18" t="s">
        <v>52</v>
      </c>
      <c r="AA2463" s="18" t="s">
        <v>52</v>
      </c>
      <c r="AB2463" t="s">
        <v>52</v>
      </c>
      <c r="AC2463" t="s">
        <v>52</v>
      </c>
      <c r="AD2463" t="s">
        <v>52</v>
      </c>
      <c r="AE2463" t="s">
        <v>52</v>
      </c>
      <c r="AF2463" s="18" t="s">
        <v>52</v>
      </c>
      <c r="AG2463" s="18" t="s">
        <v>52</v>
      </c>
      <c r="AH2463" s="18" t="s">
        <v>52</v>
      </c>
      <c r="AI2463" s="18" t="s">
        <v>52</v>
      </c>
      <c r="AJ2463">
        <v>3</v>
      </c>
      <c r="AK2463">
        <v>5</v>
      </c>
      <c r="AL2463">
        <v>9</v>
      </c>
      <c r="AM2463">
        <v>6</v>
      </c>
      <c r="AN2463" s="18">
        <v>0</v>
      </c>
      <c r="AO2463" s="18">
        <v>0</v>
      </c>
      <c r="AP2463" s="18">
        <v>0</v>
      </c>
      <c r="AQ2463" s="18">
        <v>0</v>
      </c>
      <c r="AR2463" s="29">
        <v>0</v>
      </c>
      <c r="AS2463" s="29">
        <v>0</v>
      </c>
      <c r="AT2463" s="29">
        <v>16</v>
      </c>
      <c r="AU2463" s="24" t="str">
        <f t="shared" si="39"/>
        <v>库存为16</v>
      </c>
      <c r="AV2463" s="31" t="str">
        <f>IFERROR(时间!$B$4+AU2463,"上周无销量")</f>
        <v>上周无销量</v>
      </c>
    </row>
    <row r="2464" spans="1:48">
      <c r="A2464" s="16" t="s">
        <v>4209</v>
      </c>
      <c r="B2464" t="s">
        <v>4210</v>
      </c>
      <c r="C2464" t="s">
        <v>4164</v>
      </c>
      <c r="D2464" s="24">
        <v>0</v>
      </c>
      <c r="E2464" s="24">
        <v>0</v>
      </c>
      <c r="F2464" s="24">
        <v>0</v>
      </c>
      <c r="G2464" s="24">
        <v>0</v>
      </c>
      <c r="H2464" s="25">
        <v>0</v>
      </c>
      <c r="I2464">
        <v>6</v>
      </c>
      <c r="J2464" s="26">
        <v>0</v>
      </c>
      <c r="K2464" s="26">
        <v>0</v>
      </c>
      <c r="L2464" s="26">
        <v>1</v>
      </c>
      <c r="M2464">
        <v>7</v>
      </c>
      <c r="N2464">
        <v>0</v>
      </c>
      <c r="O2464">
        <v>0</v>
      </c>
      <c r="P2464" t="s">
        <v>52</v>
      </c>
      <c r="Q2464" t="s">
        <v>52</v>
      </c>
      <c r="R2464" t="s">
        <v>52</v>
      </c>
      <c r="S2464" t="s">
        <v>52</v>
      </c>
      <c r="T2464" t="s">
        <v>52</v>
      </c>
      <c r="U2464" t="s">
        <v>52</v>
      </c>
      <c r="V2464" t="s">
        <v>52</v>
      </c>
      <c r="W2464" t="s">
        <v>52</v>
      </c>
      <c r="X2464" s="18" t="s">
        <v>52</v>
      </c>
      <c r="Y2464" s="18" t="s">
        <v>52</v>
      </c>
      <c r="Z2464" s="18" t="s">
        <v>52</v>
      </c>
      <c r="AA2464" s="18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s="18" t="s">
        <v>52</v>
      </c>
      <c r="AG2464" s="18" t="s">
        <v>52</v>
      </c>
      <c r="AH2464" s="18" t="s">
        <v>52</v>
      </c>
      <c r="AI2464" s="18" t="s">
        <v>52</v>
      </c>
      <c r="AJ2464">
        <v>8</v>
      </c>
      <c r="AK2464">
        <v>4</v>
      </c>
      <c r="AL2464">
        <v>7</v>
      </c>
      <c r="AM2464">
        <v>10</v>
      </c>
      <c r="AN2464" s="18">
        <v>0</v>
      </c>
      <c r="AO2464" s="18">
        <v>0</v>
      </c>
      <c r="AP2464" s="18">
        <v>0</v>
      </c>
      <c r="AQ2464" s="18">
        <v>0</v>
      </c>
      <c r="AR2464" s="29">
        <v>0</v>
      </c>
      <c r="AS2464" s="29">
        <v>0</v>
      </c>
      <c r="AT2464" s="29">
        <v>7</v>
      </c>
      <c r="AU2464" s="24" t="str">
        <f t="shared" si="39"/>
        <v>库存为7</v>
      </c>
      <c r="AV2464" s="31" t="str">
        <f>IFERROR(时间!$B$4+AU2464,"上周无销量")</f>
        <v>上周无销量</v>
      </c>
    </row>
    <row r="2465" spans="1:48">
      <c r="A2465" s="16" t="s">
        <v>4211</v>
      </c>
      <c r="B2465" t="s">
        <v>4212</v>
      </c>
      <c r="C2465" t="s">
        <v>4164</v>
      </c>
      <c r="D2465" s="24">
        <v>0</v>
      </c>
      <c r="E2465" s="24">
        <v>0</v>
      </c>
      <c r="F2465" s="24">
        <v>0</v>
      </c>
      <c r="G2465" s="24">
        <v>0</v>
      </c>
      <c r="H2465" s="25">
        <v>0</v>
      </c>
      <c r="I2465">
        <v>4</v>
      </c>
      <c r="J2465" s="26">
        <v>0</v>
      </c>
      <c r="K2465" s="26">
        <v>0</v>
      </c>
      <c r="L2465" s="26">
        <v>0</v>
      </c>
      <c r="M2465">
        <v>4</v>
      </c>
      <c r="N2465">
        <v>0</v>
      </c>
      <c r="O2465">
        <v>0</v>
      </c>
      <c r="P2465" t="s">
        <v>52</v>
      </c>
      <c r="Q2465" t="s">
        <v>52</v>
      </c>
      <c r="R2465" t="s">
        <v>52</v>
      </c>
      <c r="S2465" t="s">
        <v>52</v>
      </c>
      <c r="T2465" t="s">
        <v>52</v>
      </c>
      <c r="U2465" t="s">
        <v>52</v>
      </c>
      <c r="V2465" t="s">
        <v>52</v>
      </c>
      <c r="W2465" t="s">
        <v>52</v>
      </c>
      <c r="X2465" s="18" t="s">
        <v>52</v>
      </c>
      <c r="Y2465" s="18" t="s">
        <v>52</v>
      </c>
      <c r="Z2465" s="18" t="s">
        <v>52</v>
      </c>
      <c r="AA2465" s="18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s="18" t="s">
        <v>52</v>
      </c>
      <c r="AG2465" s="18" t="s">
        <v>52</v>
      </c>
      <c r="AH2465" s="18" t="s">
        <v>52</v>
      </c>
      <c r="AI2465" s="18" t="s">
        <v>52</v>
      </c>
      <c r="AJ2465">
        <v>10</v>
      </c>
      <c r="AK2465">
        <v>9</v>
      </c>
      <c r="AL2465">
        <v>15</v>
      </c>
      <c r="AM2465">
        <v>12</v>
      </c>
      <c r="AN2465" s="18">
        <v>0</v>
      </c>
      <c r="AO2465" s="18">
        <v>0</v>
      </c>
      <c r="AP2465" s="18">
        <v>0</v>
      </c>
      <c r="AQ2465" s="18">
        <v>0</v>
      </c>
      <c r="AR2465" s="29">
        <v>0</v>
      </c>
      <c r="AS2465" s="29">
        <v>0</v>
      </c>
      <c r="AT2465" s="29">
        <v>4</v>
      </c>
      <c r="AU2465" s="24" t="str">
        <f t="shared" si="39"/>
        <v>库存为4</v>
      </c>
      <c r="AV2465" s="31" t="str">
        <f>IFERROR(时间!$B$4+AU2465,"上周无销量")</f>
        <v>上周无销量</v>
      </c>
    </row>
    <row r="2466" spans="1:48">
      <c r="A2466" s="16" t="s">
        <v>4213</v>
      </c>
      <c r="B2466" t="s">
        <v>4214</v>
      </c>
      <c r="C2466" t="s">
        <v>4164</v>
      </c>
      <c r="D2466" s="24">
        <v>0</v>
      </c>
      <c r="E2466" s="24">
        <v>0</v>
      </c>
      <c r="F2466" s="24">
        <v>0</v>
      </c>
      <c r="G2466" s="24">
        <v>0</v>
      </c>
      <c r="H2466" s="25">
        <v>0</v>
      </c>
      <c r="I2466">
        <v>21</v>
      </c>
      <c r="J2466" s="26">
        <v>0</v>
      </c>
      <c r="K2466" s="26">
        <v>0</v>
      </c>
      <c r="L2466" s="26">
        <v>0</v>
      </c>
      <c r="M2466">
        <v>21</v>
      </c>
      <c r="N2466">
        <v>0</v>
      </c>
      <c r="O2466">
        <v>0</v>
      </c>
      <c r="P2466" t="s">
        <v>52</v>
      </c>
      <c r="Q2466" t="s">
        <v>52</v>
      </c>
      <c r="R2466" t="s">
        <v>52</v>
      </c>
      <c r="S2466" t="s">
        <v>52</v>
      </c>
      <c r="T2466" t="s">
        <v>52</v>
      </c>
      <c r="U2466" t="s">
        <v>52</v>
      </c>
      <c r="V2466" t="s">
        <v>52</v>
      </c>
      <c r="W2466" t="s">
        <v>52</v>
      </c>
      <c r="X2466" s="18" t="s">
        <v>52</v>
      </c>
      <c r="Y2466" s="18" t="s">
        <v>52</v>
      </c>
      <c r="Z2466" s="18" t="s">
        <v>52</v>
      </c>
      <c r="AA2466" s="18" t="s">
        <v>52</v>
      </c>
      <c r="AB2466" t="s">
        <v>52</v>
      </c>
      <c r="AC2466" t="s">
        <v>52</v>
      </c>
      <c r="AD2466" t="s">
        <v>52</v>
      </c>
      <c r="AE2466" t="s">
        <v>52</v>
      </c>
      <c r="AF2466" s="18" t="s">
        <v>52</v>
      </c>
      <c r="AG2466" s="18" t="s">
        <v>52</v>
      </c>
      <c r="AH2466" s="18" t="s">
        <v>52</v>
      </c>
      <c r="AI2466" s="18" t="s">
        <v>52</v>
      </c>
      <c r="AJ2466">
        <v>3</v>
      </c>
      <c r="AK2466">
        <v>4</v>
      </c>
      <c r="AL2466">
        <v>4</v>
      </c>
      <c r="AM2466">
        <v>3</v>
      </c>
      <c r="AN2466" s="18">
        <v>0</v>
      </c>
      <c r="AO2466" s="18">
        <v>0</v>
      </c>
      <c r="AP2466" s="18">
        <v>0</v>
      </c>
      <c r="AQ2466" s="18">
        <v>0</v>
      </c>
      <c r="AR2466" s="29">
        <v>0</v>
      </c>
      <c r="AS2466" s="29">
        <v>0</v>
      </c>
      <c r="AT2466" s="29">
        <v>21</v>
      </c>
      <c r="AU2466" s="24" t="str">
        <f t="shared" si="39"/>
        <v>库存为21</v>
      </c>
      <c r="AV2466" s="31" t="str">
        <f>IFERROR(时间!$B$4+AU2466,"上周无销量")</f>
        <v>上周无销量</v>
      </c>
    </row>
    <row r="2467" spans="1:48">
      <c r="A2467" s="16" t="s">
        <v>4215</v>
      </c>
      <c r="B2467" t="s">
        <v>4216</v>
      </c>
      <c r="C2467" t="s">
        <v>4217</v>
      </c>
      <c r="D2467" s="24">
        <v>1</v>
      </c>
      <c r="E2467" s="24">
        <v>0</v>
      </c>
      <c r="F2467" s="24">
        <v>0</v>
      </c>
      <c r="G2467" s="24">
        <v>1</v>
      </c>
      <c r="H2467" s="25">
        <v>18</v>
      </c>
      <c r="I2467">
        <v>0</v>
      </c>
      <c r="J2467" s="26">
        <v>0</v>
      </c>
      <c r="K2467" s="26">
        <v>0</v>
      </c>
      <c r="L2467" s="26">
        <v>0</v>
      </c>
      <c r="M2467">
        <v>0</v>
      </c>
      <c r="N2467">
        <v>2</v>
      </c>
      <c r="O2467">
        <v>0</v>
      </c>
      <c r="P2467" t="s">
        <v>52</v>
      </c>
      <c r="Q2467" t="s">
        <v>52</v>
      </c>
      <c r="R2467" t="s">
        <v>52</v>
      </c>
      <c r="S2467" t="s">
        <v>52</v>
      </c>
      <c r="T2467" t="s">
        <v>52</v>
      </c>
      <c r="U2467" t="s">
        <v>52</v>
      </c>
      <c r="V2467" t="s">
        <v>52</v>
      </c>
      <c r="W2467" t="s">
        <v>52</v>
      </c>
      <c r="X2467" s="18" t="s">
        <v>52</v>
      </c>
      <c r="Y2467" s="18" t="s">
        <v>52</v>
      </c>
      <c r="Z2467" s="18" t="s">
        <v>52</v>
      </c>
      <c r="AA2467" s="18" t="s">
        <v>52</v>
      </c>
      <c r="AB2467" t="s">
        <v>52</v>
      </c>
      <c r="AC2467" t="s">
        <v>52</v>
      </c>
      <c r="AD2467" t="s">
        <v>52</v>
      </c>
      <c r="AE2467" t="s">
        <v>52</v>
      </c>
      <c r="AF2467" s="18" t="s">
        <v>52</v>
      </c>
      <c r="AG2467" s="18" t="s">
        <v>52</v>
      </c>
      <c r="AH2467" s="18" t="s">
        <v>52</v>
      </c>
      <c r="AI2467" s="18" t="s">
        <v>52</v>
      </c>
      <c r="AJ2467">
        <v>0</v>
      </c>
      <c r="AK2467">
        <v>9</v>
      </c>
      <c r="AL2467">
        <v>8</v>
      </c>
      <c r="AM2467">
        <v>9</v>
      </c>
      <c r="AN2467" s="18" t="s">
        <v>52</v>
      </c>
      <c r="AO2467" s="18">
        <v>0</v>
      </c>
      <c r="AP2467" s="18">
        <v>0</v>
      </c>
      <c r="AQ2467" s="18">
        <v>0.111111111111111</v>
      </c>
      <c r="AR2467" s="29">
        <v>0.142857142857143</v>
      </c>
      <c r="AS2467" s="29">
        <v>8.57142857142857</v>
      </c>
      <c r="AT2467" s="29">
        <v>-8.57142857142857</v>
      </c>
      <c r="AU2467" s="24">
        <f t="shared" si="39"/>
        <v>0</v>
      </c>
      <c r="AV2467" s="31">
        <f>IFERROR(时间!$B$4+AU2467,"上周无销量")</f>
        <v>43318</v>
      </c>
    </row>
    <row r="2468" spans="1:48">
      <c r="A2468" s="16" t="s">
        <v>4218</v>
      </c>
      <c r="B2468" t="s">
        <v>4219</v>
      </c>
      <c r="C2468" t="s">
        <v>4217</v>
      </c>
      <c r="D2468" s="24">
        <v>0</v>
      </c>
      <c r="E2468" s="24">
        <v>0</v>
      </c>
      <c r="F2468" s="24">
        <v>0</v>
      </c>
      <c r="G2468" s="24">
        <v>0</v>
      </c>
      <c r="H2468" s="25">
        <v>0</v>
      </c>
      <c r="I2468">
        <v>6</v>
      </c>
      <c r="J2468" s="26">
        <v>0</v>
      </c>
      <c r="K2468" s="26">
        <v>0</v>
      </c>
      <c r="L2468" s="26">
        <v>0</v>
      </c>
      <c r="M2468">
        <v>6</v>
      </c>
      <c r="N2468">
        <v>0</v>
      </c>
      <c r="O2468">
        <v>6</v>
      </c>
      <c r="P2468" t="s">
        <v>52</v>
      </c>
      <c r="Q2468" t="s">
        <v>52</v>
      </c>
      <c r="R2468" t="s">
        <v>52</v>
      </c>
      <c r="S2468" t="s">
        <v>52</v>
      </c>
      <c r="T2468" t="s">
        <v>52</v>
      </c>
      <c r="U2468" t="s">
        <v>52</v>
      </c>
      <c r="V2468" t="s">
        <v>52</v>
      </c>
      <c r="W2468" t="s">
        <v>52</v>
      </c>
      <c r="X2468" s="18" t="s">
        <v>52</v>
      </c>
      <c r="Y2468" s="18" t="s">
        <v>52</v>
      </c>
      <c r="Z2468" s="18" t="s">
        <v>52</v>
      </c>
      <c r="AA2468" s="1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s="18" t="s">
        <v>52</v>
      </c>
      <c r="AG2468" s="18" t="s">
        <v>52</v>
      </c>
      <c r="AH2468" s="18" t="s">
        <v>52</v>
      </c>
      <c r="AI2468" s="18" t="s">
        <v>52</v>
      </c>
      <c r="AJ2468">
        <v>8</v>
      </c>
      <c r="AK2468">
        <v>9</v>
      </c>
      <c r="AL2468">
        <v>12</v>
      </c>
      <c r="AM2468">
        <v>12</v>
      </c>
      <c r="AN2468" s="18">
        <v>0</v>
      </c>
      <c r="AO2468" s="18">
        <v>0</v>
      </c>
      <c r="AP2468" s="18">
        <v>0</v>
      </c>
      <c r="AQ2468" s="18">
        <v>0</v>
      </c>
      <c r="AR2468" s="29">
        <v>0</v>
      </c>
      <c r="AS2468" s="29">
        <v>0</v>
      </c>
      <c r="AT2468" s="29">
        <v>6</v>
      </c>
      <c r="AU2468" s="24" t="str">
        <f t="shared" si="39"/>
        <v>库存为6</v>
      </c>
      <c r="AV2468" s="31" t="str">
        <f>IFERROR(时间!$B$4+AU2468,"上周无销量")</f>
        <v>上周无销量</v>
      </c>
    </row>
    <row r="2469" spans="1:48">
      <c r="A2469" s="16" t="s">
        <v>4220</v>
      </c>
      <c r="B2469" t="s">
        <v>4221</v>
      </c>
      <c r="C2469" t="s">
        <v>4217</v>
      </c>
      <c r="D2469" s="24">
        <v>0</v>
      </c>
      <c r="E2469" s="24">
        <v>0</v>
      </c>
      <c r="F2469" s="24">
        <v>0</v>
      </c>
      <c r="G2469" s="24">
        <v>0</v>
      </c>
      <c r="H2469" s="25">
        <v>0</v>
      </c>
      <c r="I2469">
        <v>4</v>
      </c>
      <c r="J2469" s="26">
        <v>0</v>
      </c>
      <c r="K2469" s="26">
        <v>0</v>
      </c>
      <c r="L2469" s="26">
        <v>0</v>
      </c>
      <c r="M2469">
        <v>4</v>
      </c>
      <c r="N2469">
        <v>0</v>
      </c>
      <c r="O2469">
        <v>4</v>
      </c>
      <c r="P2469" t="s">
        <v>52</v>
      </c>
      <c r="Q2469" t="s">
        <v>52</v>
      </c>
      <c r="R2469" t="s">
        <v>52</v>
      </c>
      <c r="S2469" t="s">
        <v>52</v>
      </c>
      <c r="T2469" t="s">
        <v>52</v>
      </c>
      <c r="U2469" t="s">
        <v>52</v>
      </c>
      <c r="V2469" t="s">
        <v>52</v>
      </c>
      <c r="W2469" t="s">
        <v>52</v>
      </c>
      <c r="X2469" s="18" t="s">
        <v>52</v>
      </c>
      <c r="Y2469" s="18" t="s">
        <v>52</v>
      </c>
      <c r="Z2469" s="18" t="s">
        <v>52</v>
      </c>
      <c r="AA2469" s="18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s="18" t="s">
        <v>52</v>
      </c>
      <c r="AG2469" s="18" t="s">
        <v>52</v>
      </c>
      <c r="AH2469" s="18" t="s">
        <v>52</v>
      </c>
      <c r="AI2469" s="18" t="s">
        <v>52</v>
      </c>
      <c r="AJ2469">
        <v>10</v>
      </c>
      <c r="AK2469">
        <v>13</v>
      </c>
      <c r="AL2469">
        <v>4</v>
      </c>
      <c r="AM2469">
        <v>2</v>
      </c>
      <c r="AN2469" s="18">
        <v>0</v>
      </c>
      <c r="AO2469" s="18">
        <v>0</v>
      </c>
      <c r="AP2469" s="18">
        <v>0</v>
      </c>
      <c r="AQ2469" s="18">
        <v>0</v>
      </c>
      <c r="AR2469" s="29">
        <v>0</v>
      </c>
      <c r="AS2469" s="29">
        <v>0</v>
      </c>
      <c r="AT2469" s="29">
        <v>4</v>
      </c>
      <c r="AU2469" s="24" t="str">
        <f t="shared" si="39"/>
        <v>库存为4</v>
      </c>
      <c r="AV2469" s="31" t="str">
        <f>IFERROR(时间!$B$4+AU2469,"上周无销量")</f>
        <v>上周无销量</v>
      </c>
    </row>
    <row r="2470" spans="1:48">
      <c r="A2470" s="16" t="s">
        <v>4222</v>
      </c>
      <c r="B2470" t="s">
        <v>4223</v>
      </c>
      <c r="C2470" t="s">
        <v>4217</v>
      </c>
      <c r="D2470" s="24">
        <v>0</v>
      </c>
      <c r="E2470" s="24">
        <v>0</v>
      </c>
      <c r="F2470" s="24">
        <v>0</v>
      </c>
      <c r="G2470" s="24">
        <v>0</v>
      </c>
      <c r="H2470" s="25">
        <v>0</v>
      </c>
      <c r="I2470">
        <v>0</v>
      </c>
      <c r="J2470" s="26">
        <v>0</v>
      </c>
      <c r="K2470" s="26">
        <v>0</v>
      </c>
      <c r="L2470" s="26">
        <v>0</v>
      </c>
      <c r="M2470">
        <v>0</v>
      </c>
      <c r="N2470">
        <v>0</v>
      </c>
      <c r="O2470">
        <v>0</v>
      </c>
      <c r="P2470" t="s">
        <v>52</v>
      </c>
      <c r="Q2470" t="s">
        <v>52</v>
      </c>
      <c r="R2470" t="s">
        <v>52</v>
      </c>
      <c r="S2470" t="s">
        <v>52</v>
      </c>
      <c r="T2470" t="s">
        <v>52</v>
      </c>
      <c r="U2470" t="s">
        <v>52</v>
      </c>
      <c r="V2470" t="s">
        <v>52</v>
      </c>
      <c r="W2470" t="s">
        <v>52</v>
      </c>
      <c r="X2470" s="18" t="s">
        <v>52</v>
      </c>
      <c r="Y2470" s="18" t="s">
        <v>52</v>
      </c>
      <c r="Z2470" s="18" t="s">
        <v>52</v>
      </c>
      <c r="AA2470" s="18" t="s">
        <v>52</v>
      </c>
      <c r="AB2470" t="s">
        <v>52</v>
      </c>
      <c r="AC2470" t="s">
        <v>52</v>
      </c>
      <c r="AD2470" t="s">
        <v>52</v>
      </c>
      <c r="AE2470" t="s">
        <v>52</v>
      </c>
      <c r="AF2470" s="18" t="s">
        <v>52</v>
      </c>
      <c r="AG2470" s="18" t="s">
        <v>52</v>
      </c>
      <c r="AH2470" s="18" t="s">
        <v>52</v>
      </c>
      <c r="AI2470" s="18" t="s">
        <v>52</v>
      </c>
      <c r="AJ2470">
        <v>0</v>
      </c>
      <c r="AK2470">
        <v>0</v>
      </c>
      <c r="AL2470">
        <v>0</v>
      </c>
      <c r="AM2470">
        <v>0</v>
      </c>
      <c r="AN2470" s="18" t="s">
        <v>52</v>
      </c>
      <c r="AO2470" s="18" t="s">
        <v>52</v>
      </c>
      <c r="AP2470" s="18" t="s">
        <v>52</v>
      </c>
      <c r="AQ2470" s="18" t="s">
        <v>52</v>
      </c>
      <c r="AR2470" s="29">
        <v>0</v>
      </c>
      <c r="AS2470" s="29">
        <v>0</v>
      </c>
      <c r="AT2470" s="29">
        <v>0</v>
      </c>
      <c r="AU2470" s="24" t="str">
        <f t="shared" si="39"/>
        <v>库存为0</v>
      </c>
      <c r="AV2470" s="31" t="str">
        <f>IFERROR(时间!$B$4+AU2470,"上周无销量")</f>
        <v>上周无销量</v>
      </c>
    </row>
    <row r="2471" spans="1:48">
      <c r="A2471" s="16" t="s">
        <v>4224</v>
      </c>
      <c r="B2471" t="s">
        <v>4225</v>
      </c>
      <c r="C2471" t="s">
        <v>4217</v>
      </c>
      <c r="D2471" s="24">
        <v>0</v>
      </c>
      <c r="E2471" s="24">
        <v>0</v>
      </c>
      <c r="F2471" s="24">
        <v>0</v>
      </c>
      <c r="G2471" s="24">
        <v>0</v>
      </c>
      <c r="H2471" s="25">
        <v>0</v>
      </c>
      <c r="I2471">
        <v>0</v>
      </c>
      <c r="J2471" s="26">
        <v>0</v>
      </c>
      <c r="K2471" s="26">
        <v>0</v>
      </c>
      <c r="L2471" s="26">
        <v>0</v>
      </c>
      <c r="M2471">
        <v>0</v>
      </c>
      <c r="N2471">
        <v>0</v>
      </c>
      <c r="O2471">
        <v>0</v>
      </c>
      <c r="P2471" t="s">
        <v>52</v>
      </c>
      <c r="Q2471" t="s">
        <v>52</v>
      </c>
      <c r="R2471" t="s">
        <v>52</v>
      </c>
      <c r="S2471" t="s">
        <v>52</v>
      </c>
      <c r="T2471" t="s">
        <v>52</v>
      </c>
      <c r="U2471" t="s">
        <v>52</v>
      </c>
      <c r="V2471" t="s">
        <v>52</v>
      </c>
      <c r="W2471" t="s">
        <v>52</v>
      </c>
      <c r="X2471" s="18" t="s">
        <v>52</v>
      </c>
      <c r="Y2471" s="18" t="s">
        <v>52</v>
      </c>
      <c r="Z2471" s="18" t="s">
        <v>52</v>
      </c>
      <c r="AA2471" s="18" t="s">
        <v>52</v>
      </c>
      <c r="AB2471" t="s">
        <v>52</v>
      </c>
      <c r="AC2471" t="s">
        <v>52</v>
      </c>
      <c r="AD2471" t="s">
        <v>52</v>
      </c>
      <c r="AE2471" t="s">
        <v>52</v>
      </c>
      <c r="AF2471" s="18" t="s">
        <v>52</v>
      </c>
      <c r="AG2471" s="18" t="s">
        <v>52</v>
      </c>
      <c r="AH2471" s="18" t="s">
        <v>52</v>
      </c>
      <c r="AI2471" s="18" t="s">
        <v>52</v>
      </c>
      <c r="AJ2471">
        <v>0</v>
      </c>
      <c r="AK2471">
        <v>0</v>
      </c>
      <c r="AL2471">
        <v>0</v>
      </c>
      <c r="AM2471">
        <v>0</v>
      </c>
      <c r="AN2471" s="18" t="s">
        <v>52</v>
      </c>
      <c r="AO2471" s="18" t="s">
        <v>52</v>
      </c>
      <c r="AP2471" s="18" t="s">
        <v>52</v>
      </c>
      <c r="AQ2471" s="18" t="s">
        <v>52</v>
      </c>
      <c r="AR2471" s="29">
        <v>0</v>
      </c>
      <c r="AS2471" s="29">
        <v>0</v>
      </c>
      <c r="AT2471" s="29">
        <v>0</v>
      </c>
      <c r="AU2471" s="24" t="str">
        <f t="shared" si="39"/>
        <v>库存为0</v>
      </c>
      <c r="AV2471" s="31" t="str">
        <f>IFERROR(时间!$B$4+AU2471,"上周无销量")</f>
        <v>上周无销量</v>
      </c>
    </row>
    <row r="2472" spans="1:48">
      <c r="A2472" s="16" t="s">
        <v>4226</v>
      </c>
      <c r="B2472" t="s">
        <v>4227</v>
      </c>
      <c r="C2472" t="s">
        <v>4217</v>
      </c>
      <c r="D2472" s="24">
        <v>1</v>
      </c>
      <c r="E2472" s="24">
        <v>0</v>
      </c>
      <c r="F2472" s="24">
        <v>2</v>
      </c>
      <c r="G2472" s="24">
        <v>1</v>
      </c>
      <c r="H2472" s="25">
        <v>15</v>
      </c>
      <c r="I2472">
        <v>2</v>
      </c>
      <c r="J2472" s="26">
        <v>0</v>
      </c>
      <c r="K2472" s="26">
        <v>0</v>
      </c>
      <c r="L2472" s="26">
        <v>0</v>
      </c>
      <c r="M2472">
        <v>2</v>
      </c>
      <c r="N2472">
        <v>0</v>
      </c>
      <c r="O2472">
        <v>3</v>
      </c>
      <c r="P2472">
        <v>0</v>
      </c>
      <c r="Q2472">
        <v>1416</v>
      </c>
      <c r="R2472">
        <v>2573</v>
      </c>
      <c r="S2472">
        <v>1236</v>
      </c>
      <c r="T2472">
        <v>0</v>
      </c>
      <c r="U2472">
        <v>9</v>
      </c>
      <c r="V2472">
        <v>11</v>
      </c>
      <c r="W2472">
        <v>2</v>
      </c>
      <c r="X2472" s="18" t="s">
        <v>52</v>
      </c>
      <c r="Y2472" s="18">
        <v>0.00635593220338983</v>
      </c>
      <c r="Z2472" s="18">
        <v>0.00427516517683638</v>
      </c>
      <c r="AA2472" s="18">
        <v>0.00161812297734628</v>
      </c>
      <c r="AB2472">
        <v>0</v>
      </c>
      <c r="AC2472">
        <v>4.08</v>
      </c>
      <c r="AD2472">
        <v>4.95</v>
      </c>
      <c r="AE2472">
        <v>0.8</v>
      </c>
      <c r="AF2472" s="18" t="s">
        <v>52</v>
      </c>
      <c r="AG2472" s="18" t="s">
        <v>4228</v>
      </c>
      <c r="AH2472" s="18">
        <v>0.165</v>
      </c>
      <c r="AI2472" s="18">
        <v>0.0533333333333333</v>
      </c>
      <c r="AJ2472">
        <v>9</v>
      </c>
      <c r="AK2472">
        <v>7</v>
      </c>
      <c r="AL2472">
        <v>7</v>
      </c>
      <c r="AM2472">
        <v>12</v>
      </c>
      <c r="AN2472" s="18">
        <v>0.111111111111111</v>
      </c>
      <c r="AO2472" s="18">
        <v>0</v>
      </c>
      <c r="AP2472" s="18">
        <v>0.285714285714286</v>
      </c>
      <c r="AQ2472" s="18">
        <v>0.0833333333333333</v>
      </c>
      <c r="AR2472" s="29">
        <v>0.142857142857143</v>
      </c>
      <c r="AS2472" s="29">
        <v>8.57142857142857</v>
      </c>
      <c r="AT2472" s="29">
        <v>-6.57142857142857</v>
      </c>
      <c r="AU2472" s="24">
        <f t="shared" si="39"/>
        <v>14</v>
      </c>
      <c r="AV2472" s="31">
        <f>IFERROR(时间!$B$4+AU2472,"上周无销量")</f>
        <v>43332</v>
      </c>
    </row>
    <row r="2473" spans="1:48">
      <c r="A2473" s="16" t="s">
        <v>4229</v>
      </c>
      <c r="B2473" t="s">
        <v>4230</v>
      </c>
      <c r="C2473" t="s">
        <v>4217</v>
      </c>
      <c r="D2473" s="24">
        <v>2</v>
      </c>
      <c r="E2473" s="24">
        <v>0</v>
      </c>
      <c r="F2473" s="24">
        <v>1</v>
      </c>
      <c r="G2473" s="24">
        <v>0</v>
      </c>
      <c r="H2473" s="25">
        <v>12</v>
      </c>
      <c r="I2473">
        <v>0</v>
      </c>
      <c r="J2473" s="26">
        <v>0</v>
      </c>
      <c r="K2473" s="26">
        <v>0</v>
      </c>
      <c r="L2473" s="26">
        <v>0</v>
      </c>
      <c r="M2473">
        <v>0</v>
      </c>
      <c r="N2473">
        <v>0</v>
      </c>
      <c r="O2473">
        <v>0</v>
      </c>
      <c r="P2473" t="s">
        <v>52</v>
      </c>
      <c r="Q2473" t="s">
        <v>52</v>
      </c>
      <c r="R2473" t="s">
        <v>52</v>
      </c>
      <c r="S2473" t="s">
        <v>52</v>
      </c>
      <c r="T2473" t="s">
        <v>52</v>
      </c>
      <c r="U2473" t="s">
        <v>52</v>
      </c>
      <c r="V2473" t="s">
        <v>52</v>
      </c>
      <c r="W2473" t="s">
        <v>52</v>
      </c>
      <c r="X2473" s="18" t="s">
        <v>52</v>
      </c>
      <c r="Y2473" s="18" t="s">
        <v>52</v>
      </c>
      <c r="Z2473" s="18" t="s">
        <v>52</v>
      </c>
      <c r="AA2473" s="18" t="s">
        <v>52</v>
      </c>
      <c r="AB2473" t="s">
        <v>52</v>
      </c>
      <c r="AC2473" t="s">
        <v>52</v>
      </c>
      <c r="AD2473" t="s">
        <v>52</v>
      </c>
      <c r="AE2473" t="s">
        <v>52</v>
      </c>
      <c r="AF2473" s="18" t="s">
        <v>52</v>
      </c>
      <c r="AG2473" s="18" t="s">
        <v>52</v>
      </c>
      <c r="AH2473" s="18" t="s">
        <v>52</v>
      </c>
      <c r="AI2473" s="18" t="s">
        <v>52</v>
      </c>
      <c r="AJ2473">
        <v>5</v>
      </c>
      <c r="AK2473">
        <v>7</v>
      </c>
      <c r="AL2473">
        <v>7</v>
      </c>
      <c r="AM2473">
        <v>5</v>
      </c>
      <c r="AN2473" s="18">
        <v>0.4</v>
      </c>
      <c r="AO2473" s="18">
        <v>0</v>
      </c>
      <c r="AP2473" s="18">
        <v>0.142857142857143</v>
      </c>
      <c r="AQ2473" s="18">
        <v>0</v>
      </c>
      <c r="AR2473" s="29">
        <v>0.285714285714286</v>
      </c>
      <c r="AS2473" s="29">
        <v>17.1428571428571</v>
      </c>
      <c r="AT2473" s="29">
        <v>-17.1428571428571</v>
      </c>
      <c r="AU2473" s="24">
        <f t="shared" si="39"/>
        <v>0</v>
      </c>
      <c r="AV2473" s="31">
        <f>IFERROR(时间!$B$4+AU2473,"上周无销量")</f>
        <v>43318</v>
      </c>
    </row>
    <row r="2474" spans="1:48">
      <c r="A2474" s="16" t="s">
        <v>4231</v>
      </c>
      <c r="B2474" t="s">
        <v>4232</v>
      </c>
      <c r="C2474" t="s">
        <v>4217</v>
      </c>
      <c r="D2474" s="24">
        <v>0</v>
      </c>
      <c r="E2474" s="24">
        <v>0</v>
      </c>
      <c r="F2474" s="24">
        <v>0</v>
      </c>
      <c r="G2474" s="24">
        <v>0</v>
      </c>
      <c r="H2474" s="25">
        <v>0</v>
      </c>
      <c r="I2474">
        <v>2</v>
      </c>
      <c r="J2474" s="26">
        <v>0</v>
      </c>
      <c r="K2474" s="26">
        <v>0</v>
      </c>
      <c r="L2474" s="26">
        <v>0</v>
      </c>
      <c r="M2474">
        <v>2</v>
      </c>
      <c r="N2474">
        <v>0</v>
      </c>
      <c r="O2474">
        <v>2</v>
      </c>
      <c r="P2474" t="s">
        <v>52</v>
      </c>
      <c r="Q2474" t="s">
        <v>52</v>
      </c>
      <c r="R2474" t="s">
        <v>52</v>
      </c>
      <c r="S2474" t="s">
        <v>52</v>
      </c>
      <c r="T2474" t="s">
        <v>52</v>
      </c>
      <c r="U2474" t="s">
        <v>52</v>
      </c>
      <c r="V2474" t="s">
        <v>52</v>
      </c>
      <c r="W2474" t="s">
        <v>52</v>
      </c>
      <c r="X2474" s="18" t="s">
        <v>52</v>
      </c>
      <c r="Y2474" s="18" t="s">
        <v>52</v>
      </c>
      <c r="Z2474" s="18" t="s">
        <v>52</v>
      </c>
      <c r="AA2474" s="18" t="s">
        <v>52</v>
      </c>
      <c r="AB2474" t="s">
        <v>52</v>
      </c>
      <c r="AC2474" t="s">
        <v>52</v>
      </c>
      <c r="AD2474" t="s">
        <v>52</v>
      </c>
      <c r="AE2474" t="s">
        <v>52</v>
      </c>
      <c r="AF2474" s="18" t="s">
        <v>52</v>
      </c>
      <c r="AG2474" s="18" t="s">
        <v>52</v>
      </c>
      <c r="AH2474" s="18" t="s">
        <v>52</v>
      </c>
      <c r="AI2474" s="18" t="s">
        <v>52</v>
      </c>
      <c r="AJ2474">
        <v>2</v>
      </c>
      <c r="AK2474">
        <v>2</v>
      </c>
      <c r="AL2474">
        <v>6</v>
      </c>
      <c r="AM2474">
        <v>3</v>
      </c>
      <c r="AN2474" s="18">
        <v>0</v>
      </c>
      <c r="AO2474" s="18">
        <v>0</v>
      </c>
      <c r="AP2474" s="18">
        <v>0</v>
      </c>
      <c r="AQ2474" s="18">
        <v>0</v>
      </c>
      <c r="AR2474" s="29">
        <v>0</v>
      </c>
      <c r="AS2474" s="29">
        <v>0</v>
      </c>
      <c r="AT2474" s="29">
        <v>2</v>
      </c>
      <c r="AU2474" s="24" t="str">
        <f t="shared" si="39"/>
        <v>库存为2</v>
      </c>
      <c r="AV2474" s="31" t="str">
        <f>IFERROR(时间!$B$4+AU2474,"上周无销量")</f>
        <v>上周无销量</v>
      </c>
    </row>
    <row r="2475" spans="1:48">
      <c r="A2475" s="16" t="s">
        <v>4233</v>
      </c>
      <c r="B2475" t="s">
        <v>4234</v>
      </c>
      <c r="C2475" t="s">
        <v>4217</v>
      </c>
      <c r="D2475" s="24">
        <v>0</v>
      </c>
      <c r="E2475" s="24">
        <v>1</v>
      </c>
      <c r="F2475" s="24">
        <v>0</v>
      </c>
      <c r="G2475" s="24">
        <v>0</v>
      </c>
      <c r="H2475" s="25">
        <v>15</v>
      </c>
      <c r="I2475">
        <v>2</v>
      </c>
      <c r="J2475" s="26">
        <v>0</v>
      </c>
      <c r="K2475" s="26">
        <v>0</v>
      </c>
      <c r="L2475" s="26">
        <v>0</v>
      </c>
      <c r="M2475">
        <v>2</v>
      </c>
      <c r="N2475">
        <v>0</v>
      </c>
      <c r="O2475">
        <v>3</v>
      </c>
      <c r="P2475" t="s">
        <v>52</v>
      </c>
      <c r="Q2475" t="s">
        <v>52</v>
      </c>
      <c r="R2475" t="s">
        <v>52</v>
      </c>
      <c r="S2475" t="s">
        <v>52</v>
      </c>
      <c r="T2475" t="s">
        <v>52</v>
      </c>
      <c r="U2475" t="s">
        <v>52</v>
      </c>
      <c r="V2475" t="s">
        <v>52</v>
      </c>
      <c r="W2475" t="s">
        <v>52</v>
      </c>
      <c r="X2475" s="18" t="s">
        <v>52</v>
      </c>
      <c r="Y2475" s="18" t="s">
        <v>52</v>
      </c>
      <c r="Z2475" s="18" t="s">
        <v>52</v>
      </c>
      <c r="AA2475" s="18" t="s">
        <v>52</v>
      </c>
      <c r="AB2475" t="s">
        <v>52</v>
      </c>
      <c r="AC2475" t="s">
        <v>52</v>
      </c>
      <c r="AD2475" t="s">
        <v>52</v>
      </c>
      <c r="AE2475" t="s">
        <v>52</v>
      </c>
      <c r="AF2475" s="18" t="s">
        <v>52</v>
      </c>
      <c r="AG2475" s="18" t="s">
        <v>52</v>
      </c>
      <c r="AH2475" s="18" t="s">
        <v>52</v>
      </c>
      <c r="AI2475" s="18" t="s">
        <v>52</v>
      </c>
      <c r="AJ2475">
        <v>3</v>
      </c>
      <c r="AK2475">
        <v>4</v>
      </c>
      <c r="AL2475">
        <v>8</v>
      </c>
      <c r="AM2475">
        <v>6</v>
      </c>
      <c r="AN2475" s="18">
        <v>0</v>
      </c>
      <c r="AO2475" s="18">
        <v>0.25</v>
      </c>
      <c r="AP2475" s="18">
        <v>0</v>
      </c>
      <c r="AQ2475" s="18">
        <v>0</v>
      </c>
      <c r="AR2475" s="29">
        <v>0</v>
      </c>
      <c r="AS2475" s="29">
        <v>0</v>
      </c>
      <c r="AT2475" s="29">
        <v>2</v>
      </c>
      <c r="AU2475" s="24" t="str">
        <f t="shared" si="39"/>
        <v>库存为2</v>
      </c>
      <c r="AV2475" s="31" t="str">
        <f>IFERROR(时间!$B$4+AU2475,"上周无销量")</f>
        <v>上周无销量</v>
      </c>
    </row>
    <row r="2476" spans="1:48">
      <c r="A2476" s="16" t="s">
        <v>4235</v>
      </c>
      <c r="B2476" t="s">
        <v>4236</v>
      </c>
      <c r="C2476" t="s">
        <v>4217</v>
      </c>
      <c r="D2476" s="24">
        <v>0</v>
      </c>
      <c r="E2476" s="24">
        <v>2</v>
      </c>
      <c r="F2476" s="24">
        <v>0</v>
      </c>
      <c r="G2476" s="24">
        <v>1</v>
      </c>
      <c r="H2476" s="25">
        <v>15</v>
      </c>
      <c r="I2476">
        <v>3</v>
      </c>
      <c r="J2476" s="26">
        <v>0</v>
      </c>
      <c r="K2476" s="26">
        <v>0</v>
      </c>
      <c r="L2476" s="26">
        <v>0</v>
      </c>
      <c r="M2476">
        <v>3</v>
      </c>
      <c r="N2476">
        <v>0</v>
      </c>
      <c r="O2476">
        <v>2</v>
      </c>
      <c r="P2476">
        <v>0</v>
      </c>
      <c r="Q2476">
        <v>11508</v>
      </c>
      <c r="R2476">
        <v>25205</v>
      </c>
      <c r="S2476">
        <v>62397</v>
      </c>
      <c r="T2476">
        <v>0</v>
      </c>
      <c r="U2476">
        <v>35</v>
      </c>
      <c r="V2476">
        <v>40</v>
      </c>
      <c r="W2476">
        <v>51</v>
      </c>
      <c r="X2476" s="18" t="s">
        <v>52</v>
      </c>
      <c r="Y2476" s="18">
        <v>0.00304136253041363</v>
      </c>
      <c r="Z2476" s="18">
        <v>0.00158698670898631</v>
      </c>
      <c r="AA2476" s="18">
        <v>0.000817346987835954</v>
      </c>
      <c r="AB2476">
        <v>0</v>
      </c>
      <c r="AC2476">
        <v>17.44</v>
      </c>
      <c r="AD2476">
        <v>16.6</v>
      </c>
      <c r="AE2476">
        <v>18.54</v>
      </c>
      <c r="AF2476" s="18" t="s">
        <v>52</v>
      </c>
      <c r="AG2476" s="18">
        <v>0.581333333333333</v>
      </c>
      <c r="AH2476" s="18" t="s">
        <v>4237</v>
      </c>
      <c r="AI2476" s="18">
        <v>1.236</v>
      </c>
      <c r="AJ2476">
        <v>15</v>
      </c>
      <c r="AK2476">
        <v>13</v>
      </c>
      <c r="AL2476">
        <v>35</v>
      </c>
      <c r="AM2476">
        <v>24</v>
      </c>
      <c r="AN2476" s="18">
        <v>0</v>
      </c>
      <c r="AO2476" s="18">
        <v>0.153846153846154</v>
      </c>
      <c r="AP2476" s="18">
        <v>0</v>
      </c>
      <c r="AQ2476" s="18">
        <v>0.0416666666666667</v>
      </c>
      <c r="AR2476" s="29">
        <v>0</v>
      </c>
      <c r="AS2476" s="29">
        <v>0</v>
      </c>
      <c r="AT2476" s="29">
        <v>3</v>
      </c>
      <c r="AU2476" s="24" t="str">
        <f t="shared" si="39"/>
        <v>库存为3</v>
      </c>
      <c r="AV2476" s="31" t="str">
        <f>IFERROR(时间!$B$4+AU2476,"上周无销量")</f>
        <v>上周无销量</v>
      </c>
    </row>
    <row r="2477" spans="1:48">
      <c r="A2477" s="16" t="s">
        <v>4238</v>
      </c>
      <c r="B2477" t="s">
        <v>4239</v>
      </c>
      <c r="C2477" t="s">
        <v>4217</v>
      </c>
      <c r="D2477" s="24">
        <v>0</v>
      </c>
      <c r="E2477" s="24">
        <v>0</v>
      </c>
      <c r="F2477" s="24">
        <v>0</v>
      </c>
      <c r="G2477" s="24">
        <v>1</v>
      </c>
      <c r="H2477" s="25">
        <v>12</v>
      </c>
      <c r="I2477">
        <v>0</v>
      </c>
      <c r="J2477" s="26">
        <v>0</v>
      </c>
      <c r="K2477" s="26">
        <v>0</v>
      </c>
      <c r="L2477" s="26">
        <v>0</v>
      </c>
      <c r="M2477">
        <v>0</v>
      </c>
      <c r="N2477">
        <v>0</v>
      </c>
      <c r="O2477">
        <v>0</v>
      </c>
      <c r="P2477" t="s">
        <v>52</v>
      </c>
      <c r="Q2477" t="s">
        <v>52</v>
      </c>
      <c r="R2477" t="s">
        <v>52</v>
      </c>
      <c r="S2477" t="s">
        <v>52</v>
      </c>
      <c r="T2477" t="s">
        <v>52</v>
      </c>
      <c r="U2477" t="s">
        <v>52</v>
      </c>
      <c r="V2477" t="s">
        <v>52</v>
      </c>
      <c r="W2477" t="s">
        <v>52</v>
      </c>
      <c r="X2477" s="18" t="s">
        <v>52</v>
      </c>
      <c r="Y2477" s="18" t="s">
        <v>52</v>
      </c>
      <c r="Z2477" s="18" t="s">
        <v>52</v>
      </c>
      <c r="AA2477" s="18" t="s">
        <v>52</v>
      </c>
      <c r="AB2477" t="s">
        <v>52</v>
      </c>
      <c r="AC2477" t="s">
        <v>52</v>
      </c>
      <c r="AD2477" t="s">
        <v>52</v>
      </c>
      <c r="AE2477" t="s">
        <v>52</v>
      </c>
      <c r="AF2477" s="18" t="s">
        <v>52</v>
      </c>
      <c r="AG2477" s="18" t="s">
        <v>52</v>
      </c>
      <c r="AH2477" s="18" t="s">
        <v>52</v>
      </c>
      <c r="AI2477" s="18" t="s">
        <v>52</v>
      </c>
      <c r="AJ2477">
        <v>0</v>
      </c>
      <c r="AK2477">
        <v>0</v>
      </c>
      <c r="AL2477">
        <v>0</v>
      </c>
      <c r="AM2477">
        <v>1</v>
      </c>
      <c r="AN2477" s="18" t="s">
        <v>52</v>
      </c>
      <c r="AO2477" s="18" t="s">
        <v>52</v>
      </c>
      <c r="AP2477" s="18" t="s">
        <v>52</v>
      </c>
      <c r="AQ2477" s="18">
        <v>1</v>
      </c>
      <c r="AR2477" s="29">
        <v>0</v>
      </c>
      <c r="AS2477" s="29">
        <v>0</v>
      </c>
      <c r="AT2477" s="29">
        <v>0</v>
      </c>
      <c r="AU2477" s="24" t="str">
        <f t="shared" si="39"/>
        <v>库存为0</v>
      </c>
      <c r="AV2477" s="31" t="str">
        <f>IFERROR(时间!$B$4+AU2477,"上周无销量")</f>
        <v>上周无销量</v>
      </c>
    </row>
    <row r="2478" spans="1:48">
      <c r="A2478" s="16" t="s">
        <v>4240</v>
      </c>
      <c r="B2478" t="s">
        <v>4241</v>
      </c>
      <c r="C2478" t="s">
        <v>4217</v>
      </c>
      <c r="D2478" s="24">
        <v>0</v>
      </c>
      <c r="E2478" s="24">
        <v>0</v>
      </c>
      <c r="F2478" s="24">
        <v>0</v>
      </c>
      <c r="G2478" s="24">
        <v>0</v>
      </c>
      <c r="H2478" s="25">
        <v>0</v>
      </c>
      <c r="I2478">
        <v>0</v>
      </c>
      <c r="J2478" s="26">
        <v>0</v>
      </c>
      <c r="K2478" s="26">
        <v>0</v>
      </c>
      <c r="L2478" s="26">
        <v>0</v>
      </c>
      <c r="M2478">
        <v>0</v>
      </c>
      <c r="N2478">
        <v>0</v>
      </c>
      <c r="O2478">
        <v>0</v>
      </c>
      <c r="P2478" t="s">
        <v>52</v>
      </c>
      <c r="Q2478" t="s">
        <v>52</v>
      </c>
      <c r="R2478" t="s">
        <v>52</v>
      </c>
      <c r="S2478" t="s">
        <v>52</v>
      </c>
      <c r="T2478" t="s">
        <v>52</v>
      </c>
      <c r="U2478" t="s">
        <v>52</v>
      </c>
      <c r="V2478" t="s">
        <v>52</v>
      </c>
      <c r="W2478" t="s">
        <v>52</v>
      </c>
      <c r="X2478" s="18" t="s">
        <v>52</v>
      </c>
      <c r="Y2478" s="18" t="s">
        <v>52</v>
      </c>
      <c r="Z2478" s="18" t="s">
        <v>52</v>
      </c>
      <c r="AA2478" s="18" t="s">
        <v>52</v>
      </c>
      <c r="AB2478" t="s">
        <v>52</v>
      </c>
      <c r="AC2478" t="s">
        <v>52</v>
      </c>
      <c r="AD2478" t="s">
        <v>52</v>
      </c>
      <c r="AE2478" t="s">
        <v>52</v>
      </c>
      <c r="AF2478" s="18" t="s">
        <v>52</v>
      </c>
      <c r="AG2478" s="18" t="s">
        <v>52</v>
      </c>
      <c r="AH2478" s="18" t="s">
        <v>52</v>
      </c>
      <c r="AI2478" s="18" t="s">
        <v>52</v>
      </c>
      <c r="AJ2478">
        <v>0</v>
      </c>
      <c r="AK2478">
        <v>0</v>
      </c>
      <c r="AL2478">
        <v>0</v>
      </c>
      <c r="AM2478">
        <v>0</v>
      </c>
      <c r="AN2478" s="18" t="s">
        <v>52</v>
      </c>
      <c r="AO2478" s="18" t="s">
        <v>52</v>
      </c>
      <c r="AP2478" s="18" t="s">
        <v>52</v>
      </c>
      <c r="AQ2478" s="18" t="s">
        <v>52</v>
      </c>
      <c r="AR2478" s="29">
        <v>0</v>
      </c>
      <c r="AS2478" s="29">
        <v>0</v>
      </c>
      <c r="AT2478" s="29">
        <v>0</v>
      </c>
      <c r="AU2478" s="24" t="str">
        <f t="shared" si="39"/>
        <v>库存为0</v>
      </c>
      <c r="AV2478" s="31" t="str">
        <f>IFERROR(时间!$B$4+AU2478,"上周无销量")</f>
        <v>上周无销量</v>
      </c>
    </row>
    <row r="2479" spans="1:48">
      <c r="A2479" s="16" t="s">
        <v>4242</v>
      </c>
      <c r="B2479" t="s">
        <v>4243</v>
      </c>
      <c r="C2479" t="s">
        <v>4217</v>
      </c>
      <c r="D2479" s="24">
        <v>0</v>
      </c>
      <c r="E2479" s="24">
        <v>0</v>
      </c>
      <c r="F2479" s="24">
        <v>0</v>
      </c>
      <c r="G2479" s="24">
        <v>0</v>
      </c>
      <c r="H2479" s="25">
        <v>0</v>
      </c>
      <c r="I2479">
        <v>6</v>
      </c>
      <c r="J2479" s="26">
        <v>0</v>
      </c>
      <c r="K2479" s="26">
        <v>0</v>
      </c>
      <c r="L2479" s="26">
        <v>0</v>
      </c>
      <c r="M2479">
        <v>6</v>
      </c>
      <c r="N2479">
        <v>0</v>
      </c>
      <c r="O2479">
        <v>6</v>
      </c>
      <c r="P2479" t="s">
        <v>52</v>
      </c>
      <c r="Q2479" t="s">
        <v>52</v>
      </c>
      <c r="R2479" t="s">
        <v>52</v>
      </c>
      <c r="S2479" t="s">
        <v>52</v>
      </c>
      <c r="T2479" t="s">
        <v>52</v>
      </c>
      <c r="U2479" t="s">
        <v>52</v>
      </c>
      <c r="V2479" t="s">
        <v>52</v>
      </c>
      <c r="W2479" t="s">
        <v>52</v>
      </c>
      <c r="X2479" s="18" t="s">
        <v>52</v>
      </c>
      <c r="Y2479" s="18" t="s">
        <v>52</v>
      </c>
      <c r="Z2479" s="18" t="s">
        <v>52</v>
      </c>
      <c r="AA2479" s="18" t="s">
        <v>52</v>
      </c>
      <c r="AB2479" t="s">
        <v>52</v>
      </c>
      <c r="AC2479" t="s">
        <v>52</v>
      </c>
      <c r="AD2479" t="s">
        <v>52</v>
      </c>
      <c r="AE2479" t="s">
        <v>52</v>
      </c>
      <c r="AF2479" s="18" t="s">
        <v>52</v>
      </c>
      <c r="AG2479" s="18" t="s">
        <v>52</v>
      </c>
      <c r="AH2479" s="18" t="s">
        <v>52</v>
      </c>
      <c r="AI2479" s="18" t="s">
        <v>52</v>
      </c>
      <c r="AJ2479">
        <v>4</v>
      </c>
      <c r="AK2479">
        <v>0</v>
      </c>
      <c r="AL2479">
        <v>0</v>
      </c>
      <c r="AM2479">
        <v>0</v>
      </c>
      <c r="AN2479" s="18">
        <v>0</v>
      </c>
      <c r="AO2479" s="18" t="s">
        <v>52</v>
      </c>
      <c r="AP2479" s="18" t="s">
        <v>52</v>
      </c>
      <c r="AQ2479" s="18" t="s">
        <v>52</v>
      </c>
      <c r="AR2479" s="29">
        <v>0</v>
      </c>
      <c r="AS2479" s="29">
        <v>0</v>
      </c>
      <c r="AT2479" s="29">
        <v>6</v>
      </c>
      <c r="AU2479" s="24" t="str">
        <f t="shared" si="39"/>
        <v>库存为6</v>
      </c>
      <c r="AV2479" s="31" t="str">
        <f>IFERROR(时间!$B$4+AU2479,"上周无销量")</f>
        <v>上周无销量</v>
      </c>
    </row>
    <row r="2480" spans="1:48">
      <c r="A2480" s="16" t="s">
        <v>4244</v>
      </c>
      <c r="B2480" t="s">
        <v>4245</v>
      </c>
      <c r="C2480" t="s">
        <v>4217</v>
      </c>
      <c r="D2480" s="24">
        <v>2</v>
      </c>
      <c r="E2480" s="24">
        <v>1</v>
      </c>
      <c r="F2480" s="24">
        <v>0</v>
      </c>
      <c r="G2480" s="24">
        <v>0</v>
      </c>
      <c r="H2480" s="25">
        <v>15</v>
      </c>
      <c r="I2480">
        <v>0</v>
      </c>
      <c r="J2480" s="26">
        <v>0</v>
      </c>
      <c r="K2480" s="26">
        <v>0</v>
      </c>
      <c r="L2480" s="26">
        <v>0</v>
      </c>
      <c r="M2480">
        <v>0</v>
      </c>
      <c r="N2480">
        <v>0</v>
      </c>
      <c r="O2480">
        <v>0</v>
      </c>
      <c r="P2480" t="s">
        <v>52</v>
      </c>
      <c r="Q2480" t="s">
        <v>52</v>
      </c>
      <c r="R2480" t="s">
        <v>52</v>
      </c>
      <c r="S2480" t="s">
        <v>52</v>
      </c>
      <c r="T2480" t="s">
        <v>52</v>
      </c>
      <c r="U2480" t="s">
        <v>52</v>
      </c>
      <c r="V2480" t="s">
        <v>52</v>
      </c>
      <c r="W2480" t="s">
        <v>52</v>
      </c>
      <c r="X2480" s="18" t="s">
        <v>52</v>
      </c>
      <c r="Y2480" s="18" t="s">
        <v>52</v>
      </c>
      <c r="Z2480" s="18" t="s">
        <v>52</v>
      </c>
      <c r="AA2480" s="18" t="s">
        <v>52</v>
      </c>
      <c r="AB2480" t="s">
        <v>52</v>
      </c>
      <c r="AC2480" t="s">
        <v>52</v>
      </c>
      <c r="AD2480" t="s">
        <v>52</v>
      </c>
      <c r="AE2480" t="s">
        <v>52</v>
      </c>
      <c r="AF2480" s="18" t="s">
        <v>52</v>
      </c>
      <c r="AG2480" s="18" t="s">
        <v>52</v>
      </c>
      <c r="AH2480" s="18" t="s">
        <v>52</v>
      </c>
      <c r="AI2480" s="18" t="s">
        <v>52</v>
      </c>
      <c r="AJ2480">
        <v>1</v>
      </c>
      <c r="AK2480">
        <v>7</v>
      </c>
      <c r="AL2480">
        <v>5</v>
      </c>
      <c r="AM2480">
        <v>3</v>
      </c>
      <c r="AN2480" s="18">
        <v>2</v>
      </c>
      <c r="AO2480" s="18">
        <v>0.142857142857143</v>
      </c>
      <c r="AP2480" s="18">
        <v>0</v>
      </c>
      <c r="AQ2480" s="18">
        <v>0</v>
      </c>
      <c r="AR2480" s="29">
        <v>0.285714285714286</v>
      </c>
      <c r="AS2480" s="29">
        <v>17.1428571428571</v>
      </c>
      <c r="AT2480" s="29">
        <v>-17.1428571428571</v>
      </c>
      <c r="AU2480" s="24">
        <f t="shared" si="39"/>
        <v>0</v>
      </c>
      <c r="AV2480" s="31">
        <f>IFERROR(时间!$B$4+AU2480,"上周无销量")</f>
        <v>43318</v>
      </c>
    </row>
    <row r="2481" spans="1:48">
      <c r="A2481" s="16" t="s">
        <v>4246</v>
      </c>
      <c r="B2481" t="s">
        <v>4247</v>
      </c>
      <c r="C2481" t="s">
        <v>4217</v>
      </c>
      <c r="D2481" s="24">
        <v>0</v>
      </c>
      <c r="E2481" s="24">
        <v>0</v>
      </c>
      <c r="F2481" s="24">
        <v>1</v>
      </c>
      <c r="G2481" s="24">
        <v>1</v>
      </c>
      <c r="H2481" s="25">
        <v>12</v>
      </c>
      <c r="I2481">
        <v>2</v>
      </c>
      <c r="J2481" s="26">
        <v>0</v>
      </c>
      <c r="K2481" s="26">
        <v>0</v>
      </c>
      <c r="L2481" s="26">
        <v>0</v>
      </c>
      <c r="M2481">
        <v>2</v>
      </c>
      <c r="N2481">
        <v>0</v>
      </c>
      <c r="O2481">
        <v>2</v>
      </c>
      <c r="P2481" t="s">
        <v>52</v>
      </c>
      <c r="Q2481" t="s">
        <v>52</v>
      </c>
      <c r="R2481" t="s">
        <v>52</v>
      </c>
      <c r="S2481" t="s">
        <v>52</v>
      </c>
      <c r="T2481" t="s">
        <v>52</v>
      </c>
      <c r="U2481" t="s">
        <v>52</v>
      </c>
      <c r="V2481" t="s">
        <v>52</v>
      </c>
      <c r="W2481" t="s">
        <v>52</v>
      </c>
      <c r="X2481" s="18" t="s">
        <v>52</v>
      </c>
      <c r="Y2481" s="18" t="s">
        <v>52</v>
      </c>
      <c r="Z2481" s="18" t="s">
        <v>52</v>
      </c>
      <c r="AA2481" s="18" t="s">
        <v>52</v>
      </c>
      <c r="AB2481" t="s">
        <v>52</v>
      </c>
      <c r="AC2481" t="s">
        <v>52</v>
      </c>
      <c r="AD2481" t="s">
        <v>52</v>
      </c>
      <c r="AE2481" t="s">
        <v>52</v>
      </c>
      <c r="AF2481" s="18" t="s">
        <v>52</v>
      </c>
      <c r="AG2481" s="18" t="s">
        <v>52</v>
      </c>
      <c r="AH2481" s="18" t="s">
        <v>52</v>
      </c>
      <c r="AI2481" s="18" t="s">
        <v>52</v>
      </c>
      <c r="AJ2481">
        <v>6</v>
      </c>
      <c r="AK2481">
        <v>7</v>
      </c>
      <c r="AL2481">
        <v>5</v>
      </c>
      <c r="AM2481">
        <v>4</v>
      </c>
      <c r="AN2481" s="18">
        <v>0</v>
      </c>
      <c r="AO2481" s="18">
        <v>0</v>
      </c>
      <c r="AP2481" s="18">
        <v>0.2</v>
      </c>
      <c r="AQ2481" s="18">
        <v>0.25</v>
      </c>
      <c r="AR2481" s="29">
        <v>0</v>
      </c>
      <c r="AS2481" s="29">
        <v>0</v>
      </c>
      <c r="AT2481" s="29">
        <v>2</v>
      </c>
      <c r="AU2481" s="24" t="str">
        <f t="shared" si="39"/>
        <v>库存为2</v>
      </c>
      <c r="AV2481" s="31" t="str">
        <f>IFERROR(时间!$B$4+AU2481,"上周无销量")</f>
        <v>上周无销量</v>
      </c>
    </row>
    <row r="2482" spans="1:48">
      <c r="A2482" s="16" t="s">
        <v>4248</v>
      </c>
      <c r="B2482" t="s">
        <v>4249</v>
      </c>
      <c r="C2482" t="s">
        <v>4217</v>
      </c>
      <c r="D2482" s="24">
        <v>0</v>
      </c>
      <c r="E2482" s="24">
        <v>0</v>
      </c>
      <c r="F2482" s="24">
        <v>0</v>
      </c>
      <c r="G2482" s="24">
        <v>0</v>
      </c>
      <c r="H2482" s="25">
        <v>0</v>
      </c>
      <c r="I2482">
        <v>0</v>
      </c>
      <c r="J2482" s="26">
        <v>0</v>
      </c>
      <c r="K2482" s="26">
        <v>0</v>
      </c>
      <c r="L2482" s="26">
        <v>0</v>
      </c>
      <c r="M2482">
        <v>0</v>
      </c>
      <c r="N2482">
        <v>0</v>
      </c>
      <c r="O2482">
        <v>0</v>
      </c>
      <c r="P2482" t="s">
        <v>52</v>
      </c>
      <c r="Q2482" t="s">
        <v>52</v>
      </c>
      <c r="R2482" t="s">
        <v>52</v>
      </c>
      <c r="S2482" t="s">
        <v>52</v>
      </c>
      <c r="T2482" t="s">
        <v>52</v>
      </c>
      <c r="U2482" t="s">
        <v>52</v>
      </c>
      <c r="V2482" t="s">
        <v>52</v>
      </c>
      <c r="W2482" t="s">
        <v>52</v>
      </c>
      <c r="X2482" s="18" t="s">
        <v>52</v>
      </c>
      <c r="Y2482" s="18" t="s">
        <v>52</v>
      </c>
      <c r="Z2482" s="18" t="s">
        <v>52</v>
      </c>
      <c r="AA2482" s="18" t="s">
        <v>52</v>
      </c>
      <c r="AB2482" t="s">
        <v>52</v>
      </c>
      <c r="AC2482" t="s">
        <v>52</v>
      </c>
      <c r="AD2482" t="s">
        <v>52</v>
      </c>
      <c r="AE2482" t="s">
        <v>52</v>
      </c>
      <c r="AF2482" s="18" t="s">
        <v>52</v>
      </c>
      <c r="AG2482" s="18" t="s">
        <v>52</v>
      </c>
      <c r="AH2482" s="18" t="s">
        <v>52</v>
      </c>
      <c r="AI2482" s="18" t="s">
        <v>52</v>
      </c>
      <c r="AJ2482">
        <v>0</v>
      </c>
      <c r="AK2482">
        <v>0</v>
      </c>
      <c r="AL2482">
        <v>0</v>
      </c>
      <c r="AM2482">
        <v>0</v>
      </c>
      <c r="AN2482" s="18" t="s">
        <v>52</v>
      </c>
      <c r="AO2482" s="18" t="s">
        <v>52</v>
      </c>
      <c r="AP2482" s="18" t="s">
        <v>52</v>
      </c>
      <c r="AQ2482" s="18" t="s">
        <v>52</v>
      </c>
      <c r="AR2482" s="29">
        <v>0</v>
      </c>
      <c r="AS2482" s="29">
        <v>0</v>
      </c>
      <c r="AT2482" s="29">
        <v>0</v>
      </c>
      <c r="AU2482" s="24" t="str">
        <f t="shared" si="39"/>
        <v>库存为0</v>
      </c>
      <c r="AV2482" s="31" t="str">
        <f>IFERROR(时间!$B$4+AU2482,"上周无销量")</f>
        <v>上周无销量</v>
      </c>
    </row>
    <row r="2483" spans="1:48">
      <c r="A2483" s="16" t="s">
        <v>4250</v>
      </c>
      <c r="B2483" t="s">
        <v>4251</v>
      </c>
      <c r="C2483" t="s">
        <v>4217</v>
      </c>
      <c r="D2483" s="24">
        <v>0</v>
      </c>
      <c r="E2483" s="24">
        <v>0</v>
      </c>
      <c r="F2483" s="24">
        <v>0</v>
      </c>
      <c r="G2483" s="24">
        <v>0</v>
      </c>
      <c r="H2483" s="25">
        <v>0</v>
      </c>
      <c r="I2483">
        <v>6</v>
      </c>
      <c r="J2483" s="26">
        <v>0</v>
      </c>
      <c r="K2483" s="26">
        <v>0</v>
      </c>
      <c r="L2483" s="26">
        <v>0</v>
      </c>
      <c r="M2483">
        <v>6</v>
      </c>
      <c r="N2483">
        <v>0</v>
      </c>
      <c r="O2483">
        <v>6</v>
      </c>
      <c r="P2483" t="s">
        <v>52</v>
      </c>
      <c r="Q2483" t="s">
        <v>52</v>
      </c>
      <c r="R2483" t="s">
        <v>52</v>
      </c>
      <c r="S2483" t="s">
        <v>52</v>
      </c>
      <c r="T2483" t="s">
        <v>52</v>
      </c>
      <c r="U2483" t="s">
        <v>52</v>
      </c>
      <c r="V2483" t="s">
        <v>52</v>
      </c>
      <c r="W2483" t="s">
        <v>52</v>
      </c>
      <c r="X2483" s="18" t="s">
        <v>52</v>
      </c>
      <c r="Y2483" s="18" t="s">
        <v>52</v>
      </c>
      <c r="Z2483" s="18" t="s">
        <v>52</v>
      </c>
      <c r="AA2483" s="18" t="s">
        <v>52</v>
      </c>
      <c r="AB2483" t="s">
        <v>52</v>
      </c>
      <c r="AC2483" t="s">
        <v>52</v>
      </c>
      <c r="AD2483" t="s">
        <v>52</v>
      </c>
      <c r="AE2483" t="s">
        <v>52</v>
      </c>
      <c r="AF2483" s="18" t="s">
        <v>52</v>
      </c>
      <c r="AG2483" s="18" t="s">
        <v>52</v>
      </c>
      <c r="AH2483" s="18" t="s">
        <v>52</v>
      </c>
      <c r="AI2483" s="18" t="s">
        <v>52</v>
      </c>
      <c r="AJ2483">
        <v>0</v>
      </c>
      <c r="AK2483">
        <v>0</v>
      </c>
      <c r="AL2483">
        <v>0</v>
      </c>
      <c r="AM2483">
        <v>0</v>
      </c>
      <c r="AN2483" s="18" t="s">
        <v>52</v>
      </c>
      <c r="AO2483" s="18" t="s">
        <v>52</v>
      </c>
      <c r="AP2483" s="18" t="s">
        <v>52</v>
      </c>
      <c r="AQ2483" s="18" t="s">
        <v>52</v>
      </c>
      <c r="AR2483" s="29">
        <v>0</v>
      </c>
      <c r="AS2483" s="29">
        <v>0</v>
      </c>
      <c r="AT2483" s="29">
        <v>6</v>
      </c>
      <c r="AU2483" s="24" t="str">
        <f t="shared" si="39"/>
        <v>库存为6</v>
      </c>
      <c r="AV2483" s="31" t="str">
        <f>IFERROR(时间!$B$4+AU2483,"上周无销量")</f>
        <v>上周无销量</v>
      </c>
    </row>
    <row r="2484" spans="1:48">
      <c r="A2484" s="16" t="s">
        <v>4252</v>
      </c>
      <c r="B2484" t="s">
        <v>4253</v>
      </c>
      <c r="C2484" t="s">
        <v>4217</v>
      </c>
      <c r="D2484" s="24">
        <v>2</v>
      </c>
      <c r="E2484" s="24">
        <v>0</v>
      </c>
      <c r="F2484" s="24">
        <v>0</v>
      </c>
      <c r="G2484" s="24">
        <v>2</v>
      </c>
      <c r="H2484" s="25">
        <v>12</v>
      </c>
      <c r="I2484">
        <v>0</v>
      </c>
      <c r="J2484" s="26">
        <v>0</v>
      </c>
      <c r="K2484" s="26">
        <v>0</v>
      </c>
      <c r="L2484" s="26">
        <v>0</v>
      </c>
      <c r="M2484">
        <v>0</v>
      </c>
      <c r="N2484">
        <v>0</v>
      </c>
      <c r="O2484">
        <v>0</v>
      </c>
      <c r="P2484" t="s">
        <v>52</v>
      </c>
      <c r="Q2484" t="s">
        <v>52</v>
      </c>
      <c r="R2484" t="s">
        <v>52</v>
      </c>
      <c r="S2484" t="s">
        <v>52</v>
      </c>
      <c r="T2484" t="s">
        <v>52</v>
      </c>
      <c r="U2484" t="s">
        <v>52</v>
      </c>
      <c r="V2484" t="s">
        <v>52</v>
      </c>
      <c r="W2484" t="s">
        <v>52</v>
      </c>
      <c r="X2484" s="18" t="s">
        <v>52</v>
      </c>
      <c r="Y2484" s="18" t="s">
        <v>52</v>
      </c>
      <c r="Z2484" s="18" t="s">
        <v>52</v>
      </c>
      <c r="AA2484" s="18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s="18" t="s">
        <v>52</v>
      </c>
      <c r="AG2484" s="18" t="s">
        <v>52</v>
      </c>
      <c r="AH2484" s="18" t="s">
        <v>52</v>
      </c>
      <c r="AI2484" s="18" t="s">
        <v>52</v>
      </c>
      <c r="AJ2484">
        <v>7</v>
      </c>
      <c r="AK2484">
        <v>14</v>
      </c>
      <c r="AL2484">
        <v>11</v>
      </c>
      <c r="AM2484">
        <v>5</v>
      </c>
      <c r="AN2484" s="18">
        <v>0.285714285714286</v>
      </c>
      <c r="AO2484" s="18">
        <v>0</v>
      </c>
      <c r="AP2484" s="18">
        <v>0</v>
      </c>
      <c r="AQ2484" s="18">
        <v>0.4</v>
      </c>
      <c r="AR2484" s="29">
        <v>0.285714285714286</v>
      </c>
      <c r="AS2484" s="29">
        <v>17.1428571428571</v>
      </c>
      <c r="AT2484" s="29">
        <v>-17.1428571428571</v>
      </c>
      <c r="AU2484" s="24">
        <f t="shared" si="39"/>
        <v>0</v>
      </c>
      <c r="AV2484" s="31">
        <f>IFERROR(时间!$B$4+AU2484,"上周无销量")</f>
        <v>43318</v>
      </c>
    </row>
    <row r="2485" spans="1:48">
      <c r="A2485" s="16" t="s">
        <v>4254</v>
      </c>
      <c r="B2485" t="s">
        <v>4255</v>
      </c>
      <c r="C2485" t="s">
        <v>4217</v>
      </c>
      <c r="D2485" s="24">
        <v>0</v>
      </c>
      <c r="E2485" s="24">
        <v>0</v>
      </c>
      <c r="F2485" s="24">
        <v>0</v>
      </c>
      <c r="G2485" s="24">
        <v>0</v>
      </c>
      <c r="H2485" s="25">
        <v>0</v>
      </c>
      <c r="I2485">
        <v>0</v>
      </c>
      <c r="J2485" s="26">
        <v>0</v>
      </c>
      <c r="K2485" s="26">
        <v>0</v>
      </c>
      <c r="L2485" s="26">
        <v>0</v>
      </c>
      <c r="M2485">
        <v>0</v>
      </c>
      <c r="N2485">
        <v>0</v>
      </c>
      <c r="O2485">
        <v>0</v>
      </c>
      <c r="P2485" t="s">
        <v>52</v>
      </c>
      <c r="Q2485" t="s">
        <v>52</v>
      </c>
      <c r="R2485" t="s">
        <v>52</v>
      </c>
      <c r="S2485" t="s">
        <v>52</v>
      </c>
      <c r="T2485" t="s">
        <v>52</v>
      </c>
      <c r="U2485" t="s">
        <v>52</v>
      </c>
      <c r="V2485" t="s">
        <v>52</v>
      </c>
      <c r="W2485" t="s">
        <v>52</v>
      </c>
      <c r="X2485" s="18" t="s">
        <v>52</v>
      </c>
      <c r="Y2485" s="18" t="s">
        <v>52</v>
      </c>
      <c r="Z2485" s="18" t="s">
        <v>52</v>
      </c>
      <c r="AA2485" s="18" t="s">
        <v>52</v>
      </c>
      <c r="AB2485" t="s">
        <v>52</v>
      </c>
      <c r="AC2485" t="s">
        <v>52</v>
      </c>
      <c r="AD2485" t="s">
        <v>52</v>
      </c>
      <c r="AE2485" t="s">
        <v>52</v>
      </c>
      <c r="AF2485" s="18" t="s">
        <v>52</v>
      </c>
      <c r="AG2485" s="18" t="s">
        <v>52</v>
      </c>
      <c r="AH2485" s="18" t="s">
        <v>52</v>
      </c>
      <c r="AI2485" s="18" t="s">
        <v>52</v>
      </c>
      <c r="AJ2485">
        <v>0</v>
      </c>
      <c r="AK2485">
        <v>0</v>
      </c>
      <c r="AL2485">
        <v>0</v>
      </c>
      <c r="AM2485">
        <v>0</v>
      </c>
      <c r="AN2485" s="18" t="s">
        <v>52</v>
      </c>
      <c r="AO2485" s="18" t="s">
        <v>52</v>
      </c>
      <c r="AP2485" s="18" t="s">
        <v>52</v>
      </c>
      <c r="AQ2485" s="18" t="s">
        <v>52</v>
      </c>
      <c r="AR2485" s="29">
        <v>0</v>
      </c>
      <c r="AS2485" s="29">
        <v>0</v>
      </c>
      <c r="AT2485" s="29">
        <v>0</v>
      </c>
      <c r="AU2485" s="24" t="str">
        <f t="shared" si="39"/>
        <v>库存为0</v>
      </c>
      <c r="AV2485" s="31" t="str">
        <f>IFERROR(时间!$B$4+AU2485,"上周无销量")</f>
        <v>上周无销量</v>
      </c>
    </row>
    <row r="2486" spans="1:48">
      <c r="A2486" s="16" t="s">
        <v>4256</v>
      </c>
      <c r="B2486" t="s">
        <v>4257</v>
      </c>
      <c r="C2486" t="s">
        <v>4217</v>
      </c>
      <c r="D2486" s="24">
        <v>0</v>
      </c>
      <c r="E2486" s="24">
        <v>0</v>
      </c>
      <c r="F2486" s="24">
        <v>0</v>
      </c>
      <c r="G2486" s="24">
        <v>1</v>
      </c>
      <c r="H2486" s="25">
        <v>15</v>
      </c>
      <c r="I2486">
        <v>7</v>
      </c>
      <c r="J2486" s="26">
        <v>0</v>
      </c>
      <c r="K2486" s="26">
        <v>0</v>
      </c>
      <c r="L2486" s="26">
        <v>0</v>
      </c>
      <c r="M2486">
        <v>7</v>
      </c>
      <c r="N2486">
        <v>0</v>
      </c>
      <c r="O2486">
        <v>5</v>
      </c>
      <c r="P2486" t="s">
        <v>52</v>
      </c>
      <c r="Q2486" t="s">
        <v>52</v>
      </c>
      <c r="R2486" t="s">
        <v>52</v>
      </c>
      <c r="S2486" t="s">
        <v>52</v>
      </c>
      <c r="T2486" t="s">
        <v>52</v>
      </c>
      <c r="U2486" t="s">
        <v>52</v>
      </c>
      <c r="V2486" t="s">
        <v>52</v>
      </c>
      <c r="W2486" t="s">
        <v>52</v>
      </c>
      <c r="X2486" s="18" t="s">
        <v>52</v>
      </c>
      <c r="Y2486" s="18" t="s">
        <v>52</v>
      </c>
      <c r="Z2486" s="18" t="s">
        <v>52</v>
      </c>
      <c r="AA2486" s="18" t="s">
        <v>52</v>
      </c>
      <c r="AB2486" t="s">
        <v>52</v>
      </c>
      <c r="AC2486" t="s">
        <v>52</v>
      </c>
      <c r="AD2486" t="s">
        <v>52</v>
      </c>
      <c r="AE2486" t="s">
        <v>52</v>
      </c>
      <c r="AF2486" s="18" t="s">
        <v>52</v>
      </c>
      <c r="AG2486" s="18" t="s">
        <v>52</v>
      </c>
      <c r="AH2486" s="18" t="s">
        <v>52</v>
      </c>
      <c r="AI2486" s="18" t="s">
        <v>52</v>
      </c>
      <c r="AJ2486">
        <v>7</v>
      </c>
      <c r="AK2486">
        <v>3</v>
      </c>
      <c r="AL2486">
        <v>4</v>
      </c>
      <c r="AM2486">
        <v>2</v>
      </c>
      <c r="AN2486" s="18">
        <v>0</v>
      </c>
      <c r="AO2486" s="18">
        <v>0</v>
      </c>
      <c r="AP2486" s="18">
        <v>0</v>
      </c>
      <c r="AQ2486" s="18">
        <v>0.5</v>
      </c>
      <c r="AR2486" s="29">
        <v>0</v>
      </c>
      <c r="AS2486" s="29">
        <v>0</v>
      </c>
      <c r="AT2486" s="29">
        <v>7</v>
      </c>
      <c r="AU2486" s="24" t="str">
        <f t="shared" si="39"/>
        <v>库存为7</v>
      </c>
      <c r="AV2486" s="31" t="str">
        <f>IFERROR(时间!$B$4+AU2486,"上周无销量")</f>
        <v>上周无销量</v>
      </c>
    </row>
    <row r="2487" spans="1:48">
      <c r="A2487" s="16" t="s">
        <v>4258</v>
      </c>
      <c r="B2487" t="s">
        <v>4259</v>
      </c>
      <c r="C2487" t="s">
        <v>4217</v>
      </c>
      <c r="D2487" s="24">
        <v>0</v>
      </c>
      <c r="E2487" s="24">
        <v>0</v>
      </c>
      <c r="F2487" s="24">
        <v>0</v>
      </c>
      <c r="G2487" s="24">
        <v>0</v>
      </c>
      <c r="H2487" s="25">
        <v>0</v>
      </c>
      <c r="I2487">
        <v>9</v>
      </c>
      <c r="J2487" s="26">
        <v>0</v>
      </c>
      <c r="K2487" s="26">
        <v>0</v>
      </c>
      <c r="L2487" s="26">
        <v>0</v>
      </c>
      <c r="M2487">
        <v>9</v>
      </c>
      <c r="N2487">
        <v>0</v>
      </c>
      <c r="O2487">
        <v>9</v>
      </c>
      <c r="P2487" t="s">
        <v>52</v>
      </c>
      <c r="Q2487" t="s">
        <v>52</v>
      </c>
      <c r="R2487" t="s">
        <v>52</v>
      </c>
      <c r="S2487" t="s">
        <v>52</v>
      </c>
      <c r="T2487" t="s">
        <v>52</v>
      </c>
      <c r="U2487" t="s">
        <v>52</v>
      </c>
      <c r="V2487" t="s">
        <v>52</v>
      </c>
      <c r="W2487" t="s">
        <v>52</v>
      </c>
      <c r="X2487" s="18" t="s">
        <v>52</v>
      </c>
      <c r="Y2487" s="18" t="s">
        <v>52</v>
      </c>
      <c r="Z2487" s="18" t="s">
        <v>52</v>
      </c>
      <c r="AA2487" s="18" t="s">
        <v>52</v>
      </c>
      <c r="AB2487" t="s">
        <v>52</v>
      </c>
      <c r="AC2487" t="s">
        <v>52</v>
      </c>
      <c r="AD2487" t="s">
        <v>52</v>
      </c>
      <c r="AE2487" t="s">
        <v>52</v>
      </c>
      <c r="AF2487" s="18" t="s">
        <v>52</v>
      </c>
      <c r="AG2487" s="18" t="s">
        <v>52</v>
      </c>
      <c r="AH2487" s="18" t="s">
        <v>52</v>
      </c>
      <c r="AI2487" s="18" t="s">
        <v>52</v>
      </c>
      <c r="AJ2487">
        <v>5</v>
      </c>
      <c r="AK2487">
        <v>3</v>
      </c>
      <c r="AL2487">
        <v>9</v>
      </c>
      <c r="AM2487">
        <v>16</v>
      </c>
      <c r="AN2487" s="18">
        <v>0</v>
      </c>
      <c r="AO2487" s="18">
        <v>0</v>
      </c>
      <c r="AP2487" s="18">
        <v>0</v>
      </c>
      <c r="AQ2487" s="18">
        <v>0</v>
      </c>
      <c r="AR2487" s="29">
        <v>0</v>
      </c>
      <c r="AS2487" s="29">
        <v>0</v>
      </c>
      <c r="AT2487" s="29">
        <v>9</v>
      </c>
      <c r="AU2487" s="24" t="str">
        <f t="shared" si="39"/>
        <v>库存为9</v>
      </c>
      <c r="AV2487" s="31" t="str">
        <f>IFERROR(时间!$B$4+AU2487,"上周无销量")</f>
        <v>上周无销量</v>
      </c>
    </row>
    <row r="2488" spans="1:48">
      <c r="A2488" s="16" t="s">
        <v>4260</v>
      </c>
      <c r="B2488" t="s">
        <v>4261</v>
      </c>
      <c r="C2488" t="s">
        <v>4217</v>
      </c>
      <c r="D2488" s="24">
        <v>1</v>
      </c>
      <c r="E2488" s="24">
        <v>0</v>
      </c>
      <c r="F2488" s="24">
        <v>0</v>
      </c>
      <c r="G2488" s="24">
        <v>0</v>
      </c>
      <c r="H2488" s="25">
        <v>12</v>
      </c>
      <c r="I2488">
        <v>4</v>
      </c>
      <c r="J2488" s="26">
        <v>0</v>
      </c>
      <c r="K2488" s="26">
        <v>0</v>
      </c>
      <c r="L2488" s="26">
        <v>0</v>
      </c>
      <c r="M2488">
        <v>4</v>
      </c>
      <c r="N2488">
        <v>0</v>
      </c>
      <c r="O2488">
        <v>4</v>
      </c>
      <c r="P2488" t="s">
        <v>52</v>
      </c>
      <c r="Q2488" t="s">
        <v>52</v>
      </c>
      <c r="R2488" t="s">
        <v>52</v>
      </c>
      <c r="S2488" t="s">
        <v>52</v>
      </c>
      <c r="T2488" t="s">
        <v>52</v>
      </c>
      <c r="U2488" t="s">
        <v>52</v>
      </c>
      <c r="V2488" t="s">
        <v>52</v>
      </c>
      <c r="W2488" t="s">
        <v>52</v>
      </c>
      <c r="X2488" s="18" t="s">
        <v>52</v>
      </c>
      <c r="Y2488" s="18" t="s">
        <v>52</v>
      </c>
      <c r="Z2488" s="18" t="s">
        <v>52</v>
      </c>
      <c r="AA2488" s="18" t="s">
        <v>52</v>
      </c>
      <c r="AB2488" t="s">
        <v>52</v>
      </c>
      <c r="AC2488" t="s">
        <v>52</v>
      </c>
      <c r="AD2488" t="s">
        <v>52</v>
      </c>
      <c r="AE2488" t="s">
        <v>52</v>
      </c>
      <c r="AF2488" s="18" t="s">
        <v>52</v>
      </c>
      <c r="AG2488" s="18" t="s">
        <v>52</v>
      </c>
      <c r="AH2488" s="18" t="s">
        <v>52</v>
      </c>
      <c r="AI2488" s="18" t="s">
        <v>52</v>
      </c>
      <c r="AJ2488">
        <v>5</v>
      </c>
      <c r="AK2488">
        <v>6</v>
      </c>
      <c r="AL2488">
        <v>10</v>
      </c>
      <c r="AM2488">
        <v>3</v>
      </c>
      <c r="AN2488" s="18">
        <v>0.2</v>
      </c>
      <c r="AO2488" s="18">
        <v>0</v>
      </c>
      <c r="AP2488" s="18">
        <v>0</v>
      </c>
      <c r="AQ2488" s="18">
        <v>0</v>
      </c>
      <c r="AR2488" s="29">
        <v>0.142857142857143</v>
      </c>
      <c r="AS2488" s="29">
        <v>8.57142857142857</v>
      </c>
      <c r="AT2488" s="29">
        <v>-4.57142857142857</v>
      </c>
      <c r="AU2488" s="24">
        <f t="shared" si="39"/>
        <v>28</v>
      </c>
      <c r="AV2488" s="31">
        <f>IFERROR(时间!$B$4+AU2488,"上周无销量")</f>
        <v>43346</v>
      </c>
    </row>
    <row r="2489" spans="1:48">
      <c r="A2489" s="16" t="s">
        <v>4262</v>
      </c>
      <c r="B2489" t="s">
        <v>4263</v>
      </c>
      <c r="C2489" t="s">
        <v>4217</v>
      </c>
      <c r="D2489" s="24">
        <v>0</v>
      </c>
      <c r="E2489" s="24">
        <v>0</v>
      </c>
      <c r="F2489" s="24">
        <v>1</v>
      </c>
      <c r="G2489" s="24">
        <v>1</v>
      </c>
      <c r="H2489" s="25">
        <v>10</v>
      </c>
      <c r="I2489">
        <v>4</v>
      </c>
      <c r="J2489" s="26">
        <v>0</v>
      </c>
      <c r="K2489" s="26">
        <v>0</v>
      </c>
      <c r="L2489" s="26">
        <v>0</v>
      </c>
      <c r="M2489">
        <v>4</v>
      </c>
      <c r="N2489">
        <v>0</v>
      </c>
      <c r="O2489">
        <v>3</v>
      </c>
      <c r="P2489" t="s">
        <v>52</v>
      </c>
      <c r="Q2489" t="s">
        <v>52</v>
      </c>
      <c r="R2489" t="s">
        <v>52</v>
      </c>
      <c r="S2489" t="s">
        <v>52</v>
      </c>
      <c r="T2489" t="s">
        <v>52</v>
      </c>
      <c r="U2489" t="s">
        <v>52</v>
      </c>
      <c r="V2489" t="s">
        <v>52</v>
      </c>
      <c r="W2489" t="s">
        <v>52</v>
      </c>
      <c r="X2489" s="18" t="s">
        <v>52</v>
      </c>
      <c r="Y2489" s="18" t="s">
        <v>52</v>
      </c>
      <c r="Z2489" s="18" t="s">
        <v>52</v>
      </c>
      <c r="AA2489" s="18" t="s">
        <v>52</v>
      </c>
      <c r="AB2489" t="s">
        <v>52</v>
      </c>
      <c r="AC2489" t="s">
        <v>52</v>
      </c>
      <c r="AD2489" t="s">
        <v>52</v>
      </c>
      <c r="AE2489" t="s">
        <v>52</v>
      </c>
      <c r="AF2489" s="18" t="s">
        <v>52</v>
      </c>
      <c r="AG2489" s="18" t="s">
        <v>52</v>
      </c>
      <c r="AH2489" s="18" t="s">
        <v>52</v>
      </c>
      <c r="AI2489" s="18" t="s">
        <v>52</v>
      </c>
      <c r="AJ2489">
        <v>1</v>
      </c>
      <c r="AK2489">
        <v>2</v>
      </c>
      <c r="AL2489">
        <v>9</v>
      </c>
      <c r="AM2489">
        <v>7</v>
      </c>
      <c r="AN2489" s="18">
        <v>0</v>
      </c>
      <c r="AO2489" s="18">
        <v>0</v>
      </c>
      <c r="AP2489" s="18">
        <v>0.111111111111111</v>
      </c>
      <c r="AQ2489" s="18">
        <v>0.142857142857143</v>
      </c>
      <c r="AR2489" s="29">
        <v>0</v>
      </c>
      <c r="AS2489" s="29">
        <v>0</v>
      </c>
      <c r="AT2489" s="29">
        <v>4</v>
      </c>
      <c r="AU2489" s="24" t="str">
        <f t="shared" si="39"/>
        <v>库存为4</v>
      </c>
      <c r="AV2489" s="31" t="str">
        <f>IFERROR(时间!$B$4+AU2489,"上周无销量")</f>
        <v>上周无销量</v>
      </c>
    </row>
    <row r="2490" spans="1:48">
      <c r="A2490" s="16" t="s">
        <v>4264</v>
      </c>
      <c r="B2490" t="s">
        <v>4163</v>
      </c>
      <c r="C2490" t="s">
        <v>4265</v>
      </c>
      <c r="D2490" s="24">
        <v>0</v>
      </c>
      <c r="E2490" s="24">
        <v>0</v>
      </c>
      <c r="F2490" s="24">
        <v>0</v>
      </c>
      <c r="G2490" s="24">
        <v>0</v>
      </c>
      <c r="H2490" s="25">
        <v>0</v>
      </c>
      <c r="I2490">
        <v>0</v>
      </c>
      <c r="J2490" s="26">
        <v>0</v>
      </c>
      <c r="K2490" s="26">
        <v>0</v>
      </c>
      <c r="L2490" s="26">
        <v>0</v>
      </c>
      <c r="M2490">
        <v>0</v>
      </c>
      <c r="N2490">
        <v>0</v>
      </c>
      <c r="O2490">
        <v>0</v>
      </c>
      <c r="P2490" t="s">
        <v>52</v>
      </c>
      <c r="Q2490" t="s">
        <v>52</v>
      </c>
      <c r="R2490" t="s">
        <v>52</v>
      </c>
      <c r="S2490" t="s">
        <v>52</v>
      </c>
      <c r="T2490" t="s">
        <v>52</v>
      </c>
      <c r="U2490" t="s">
        <v>52</v>
      </c>
      <c r="V2490" t="s">
        <v>52</v>
      </c>
      <c r="W2490" t="s">
        <v>52</v>
      </c>
      <c r="X2490" s="18" t="s">
        <v>52</v>
      </c>
      <c r="Y2490" s="18" t="s">
        <v>52</v>
      </c>
      <c r="Z2490" s="18" t="s">
        <v>52</v>
      </c>
      <c r="AA2490" s="18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s="18" t="s">
        <v>52</v>
      </c>
      <c r="AG2490" s="18" t="s">
        <v>52</v>
      </c>
      <c r="AH2490" s="18" t="s">
        <v>52</v>
      </c>
      <c r="AI2490" s="18" t="s">
        <v>52</v>
      </c>
      <c r="AJ2490">
        <v>21</v>
      </c>
      <c r="AK2490">
        <v>16</v>
      </c>
      <c r="AL2490">
        <v>10</v>
      </c>
      <c r="AM2490">
        <v>6</v>
      </c>
      <c r="AN2490" s="18">
        <v>0</v>
      </c>
      <c r="AO2490" s="18">
        <v>0</v>
      </c>
      <c r="AP2490" s="18">
        <v>0</v>
      </c>
      <c r="AQ2490" s="18">
        <v>0</v>
      </c>
      <c r="AR2490" s="29">
        <v>0</v>
      </c>
      <c r="AS2490" s="29">
        <v>0</v>
      </c>
      <c r="AT2490" s="29">
        <v>0</v>
      </c>
      <c r="AU2490" s="24" t="str">
        <f t="shared" si="39"/>
        <v>库存为0</v>
      </c>
      <c r="AV2490" s="31" t="str">
        <f>IFERROR(时间!$B$4+AU2490,"上周无销量")</f>
        <v>上周无销量</v>
      </c>
    </row>
    <row r="2491" spans="1:48">
      <c r="A2491" s="16" t="s">
        <v>4266</v>
      </c>
      <c r="B2491" t="s">
        <v>4166</v>
      </c>
      <c r="C2491" t="s">
        <v>4265</v>
      </c>
      <c r="D2491" s="24">
        <v>0</v>
      </c>
      <c r="E2491" s="24">
        <v>0</v>
      </c>
      <c r="F2491" s="24">
        <v>0</v>
      </c>
      <c r="G2491" s="24">
        <v>0</v>
      </c>
      <c r="H2491" s="25">
        <v>0</v>
      </c>
      <c r="I2491">
        <v>0</v>
      </c>
      <c r="J2491" s="26">
        <v>0</v>
      </c>
      <c r="K2491" s="26">
        <v>0</v>
      </c>
      <c r="L2491" s="26">
        <v>0</v>
      </c>
      <c r="M2491">
        <v>0</v>
      </c>
      <c r="N2491">
        <v>0</v>
      </c>
      <c r="O2491">
        <v>0</v>
      </c>
      <c r="P2491" t="s">
        <v>52</v>
      </c>
      <c r="Q2491" t="s">
        <v>52</v>
      </c>
      <c r="R2491" t="s">
        <v>52</v>
      </c>
      <c r="S2491" t="s">
        <v>52</v>
      </c>
      <c r="T2491" t="s">
        <v>52</v>
      </c>
      <c r="U2491" t="s">
        <v>52</v>
      </c>
      <c r="V2491" t="s">
        <v>52</v>
      </c>
      <c r="W2491" t="s">
        <v>52</v>
      </c>
      <c r="X2491" s="18" t="s">
        <v>52</v>
      </c>
      <c r="Y2491" s="18" t="s">
        <v>52</v>
      </c>
      <c r="Z2491" s="18" t="s">
        <v>52</v>
      </c>
      <c r="AA2491" s="18" t="s">
        <v>52</v>
      </c>
      <c r="AB2491" t="s">
        <v>52</v>
      </c>
      <c r="AC2491" t="s">
        <v>52</v>
      </c>
      <c r="AD2491" t="s">
        <v>52</v>
      </c>
      <c r="AE2491" t="s">
        <v>52</v>
      </c>
      <c r="AF2491" s="18" t="s">
        <v>52</v>
      </c>
      <c r="AG2491" s="18" t="s">
        <v>52</v>
      </c>
      <c r="AH2491" s="18" t="s">
        <v>52</v>
      </c>
      <c r="AI2491" s="18" t="s">
        <v>52</v>
      </c>
      <c r="AJ2491">
        <v>8</v>
      </c>
      <c r="AK2491">
        <v>4</v>
      </c>
      <c r="AL2491">
        <v>19</v>
      </c>
      <c r="AM2491">
        <v>14</v>
      </c>
      <c r="AN2491" s="18">
        <v>0</v>
      </c>
      <c r="AO2491" s="18">
        <v>0</v>
      </c>
      <c r="AP2491" s="18">
        <v>0</v>
      </c>
      <c r="AQ2491" s="18">
        <v>0</v>
      </c>
      <c r="AR2491" s="29">
        <v>0</v>
      </c>
      <c r="AS2491" s="29">
        <v>0</v>
      </c>
      <c r="AT2491" s="29">
        <v>0</v>
      </c>
      <c r="AU2491" s="24" t="str">
        <f t="shared" si="39"/>
        <v>库存为0</v>
      </c>
      <c r="AV2491" s="31" t="str">
        <f>IFERROR(时间!$B$4+AU2491,"上周无销量")</f>
        <v>上周无销量</v>
      </c>
    </row>
    <row r="2492" spans="1:48">
      <c r="A2492" s="16" t="s">
        <v>4267</v>
      </c>
      <c r="B2492" t="s">
        <v>4168</v>
      </c>
      <c r="C2492" t="s">
        <v>4265</v>
      </c>
      <c r="D2492" s="24">
        <v>2</v>
      </c>
      <c r="E2492" s="24">
        <v>0</v>
      </c>
      <c r="F2492" s="24">
        <v>0</v>
      </c>
      <c r="G2492" s="24">
        <v>0</v>
      </c>
      <c r="H2492" s="25">
        <v>22.98</v>
      </c>
      <c r="I2492">
        <v>0</v>
      </c>
      <c r="J2492" s="26">
        <v>0</v>
      </c>
      <c r="K2492" s="26">
        <v>0</v>
      </c>
      <c r="L2492" s="26">
        <v>0</v>
      </c>
      <c r="M2492">
        <v>0</v>
      </c>
      <c r="N2492">
        <v>0</v>
      </c>
      <c r="O2492">
        <v>0</v>
      </c>
      <c r="P2492" t="s">
        <v>52</v>
      </c>
      <c r="Q2492" t="s">
        <v>52</v>
      </c>
      <c r="R2492" t="s">
        <v>52</v>
      </c>
      <c r="S2492" t="s">
        <v>52</v>
      </c>
      <c r="T2492" t="s">
        <v>52</v>
      </c>
      <c r="U2492" t="s">
        <v>52</v>
      </c>
      <c r="V2492" t="s">
        <v>52</v>
      </c>
      <c r="W2492" t="s">
        <v>52</v>
      </c>
      <c r="X2492" s="18" t="s">
        <v>52</v>
      </c>
      <c r="Y2492" s="18" t="s">
        <v>52</v>
      </c>
      <c r="Z2492" s="18" t="s">
        <v>52</v>
      </c>
      <c r="AA2492" s="18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s="18" t="s">
        <v>52</v>
      </c>
      <c r="AG2492" s="18" t="s">
        <v>52</v>
      </c>
      <c r="AH2492" s="18" t="s">
        <v>52</v>
      </c>
      <c r="AI2492" s="18" t="s">
        <v>52</v>
      </c>
      <c r="AJ2492">
        <v>23</v>
      </c>
      <c r="AK2492">
        <v>10</v>
      </c>
      <c r="AL2492">
        <v>20</v>
      </c>
      <c r="AM2492">
        <v>18</v>
      </c>
      <c r="AN2492" s="18">
        <v>0.0869565217391304</v>
      </c>
      <c r="AO2492" s="18">
        <v>0</v>
      </c>
      <c r="AP2492" s="18">
        <v>0</v>
      </c>
      <c r="AQ2492" s="18">
        <v>0</v>
      </c>
      <c r="AR2492" s="29">
        <v>0.285714285714286</v>
      </c>
      <c r="AS2492" s="29">
        <v>17.1428571428571</v>
      </c>
      <c r="AT2492" s="29">
        <v>-17.1428571428571</v>
      </c>
      <c r="AU2492" s="24">
        <f t="shared" si="39"/>
        <v>0</v>
      </c>
      <c r="AV2492" s="31">
        <f>IFERROR(时间!$B$4+AU2492,"上周无销量")</f>
        <v>43318</v>
      </c>
    </row>
    <row r="2493" spans="1:48">
      <c r="A2493" s="16" t="s">
        <v>4268</v>
      </c>
      <c r="B2493" t="s">
        <v>4170</v>
      </c>
      <c r="C2493" t="s">
        <v>4265</v>
      </c>
      <c r="D2493" s="24">
        <v>0</v>
      </c>
      <c r="E2493" s="24">
        <v>0</v>
      </c>
      <c r="F2493" s="24">
        <v>0</v>
      </c>
      <c r="G2493" s="24">
        <v>0</v>
      </c>
      <c r="H2493" s="25">
        <v>0</v>
      </c>
      <c r="I2493">
        <v>0</v>
      </c>
      <c r="J2493" s="26">
        <v>0</v>
      </c>
      <c r="K2493" s="26">
        <v>0</v>
      </c>
      <c r="L2493" s="26">
        <v>0</v>
      </c>
      <c r="M2493">
        <v>0</v>
      </c>
      <c r="N2493">
        <v>0</v>
      </c>
      <c r="O2493">
        <v>0</v>
      </c>
      <c r="P2493" t="s">
        <v>52</v>
      </c>
      <c r="Q2493" t="s">
        <v>52</v>
      </c>
      <c r="R2493" t="s">
        <v>52</v>
      </c>
      <c r="S2493" t="s">
        <v>52</v>
      </c>
      <c r="T2493" t="s">
        <v>52</v>
      </c>
      <c r="U2493" t="s">
        <v>52</v>
      </c>
      <c r="V2493" t="s">
        <v>52</v>
      </c>
      <c r="W2493" t="s">
        <v>52</v>
      </c>
      <c r="X2493" s="18" t="s">
        <v>52</v>
      </c>
      <c r="Y2493" s="18" t="s">
        <v>52</v>
      </c>
      <c r="Z2493" s="18" t="s">
        <v>52</v>
      </c>
      <c r="AA2493" s="18" t="s">
        <v>52</v>
      </c>
      <c r="AB2493" t="s">
        <v>52</v>
      </c>
      <c r="AC2493" t="s">
        <v>52</v>
      </c>
      <c r="AD2493" t="s">
        <v>52</v>
      </c>
      <c r="AE2493" t="s">
        <v>52</v>
      </c>
      <c r="AF2493" s="18" t="s">
        <v>52</v>
      </c>
      <c r="AG2493" s="18" t="s">
        <v>52</v>
      </c>
      <c r="AH2493" s="18" t="s">
        <v>52</v>
      </c>
      <c r="AI2493" s="18" t="s">
        <v>52</v>
      </c>
      <c r="AJ2493">
        <v>18</v>
      </c>
      <c r="AK2493">
        <v>16</v>
      </c>
      <c r="AL2493">
        <v>22</v>
      </c>
      <c r="AM2493">
        <v>5</v>
      </c>
      <c r="AN2493" s="18">
        <v>0</v>
      </c>
      <c r="AO2493" s="18">
        <v>0</v>
      </c>
      <c r="AP2493" s="18">
        <v>0</v>
      </c>
      <c r="AQ2493" s="18">
        <v>0</v>
      </c>
      <c r="AR2493" s="29">
        <v>0</v>
      </c>
      <c r="AS2493" s="29">
        <v>0</v>
      </c>
      <c r="AT2493" s="29">
        <v>0</v>
      </c>
      <c r="AU2493" s="24" t="str">
        <f t="shared" si="39"/>
        <v>库存为0</v>
      </c>
      <c r="AV2493" s="31" t="str">
        <f>IFERROR(时间!$B$4+AU2493,"上周无销量")</f>
        <v>上周无销量</v>
      </c>
    </row>
    <row r="2494" spans="1:48">
      <c r="A2494" s="16" t="s">
        <v>4269</v>
      </c>
      <c r="B2494" t="s">
        <v>4172</v>
      </c>
      <c r="C2494" t="s">
        <v>4265</v>
      </c>
      <c r="D2494" s="24">
        <v>0</v>
      </c>
      <c r="E2494" s="24">
        <v>0</v>
      </c>
      <c r="F2494" s="24">
        <v>0</v>
      </c>
      <c r="G2494" s="24">
        <v>0</v>
      </c>
      <c r="H2494" s="25">
        <v>0</v>
      </c>
      <c r="I2494">
        <v>0</v>
      </c>
      <c r="J2494" s="26">
        <v>0</v>
      </c>
      <c r="K2494" s="26">
        <v>0</v>
      </c>
      <c r="L2494" s="26">
        <v>0</v>
      </c>
      <c r="M2494">
        <v>0</v>
      </c>
      <c r="N2494">
        <v>0</v>
      </c>
      <c r="O2494">
        <v>0</v>
      </c>
      <c r="P2494" t="s">
        <v>52</v>
      </c>
      <c r="Q2494" t="s">
        <v>52</v>
      </c>
      <c r="R2494" t="s">
        <v>52</v>
      </c>
      <c r="S2494" t="s">
        <v>52</v>
      </c>
      <c r="T2494" t="s">
        <v>52</v>
      </c>
      <c r="U2494" t="s">
        <v>52</v>
      </c>
      <c r="V2494" t="s">
        <v>52</v>
      </c>
      <c r="W2494" t="s">
        <v>52</v>
      </c>
      <c r="X2494" s="18" t="s">
        <v>52</v>
      </c>
      <c r="Y2494" s="18" t="s">
        <v>52</v>
      </c>
      <c r="Z2494" s="18" t="s">
        <v>52</v>
      </c>
      <c r="AA2494" s="18" t="s">
        <v>52</v>
      </c>
      <c r="AB2494" t="s">
        <v>52</v>
      </c>
      <c r="AC2494" t="s">
        <v>52</v>
      </c>
      <c r="AD2494" t="s">
        <v>52</v>
      </c>
      <c r="AE2494" t="s">
        <v>52</v>
      </c>
      <c r="AF2494" s="18" t="s">
        <v>52</v>
      </c>
      <c r="AG2494" s="18" t="s">
        <v>52</v>
      </c>
      <c r="AH2494" s="18" t="s">
        <v>52</v>
      </c>
      <c r="AI2494" s="18" t="s">
        <v>52</v>
      </c>
      <c r="AJ2494">
        <v>19</v>
      </c>
      <c r="AK2494">
        <v>17</v>
      </c>
      <c r="AL2494">
        <v>18</v>
      </c>
      <c r="AM2494">
        <v>12</v>
      </c>
      <c r="AN2494" s="18">
        <v>0</v>
      </c>
      <c r="AO2494" s="18">
        <v>0</v>
      </c>
      <c r="AP2494" s="18">
        <v>0</v>
      </c>
      <c r="AQ2494" s="18">
        <v>0</v>
      </c>
      <c r="AR2494" s="29">
        <v>0</v>
      </c>
      <c r="AS2494" s="29">
        <v>0</v>
      </c>
      <c r="AT2494" s="29">
        <v>0</v>
      </c>
      <c r="AU2494" s="24" t="str">
        <f t="shared" si="39"/>
        <v>库存为0</v>
      </c>
      <c r="AV2494" s="31" t="str">
        <f>IFERROR(时间!$B$4+AU2494,"上周无销量")</f>
        <v>上周无销量</v>
      </c>
    </row>
    <row r="2495" spans="1:48">
      <c r="A2495" s="16" t="s">
        <v>4270</v>
      </c>
      <c r="B2495" t="s">
        <v>4176</v>
      </c>
      <c r="C2495" t="s">
        <v>4265</v>
      </c>
      <c r="D2495" s="24">
        <v>0</v>
      </c>
      <c r="E2495" s="24">
        <v>0</v>
      </c>
      <c r="F2495" s="24">
        <v>0</v>
      </c>
      <c r="G2495" s="24">
        <v>0</v>
      </c>
      <c r="H2495" s="25">
        <v>0</v>
      </c>
      <c r="I2495">
        <v>0</v>
      </c>
      <c r="J2495" s="26">
        <v>0</v>
      </c>
      <c r="K2495" s="26">
        <v>0</v>
      </c>
      <c r="L2495" s="26">
        <v>0</v>
      </c>
      <c r="M2495">
        <v>0</v>
      </c>
      <c r="N2495">
        <v>0</v>
      </c>
      <c r="O2495">
        <v>0</v>
      </c>
      <c r="P2495" t="s">
        <v>52</v>
      </c>
      <c r="Q2495" t="s">
        <v>52</v>
      </c>
      <c r="R2495" t="s">
        <v>52</v>
      </c>
      <c r="S2495" t="s">
        <v>52</v>
      </c>
      <c r="T2495" t="s">
        <v>52</v>
      </c>
      <c r="U2495" t="s">
        <v>52</v>
      </c>
      <c r="V2495" t="s">
        <v>52</v>
      </c>
      <c r="W2495" t="s">
        <v>52</v>
      </c>
      <c r="X2495" s="18" t="s">
        <v>52</v>
      </c>
      <c r="Y2495" s="18" t="s">
        <v>52</v>
      </c>
      <c r="Z2495" s="18" t="s">
        <v>52</v>
      </c>
      <c r="AA2495" s="18" t="s">
        <v>52</v>
      </c>
      <c r="AB2495" t="s">
        <v>52</v>
      </c>
      <c r="AC2495" t="s">
        <v>52</v>
      </c>
      <c r="AD2495" t="s">
        <v>52</v>
      </c>
      <c r="AE2495" t="s">
        <v>52</v>
      </c>
      <c r="AF2495" s="18" t="s">
        <v>52</v>
      </c>
      <c r="AG2495" s="18" t="s">
        <v>52</v>
      </c>
      <c r="AH2495" s="18" t="s">
        <v>52</v>
      </c>
      <c r="AI2495" s="18" t="s">
        <v>52</v>
      </c>
      <c r="AJ2495">
        <v>8</v>
      </c>
      <c r="AK2495">
        <v>8</v>
      </c>
      <c r="AL2495">
        <v>10</v>
      </c>
      <c r="AM2495">
        <v>9</v>
      </c>
      <c r="AN2495" s="18">
        <v>0</v>
      </c>
      <c r="AO2495" s="18">
        <v>0</v>
      </c>
      <c r="AP2495" s="18">
        <v>0</v>
      </c>
      <c r="AQ2495" s="18">
        <v>0</v>
      </c>
      <c r="AR2495" s="29">
        <v>0</v>
      </c>
      <c r="AS2495" s="29">
        <v>0</v>
      </c>
      <c r="AT2495" s="29">
        <v>0</v>
      </c>
      <c r="AU2495" s="24" t="str">
        <f t="shared" si="39"/>
        <v>库存为0</v>
      </c>
      <c r="AV2495" s="31" t="str">
        <f>IFERROR(时间!$B$4+AU2495,"上周无销量")</f>
        <v>上周无销量</v>
      </c>
    </row>
    <row r="2496" spans="1:48">
      <c r="A2496" s="16" t="s">
        <v>4271</v>
      </c>
      <c r="B2496" t="s">
        <v>4178</v>
      </c>
      <c r="C2496" t="s">
        <v>4265</v>
      </c>
      <c r="D2496" s="24">
        <v>0</v>
      </c>
      <c r="E2496" s="24">
        <v>0</v>
      </c>
      <c r="F2496" s="24">
        <v>0</v>
      </c>
      <c r="G2496" s="24">
        <v>0</v>
      </c>
      <c r="H2496" s="25">
        <v>0</v>
      </c>
      <c r="I2496">
        <v>0</v>
      </c>
      <c r="J2496" s="26">
        <v>0</v>
      </c>
      <c r="K2496" s="26">
        <v>0</v>
      </c>
      <c r="L2496" s="26">
        <v>0</v>
      </c>
      <c r="M2496">
        <v>0</v>
      </c>
      <c r="N2496">
        <v>0</v>
      </c>
      <c r="O2496">
        <v>0</v>
      </c>
      <c r="P2496" t="s">
        <v>52</v>
      </c>
      <c r="Q2496" t="s">
        <v>52</v>
      </c>
      <c r="R2496" t="s">
        <v>52</v>
      </c>
      <c r="S2496" t="s">
        <v>52</v>
      </c>
      <c r="T2496" t="s">
        <v>52</v>
      </c>
      <c r="U2496" t="s">
        <v>52</v>
      </c>
      <c r="V2496" t="s">
        <v>52</v>
      </c>
      <c r="W2496" t="s">
        <v>52</v>
      </c>
      <c r="X2496" s="18" t="s">
        <v>52</v>
      </c>
      <c r="Y2496" s="18" t="s">
        <v>52</v>
      </c>
      <c r="Z2496" s="18" t="s">
        <v>52</v>
      </c>
      <c r="AA2496" s="18" t="s">
        <v>52</v>
      </c>
      <c r="AB2496" t="s">
        <v>52</v>
      </c>
      <c r="AC2496" t="s">
        <v>52</v>
      </c>
      <c r="AD2496" t="s">
        <v>52</v>
      </c>
      <c r="AE2496" t="s">
        <v>52</v>
      </c>
      <c r="AF2496" s="18" t="s">
        <v>52</v>
      </c>
      <c r="AG2496" s="18" t="s">
        <v>52</v>
      </c>
      <c r="AH2496" s="18" t="s">
        <v>52</v>
      </c>
      <c r="AI2496" s="18" t="s">
        <v>52</v>
      </c>
      <c r="AJ2496">
        <v>5</v>
      </c>
      <c r="AK2496">
        <v>5</v>
      </c>
      <c r="AL2496">
        <v>14</v>
      </c>
      <c r="AM2496">
        <v>8</v>
      </c>
      <c r="AN2496" s="18">
        <v>0</v>
      </c>
      <c r="AO2496" s="18">
        <v>0</v>
      </c>
      <c r="AP2496" s="18">
        <v>0</v>
      </c>
      <c r="AQ2496" s="18">
        <v>0</v>
      </c>
      <c r="AR2496" s="29">
        <v>0</v>
      </c>
      <c r="AS2496" s="29">
        <v>0</v>
      </c>
      <c r="AT2496" s="29">
        <v>0</v>
      </c>
      <c r="AU2496" s="24" t="str">
        <f t="shared" si="39"/>
        <v>库存为0</v>
      </c>
      <c r="AV2496" s="31" t="str">
        <f>IFERROR(时间!$B$4+AU2496,"上周无销量")</f>
        <v>上周无销量</v>
      </c>
    </row>
    <row r="2497" spans="1:48">
      <c r="A2497" s="16" t="s">
        <v>4272</v>
      </c>
      <c r="B2497" t="s">
        <v>4180</v>
      </c>
      <c r="C2497" t="s">
        <v>4265</v>
      </c>
      <c r="D2497" s="24">
        <v>0</v>
      </c>
      <c r="E2497" s="24">
        <v>0</v>
      </c>
      <c r="F2497" s="24">
        <v>0</v>
      </c>
      <c r="G2497" s="24">
        <v>0</v>
      </c>
      <c r="H2497" s="25">
        <v>0</v>
      </c>
      <c r="I2497">
        <v>0</v>
      </c>
      <c r="J2497" s="26">
        <v>0</v>
      </c>
      <c r="K2497" s="26">
        <v>0</v>
      </c>
      <c r="L2497" s="26">
        <v>0</v>
      </c>
      <c r="M2497">
        <v>0</v>
      </c>
      <c r="N2497">
        <v>0</v>
      </c>
      <c r="O2497">
        <v>0</v>
      </c>
      <c r="P2497" t="s">
        <v>52</v>
      </c>
      <c r="Q2497" t="s">
        <v>52</v>
      </c>
      <c r="R2497" t="s">
        <v>52</v>
      </c>
      <c r="S2497" t="s">
        <v>52</v>
      </c>
      <c r="T2497" t="s">
        <v>52</v>
      </c>
      <c r="U2497" t="s">
        <v>52</v>
      </c>
      <c r="V2497" t="s">
        <v>52</v>
      </c>
      <c r="W2497" t="s">
        <v>52</v>
      </c>
      <c r="X2497" s="18" t="s">
        <v>52</v>
      </c>
      <c r="Y2497" s="18" t="s">
        <v>52</v>
      </c>
      <c r="Z2497" s="18" t="s">
        <v>52</v>
      </c>
      <c r="AA2497" s="18" t="s">
        <v>52</v>
      </c>
      <c r="AB2497" t="s">
        <v>52</v>
      </c>
      <c r="AC2497" t="s">
        <v>52</v>
      </c>
      <c r="AD2497" t="s">
        <v>52</v>
      </c>
      <c r="AE2497" t="s">
        <v>52</v>
      </c>
      <c r="AF2497" s="18" t="s">
        <v>52</v>
      </c>
      <c r="AG2497" s="18" t="s">
        <v>52</v>
      </c>
      <c r="AH2497" s="18" t="s">
        <v>52</v>
      </c>
      <c r="AI2497" s="18" t="s">
        <v>52</v>
      </c>
      <c r="AJ2497">
        <v>16</v>
      </c>
      <c r="AK2497">
        <v>10</v>
      </c>
      <c r="AL2497">
        <v>9</v>
      </c>
      <c r="AM2497">
        <v>15</v>
      </c>
      <c r="AN2497" s="18">
        <v>0</v>
      </c>
      <c r="AO2497" s="18">
        <v>0</v>
      </c>
      <c r="AP2497" s="18">
        <v>0</v>
      </c>
      <c r="AQ2497" s="18">
        <v>0</v>
      </c>
      <c r="AR2497" s="29">
        <v>0</v>
      </c>
      <c r="AS2497" s="29">
        <v>0</v>
      </c>
      <c r="AT2497" s="29">
        <v>0</v>
      </c>
      <c r="AU2497" s="24" t="str">
        <f t="shared" si="39"/>
        <v>库存为0</v>
      </c>
      <c r="AV2497" s="31" t="str">
        <f>IFERROR(时间!$B$4+AU2497,"上周无销量")</f>
        <v>上周无销量</v>
      </c>
    </row>
    <row r="2498" spans="1:48">
      <c r="A2498" s="16" t="s">
        <v>4273</v>
      </c>
      <c r="B2498" t="s">
        <v>4182</v>
      </c>
      <c r="C2498" t="s">
        <v>4265</v>
      </c>
      <c r="D2498" s="24">
        <v>0</v>
      </c>
      <c r="E2498" s="24">
        <v>0</v>
      </c>
      <c r="F2498" s="24">
        <v>1</v>
      </c>
      <c r="G2498" s="24">
        <v>0</v>
      </c>
      <c r="H2498" s="25">
        <v>22.98</v>
      </c>
      <c r="I2498">
        <v>4</v>
      </c>
      <c r="J2498" s="26">
        <v>0</v>
      </c>
      <c r="K2498" s="26">
        <v>0</v>
      </c>
      <c r="L2498" s="26">
        <v>0</v>
      </c>
      <c r="M2498">
        <v>4</v>
      </c>
      <c r="N2498">
        <v>0</v>
      </c>
      <c r="O2498">
        <v>0</v>
      </c>
      <c r="P2498" t="s">
        <v>52</v>
      </c>
      <c r="Q2498" t="s">
        <v>52</v>
      </c>
      <c r="R2498" t="s">
        <v>52</v>
      </c>
      <c r="S2498" t="s">
        <v>52</v>
      </c>
      <c r="T2498" t="s">
        <v>52</v>
      </c>
      <c r="U2498" t="s">
        <v>52</v>
      </c>
      <c r="V2498" t="s">
        <v>52</v>
      </c>
      <c r="W2498" t="s">
        <v>52</v>
      </c>
      <c r="X2498" s="18" t="s">
        <v>52</v>
      </c>
      <c r="Y2498" s="18" t="s">
        <v>52</v>
      </c>
      <c r="Z2498" s="18" t="s">
        <v>52</v>
      </c>
      <c r="AA2498" s="18" t="s">
        <v>52</v>
      </c>
      <c r="AB2498" t="s">
        <v>52</v>
      </c>
      <c r="AC2498" t="s">
        <v>52</v>
      </c>
      <c r="AD2498" t="s">
        <v>52</v>
      </c>
      <c r="AE2498" t="s">
        <v>52</v>
      </c>
      <c r="AF2498" s="18" t="s">
        <v>52</v>
      </c>
      <c r="AG2498" s="18" t="s">
        <v>52</v>
      </c>
      <c r="AH2498" s="18" t="s">
        <v>52</v>
      </c>
      <c r="AI2498" s="18" t="s">
        <v>52</v>
      </c>
      <c r="AJ2498">
        <v>5</v>
      </c>
      <c r="AK2498">
        <v>3</v>
      </c>
      <c r="AL2498">
        <v>6</v>
      </c>
      <c r="AM2498">
        <v>7</v>
      </c>
      <c r="AN2498" s="18">
        <v>0</v>
      </c>
      <c r="AO2498" s="18">
        <v>0</v>
      </c>
      <c r="AP2498" s="18">
        <v>0.166666666666667</v>
      </c>
      <c r="AQ2498" s="18">
        <v>0</v>
      </c>
      <c r="AR2498" s="29">
        <v>0</v>
      </c>
      <c r="AS2498" s="29">
        <v>0</v>
      </c>
      <c r="AT2498" s="29">
        <v>4</v>
      </c>
      <c r="AU2498" s="24" t="str">
        <f t="shared" si="39"/>
        <v>库存为4</v>
      </c>
      <c r="AV2498" s="31" t="str">
        <f>IFERROR(时间!$B$4+AU2498,"上周无销量")</f>
        <v>上周无销量</v>
      </c>
    </row>
    <row r="2499" spans="1:48">
      <c r="A2499" s="16" t="s">
        <v>4274</v>
      </c>
      <c r="B2499" t="s">
        <v>4184</v>
      </c>
      <c r="C2499" t="s">
        <v>4265</v>
      </c>
      <c r="D2499" s="24">
        <v>0</v>
      </c>
      <c r="E2499" s="24">
        <v>0</v>
      </c>
      <c r="F2499" s="24">
        <v>0</v>
      </c>
      <c r="G2499" s="24">
        <v>0</v>
      </c>
      <c r="H2499" s="25">
        <v>0</v>
      </c>
      <c r="I2499">
        <v>0</v>
      </c>
      <c r="J2499" s="26">
        <v>0</v>
      </c>
      <c r="K2499" s="26">
        <v>0</v>
      </c>
      <c r="L2499" s="26">
        <v>0</v>
      </c>
      <c r="M2499">
        <v>0</v>
      </c>
      <c r="N2499">
        <v>0</v>
      </c>
      <c r="O2499">
        <v>0</v>
      </c>
      <c r="P2499" t="s">
        <v>52</v>
      </c>
      <c r="Q2499" t="s">
        <v>52</v>
      </c>
      <c r="R2499" t="s">
        <v>52</v>
      </c>
      <c r="S2499" t="s">
        <v>52</v>
      </c>
      <c r="T2499" t="s">
        <v>52</v>
      </c>
      <c r="U2499" t="s">
        <v>52</v>
      </c>
      <c r="V2499" t="s">
        <v>52</v>
      </c>
      <c r="W2499" t="s">
        <v>52</v>
      </c>
      <c r="X2499" s="18" t="s">
        <v>52</v>
      </c>
      <c r="Y2499" s="18" t="s">
        <v>52</v>
      </c>
      <c r="Z2499" s="18" t="s">
        <v>52</v>
      </c>
      <c r="AA2499" s="18" t="s">
        <v>52</v>
      </c>
      <c r="AB2499" t="s">
        <v>52</v>
      </c>
      <c r="AC2499" t="s">
        <v>52</v>
      </c>
      <c r="AD2499" t="s">
        <v>52</v>
      </c>
      <c r="AE2499" t="s">
        <v>52</v>
      </c>
      <c r="AF2499" s="18" t="s">
        <v>52</v>
      </c>
      <c r="AG2499" s="18" t="s">
        <v>52</v>
      </c>
      <c r="AH2499" s="18" t="s">
        <v>52</v>
      </c>
      <c r="AI2499" s="18" t="s">
        <v>52</v>
      </c>
      <c r="AJ2499">
        <v>4</v>
      </c>
      <c r="AK2499">
        <v>2</v>
      </c>
      <c r="AL2499">
        <v>8</v>
      </c>
      <c r="AM2499">
        <v>5</v>
      </c>
      <c r="AN2499" s="18">
        <v>0</v>
      </c>
      <c r="AO2499" s="18">
        <v>0</v>
      </c>
      <c r="AP2499" s="18">
        <v>0</v>
      </c>
      <c r="AQ2499" s="18">
        <v>0</v>
      </c>
      <c r="AR2499" s="29">
        <v>0</v>
      </c>
      <c r="AS2499" s="29">
        <v>0</v>
      </c>
      <c r="AT2499" s="29">
        <v>0</v>
      </c>
      <c r="AU2499" s="24" t="str">
        <f t="shared" si="39"/>
        <v>库存为0</v>
      </c>
      <c r="AV2499" s="31" t="str">
        <f>IFERROR(时间!$B$4+AU2499,"上周无销量")</f>
        <v>上周无销量</v>
      </c>
    </row>
    <row r="2500" spans="1:48">
      <c r="A2500" s="16" t="s">
        <v>4275</v>
      </c>
      <c r="B2500" t="s">
        <v>4186</v>
      </c>
      <c r="C2500" t="s">
        <v>4265</v>
      </c>
      <c r="D2500" s="24">
        <v>0</v>
      </c>
      <c r="E2500" s="24">
        <v>0</v>
      </c>
      <c r="F2500" s="24">
        <v>0</v>
      </c>
      <c r="G2500" s="24">
        <v>0</v>
      </c>
      <c r="H2500" s="25">
        <v>0</v>
      </c>
      <c r="I2500">
        <v>0</v>
      </c>
      <c r="J2500" s="26">
        <v>0</v>
      </c>
      <c r="K2500" s="26">
        <v>0</v>
      </c>
      <c r="L2500" s="26">
        <v>0</v>
      </c>
      <c r="M2500">
        <v>0</v>
      </c>
      <c r="N2500">
        <v>0</v>
      </c>
      <c r="O2500">
        <v>0</v>
      </c>
      <c r="P2500" t="s">
        <v>52</v>
      </c>
      <c r="Q2500" t="s">
        <v>52</v>
      </c>
      <c r="R2500" t="s">
        <v>52</v>
      </c>
      <c r="S2500" t="s">
        <v>52</v>
      </c>
      <c r="T2500" t="s">
        <v>52</v>
      </c>
      <c r="U2500" t="s">
        <v>52</v>
      </c>
      <c r="V2500" t="s">
        <v>52</v>
      </c>
      <c r="W2500" t="s">
        <v>52</v>
      </c>
      <c r="X2500" s="18" t="s">
        <v>52</v>
      </c>
      <c r="Y2500" s="18" t="s">
        <v>52</v>
      </c>
      <c r="Z2500" s="18" t="s">
        <v>52</v>
      </c>
      <c r="AA2500" s="18" t="s">
        <v>52</v>
      </c>
      <c r="AB2500" t="s">
        <v>52</v>
      </c>
      <c r="AC2500" t="s">
        <v>52</v>
      </c>
      <c r="AD2500" t="s">
        <v>52</v>
      </c>
      <c r="AE2500" t="s">
        <v>52</v>
      </c>
      <c r="AF2500" s="18" t="s">
        <v>52</v>
      </c>
      <c r="AG2500" s="18" t="s">
        <v>52</v>
      </c>
      <c r="AH2500" s="18" t="s">
        <v>52</v>
      </c>
      <c r="AI2500" s="18" t="s">
        <v>52</v>
      </c>
      <c r="AJ2500">
        <v>2</v>
      </c>
      <c r="AK2500">
        <v>5</v>
      </c>
      <c r="AL2500">
        <v>4</v>
      </c>
      <c r="AM2500">
        <v>3</v>
      </c>
      <c r="AN2500" s="18">
        <v>0</v>
      </c>
      <c r="AO2500" s="18">
        <v>0</v>
      </c>
      <c r="AP2500" s="18">
        <v>0</v>
      </c>
      <c r="AQ2500" s="18">
        <v>0</v>
      </c>
      <c r="AR2500" s="29">
        <v>0</v>
      </c>
      <c r="AS2500" s="29">
        <v>0</v>
      </c>
      <c r="AT2500" s="29">
        <v>0</v>
      </c>
      <c r="AU2500" s="24" t="str">
        <f t="shared" si="39"/>
        <v>库存为0</v>
      </c>
      <c r="AV2500" s="31" t="str">
        <f>IFERROR(时间!$B$4+AU2500,"上周无销量")</f>
        <v>上周无销量</v>
      </c>
    </row>
    <row r="2501" spans="1:48">
      <c r="A2501" s="16" t="s">
        <v>4276</v>
      </c>
      <c r="B2501" t="s">
        <v>4188</v>
      </c>
      <c r="C2501" t="s">
        <v>4265</v>
      </c>
      <c r="D2501" s="24">
        <v>0</v>
      </c>
      <c r="E2501" s="24">
        <v>0</v>
      </c>
      <c r="F2501" s="24">
        <v>0</v>
      </c>
      <c r="G2501" s="24">
        <v>5</v>
      </c>
      <c r="H2501" s="25">
        <v>22.98</v>
      </c>
      <c r="I2501">
        <v>0</v>
      </c>
      <c r="J2501" s="26">
        <v>0</v>
      </c>
      <c r="K2501" s="26">
        <v>0</v>
      </c>
      <c r="L2501" s="26">
        <v>0</v>
      </c>
      <c r="M2501">
        <v>0</v>
      </c>
      <c r="N2501">
        <v>0</v>
      </c>
      <c r="O2501">
        <v>0</v>
      </c>
      <c r="P2501" t="s">
        <v>52</v>
      </c>
      <c r="Q2501" t="s">
        <v>52</v>
      </c>
      <c r="R2501" t="s">
        <v>52</v>
      </c>
      <c r="S2501" t="s">
        <v>52</v>
      </c>
      <c r="T2501" t="s">
        <v>52</v>
      </c>
      <c r="U2501" t="s">
        <v>52</v>
      </c>
      <c r="V2501" t="s">
        <v>52</v>
      </c>
      <c r="W2501" t="s">
        <v>52</v>
      </c>
      <c r="X2501" s="18" t="s">
        <v>52</v>
      </c>
      <c r="Y2501" s="18" t="s">
        <v>52</v>
      </c>
      <c r="Z2501" s="18" t="s">
        <v>52</v>
      </c>
      <c r="AA2501" s="18" t="s">
        <v>52</v>
      </c>
      <c r="AB2501" t="s">
        <v>52</v>
      </c>
      <c r="AC2501" t="s">
        <v>52</v>
      </c>
      <c r="AD2501" t="s">
        <v>52</v>
      </c>
      <c r="AE2501" t="s">
        <v>52</v>
      </c>
      <c r="AF2501" s="18" t="s">
        <v>52</v>
      </c>
      <c r="AG2501" s="18" t="s">
        <v>52</v>
      </c>
      <c r="AH2501" s="18" t="s">
        <v>52</v>
      </c>
      <c r="AI2501" s="18" t="s">
        <v>52</v>
      </c>
      <c r="AJ2501">
        <v>5</v>
      </c>
      <c r="AK2501">
        <v>12</v>
      </c>
      <c r="AL2501">
        <v>17</v>
      </c>
      <c r="AM2501">
        <v>5</v>
      </c>
      <c r="AN2501" s="18">
        <v>0</v>
      </c>
      <c r="AO2501" s="18">
        <v>0</v>
      </c>
      <c r="AP2501" s="18">
        <v>0</v>
      </c>
      <c r="AQ2501" s="18">
        <v>1</v>
      </c>
      <c r="AR2501" s="29">
        <v>0</v>
      </c>
      <c r="AS2501" s="29">
        <v>0</v>
      </c>
      <c r="AT2501" s="29">
        <v>0</v>
      </c>
      <c r="AU2501" s="24" t="str">
        <f t="shared" si="39"/>
        <v>库存为0</v>
      </c>
      <c r="AV2501" s="31" t="str">
        <f>IFERROR(时间!$B$4+AU2501,"上周无销量")</f>
        <v>上周无销量</v>
      </c>
    </row>
    <row r="2502" spans="1:48">
      <c r="A2502" s="16" t="s">
        <v>4277</v>
      </c>
      <c r="B2502" t="s">
        <v>4278</v>
      </c>
      <c r="C2502" t="s">
        <v>4265</v>
      </c>
      <c r="D2502" s="24">
        <v>0</v>
      </c>
      <c r="E2502" s="24">
        <v>1</v>
      </c>
      <c r="F2502" s="24">
        <v>1</v>
      </c>
      <c r="G2502" s="24">
        <v>0</v>
      </c>
      <c r="H2502" s="25">
        <v>22.98</v>
      </c>
      <c r="I2502">
        <v>4</v>
      </c>
      <c r="J2502" s="26">
        <v>0</v>
      </c>
      <c r="K2502" s="26">
        <v>0</v>
      </c>
      <c r="L2502" s="26">
        <v>0</v>
      </c>
      <c r="M2502">
        <v>4</v>
      </c>
      <c r="N2502">
        <v>0</v>
      </c>
      <c r="O2502">
        <v>0</v>
      </c>
      <c r="P2502" t="s">
        <v>52</v>
      </c>
      <c r="Q2502" t="s">
        <v>52</v>
      </c>
      <c r="R2502" t="s">
        <v>52</v>
      </c>
      <c r="S2502" t="s">
        <v>52</v>
      </c>
      <c r="T2502" t="s">
        <v>52</v>
      </c>
      <c r="U2502" t="s">
        <v>52</v>
      </c>
      <c r="V2502" t="s">
        <v>52</v>
      </c>
      <c r="W2502" t="s">
        <v>52</v>
      </c>
      <c r="X2502" s="18" t="s">
        <v>52</v>
      </c>
      <c r="Y2502" s="18" t="s">
        <v>52</v>
      </c>
      <c r="Z2502" s="18" t="s">
        <v>52</v>
      </c>
      <c r="AA2502" s="18" t="s">
        <v>52</v>
      </c>
      <c r="AB2502" t="s">
        <v>52</v>
      </c>
      <c r="AC2502" t="s">
        <v>52</v>
      </c>
      <c r="AD2502" t="s">
        <v>52</v>
      </c>
      <c r="AE2502" t="s">
        <v>52</v>
      </c>
      <c r="AF2502" s="18" t="s">
        <v>52</v>
      </c>
      <c r="AG2502" s="18" t="s">
        <v>52</v>
      </c>
      <c r="AH2502" s="18" t="s">
        <v>52</v>
      </c>
      <c r="AI2502" s="18" t="s">
        <v>52</v>
      </c>
      <c r="AJ2502">
        <v>5</v>
      </c>
      <c r="AK2502">
        <v>5</v>
      </c>
      <c r="AL2502">
        <v>14</v>
      </c>
      <c r="AM2502">
        <v>14</v>
      </c>
      <c r="AN2502" s="18">
        <v>0</v>
      </c>
      <c r="AO2502" s="18">
        <v>0.2</v>
      </c>
      <c r="AP2502" s="18">
        <v>0.0714285714285714</v>
      </c>
      <c r="AQ2502" s="18">
        <v>0</v>
      </c>
      <c r="AR2502" s="29">
        <v>0</v>
      </c>
      <c r="AS2502" s="29">
        <v>0</v>
      </c>
      <c r="AT2502" s="29">
        <v>4</v>
      </c>
      <c r="AU2502" s="24" t="str">
        <f t="shared" ref="AU2502:AU2565" si="40">IF(AR2502="","库存为"&amp;M2502,IF(AS2502=0,"库存为"&amp;M2502,INT(M2502/AR2502)))</f>
        <v>库存为4</v>
      </c>
      <c r="AV2502" s="31" t="str">
        <f>IFERROR(时间!$B$4+AU2502,"上周无销量")</f>
        <v>上周无销量</v>
      </c>
    </row>
    <row r="2503" spans="1:48">
      <c r="A2503" s="16" t="s">
        <v>4279</v>
      </c>
      <c r="B2503" t="s">
        <v>4192</v>
      </c>
      <c r="C2503" t="s">
        <v>4265</v>
      </c>
      <c r="D2503" s="24">
        <v>1</v>
      </c>
      <c r="E2503" s="24">
        <v>0</v>
      </c>
      <c r="F2503" s="24">
        <v>2</v>
      </c>
      <c r="G2503" s="24">
        <v>0</v>
      </c>
      <c r="H2503" s="25">
        <v>21.98</v>
      </c>
      <c r="I2503">
        <v>4</v>
      </c>
      <c r="J2503" s="26">
        <v>0</v>
      </c>
      <c r="K2503" s="26">
        <v>0</v>
      </c>
      <c r="L2503" s="26">
        <v>0</v>
      </c>
      <c r="M2503">
        <v>4</v>
      </c>
      <c r="N2503">
        <v>0</v>
      </c>
      <c r="O2503">
        <v>0</v>
      </c>
      <c r="P2503" t="s">
        <v>52</v>
      </c>
      <c r="Q2503" t="s">
        <v>52</v>
      </c>
      <c r="R2503" t="s">
        <v>52</v>
      </c>
      <c r="S2503" t="s">
        <v>52</v>
      </c>
      <c r="T2503" t="s">
        <v>52</v>
      </c>
      <c r="U2503" t="s">
        <v>52</v>
      </c>
      <c r="V2503" t="s">
        <v>52</v>
      </c>
      <c r="W2503" t="s">
        <v>52</v>
      </c>
      <c r="X2503" s="18" t="s">
        <v>52</v>
      </c>
      <c r="Y2503" s="18" t="s">
        <v>52</v>
      </c>
      <c r="Z2503" s="18" t="s">
        <v>52</v>
      </c>
      <c r="AA2503" s="18" t="s">
        <v>52</v>
      </c>
      <c r="AB2503" t="s">
        <v>52</v>
      </c>
      <c r="AC2503" t="s">
        <v>52</v>
      </c>
      <c r="AD2503" t="s">
        <v>52</v>
      </c>
      <c r="AE2503" t="s">
        <v>52</v>
      </c>
      <c r="AF2503" s="18" t="s">
        <v>52</v>
      </c>
      <c r="AG2503" s="18" t="s">
        <v>52</v>
      </c>
      <c r="AH2503" s="18" t="s">
        <v>52</v>
      </c>
      <c r="AI2503" s="18" t="s">
        <v>52</v>
      </c>
      <c r="AJ2503">
        <v>5</v>
      </c>
      <c r="AK2503">
        <v>10</v>
      </c>
      <c r="AL2503">
        <v>9</v>
      </c>
      <c r="AM2503">
        <v>7</v>
      </c>
      <c r="AN2503" s="18">
        <v>0.2</v>
      </c>
      <c r="AO2503" s="18">
        <v>0</v>
      </c>
      <c r="AP2503" s="18">
        <v>0.222222222222222</v>
      </c>
      <c r="AQ2503" s="18">
        <v>0</v>
      </c>
      <c r="AR2503" s="29">
        <v>0.142857142857143</v>
      </c>
      <c r="AS2503" s="29">
        <v>8.57142857142857</v>
      </c>
      <c r="AT2503" s="29">
        <v>-4.57142857142857</v>
      </c>
      <c r="AU2503" s="24">
        <f t="shared" si="40"/>
        <v>28</v>
      </c>
      <c r="AV2503" s="31">
        <f>IFERROR(时间!$B$4+AU2503,"上周无销量")</f>
        <v>43346</v>
      </c>
    </row>
    <row r="2504" spans="1:48">
      <c r="A2504" s="16" t="s">
        <v>4280</v>
      </c>
      <c r="B2504" t="s">
        <v>4194</v>
      </c>
      <c r="C2504" t="s">
        <v>4265</v>
      </c>
      <c r="D2504" s="24">
        <v>0</v>
      </c>
      <c r="E2504" s="24">
        <v>0</v>
      </c>
      <c r="F2504" s="24">
        <v>0</v>
      </c>
      <c r="G2504" s="24">
        <v>0</v>
      </c>
      <c r="H2504" s="25">
        <v>0</v>
      </c>
      <c r="I2504">
        <v>0</v>
      </c>
      <c r="J2504" s="26">
        <v>0</v>
      </c>
      <c r="K2504" s="26">
        <v>0</v>
      </c>
      <c r="L2504" s="26">
        <v>0</v>
      </c>
      <c r="M2504">
        <v>0</v>
      </c>
      <c r="N2504">
        <v>0</v>
      </c>
      <c r="O2504">
        <v>0</v>
      </c>
      <c r="P2504" t="s">
        <v>52</v>
      </c>
      <c r="Q2504" t="s">
        <v>52</v>
      </c>
      <c r="R2504" t="s">
        <v>52</v>
      </c>
      <c r="S2504" t="s">
        <v>52</v>
      </c>
      <c r="T2504" t="s">
        <v>52</v>
      </c>
      <c r="U2504" t="s">
        <v>52</v>
      </c>
      <c r="V2504" t="s">
        <v>52</v>
      </c>
      <c r="W2504" t="s">
        <v>52</v>
      </c>
      <c r="X2504" s="18" t="s">
        <v>52</v>
      </c>
      <c r="Y2504" s="18" t="s">
        <v>52</v>
      </c>
      <c r="Z2504" s="18" t="s">
        <v>52</v>
      </c>
      <c r="AA2504" s="18" t="s">
        <v>52</v>
      </c>
      <c r="AB2504" t="s">
        <v>52</v>
      </c>
      <c r="AC2504" t="s">
        <v>52</v>
      </c>
      <c r="AD2504" t="s">
        <v>52</v>
      </c>
      <c r="AE2504" t="s">
        <v>52</v>
      </c>
      <c r="AF2504" s="18" t="s">
        <v>52</v>
      </c>
      <c r="AG2504" s="18" t="s">
        <v>52</v>
      </c>
      <c r="AH2504" s="18" t="s">
        <v>52</v>
      </c>
      <c r="AI2504" s="18" t="s">
        <v>52</v>
      </c>
      <c r="AJ2504">
        <v>5</v>
      </c>
      <c r="AK2504">
        <v>10</v>
      </c>
      <c r="AL2504">
        <v>7</v>
      </c>
      <c r="AM2504">
        <v>6</v>
      </c>
      <c r="AN2504" s="18">
        <v>0</v>
      </c>
      <c r="AO2504" s="18">
        <v>0</v>
      </c>
      <c r="AP2504" s="18">
        <v>0</v>
      </c>
      <c r="AQ2504" s="18">
        <v>0</v>
      </c>
      <c r="AR2504" s="29">
        <v>0</v>
      </c>
      <c r="AS2504" s="29">
        <v>0</v>
      </c>
      <c r="AT2504" s="29">
        <v>0</v>
      </c>
      <c r="AU2504" s="24" t="str">
        <f t="shared" si="40"/>
        <v>库存为0</v>
      </c>
      <c r="AV2504" s="31" t="str">
        <f>IFERROR(时间!$B$4+AU2504,"上周无销量")</f>
        <v>上周无销量</v>
      </c>
    </row>
    <row r="2505" spans="1:48">
      <c r="A2505" s="16" t="s">
        <v>4281</v>
      </c>
      <c r="B2505" t="s">
        <v>4196</v>
      </c>
      <c r="C2505" t="s">
        <v>4265</v>
      </c>
      <c r="D2505" s="24">
        <v>0</v>
      </c>
      <c r="E2505" s="24">
        <v>0</v>
      </c>
      <c r="F2505" s="24">
        <v>0</v>
      </c>
      <c r="G2505" s="24">
        <v>0</v>
      </c>
      <c r="H2505" s="25">
        <v>0</v>
      </c>
      <c r="I2505">
        <v>0</v>
      </c>
      <c r="J2505" s="26">
        <v>0</v>
      </c>
      <c r="K2505" s="26">
        <v>0</v>
      </c>
      <c r="L2505" s="26">
        <v>0</v>
      </c>
      <c r="M2505">
        <v>0</v>
      </c>
      <c r="N2505">
        <v>0</v>
      </c>
      <c r="O2505">
        <v>0</v>
      </c>
      <c r="P2505" t="s">
        <v>52</v>
      </c>
      <c r="Q2505" t="s">
        <v>52</v>
      </c>
      <c r="R2505" t="s">
        <v>52</v>
      </c>
      <c r="S2505" t="s">
        <v>52</v>
      </c>
      <c r="T2505" t="s">
        <v>52</v>
      </c>
      <c r="U2505" t="s">
        <v>52</v>
      </c>
      <c r="V2505" t="s">
        <v>52</v>
      </c>
      <c r="W2505" t="s">
        <v>52</v>
      </c>
      <c r="X2505" s="18" t="s">
        <v>52</v>
      </c>
      <c r="Y2505" s="18" t="s">
        <v>52</v>
      </c>
      <c r="Z2505" s="18" t="s">
        <v>52</v>
      </c>
      <c r="AA2505" s="18" t="s">
        <v>52</v>
      </c>
      <c r="AB2505" t="s">
        <v>52</v>
      </c>
      <c r="AC2505" t="s">
        <v>52</v>
      </c>
      <c r="AD2505" t="s">
        <v>52</v>
      </c>
      <c r="AE2505" t="s">
        <v>52</v>
      </c>
      <c r="AF2505" s="18" t="s">
        <v>52</v>
      </c>
      <c r="AG2505" s="18" t="s">
        <v>52</v>
      </c>
      <c r="AH2505" s="18" t="s">
        <v>52</v>
      </c>
      <c r="AI2505" s="18" t="s">
        <v>52</v>
      </c>
      <c r="AJ2505">
        <v>3</v>
      </c>
      <c r="AK2505">
        <v>6</v>
      </c>
      <c r="AL2505">
        <v>11</v>
      </c>
      <c r="AM2505">
        <v>11</v>
      </c>
      <c r="AN2505" s="18">
        <v>0</v>
      </c>
      <c r="AO2505" s="18">
        <v>0</v>
      </c>
      <c r="AP2505" s="18">
        <v>0</v>
      </c>
      <c r="AQ2505" s="18">
        <v>0</v>
      </c>
      <c r="AR2505" s="29">
        <v>0</v>
      </c>
      <c r="AS2505" s="29">
        <v>0</v>
      </c>
      <c r="AT2505" s="29">
        <v>0</v>
      </c>
      <c r="AU2505" s="24" t="str">
        <f t="shared" si="40"/>
        <v>库存为0</v>
      </c>
      <c r="AV2505" s="31" t="str">
        <f>IFERROR(时间!$B$4+AU2505,"上周无销量")</f>
        <v>上周无销量</v>
      </c>
    </row>
    <row r="2506" spans="1:48">
      <c r="A2506" s="16" t="s">
        <v>4282</v>
      </c>
      <c r="B2506" t="s">
        <v>4198</v>
      </c>
      <c r="C2506" t="s">
        <v>4265</v>
      </c>
      <c r="D2506" s="24">
        <v>0</v>
      </c>
      <c r="E2506" s="24">
        <v>0</v>
      </c>
      <c r="F2506" s="24">
        <v>0</v>
      </c>
      <c r="G2506" s="24">
        <v>0</v>
      </c>
      <c r="H2506" s="25">
        <v>0</v>
      </c>
      <c r="I2506">
        <v>0</v>
      </c>
      <c r="J2506" s="26">
        <v>0</v>
      </c>
      <c r="K2506" s="26">
        <v>0</v>
      </c>
      <c r="L2506" s="26">
        <v>0</v>
      </c>
      <c r="M2506">
        <v>0</v>
      </c>
      <c r="N2506">
        <v>0</v>
      </c>
      <c r="O2506">
        <v>0</v>
      </c>
      <c r="P2506" t="s">
        <v>52</v>
      </c>
      <c r="Q2506" t="s">
        <v>52</v>
      </c>
      <c r="R2506" t="s">
        <v>52</v>
      </c>
      <c r="S2506" t="s">
        <v>52</v>
      </c>
      <c r="T2506" t="s">
        <v>52</v>
      </c>
      <c r="U2506" t="s">
        <v>52</v>
      </c>
      <c r="V2506" t="s">
        <v>52</v>
      </c>
      <c r="W2506" t="s">
        <v>52</v>
      </c>
      <c r="X2506" s="18" t="s">
        <v>52</v>
      </c>
      <c r="Y2506" s="18" t="s">
        <v>52</v>
      </c>
      <c r="Z2506" s="18" t="s">
        <v>52</v>
      </c>
      <c r="AA2506" s="18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s="18" t="s">
        <v>52</v>
      </c>
      <c r="AG2506" s="18" t="s">
        <v>52</v>
      </c>
      <c r="AH2506" s="18" t="s">
        <v>52</v>
      </c>
      <c r="AI2506" s="18" t="s">
        <v>52</v>
      </c>
      <c r="AJ2506">
        <v>5</v>
      </c>
      <c r="AK2506">
        <v>6</v>
      </c>
      <c r="AL2506">
        <v>14</v>
      </c>
      <c r="AM2506">
        <v>14</v>
      </c>
      <c r="AN2506" s="18">
        <v>0</v>
      </c>
      <c r="AO2506" s="18">
        <v>0</v>
      </c>
      <c r="AP2506" s="18">
        <v>0</v>
      </c>
      <c r="AQ2506" s="18">
        <v>0</v>
      </c>
      <c r="AR2506" s="29">
        <v>0</v>
      </c>
      <c r="AS2506" s="29">
        <v>0</v>
      </c>
      <c r="AT2506" s="29">
        <v>0</v>
      </c>
      <c r="AU2506" s="24" t="str">
        <f t="shared" si="40"/>
        <v>库存为0</v>
      </c>
      <c r="AV2506" s="31" t="str">
        <f>IFERROR(时间!$B$4+AU2506,"上周无销量")</f>
        <v>上周无销量</v>
      </c>
    </row>
    <row r="2507" spans="1:48">
      <c r="A2507" s="16" t="s">
        <v>4283</v>
      </c>
      <c r="B2507" t="s">
        <v>4200</v>
      </c>
      <c r="C2507" t="s">
        <v>4265</v>
      </c>
      <c r="D2507" s="24">
        <v>0</v>
      </c>
      <c r="E2507" s="24">
        <v>0</v>
      </c>
      <c r="F2507" s="24">
        <v>0</v>
      </c>
      <c r="G2507" s="24">
        <v>0</v>
      </c>
      <c r="H2507" s="25">
        <v>0</v>
      </c>
      <c r="I2507">
        <v>0</v>
      </c>
      <c r="J2507" s="26">
        <v>0</v>
      </c>
      <c r="K2507" s="26">
        <v>0</v>
      </c>
      <c r="L2507" s="26">
        <v>0</v>
      </c>
      <c r="M2507">
        <v>0</v>
      </c>
      <c r="N2507">
        <v>0</v>
      </c>
      <c r="O2507">
        <v>0</v>
      </c>
      <c r="P2507" t="s">
        <v>52</v>
      </c>
      <c r="Q2507" t="s">
        <v>52</v>
      </c>
      <c r="R2507" t="s">
        <v>52</v>
      </c>
      <c r="S2507" t="s">
        <v>52</v>
      </c>
      <c r="T2507" t="s">
        <v>52</v>
      </c>
      <c r="U2507" t="s">
        <v>52</v>
      </c>
      <c r="V2507" t="s">
        <v>52</v>
      </c>
      <c r="W2507" t="s">
        <v>52</v>
      </c>
      <c r="X2507" s="18" t="s">
        <v>52</v>
      </c>
      <c r="Y2507" s="18" t="s">
        <v>52</v>
      </c>
      <c r="Z2507" s="18" t="s">
        <v>52</v>
      </c>
      <c r="AA2507" s="18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s="18" t="s">
        <v>52</v>
      </c>
      <c r="AG2507" s="18" t="s">
        <v>52</v>
      </c>
      <c r="AH2507" s="18" t="s">
        <v>52</v>
      </c>
      <c r="AI2507" s="18" t="s">
        <v>52</v>
      </c>
      <c r="AJ2507">
        <v>3</v>
      </c>
      <c r="AK2507">
        <v>10</v>
      </c>
      <c r="AL2507">
        <v>7</v>
      </c>
      <c r="AM2507">
        <v>8</v>
      </c>
      <c r="AN2507" s="18">
        <v>0</v>
      </c>
      <c r="AO2507" s="18">
        <v>0</v>
      </c>
      <c r="AP2507" s="18">
        <v>0</v>
      </c>
      <c r="AQ2507" s="18">
        <v>0</v>
      </c>
      <c r="AR2507" s="29">
        <v>0</v>
      </c>
      <c r="AS2507" s="29">
        <v>0</v>
      </c>
      <c r="AT2507" s="29">
        <v>0</v>
      </c>
      <c r="AU2507" s="24" t="str">
        <f t="shared" si="40"/>
        <v>库存为0</v>
      </c>
      <c r="AV2507" s="31" t="str">
        <f>IFERROR(时间!$B$4+AU2507,"上周无销量")</f>
        <v>上周无销量</v>
      </c>
    </row>
    <row r="2508" spans="1:48">
      <c r="A2508" s="16" t="s">
        <v>4284</v>
      </c>
      <c r="B2508" t="s">
        <v>4202</v>
      </c>
      <c r="C2508" t="s">
        <v>4265</v>
      </c>
      <c r="D2508" s="24">
        <v>0</v>
      </c>
      <c r="E2508" s="24">
        <v>0</v>
      </c>
      <c r="F2508" s="24">
        <v>0</v>
      </c>
      <c r="G2508" s="24">
        <v>0</v>
      </c>
      <c r="H2508" s="25">
        <v>0</v>
      </c>
      <c r="I2508">
        <v>5</v>
      </c>
      <c r="J2508" s="26">
        <v>0</v>
      </c>
      <c r="K2508" s="26">
        <v>0</v>
      </c>
      <c r="L2508" s="26">
        <v>0</v>
      </c>
      <c r="M2508">
        <v>5</v>
      </c>
      <c r="N2508">
        <v>0</v>
      </c>
      <c r="O2508">
        <v>0</v>
      </c>
      <c r="P2508" t="s">
        <v>52</v>
      </c>
      <c r="Q2508" t="s">
        <v>52</v>
      </c>
      <c r="R2508" t="s">
        <v>52</v>
      </c>
      <c r="S2508" t="s">
        <v>52</v>
      </c>
      <c r="T2508" t="s">
        <v>52</v>
      </c>
      <c r="U2508" t="s">
        <v>52</v>
      </c>
      <c r="V2508" t="s">
        <v>52</v>
      </c>
      <c r="W2508" t="s">
        <v>52</v>
      </c>
      <c r="X2508" s="18" t="s">
        <v>52</v>
      </c>
      <c r="Y2508" s="18" t="s">
        <v>52</v>
      </c>
      <c r="Z2508" s="18" t="s">
        <v>52</v>
      </c>
      <c r="AA2508" s="18" t="s">
        <v>52</v>
      </c>
      <c r="AB2508" t="s">
        <v>52</v>
      </c>
      <c r="AC2508" t="s">
        <v>52</v>
      </c>
      <c r="AD2508" t="s">
        <v>52</v>
      </c>
      <c r="AE2508" t="s">
        <v>52</v>
      </c>
      <c r="AF2508" s="18" t="s">
        <v>52</v>
      </c>
      <c r="AG2508" s="18" t="s">
        <v>52</v>
      </c>
      <c r="AH2508" s="18" t="s">
        <v>52</v>
      </c>
      <c r="AI2508" s="18" t="s">
        <v>52</v>
      </c>
      <c r="AJ2508">
        <v>7</v>
      </c>
      <c r="AK2508">
        <v>5</v>
      </c>
      <c r="AL2508">
        <v>9</v>
      </c>
      <c r="AM2508">
        <v>6</v>
      </c>
      <c r="AN2508" s="18">
        <v>0</v>
      </c>
      <c r="AO2508" s="18">
        <v>0</v>
      </c>
      <c r="AP2508" s="18">
        <v>0</v>
      </c>
      <c r="AQ2508" s="18">
        <v>0</v>
      </c>
      <c r="AR2508" s="29">
        <v>0</v>
      </c>
      <c r="AS2508" s="29">
        <v>0</v>
      </c>
      <c r="AT2508" s="29">
        <v>5</v>
      </c>
      <c r="AU2508" s="24" t="str">
        <f t="shared" si="40"/>
        <v>库存为5</v>
      </c>
      <c r="AV2508" s="31" t="str">
        <f>IFERROR(时间!$B$4+AU2508,"上周无销量")</f>
        <v>上周无销量</v>
      </c>
    </row>
    <row r="2509" spans="1:48">
      <c r="A2509" s="16" t="s">
        <v>4285</v>
      </c>
      <c r="B2509" t="s">
        <v>4204</v>
      </c>
      <c r="C2509" t="s">
        <v>4265</v>
      </c>
      <c r="D2509" s="24">
        <v>0</v>
      </c>
      <c r="E2509" s="24">
        <v>0</v>
      </c>
      <c r="F2509" s="24">
        <v>0</v>
      </c>
      <c r="G2509" s="24">
        <v>0</v>
      </c>
      <c r="H2509" s="25">
        <v>0</v>
      </c>
      <c r="I2509">
        <v>0</v>
      </c>
      <c r="J2509" s="26">
        <v>0</v>
      </c>
      <c r="K2509" s="26">
        <v>0</v>
      </c>
      <c r="L2509" s="26">
        <v>0</v>
      </c>
      <c r="M2509">
        <v>0</v>
      </c>
      <c r="N2509">
        <v>0</v>
      </c>
      <c r="O2509">
        <v>0</v>
      </c>
      <c r="P2509" t="s">
        <v>52</v>
      </c>
      <c r="Q2509" t="s">
        <v>52</v>
      </c>
      <c r="R2509" t="s">
        <v>52</v>
      </c>
      <c r="S2509" t="s">
        <v>52</v>
      </c>
      <c r="T2509" t="s">
        <v>52</v>
      </c>
      <c r="U2509" t="s">
        <v>52</v>
      </c>
      <c r="V2509" t="s">
        <v>52</v>
      </c>
      <c r="W2509" t="s">
        <v>52</v>
      </c>
      <c r="X2509" s="18" t="s">
        <v>52</v>
      </c>
      <c r="Y2509" s="18" t="s">
        <v>52</v>
      </c>
      <c r="Z2509" s="18" t="s">
        <v>52</v>
      </c>
      <c r="AA2509" s="18" t="s">
        <v>52</v>
      </c>
      <c r="AB2509" t="s">
        <v>52</v>
      </c>
      <c r="AC2509" t="s">
        <v>52</v>
      </c>
      <c r="AD2509" t="s">
        <v>52</v>
      </c>
      <c r="AE2509" t="s">
        <v>52</v>
      </c>
      <c r="AF2509" s="18" t="s">
        <v>52</v>
      </c>
      <c r="AG2509" s="18" t="s">
        <v>52</v>
      </c>
      <c r="AH2509" s="18" t="s">
        <v>52</v>
      </c>
      <c r="AI2509" s="18" t="s">
        <v>52</v>
      </c>
      <c r="AJ2509">
        <v>6</v>
      </c>
      <c r="AK2509">
        <v>2</v>
      </c>
      <c r="AL2509">
        <v>7</v>
      </c>
      <c r="AM2509">
        <v>6</v>
      </c>
      <c r="AN2509" s="18">
        <v>0</v>
      </c>
      <c r="AO2509" s="18">
        <v>0</v>
      </c>
      <c r="AP2509" s="18">
        <v>0</v>
      </c>
      <c r="AQ2509" s="18">
        <v>0</v>
      </c>
      <c r="AR2509" s="29">
        <v>0</v>
      </c>
      <c r="AS2509" s="29">
        <v>0</v>
      </c>
      <c r="AT2509" s="29">
        <v>0</v>
      </c>
      <c r="AU2509" s="24" t="str">
        <f t="shared" si="40"/>
        <v>库存为0</v>
      </c>
      <c r="AV2509" s="31" t="str">
        <f>IFERROR(时间!$B$4+AU2509,"上周无销量")</f>
        <v>上周无销量</v>
      </c>
    </row>
    <row r="2510" spans="1:48">
      <c r="A2510" s="16" t="s">
        <v>4286</v>
      </c>
      <c r="B2510" t="s">
        <v>4206</v>
      </c>
      <c r="C2510" t="s">
        <v>4265</v>
      </c>
      <c r="D2510" s="24">
        <v>0</v>
      </c>
      <c r="E2510" s="24">
        <v>0</v>
      </c>
      <c r="F2510" s="24">
        <v>0</v>
      </c>
      <c r="G2510" s="24">
        <v>0</v>
      </c>
      <c r="H2510" s="25">
        <v>0</v>
      </c>
      <c r="I2510">
        <v>0</v>
      </c>
      <c r="J2510" s="26">
        <v>0</v>
      </c>
      <c r="K2510" s="26">
        <v>0</v>
      </c>
      <c r="L2510" s="26">
        <v>0</v>
      </c>
      <c r="M2510">
        <v>0</v>
      </c>
      <c r="N2510">
        <v>0</v>
      </c>
      <c r="O2510">
        <v>0</v>
      </c>
      <c r="P2510" t="s">
        <v>52</v>
      </c>
      <c r="Q2510" t="s">
        <v>52</v>
      </c>
      <c r="R2510" t="s">
        <v>52</v>
      </c>
      <c r="S2510" t="s">
        <v>52</v>
      </c>
      <c r="T2510" t="s">
        <v>52</v>
      </c>
      <c r="U2510" t="s">
        <v>52</v>
      </c>
      <c r="V2510" t="s">
        <v>52</v>
      </c>
      <c r="W2510" t="s">
        <v>52</v>
      </c>
      <c r="X2510" s="18" t="s">
        <v>52</v>
      </c>
      <c r="Y2510" s="18" t="s">
        <v>52</v>
      </c>
      <c r="Z2510" s="18" t="s">
        <v>52</v>
      </c>
      <c r="AA2510" s="18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s="18" t="s">
        <v>52</v>
      </c>
      <c r="AG2510" s="18" t="s">
        <v>52</v>
      </c>
      <c r="AH2510" s="18" t="s">
        <v>52</v>
      </c>
      <c r="AI2510" s="18" t="s">
        <v>52</v>
      </c>
      <c r="AJ2510">
        <v>0</v>
      </c>
      <c r="AK2510">
        <v>3</v>
      </c>
      <c r="AL2510">
        <v>2</v>
      </c>
      <c r="AM2510">
        <v>4</v>
      </c>
      <c r="AN2510" s="18" t="s">
        <v>52</v>
      </c>
      <c r="AO2510" s="18">
        <v>0</v>
      </c>
      <c r="AP2510" s="18">
        <v>0</v>
      </c>
      <c r="AQ2510" s="18">
        <v>0</v>
      </c>
      <c r="AR2510" s="29">
        <v>0</v>
      </c>
      <c r="AS2510" s="29">
        <v>0</v>
      </c>
      <c r="AT2510" s="29">
        <v>0</v>
      </c>
      <c r="AU2510" s="24" t="str">
        <f t="shared" si="40"/>
        <v>库存为0</v>
      </c>
      <c r="AV2510" s="31" t="str">
        <f>IFERROR(时间!$B$4+AU2510,"上周无销量")</f>
        <v>上周无销量</v>
      </c>
    </row>
    <row r="2511" spans="1:48">
      <c r="A2511" s="16" t="s">
        <v>4287</v>
      </c>
      <c r="B2511" t="s">
        <v>4208</v>
      </c>
      <c r="C2511" t="s">
        <v>4265</v>
      </c>
      <c r="D2511" s="24">
        <v>0</v>
      </c>
      <c r="E2511" s="24">
        <v>0</v>
      </c>
      <c r="F2511" s="24">
        <v>0</v>
      </c>
      <c r="G2511" s="24">
        <v>0</v>
      </c>
      <c r="H2511" s="25">
        <v>0</v>
      </c>
      <c r="I2511">
        <v>0</v>
      </c>
      <c r="J2511" s="26">
        <v>0</v>
      </c>
      <c r="K2511" s="26">
        <v>0</v>
      </c>
      <c r="L2511" s="26">
        <v>0</v>
      </c>
      <c r="M2511">
        <v>0</v>
      </c>
      <c r="N2511">
        <v>0</v>
      </c>
      <c r="O2511">
        <v>0</v>
      </c>
      <c r="P2511" t="s">
        <v>52</v>
      </c>
      <c r="Q2511" t="s">
        <v>52</v>
      </c>
      <c r="R2511" t="s">
        <v>52</v>
      </c>
      <c r="S2511" t="s">
        <v>52</v>
      </c>
      <c r="T2511" t="s">
        <v>52</v>
      </c>
      <c r="U2511" t="s">
        <v>52</v>
      </c>
      <c r="V2511" t="s">
        <v>52</v>
      </c>
      <c r="W2511" t="s">
        <v>52</v>
      </c>
      <c r="X2511" s="18" t="s">
        <v>52</v>
      </c>
      <c r="Y2511" s="18" t="s">
        <v>52</v>
      </c>
      <c r="Z2511" s="18" t="s">
        <v>52</v>
      </c>
      <c r="AA2511" s="18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s="18" t="s">
        <v>52</v>
      </c>
      <c r="AG2511" s="18" t="s">
        <v>52</v>
      </c>
      <c r="AH2511" s="18" t="s">
        <v>52</v>
      </c>
      <c r="AI2511" s="18" t="s">
        <v>52</v>
      </c>
      <c r="AJ2511">
        <v>3</v>
      </c>
      <c r="AK2511">
        <v>5</v>
      </c>
      <c r="AL2511">
        <v>9</v>
      </c>
      <c r="AM2511">
        <v>6</v>
      </c>
      <c r="AN2511" s="18">
        <v>0</v>
      </c>
      <c r="AO2511" s="18">
        <v>0</v>
      </c>
      <c r="AP2511" s="18">
        <v>0</v>
      </c>
      <c r="AQ2511" s="18">
        <v>0</v>
      </c>
      <c r="AR2511" s="29">
        <v>0</v>
      </c>
      <c r="AS2511" s="29">
        <v>0</v>
      </c>
      <c r="AT2511" s="29">
        <v>0</v>
      </c>
      <c r="AU2511" s="24" t="str">
        <f t="shared" si="40"/>
        <v>库存为0</v>
      </c>
      <c r="AV2511" s="31" t="str">
        <f>IFERROR(时间!$B$4+AU2511,"上周无销量")</f>
        <v>上周无销量</v>
      </c>
    </row>
    <row r="2512" spans="1:48">
      <c r="A2512" s="16" t="s">
        <v>4288</v>
      </c>
      <c r="B2512" t="s">
        <v>4210</v>
      </c>
      <c r="C2512" t="s">
        <v>4265</v>
      </c>
      <c r="D2512" s="24">
        <v>0</v>
      </c>
      <c r="E2512" s="24">
        <v>0</v>
      </c>
      <c r="F2512" s="24">
        <v>1</v>
      </c>
      <c r="G2512" s="24">
        <v>0</v>
      </c>
      <c r="H2512" s="25">
        <v>22.98</v>
      </c>
      <c r="I2512">
        <v>8</v>
      </c>
      <c r="J2512" s="26">
        <v>0</v>
      </c>
      <c r="K2512" s="26">
        <v>0</v>
      </c>
      <c r="L2512" s="26">
        <v>0</v>
      </c>
      <c r="M2512">
        <v>8</v>
      </c>
      <c r="N2512">
        <v>0</v>
      </c>
      <c r="O2512">
        <v>0</v>
      </c>
      <c r="P2512" t="s">
        <v>52</v>
      </c>
      <c r="Q2512" t="s">
        <v>52</v>
      </c>
      <c r="R2512" t="s">
        <v>52</v>
      </c>
      <c r="S2512" t="s">
        <v>52</v>
      </c>
      <c r="T2512" t="s">
        <v>52</v>
      </c>
      <c r="U2512" t="s">
        <v>52</v>
      </c>
      <c r="V2512" t="s">
        <v>52</v>
      </c>
      <c r="W2512" t="s">
        <v>52</v>
      </c>
      <c r="X2512" s="18" t="s">
        <v>52</v>
      </c>
      <c r="Y2512" s="18" t="s">
        <v>52</v>
      </c>
      <c r="Z2512" s="18" t="s">
        <v>52</v>
      </c>
      <c r="AA2512" s="18" t="s">
        <v>52</v>
      </c>
      <c r="AB2512" t="s">
        <v>52</v>
      </c>
      <c r="AC2512" t="s">
        <v>52</v>
      </c>
      <c r="AD2512" t="s">
        <v>52</v>
      </c>
      <c r="AE2512" t="s">
        <v>52</v>
      </c>
      <c r="AF2512" s="18" t="s">
        <v>52</v>
      </c>
      <c r="AG2512" s="18" t="s">
        <v>52</v>
      </c>
      <c r="AH2512" s="18" t="s">
        <v>52</v>
      </c>
      <c r="AI2512" s="18" t="s">
        <v>52</v>
      </c>
      <c r="AJ2512">
        <v>8</v>
      </c>
      <c r="AK2512">
        <v>4</v>
      </c>
      <c r="AL2512">
        <v>7</v>
      </c>
      <c r="AM2512">
        <v>10</v>
      </c>
      <c r="AN2512" s="18">
        <v>0</v>
      </c>
      <c r="AO2512" s="18">
        <v>0</v>
      </c>
      <c r="AP2512" s="18">
        <v>0.142857142857143</v>
      </c>
      <c r="AQ2512" s="18">
        <v>0</v>
      </c>
      <c r="AR2512" s="29">
        <v>0</v>
      </c>
      <c r="AS2512" s="29">
        <v>0</v>
      </c>
      <c r="AT2512" s="29">
        <v>8</v>
      </c>
      <c r="AU2512" s="24" t="str">
        <f t="shared" si="40"/>
        <v>库存为8</v>
      </c>
      <c r="AV2512" s="31" t="str">
        <f>IFERROR(时间!$B$4+AU2512,"上周无销量")</f>
        <v>上周无销量</v>
      </c>
    </row>
    <row r="2513" spans="1:48">
      <c r="A2513" s="16" t="s">
        <v>4289</v>
      </c>
      <c r="B2513" t="s">
        <v>4212</v>
      </c>
      <c r="C2513" t="s">
        <v>4265</v>
      </c>
      <c r="D2513" s="24">
        <v>0</v>
      </c>
      <c r="E2513" s="24">
        <v>0</v>
      </c>
      <c r="F2513" s="24">
        <v>0</v>
      </c>
      <c r="G2513" s="24">
        <v>0</v>
      </c>
      <c r="H2513" s="25">
        <v>0</v>
      </c>
      <c r="I2513">
        <v>0</v>
      </c>
      <c r="J2513" s="26">
        <v>0</v>
      </c>
      <c r="K2513" s="26">
        <v>0</v>
      </c>
      <c r="L2513" s="26">
        <v>0</v>
      </c>
      <c r="M2513">
        <v>0</v>
      </c>
      <c r="N2513">
        <v>0</v>
      </c>
      <c r="O2513">
        <v>0</v>
      </c>
      <c r="P2513" t="s">
        <v>52</v>
      </c>
      <c r="Q2513" t="s">
        <v>52</v>
      </c>
      <c r="R2513" t="s">
        <v>52</v>
      </c>
      <c r="S2513" t="s">
        <v>52</v>
      </c>
      <c r="T2513" t="s">
        <v>52</v>
      </c>
      <c r="U2513" t="s">
        <v>52</v>
      </c>
      <c r="V2513" t="s">
        <v>52</v>
      </c>
      <c r="W2513" t="s">
        <v>52</v>
      </c>
      <c r="X2513" s="18" t="s">
        <v>52</v>
      </c>
      <c r="Y2513" s="18" t="s">
        <v>52</v>
      </c>
      <c r="Z2513" s="18" t="s">
        <v>52</v>
      </c>
      <c r="AA2513" s="18" t="s">
        <v>52</v>
      </c>
      <c r="AB2513" t="s">
        <v>52</v>
      </c>
      <c r="AC2513" t="s">
        <v>52</v>
      </c>
      <c r="AD2513" t="s">
        <v>52</v>
      </c>
      <c r="AE2513" t="s">
        <v>52</v>
      </c>
      <c r="AF2513" s="18" t="s">
        <v>52</v>
      </c>
      <c r="AG2513" s="18" t="s">
        <v>52</v>
      </c>
      <c r="AH2513" s="18" t="s">
        <v>52</v>
      </c>
      <c r="AI2513" s="18" t="s">
        <v>52</v>
      </c>
      <c r="AJ2513">
        <v>10</v>
      </c>
      <c r="AK2513">
        <v>9</v>
      </c>
      <c r="AL2513">
        <v>15</v>
      </c>
      <c r="AM2513">
        <v>12</v>
      </c>
      <c r="AN2513" s="18">
        <v>0</v>
      </c>
      <c r="AO2513" s="18">
        <v>0</v>
      </c>
      <c r="AP2513" s="18">
        <v>0</v>
      </c>
      <c r="AQ2513" s="18">
        <v>0</v>
      </c>
      <c r="AR2513" s="29">
        <v>0</v>
      </c>
      <c r="AS2513" s="29">
        <v>0</v>
      </c>
      <c r="AT2513" s="29">
        <v>0</v>
      </c>
      <c r="AU2513" s="24" t="str">
        <f t="shared" si="40"/>
        <v>库存为0</v>
      </c>
      <c r="AV2513" s="31" t="str">
        <f>IFERROR(时间!$B$4+AU2513,"上周无销量")</f>
        <v>上周无销量</v>
      </c>
    </row>
    <row r="2514" spans="1:48">
      <c r="A2514" s="16" t="s">
        <v>4290</v>
      </c>
      <c r="B2514" t="s">
        <v>4214</v>
      </c>
      <c r="C2514" t="s">
        <v>4265</v>
      </c>
      <c r="D2514" s="24">
        <v>0</v>
      </c>
      <c r="E2514" s="24">
        <v>0</v>
      </c>
      <c r="F2514" s="24">
        <v>0</v>
      </c>
      <c r="G2514" s="24">
        <v>0</v>
      </c>
      <c r="H2514" s="25">
        <v>0</v>
      </c>
      <c r="I2514">
        <v>0</v>
      </c>
      <c r="J2514" s="26">
        <v>0</v>
      </c>
      <c r="K2514" s="26">
        <v>0</v>
      </c>
      <c r="L2514" s="26">
        <v>0</v>
      </c>
      <c r="M2514">
        <v>0</v>
      </c>
      <c r="N2514">
        <v>0</v>
      </c>
      <c r="O2514">
        <v>0</v>
      </c>
      <c r="P2514" t="s">
        <v>52</v>
      </c>
      <c r="Q2514" t="s">
        <v>52</v>
      </c>
      <c r="R2514" t="s">
        <v>52</v>
      </c>
      <c r="S2514" t="s">
        <v>52</v>
      </c>
      <c r="T2514" t="s">
        <v>52</v>
      </c>
      <c r="U2514" t="s">
        <v>52</v>
      </c>
      <c r="V2514" t="s">
        <v>52</v>
      </c>
      <c r="W2514" t="s">
        <v>52</v>
      </c>
      <c r="X2514" s="18" t="s">
        <v>52</v>
      </c>
      <c r="Y2514" s="18" t="s">
        <v>52</v>
      </c>
      <c r="Z2514" s="18" t="s">
        <v>52</v>
      </c>
      <c r="AA2514" s="18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s="18" t="s">
        <v>52</v>
      </c>
      <c r="AG2514" s="18" t="s">
        <v>52</v>
      </c>
      <c r="AH2514" s="18" t="s">
        <v>52</v>
      </c>
      <c r="AI2514" s="18" t="s">
        <v>52</v>
      </c>
      <c r="AJ2514">
        <v>3</v>
      </c>
      <c r="AK2514">
        <v>4</v>
      </c>
      <c r="AL2514">
        <v>4</v>
      </c>
      <c r="AM2514">
        <v>3</v>
      </c>
      <c r="AN2514" s="18">
        <v>0</v>
      </c>
      <c r="AO2514" s="18">
        <v>0</v>
      </c>
      <c r="AP2514" s="18">
        <v>0</v>
      </c>
      <c r="AQ2514" s="18">
        <v>0</v>
      </c>
      <c r="AR2514" s="29">
        <v>0</v>
      </c>
      <c r="AS2514" s="29">
        <v>0</v>
      </c>
      <c r="AT2514" s="29">
        <v>0</v>
      </c>
      <c r="AU2514" s="24" t="str">
        <f t="shared" si="40"/>
        <v>库存为0</v>
      </c>
      <c r="AV2514" s="31" t="str">
        <f>IFERROR(时间!$B$4+AU2514,"上周无销量")</f>
        <v>上周无销量</v>
      </c>
    </row>
    <row r="2515" spans="1:48">
      <c r="A2515" s="16" t="s">
        <v>4291</v>
      </c>
      <c r="B2515" t="s">
        <v>4292</v>
      </c>
      <c r="C2515" t="s">
        <v>4293</v>
      </c>
      <c r="D2515" s="24">
        <v>0</v>
      </c>
      <c r="E2515" s="24">
        <v>0</v>
      </c>
      <c r="F2515" s="24">
        <v>0</v>
      </c>
      <c r="G2515" s="24">
        <v>0</v>
      </c>
      <c r="H2515" s="25">
        <v>0</v>
      </c>
      <c r="I2515">
        <v>0</v>
      </c>
      <c r="J2515" s="26">
        <v>0</v>
      </c>
      <c r="K2515" s="26">
        <v>0</v>
      </c>
      <c r="L2515" s="26">
        <v>0</v>
      </c>
      <c r="M2515">
        <v>0</v>
      </c>
      <c r="N2515">
        <v>0</v>
      </c>
      <c r="O2515">
        <v>0</v>
      </c>
      <c r="P2515" t="s">
        <v>52</v>
      </c>
      <c r="Q2515" t="s">
        <v>52</v>
      </c>
      <c r="R2515" t="s">
        <v>52</v>
      </c>
      <c r="S2515" t="s">
        <v>52</v>
      </c>
      <c r="T2515" t="s">
        <v>52</v>
      </c>
      <c r="U2515" t="s">
        <v>52</v>
      </c>
      <c r="V2515" t="s">
        <v>52</v>
      </c>
      <c r="W2515" t="s">
        <v>52</v>
      </c>
      <c r="X2515" s="18" t="s">
        <v>52</v>
      </c>
      <c r="Y2515" s="18" t="s">
        <v>52</v>
      </c>
      <c r="Z2515" s="18" t="s">
        <v>52</v>
      </c>
      <c r="AA2515" s="18" t="s">
        <v>52</v>
      </c>
      <c r="AB2515" t="s">
        <v>52</v>
      </c>
      <c r="AC2515" t="s">
        <v>52</v>
      </c>
      <c r="AD2515" t="s">
        <v>52</v>
      </c>
      <c r="AE2515" t="s">
        <v>52</v>
      </c>
      <c r="AF2515" s="18" t="s">
        <v>52</v>
      </c>
      <c r="AG2515" s="18" t="s">
        <v>52</v>
      </c>
      <c r="AH2515" s="18" t="s">
        <v>52</v>
      </c>
      <c r="AI2515" s="18" t="s">
        <v>52</v>
      </c>
      <c r="AJ2515">
        <v>0</v>
      </c>
      <c r="AK2515">
        <v>0</v>
      </c>
      <c r="AL2515">
        <v>0</v>
      </c>
      <c r="AM2515">
        <v>0</v>
      </c>
      <c r="AN2515" s="18" t="s">
        <v>52</v>
      </c>
      <c r="AO2515" s="18" t="s">
        <v>52</v>
      </c>
      <c r="AP2515" s="18" t="s">
        <v>52</v>
      </c>
      <c r="AQ2515" s="18" t="s">
        <v>52</v>
      </c>
      <c r="AR2515" s="29">
        <v>0</v>
      </c>
      <c r="AS2515" s="29">
        <v>0</v>
      </c>
      <c r="AT2515" s="29">
        <v>0</v>
      </c>
      <c r="AU2515" s="24" t="str">
        <f t="shared" si="40"/>
        <v>库存为0</v>
      </c>
      <c r="AV2515" s="31" t="str">
        <f>IFERROR(时间!$B$4+AU2515,"上周无销量")</f>
        <v>上周无销量</v>
      </c>
    </row>
    <row r="2516" spans="1:48">
      <c r="A2516" s="16" t="s">
        <v>4294</v>
      </c>
      <c r="B2516" t="s">
        <v>4295</v>
      </c>
      <c r="C2516" t="s">
        <v>4293</v>
      </c>
      <c r="D2516" s="24">
        <v>0</v>
      </c>
      <c r="E2516" s="24">
        <v>0</v>
      </c>
      <c r="F2516" s="24">
        <v>0</v>
      </c>
      <c r="G2516" s="24">
        <v>0</v>
      </c>
      <c r="H2516" s="25">
        <v>0</v>
      </c>
      <c r="I2516">
        <v>0</v>
      </c>
      <c r="J2516" s="26">
        <v>0</v>
      </c>
      <c r="K2516" s="26">
        <v>0</v>
      </c>
      <c r="L2516" s="26">
        <v>0</v>
      </c>
      <c r="M2516">
        <v>0</v>
      </c>
      <c r="N2516">
        <v>0</v>
      </c>
      <c r="O2516">
        <v>0</v>
      </c>
      <c r="P2516" t="s">
        <v>52</v>
      </c>
      <c r="Q2516" t="s">
        <v>52</v>
      </c>
      <c r="R2516" t="s">
        <v>52</v>
      </c>
      <c r="S2516" t="s">
        <v>52</v>
      </c>
      <c r="T2516" t="s">
        <v>52</v>
      </c>
      <c r="U2516" t="s">
        <v>52</v>
      </c>
      <c r="V2516" t="s">
        <v>52</v>
      </c>
      <c r="W2516" t="s">
        <v>52</v>
      </c>
      <c r="X2516" s="18" t="s">
        <v>52</v>
      </c>
      <c r="Y2516" s="18" t="s">
        <v>52</v>
      </c>
      <c r="Z2516" s="18" t="s">
        <v>52</v>
      </c>
      <c r="AA2516" s="18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s="18" t="s">
        <v>52</v>
      </c>
      <c r="AG2516" s="18" t="s">
        <v>52</v>
      </c>
      <c r="AH2516" s="18" t="s">
        <v>52</v>
      </c>
      <c r="AI2516" s="18" t="s">
        <v>52</v>
      </c>
      <c r="AJ2516">
        <v>0</v>
      </c>
      <c r="AK2516">
        <v>0</v>
      </c>
      <c r="AL2516">
        <v>0</v>
      </c>
      <c r="AM2516">
        <v>0</v>
      </c>
      <c r="AN2516" s="18" t="s">
        <v>52</v>
      </c>
      <c r="AO2516" s="18" t="s">
        <v>52</v>
      </c>
      <c r="AP2516" s="18" t="s">
        <v>52</v>
      </c>
      <c r="AQ2516" s="18" t="s">
        <v>52</v>
      </c>
      <c r="AR2516" s="29">
        <v>0</v>
      </c>
      <c r="AS2516" s="29">
        <v>0</v>
      </c>
      <c r="AT2516" s="29">
        <v>0</v>
      </c>
      <c r="AU2516" s="24" t="str">
        <f t="shared" si="40"/>
        <v>库存为0</v>
      </c>
      <c r="AV2516" s="31" t="str">
        <f>IFERROR(时间!$B$4+AU2516,"上周无销量")</f>
        <v>上周无销量</v>
      </c>
    </row>
    <row r="2517" spans="1:48">
      <c r="A2517" s="16" t="s">
        <v>4296</v>
      </c>
      <c r="B2517" t="s">
        <v>4297</v>
      </c>
      <c r="C2517" t="s">
        <v>4293</v>
      </c>
      <c r="D2517" s="24">
        <v>0</v>
      </c>
      <c r="E2517" s="24">
        <v>0</v>
      </c>
      <c r="F2517" s="24">
        <v>0</v>
      </c>
      <c r="G2517" s="24">
        <v>0</v>
      </c>
      <c r="H2517" s="25">
        <v>0</v>
      </c>
      <c r="I2517">
        <v>0</v>
      </c>
      <c r="J2517" s="26">
        <v>0</v>
      </c>
      <c r="K2517" s="26">
        <v>0</v>
      </c>
      <c r="L2517" s="26">
        <v>0</v>
      </c>
      <c r="M2517">
        <v>0</v>
      </c>
      <c r="N2517">
        <v>0</v>
      </c>
      <c r="O2517">
        <v>0</v>
      </c>
      <c r="P2517" t="s">
        <v>52</v>
      </c>
      <c r="Q2517" t="s">
        <v>52</v>
      </c>
      <c r="R2517" t="s">
        <v>52</v>
      </c>
      <c r="S2517" t="s">
        <v>52</v>
      </c>
      <c r="T2517" t="s">
        <v>52</v>
      </c>
      <c r="U2517" t="s">
        <v>52</v>
      </c>
      <c r="V2517" t="s">
        <v>52</v>
      </c>
      <c r="W2517" t="s">
        <v>52</v>
      </c>
      <c r="X2517" s="18" t="s">
        <v>52</v>
      </c>
      <c r="Y2517" s="18" t="s">
        <v>52</v>
      </c>
      <c r="Z2517" s="18" t="s">
        <v>52</v>
      </c>
      <c r="AA2517" s="18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s="18" t="s">
        <v>52</v>
      </c>
      <c r="AG2517" s="18" t="s">
        <v>52</v>
      </c>
      <c r="AH2517" s="18" t="s">
        <v>52</v>
      </c>
      <c r="AI2517" s="18" t="s">
        <v>52</v>
      </c>
      <c r="AJ2517">
        <v>0</v>
      </c>
      <c r="AK2517">
        <v>0</v>
      </c>
      <c r="AL2517">
        <v>0</v>
      </c>
      <c r="AM2517">
        <v>0</v>
      </c>
      <c r="AN2517" s="18" t="s">
        <v>52</v>
      </c>
      <c r="AO2517" s="18" t="s">
        <v>52</v>
      </c>
      <c r="AP2517" s="18" t="s">
        <v>52</v>
      </c>
      <c r="AQ2517" s="18" t="s">
        <v>52</v>
      </c>
      <c r="AR2517" s="29">
        <v>0</v>
      </c>
      <c r="AS2517" s="29">
        <v>0</v>
      </c>
      <c r="AT2517" s="29">
        <v>0</v>
      </c>
      <c r="AU2517" s="24" t="str">
        <f t="shared" si="40"/>
        <v>库存为0</v>
      </c>
      <c r="AV2517" s="31" t="str">
        <f>IFERROR(时间!$B$4+AU2517,"上周无销量")</f>
        <v>上周无销量</v>
      </c>
    </row>
    <row r="2518" spans="1:48">
      <c r="A2518" s="16" t="s">
        <v>4298</v>
      </c>
      <c r="B2518" t="s">
        <v>4299</v>
      </c>
      <c r="C2518" t="s">
        <v>4293</v>
      </c>
      <c r="D2518" s="24">
        <v>0</v>
      </c>
      <c r="E2518" s="24">
        <v>0</v>
      </c>
      <c r="F2518" s="24">
        <v>0</v>
      </c>
      <c r="G2518" s="24">
        <v>0</v>
      </c>
      <c r="H2518" s="25">
        <v>0</v>
      </c>
      <c r="I2518">
        <v>0</v>
      </c>
      <c r="J2518" s="26">
        <v>0</v>
      </c>
      <c r="K2518" s="26">
        <v>0</v>
      </c>
      <c r="L2518" s="26">
        <v>0</v>
      </c>
      <c r="M2518">
        <v>0</v>
      </c>
      <c r="N2518">
        <v>0</v>
      </c>
      <c r="O2518">
        <v>0</v>
      </c>
      <c r="P2518" t="s">
        <v>52</v>
      </c>
      <c r="Q2518" t="s">
        <v>52</v>
      </c>
      <c r="R2518" t="s">
        <v>52</v>
      </c>
      <c r="S2518" t="s">
        <v>52</v>
      </c>
      <c r="T2518" t="s">
        <v>52</v>
      </c>
      <c r="U2518" t="s">
        <v>52</v>
      </c>
      <c r="V2518" t="s">
        <v>52</v>
      </c>
      <c r="W2518" t="s">
        <v>52</v>
      </c>
      <c r="X2518" s="18" t="s">
        <v>52</v>
      </c>
      <c r="Y2518" s="18" t="s">
        <v>52</v>
      </c>
      <c r="Z2518" s="18" t="s">
        <v>52</v>
      </c>
      <c r="AA2518" s="18" t="s">
        <v>52</v>
      </c>
      <c r="AB2518" t="s">
        <v>52</v>
      </c>
      <c r="AC2518" t="s">
        <v>52</v>
      </c>
      <c r="AD2518" t="s">
        <v>52</v>
      </c>
      <c r="AE2518" t="s">
        <v>52</v>
      </c>
      <c r="AF2518" s="18" t="s">
        <v>52</v>
      </c>
      <c r="AG2518" s="18" t="s">
        <v>52</v>
      </c>
      <c r="AH2518" s="18" t="s">
        <v>52</v>
      </c>
      <c r="AI2518" s="18" t="s">
        <v>52</v>
      </c>
      <c r="AJ2518">
        <v>0</v>
      </c>
      <c r="AK2518">
        <v>0</v>
      </c>
      <c r="AL2518">
        <v>0</v>
      </c>
      <c r="AM2518">
        <v>0</v>
      </c>
      <c r="AN2518" s="18" t="s">
        <v>52</v>
      </c>
      <c r="AO2518" s="18" t="s">
        <v>52</v>
      </c>
      <c r="AP2518" s="18" t="s">
        <v>52</v>
      </c>
      <c r="AQ2518" s="18" t="s">
        <v>52</v>
      </c>
      <c r="AR2518" s="29">
        <v>0</v>
      </c>
      <c r="AS2518" s="29">
        <v>0</v>
      </c>
      <c r="AT2518" s="29">
        <v>0</v>
      </c>
      <c r="AU2518" s="24" t="str">
        <f t="shared" si="40"/>
        <v>库存为0</v>
      </c>
      <c r="AV2518" s="31" t="str">
        <f>IFERROR(时间!$B$4+AU2518,"上周无销量")</f>
        <v>上周无销量</v>
      </c>
    </row>
    <row r="2519" spans="1:48">
      <c r="A2519" s="16" t="s">
        <v>4300</v>
      </c>
      <c r="B2519" t="s">
        <v>4301</v>
      </c>
      <c r="C2519" t="s">
        <v>4293</v>
      </c>
      <c r="D2519" s="24">
        <v>0</v>
      </c>
      <c r="E2519" s="24">
        <v>0</v>
      </c>
      <c r="F2519" s="24">
        <v>0</v>
      </c>
      <c r="G2519" s="24">
        <v>0</v>
      </c>
      <c r="H2519" s="25">
        <v>0</v>
      </c>
      <c r="I2519">
        <v>0</v>
      </c>
      <c r="J2519" s="26">
        <v>0</v>
      </c>
      <c r="K2519" s="26">
        <v>0</v>
      </c>
      <c r="L2519" s="26">
        <v>0</v>
      </c>
      <c r="M2519">
        <v>0</v>
      </c>
      <c r="N2519">
        <v>0</v>
      </c>
      <c r="O2519">
        <v>0</v>
      </c>
      <c r="P2519" t="s">
        <v>52</v>
      </c>
      <c r="Q2519" t="s">
        <v>52</v>
      </c>
      <c r="R2519" t="s">
        <v>52</v>
      </c>
      <c r="S2519" t="s">
        <v>52</v>
      </c>
      <c r="T2519" t="s">
        <v>52</v>
      </c>
      <c r="U2519" t="s">
        <v>52</v>
      </c>
      <c r="V2519" t="s">
        <v>52</v>
      </c>
      <c r="W2519" t="s">
        <v>52</v>
      </c>
      <c r="X2519" s="18" t="s">
        <v>52</v>
      </c>
      <c r="Y2519" s="18" t="s">
        <v>52</v>
      </c>
      <c r="Z2519" s="18" t="s">
        <v>52</v>
      </c>
      <c r="AA2519" s="18" t="s">
        <v>52</v>
      </c>
      <c r="AB2519" t="s">
        <v>52</v>
      </c>
      <c r="AC2519" t="s">
        <v>52</v>
      </c>
      <c r="AD2519" t="s">
        <v>52</v>
      </c>
      <c r="AE2519" t="s">
        <v>52</v>
      </c>
      <c r="AF2519" s="18" t="s">
        <v>52</v>
      </c>
      <c r="AG2519" s="18" t="s">
        <v>52</v>
      </c>
      <c r="AH2519" s="18" t="s">
        <v>52</v>
      </c>
      <c r="AI2519" s="18" t="s">
        <v>52</v>
      </c>
      <c r="AJ2519">
        <v>0</v>
      </c>
      <c r="AK2519">
        <v>0</v>
      </c>
      <c r="AL2519">
        <v>0</v>
      </c>
      <c r="AM2519">
        <v>0</v>
      </c>
      <c r="AN2519" s="18" t="s">
        <v>52</v>
      </c>
      <c r="AO2519" s="18" t="s">
        <v>52</v>
      </c>
      <c r="AP2519" s="18" t="s">
        <v>52</v>
      </c>
      <c r="AQ2519" s="18" t="s">
        <v>52</v>
      </c>
      <c r="AR2519" s="29">
        <v>0</v>
      </c>
      <c r="AS2519" s="29">
        <v>0</v>
      </c>
      <c r="AT2519" s="29">
        <v>0</v>
      </c>
      <c r="AU2519" s="24" t="str">
        <f t="shared" si="40"/>
        <v>库存为0</v>
      </c>
      <c r="AV2519" s="31" t="str">
        <f>IFERROR(时间!$B$4+AU2519,"上周无销量")</f>
        <v>上周无销量</v>
      </c>
    </row>
    <row r="2520" spans="1:48">
      <c r="A2520" s="16" t="s">
        <v>4302</v>
      </c>
      <c r="B2520" t="s">
        <v>4303</v>
      </c>
      <c r="C2520" t="s">
        <v>4304</v>
      </c>
      <c r="D2520" s="24">
        <v>0</v>
      </c>
      <c r="E2520" s="24">
        <v>0</v>
      </c>
      <c r="F2520" s="24">
        <v>1</v>
      </c>
      <c r="G2520" s="24">
        <v>1</v>
      </c>
      <c r="H2520" s="25">
        <v>25</v>
      </c>
      <c r="I2520">
        <v>0</v>
      </c>
      <c r="J2520" s="26">
        <v>0</v>
      </c>
      <c r="K2520" s="26">
        <v>0</v>
      </c>
      <c r="L2520" s="26">
        <v>0</v>
      </c>
      <c r="M2520">
        <v>0</v>
      </c>
      <c r="N2520">
        <v>0</v>
      </c>
      <c r="O2520">
        <v>0</v>
      </c>
      <c r="P2520" t="s">
        <v>52</v>
      </c>
      <c r="Q2520" t="s">
        <v>52</v>
      </c>
      <c r="R2520" t="s">
        <v>52</v>
      </c>
      <c r="S2520" t="s">
        <v>52</v>
      </c>
      <c r="T2520" t="s">
        <v>52</v>
      </c>
      <c r="U2520" t="s">
        <v>52</v>
      </c>
      <c r="V2520" t="s">
        <v>52</v>
      </c>
      <c r="W2520" t="s">
        <v>52</v>
      </c>
      <c r="X2520" s="18" t="s">
        <v>52</v>
      </c>
      <c r="Y2520" s="18" t="s">
        <v>52</v>
      </c>
      <c r="Z2520" s="18" t="s">
        <v>52</v>
      </c>
      <c r="AA2520" s="18" t="s">
        <v>52</v>
      </c>
      <c r="AB2520" t="s">
        <v>52</v>
      </c>
      <c r="AC2520" t="s">
        <v>52</v>
      </c>
      <c r="AD2520" t="s">
        <v>52</v>
      </c>
      <c r="AE2520" t="s">
        <v>52</v>
      </c>
      <c r="AF2520" s="18" t="s">
        <v>52</v>
      </c>
      <c r="AG2520" s="18" t="s">
        <v>52</v>
      </c>
      <c r="AH2520" s="18" t="s">
        <v>52</v>
      </c>
      <c r="AI2520" s="18" t="s">
        <v>52</v>
      </c>
      <c r="AJ2520">
        <v>0</v>
      </c>
      <c r="AK2520">
        <v>0</v>
      </c>
      <c r="AL2520">
        <v>0</v>
      </c>
      <c r="AM2520">
        <v>0</v>
      </c>
      <c r="AN2520" s="18" t="s">
        <v>52</v>
      </c>
      <c r="AO2520" s="18" t="s">
        <v>52</v>
      </c>
      <c r="AP2520" s="18" t="s">
        <v>52</v>
      </c>
      <c r="AQ2520" s="18" t="s">
        <v>52</v>
      </c>
      <c r="AR2520" s="29">
        <v>0</v>
      </c>
      <c r="AS2520" s="29">
        <v>0</v>
      </c>
      <c r="AT2520" s="29">
        <v>0</v>
      </c>
      <c r="AU2520" s="24" t="str">
        <f t="shared" si="40"/>
        <v>库存为0</v>
      </c>
      <c r="AV2520" s="31" t="str">
        <f>IFERROR(时间!$B$4+AU2520,"上周无销量")</f>
        <v>上周无销量</v>
      </c>
    </row>
    <row r="2521" spans="1:48">
      <c r="A2521" s="16" t="s">
        <v>4305</v>
      </c>
      <c r="B2521" t="s">
        <v>4306</v>
      </c>
      <c r="C2521" t="s">
        <v>4304</v>
      </c>
      <c r="D2521" s="24">
        <v>0</v>
      </c>
      <c r="E2521" s="24">
        <v>0</v>
      </c>
      <c r="F2521" s="24">
        <v>2</v>
      </c>
      <c r="G2521" s="24">
        <v>0</v>
      </c>
      <c r="H2521" s="25">
        <v>25</v>
      </c>
      <c r="I2521">
        <v>0</v>
      </c>
      <c r="J2521" s="26">
        <v>0</v>
      </c>
      <c r="K2521" s="26">
        <v>0</v>
      </c>
      <c r="L2521" s="26">
        <v>0</v>
      </c>
      <c r="M2521">
        <v>0</v>
      </c>
      <c r="N2521">
        <v>0</v>
      </c>
      <c r="O2521">
        <v>0</v>
      </c>
      <c r="P2521" t="s">
        <v>52</v>
      </c>
      <c r="Q2521" t="s">
        <v>52</v>
      </c>
      <c r="R2521" t="s">
        <v>52</v>
      </c>
      <c r="S2521" t="s">
        <v>52</v>
      </c>
      <c r="T2521" t="s">
        <v>52</v>
      </c>
      <c r="U2521" t="s">
        <v>52</v>
      </c>
      <c r="V2521" t="s">
        <v>52</v>
      </c>
      <c r="W2521" t="s">
        <v>52</v>
      </c>
      <c r="X2521" s="18" t="s">
        <v>52</v>
      </c>
      <c r="Y2521" s="18" t="s">
        <v>52</v>
      </c>
      <c r="Z2521" s="18" t="s">
        <v>52</v>
      </c>
      <c r="AA2521" s="18" t="s">
        <v>52</v>
      </c>
      <c r="AB2521" t="s">
        <v>52</v>
      </c>
      <c r="AC2521" t="s">
        <v>52</v>
      </c>
      <c r="AD2521" t="s">
        <v>52</v>
      </c>
      <c r="AE2521" t="s">
        <v>52</v>
      </c>
      <c r="AF2521" s="18" t="s">
        <v>52</v>
      </c>
      <c r="AG2521" s="18" t="s">
        <v>52</v>
      </c>
      <c r="AH2521" s="18" t="s">
        <v>52</v>
      </c>
      <c r="AI2521" s="18" t="s">
        <v>52</v>
      </c>
      <c r="AJ2521">
        <v>0</v>
      </c>
      <c r="AK2521">
        <v>0</v>
      </c>
      <c r="AL2521">
        <v>0</v>
      </c>
      <c r="AM2521">
        <v>1</v>
      </c>
      <c r="AN2521" s="18" t="s">
        <v>52</v>
      </c>
      <c r="AO2521" s="18" t="s">
        <v>52</v>
      </c>
      <c r="AP2521" s="18" t="s">
        <v>52</v>
      </c>
      <c r="AQ2521" s="18">
        <v>0</v>
      </c>
      <c r="AR2521" s="29">
        <v>0</v>
      </c>
      <c r="AS2521" s="29">
        <v>0</v>
      </c>
      <c r="AT2521" s="29">
        <v>0</v>
      </c>
      <c r="AU2521" s="24" t="str">
        <f t="shared" si="40"/>
        <v>库存为0</v>
      </c>
      <c r="AV2521" s="31" t="str">
        <f>IFERROR(时间!$B$4+AU2521,"上周无销量")</f>
        <v>上周无销量</v>
      </c>
    </row>
    <row r="2522" spans="1:48">
      <c r="A2522" s="16" t="s">
        <v>4307</v>
      </c>
      <c r="B2522" t="s">
        <v>4308</v>
      </c>
      <c r="C2522" t="s">
        <v>4304</v>
      </c>
      <c r="D2522" s="24">
        <v>0</v>
      </c>
      <c r="E2522" s="24">
        <v>0</v>
      </c>
      <c r="F2522" s="24">
        <v>0</v>
      </c>
      <c r="G2522" s="24">
        <v>0</v>
      </c>
      <c r="H2522" s="25">
        <v>0</v>
      </c>
      <c r="I2522">
        <v>0</v>
      </c>
      <c r="J2522" s="26">
        <v>0</v>
      </c>
      <c r="K2522" s="26">
        <v>0</v>
      </c>
      <c r="L2522" s="26">
        <v>0</v>
      </c>
      <c r="M2522">
        <v>0</v>
      </c>
      <c r="N2522">
        <v>0</v>
      </c>
      <c r="O2522">
        <v>0</v>
      </c>
      <c r="P2522" t="s">
        <v>52</v>
      </c>
      <c r="Q2522" t="s">
        <v>52</v>
      </c>
      <c r="R2522" t="s">
        <v>52</v>
      </c>
      <c r="S2522" t="s">
        <v>52</v>
      </c>
      <c r="T2522" t="s">
        <v>52</v>
      </c>
      <c r="U2522" t="s">
        <v>52</v>
      </c>
      <c r="V2522" t="s">
        <v>52</v>
      </c>
      <c r="W2522" t="s">
        <v>52</v>
      </c>
      <c r="X2522" s="18" t="s">
        <v>52</v>
      </c>
      <c r="Y2522" s="18" t="s">
        <v>52</v>
      </c>
      <c r="Z2522" s="18" t="s">
        <v>52</v>
      </c>
      <c r="AA2522" s="18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s="18" t="s">
        <v>52</v>
      </c>
      <c r="AG2522" s="18" t="s">
        <v>52</v>
      </c>
      <c r="AH2522" s="18" t="s">
        <v>52</v>
      </c>
      <c r="AI2522" s="18" t="s">
        <v>52</v>
      </c>
      <c r="AJ2522">
        <v>0</v>
      </c>
      <c r="AK2522">
        <v>0</v>
      </c>
      <c r="AL2522">
        <v>0</v>
      </c>
      <c r="AM2522">
        <v>0</v>
      </c>
      <c r="AN2522" s="18" t="s">
        <v>52</v>
      </c>
      <c r="AO2522" s="18" t="s">
        <v>52</v>
      </c>
      <c r="AP2522" s="18" t="s">
        <v>52</v>
      </c>
      <c r="AQ2522" s="18" t="s">
        <v>52</v>
      </c>
      <c r="AR2522" s="29">
        <v>0</v>
      </c>
      <c r="AS2522" s="29">
        <v>0</v>
      </c>
      <c r="AT2522" s="29">
        <v>0</v>
      </c>
      <c r="AU2522" s="24" t="str">
        <f t="shared" si="40"/>
        <v>库存为0</v>
      </c>
      <c r="AV2522" s="31" t="str">
        <f>IFERROR(时间!$B$4+AU2522,"上周无销量")</f>
        <v>上周无销量</v>
      </c>
    </row>
    <row r="2523" spans="1:48">
      <c r="A2523" s="16" t="s">
        <v>4309</v>
      </c>
      <c r="B2523" t="s">
        <v>4310</v>
      </c>
      <c r="C2523" t="s">
        <v>4304</v>
      </c>
      <c r="D2523" s="24">
        <v>0</v>
      </c>
      <c r="E2523" s="24">
        <v>2</v>
      </c>
      <c r="F2523" s="24">
        <v>0</v>
      </c>
      <c r="G2523" s="24">
        <v>0</v>
      </c>
      <c r="H2523" s="25">
        <v>25</v>
      </c>
      <c r="I2523">
        <v>0</v>
      </c>
      <c r="J2523" s="26">
        <v>0</v>
      </c>
      <c r="K2523" s="26">
        <v>0</v>
      </c>
      <c r="L2523" s="26">
        <v>0</v>
      </c>
      <c r="M2523">
        <v>0</v>
      </c>
      <c r="N2523">
        <v>0</v>
      </c>
      <c r="O2523">
        <v>0</v>
      </c>
      <c r="P2523">
        <v>102</v>
      </c>
      <c r="Q2523">
        <v>762</v>
      </c>
      <c r="R2523">
        <v>535</v>
      </c>
      <c r="S2523">
        <v>814</v>
      </c>
      <c r="T2523">
        <v>1</v>
      </c>
      <c r="U2523">
        <v>2</v>
      </c>
      <c r="V2523">
        <v>4</v>
      </c>
      <c r="W2523">
        <v>2</v>
      </c>
      <c r="X2523" s="18">
        <v>0.00980392156862745</v>
      </c>
      <c r="Y2523" s="18">
        <v>0.0026246719160105</v>
      </c>
      <c r="Z2523" s="18">
        <v>0.00747663551401869</v>
      </c>
      <c r="AA2523" s="18">
        <v>0.00245700245700246</v>
      </c>
      <c r="AB2523">
        <v>0.28</v>
      </c>
      <c r="AC2523">
        <v>0.54</v>
      </c>
      <c r="AD2523">
        <v>1.97</v>
      </c>
      <c r="AE2523">
        <v>0.95</v>
      </c>
      <c r="AF2523" s="18" t="s">
        <v>4311</v>
      </c>
      <c r="AG2523" s="18">
        <v>0.0108</v>
      </c>
      <c r="AH2523" s="18" t="s">
        <v>4312</v>
      </c>
      <c r="AI2523" s="18" t="s">
        <v>4313</v>
      </c>
      <c r="AJ2523">
        <v>0</v>
      </c>
      <c r="AK2523">
        <v>1</v>
      </c>
      <c r="AL2523">
        <v>4</v>
      </c>
      <c r="AM2523">
        <v>3</v>
      </c>
      <c r="AN2523" s="18" t="s">
        <v>52</v>
      </c>
      <c r="AO2523" s="18">
        <v>2</v>
      </c>
      <c r="AP2523" s="18">
        <v>0</v>
      </c>
      <c r="AQ2523" s="18">
        <v>0</v>
      </c>
      <c r="AR2523" s="29">
        <v>0</v>
      </c>
      <c r="AS2523" s="29">
        <v>0</v>
      </c>
      <c r="AT2523" s="29">
        <v>0</v>
      </c>
      <c r="AU2523" s="24" t="str">
        <f t="shared" si="40"/>
        <v>库存为0</v>
      </c>
      <c r="AV2523" s="31" t="str">
        <f>IFERROR(时间!$B$4+AU2523,"上周无销量")</f>
        <v>上周无销量</v>
      </c>
    </row>
    <row r="2524" spans="1:48">
      <c r="A2524" s="16" t="s">
        <v>4314</v>
      </c>
      <c r="B2524" t="s">
        <v>4315</v>
      </c>
      <c r="C2524" t="s">
        <v>4304</v>
      </c>
      <c r="D2524" s="24">
        <v>0</v>
      </c>
      <c r="E2524" s="24">
        <v>1</v>
      </c>
      <c r="F2524" s="24">
        <v>0</v>
      </c>
      <c r="G2524" s="24">
        <v>0</v>
      </c>
      <c r="H2524" s="25">
        <v>25</v>
      </c>
      <c r="I2524">
        <v>2</v>
      </c>
      <c r="J2524" s="26">
        <v>0</v>
      </c>
      <c r="K2524" s="26">
        <v>0</v>
      </c>
      <c r="L2524" s="26">
        <v>0</v>
      </c>
      <c r="M2524">
        <v>2</v>
      </c>
      <c r="N2524">
        <v>0</v>
      </c>
      <c r="O2524">
        <v>2</v>
      </c>
      <c r="P2524" t="s">
        <v>52</v>
      </c>
      <c r="Q2524" t="s">
        <v>52</v>
      </c>
      <c r="R2524" t="s">
        <v>52</v>
      </c>
      <c r="S2524" t="s">
        <v>52</v>
      </c>
      <c r="T2524" t="s">
        <v>52</v>
      </c>
      <c r="U2524" t="s">
        <v>52</v>
      </c>
      <c r="V2524" t="s">
        <v>52</v>
      </c>
      <c r="W2524" t="s">
        <v>52</v>
      </c>
      <c r="X2524" s="18" t="s">
        <v>52</v>
      </c>
      <c r="Y2524" s="18" t="s">
        <v>52</v>
      </c>
      <c r="Z2524" s="18" t="s">
        <v>52</v>
      </c>
      <c r="AA2524" s="18" t="s">
        <v>52</v>
      </c>
      <c r="AB2524" t="s">
        <v>52</v>
      </c>
      <c r="AC2524" t="s">
        <v>52</v>
      </c>
      <c r="AD2524" t="s">
        <v>52</v>
      </c>
      <c r="AE2524" t="s">
        <v>52</v>
      </c>
      <c r="AF2524" s="18" t="s">
        <v>52</v>
      </c>
      <c r="AG2524" s="18" t="s">
        <v>52</v>
      </c>
      <c r="AH2524" s="18" t="s">
        <v>52</v>
      </c>
      <c r="AI2524" s="18" t="s">
        <v>52</v>
      </c>
      <c r="AJ2524">
        <v>13</v>
      </c>
      <c r="AK2524">
        <v>5</v>
      </c>
      <c r="AL2524">
        <v>3</v>
      </c>
      <c r="AM2524">
        <v>2</v>
      </c>
      <c r="AN2524" s="18">
        <v>0</v>
      </c>
      <c r="AO2524" s="18">
        <v>0.2</v>
      </c>
      <c r="AP2524" s="18">
        <v>0</v>
      </c>
      <c r="AQ2524" s="18">
        <v>0</v>
      </c>
      <c r="AR2524" s="29">
        <v>0</v>
      </c>
      <c r="AS2524" s="29">
        <v>0</v>
      </c>
      <c r="AT2524" s="29">
        <v>2</v>
      </c>
      <c r="AU2524" s="24" t="str">
        <f t="shared" si="40"/>
        <v>库存为2</v>
      </c>
      <c r="AV2524" s="31" t="str">
        <f>IFERROR(时间!$B$4+AU2524,"上周无销量")</f>
        <v>上周无销量</v>
      </c>
    </row>
    <row r="2525" spans="1:48">
      <c r="A2525" s="16" t="s">
        <v>4316</v>
      </c>
      <c r="B2525" t="s">
        <v>4317</v>
      </c>
      <c r="C2525" t="s">
        <v>4318</v>
      </c>
      <c r="D2525" s="24">
        <v>0</v>
      </c>
      <c r="E2525" s="24">
        <v>0</v>
      </c>
      <c r="F2525" s="24">
        <v>0</v>
      </c>
      <c r="G2525" s="24">
        <v>0</v>
      </c>
      <c r="H2525" s="25">
        <v>0</v>
      </c>
      <c r="I2525">
        <v>1</v>
      </c>
      <c r="J2525" s="26">
        <v>0</v>
      </c>
      <c r="K2525" s="26">
        <v>0</v>
      </c>
      <c r="L2525" s="26">
        <v>0</v>
      </c>
      <c r="M2525">
        <v>1</v>
      </c>
      <c r="N2525">
        <v>0</v>
      </c>
      <c r="O2525">
        <v>1</v>
      </c>
      <c r="P2525" t="s">
        <v>52</v>
      </c>
      <c r="Q2525" t="s">
        <v>52</v>
      </c>
      <c r="R2525" t="s">
        <v>52</v>
      </c>
      <c r="S2525" t="s">
        <v>52</v>
      </c>
      <c r="T2525" t="s">
        <v>52</v>
      </c>
      <c r="U2525" t="s">
        <v>52</v>
      </c>
      <c r="V2525" t="s">
        <v>52</v>
      </c>
      <c r="W2525" t="s">
        <v>52</v>
      </c>
      <c r="X2525" s="18" t="s">
        <v>52</v>
      </c>
      <c r="Y2525" s="18" t="s">
        <v>52</v>
      </c>
      <c r="Z2525" s="18" t="s">
        <v>52</v>
      </c>
      <c r="AA2525" s="18" t="s">
        <v>52</v>
      </c>
      <c r="AB2525" t="s">
        <v>52</v>
      </c>
      <c r="AC2525" t="s">
        <v>52</v>
      </c>
      <c r="AD2525" t="s">
        <v>52</v>
      </c>
      <c r="AE2525" t="s">
        <v>52</v>
      </c>
      <c r="AF2525" s="18" t="s">
        <v>52</v>
      </c>
      <c r="AG2525" s="18" t="s">
        <v>52</v>
      </c>
      <c r="AH2525" s="18" t="s">
        <v>52</v>
      </c>
      <c r="AI2525" s="18" t="s">
        <v>52</v>
      </c>
      <c r="AJ2525">
        <v>8</v>
      </c>
      <c r="AK2525">
        <v>5</v>
      </c>
      <c r="AL2525">
        <v>5</v>
      </c>
      <c r="AM2525">
        <v>6</v>
      </c>
      <c r="AN2525" s="18">
        <v>0</v>
      </c>
      <c r="AO2525" s="18">
        <v>0</v>
      </c>
      <c r="AP2525" s="18">
        <v>0</v>
      </c>
      <c r="AQ2525" s="18">
        <v>0</v>
      </c>
      <c r="AR2525" s="29">
        <v>0</v>
      </c>
      <c r="AS2525" s="29">
        <v>0</v>
      </c>
      <c r="AT2525" s="29">
        <v>1</v>
      </c>
      <c r="AU2525" s="24" t="str">
        <f t="shared" si="40"/>
        <v>库存为1</v>
      </c>
      <c r="AV2525" s="31" t="str">
        <f>IFERROR(时间!$B$4+AU2525,"上周无销量")</f>
        <v>上周无销量</v>
      </c>
    </row>
    <row r="2526" spans="1:48">
      <c r="A2526" s="16" t="s">
        <v>4319</v>
      </c>
      <c r="B2526" t="s">
        <v>4320</v>
      </c>
      <c r="C2526" t="s">
        <v>4318</v>
      </c>
      <c r="D2526" s="24">
        <v>0</v>
      </c>
      <c r="E2526" s="24">
        <v>0</v>
      </c>
      <c r="F2526" s="24">
        <v>1</v>
      </c>
      <c r="G2526" s="24">
        <v>0</v>
      </c>
      <c r="H2526" s="25">
        <v>25</v>
      </c>
      <c r="I2526">
        <v>1</v>
      </c>
      <c r="J2526" s="26">
        <v>0</v>
      </c>
      <c r="K2526" s="26">
        <v>0</v>
      </c>
      <c r="L2526" s="26">
        <v>0</v>
      </c>
      <c r="M2526">
        <v>1</v>
      </c>
      <c r="N2526">
        <v>0</v>
      </c>
      <c r="O2526">
        <v>1</v>
      </c>
      <c r="P2526" t="s">
        <v>52</v>
      </c>
      <c r="Q2526" t="s">
        <v>52</v>
      </c>
      <c r="R2526" t="s">
        <v>52</v>
      </c>
      <c r="S2526" t="s">
        <v>52</v>
      </c>
      <c r="T2526" t="s">
        <v>52</v>
      </c>
      <c r="U2526" t="s">
        <v>52</v>
      </c>
      <c r="V2526" t="s">
        <v>52</v>
      </c>
      <c r="W2526" t="s">
        <v>52</v>
      </c>
      <c r="X2526" s="18" t="s">
        <v>52</v>
      </c>
      <c r="Y2526" s="18" t="s">
        <v>52</v>
      </c>
      <c r="Z2526" s="18" t="s">
        <v>52</v>
      </c>
      <c r="AA2526" s="18" t="s">
        <v>52</v>
      </c>
      <c r="AB2526" t="s">
        <v>52</v>
      </c>
      <c r="AC2526" t="s">
        <v>52</v>
      </c>
      <c r="AD2526" t="s">
        <v>52</v>
      </c>
      <c r="AE2526" t="s">
        <v>52</v>
      </c>
      <c r="AF2526" s="18" t="s">
        <v>52</v>
      </c>
      <c r="AG2526" s="18" t="s">
        <v>52</v>
      </c>
      <c r="AH2526" s="18" t="s">
        <v>52</v>
      </c>
      <c r="AI2526" s="18" t="s">
        <v>52</v>
      </c>
      <c r="AJ2526">
        <v>2</v>
      </c>
      <c r="AK2526">
        <v>3</v>
      </c>
      <c r="AL2526">
        <v>3</v>
      </c>
      <c r="AM2526">
        <v>1</v>
      </c>
      <c r="AN2526" s="18">
        <v>0</v>
      </c>
      <c r="AO2526" s="18">
        <v>0</v>
      </c>
      <c r="AP2526" s="18">
        <v>0.333333333333333</v>
      </c>
      <c r="AQ2526" s="18">
        <v>0</v>
      </c>
      <c r="AR2526" s="29">
        <v>0</v>
      </c>
      <c r="AS2526" s="29">
        <v>0</v>
      </c>
      <c r="AT2526" s="29">
        <v>1</v>
      </c>
      <c r="AU2526" s="24" t="str">
        <f t="shared" si="40"/>
        <v>库存为1</v>
      </c>
      <c r="AV2526" s="31" t="str">
        <f>IFERROR(时间!$B$4+AU2526,"上周无销量")</f>
        <v>上周无销量</v>
      </c>
    </row>
    <row r="2527" spans="1:48">
      <c r="A2527" s="16" t="s">
        <v>4321</v>
      </c>
      <c r="B2527" t="s">
        <v>4322</v>
      </c>
      <c r="C2527" t="s">
        <v>4318</v>
      </c>
      <c r="D2527" s="24">
        <v>0</v>
      </c>
      <c r="E2527" s="24">
        <v>0</v>
      </c>
      <c r="F2527" s="24">
        <v>1</v>
      </c>
      <c r="G2527" s="24">
        <v>0</v>
      </c>
      <c r="H2527" s="25">
        <v>25</v>
      </c>
      <c r="I2527">
        <v>0</v>
      </c>
      <c r="J2527" s="26">
        <v>0</v>
      </c>
      <c r="K2527" s="26">
        <v>0</v>
      </c>
      <c r="L2527" s="26">
        <v>0</v>
      </c>
      <c r="M2527">
        <v>0</v>
      </c>
      <c r="N2527">
        <v>0</v>
      </c>
      <c r="O2527">
        <v>1</v>
      </c>
      <c r="P2527">
        <v>1486</v>
      </c>
      <c r="Q2527">
        <v>3530</v>
      </c>
      <c r="R2527">
        <v>2557</v>
      </c>
      <c r="S2527">
        <v>2415</v>
      </c>
      <c r="T2527">
        <v>3</v>
      </c>
      <c r="U2527">
        <v>9</v>
      </c>
      <c r="V2527">
        <v>2</v>
      </c>
      <c r="W2527">
        <v>10</v>
      </c>
      <c r="X2527" s="18">
        <v>0.00201884253028264</v>
      </c>
      <c r="Y2527" s="18">
        <v>0.00254957507082153</v>
      </c>
      <c r="Z2527" s="18">
        <v>0.000782166601486116</v>
      </c>
      <c r="AA2527" s="18">
        <v>0.0041407867494824</v>
      </c>
      <c r="AB2527">
        <v>0.96</v>
      </c>
      <c r="AC2527">
        <v>2.07</v>
      </c>
      <c r="AD2527">
        <v>0.74</v>
      </c>
      <c r="AE2527">
        <v>3.34</v>
      </c>
      <c r="AF2527" s="18" t="s">
        <v>4323</v>
      </c>
      <c r="AG2527" s="18" t="s">
        <v>4324</v>
      </c>
      <c r="AH2527" s="18">
        <v>0.0296</v>
      </c>
      <c r="AI2527" s="18" t="s">
        <v>4325</v>
      </c>
      <c r="AJ2527">
        <v>9</v>
      </c>
      <c r="AK2527">
        <v>4</v>
      </c>
      <c r="AL2527">
        <v>2</v>
      </c>
      <c r="AM2527">
        <v>3</v>
      </c>
      <c r="AN2527" s="18">
        <v>0</v>
      </c>
      <c r="AO2527" s="18">
        <v>0</v>
      </c>
      <c r="AP2527" s="18">
        <v>0.5</v>
      </c>
      <c r="AQ2527" s="18">
        <v>0</v>
      </c>
      <c r="AR2527" s="29">
        <v>0</v>
      </c>
      <c r="AS2527" s="29">
        <v>0</v>
      </c>
      <c r="AT2527" s="29">
        <v>0</v>
      </c>
      <c r="AU2527" s="24" t="str">
        <f t="shared" si="40"/>
        <v>库存为0</v>
      </c>
      <c r="AV2527" s="31" t="str">
        <f>IFERROR(时间!$B$4+AU2527,"上周无销量")</f>
        <v>上周无销量</v>
      </c>
    </row>
    <row r="2528" spans="1:48">
      <c r="A2528" s="16" t="s">
        <v>4326</v>
      </c>
      <c r="B2528" t="s">
        <v>4327</v>
      </c>
      <c r="C2528" t="s">
        <v>4328</v>
      </c>
      <c r="D2528" s="24">
        <v>0</v>
      </c>
      <c r="E2528" s="24">
        <v>0</v>
      </c>
      <c r="F2528" s="24">
        <v>0</v>
      </c>
      <c r="G2528" s="24">
        <v>0</v>
      </c>
      <c r="H2528" s="25">
        <v>0</v>
      </c>
      <c r="I2528">
        <v>3</v>
      </c>
      <c r="J2528" s="26">
        <v>0</v>
      </c>
      <c r="K2528" s="26">
        <v>0</v>
      </c>
      <c r="L2528" s="26">
        <v>0</v>
      </c>
      <c r="M2528">
        <v>3</v>
      </c>
      <c r="N2528">
        <v>0</v>
      </c>
      <c r="O2528">
        <v>3</v>
      </c>
      <c r="P2528" t="s">
        <v>52</v>
      </c>
      <c r="Q2528" t="s">
        <v>52</v>
      </c>
      <c r="R2528" t="s">
        <v>52</v>
      </c>
      <c r="S2528" t="s">
        <v>52</v>
      </c>
      <c r="T2528" t="s">
        <v>52</v>
      </c>
      <c r="U2528" t="s">
        <v>52</v>
      </c>
      <c r="V2528" t="s">
        <v>52</v>
      </c>
      <c r="W2528" t="s">
        <v>52</v>
      </c>
      <c r="X2528" s="18" t="s">
        <v>52</v>
      </c>
      <c r="Y2528" s="18" t="s">
        <v>52</v>
      </c>
      <c r="Z2528" s="18" t="s">
        <v>52</v>
      </c>
      <c r="AA2528" s="18" t="s">
        <v>52</v>
      </c>
      <c r="AB2528" t="s">
        <v>52</v>
      </c>
      <c r="AC2528" t="s">
        <v>52</v>
      </c>
      <c r="AD2528" t="s">
        <v>52</v>
      </c>
      <c r="AE2528" t="s">
        <v>52</v>
      </c>
      <c r="AF2528" s="18" t="s">
        <v>52</v>
      </c>
      <c r="AG2528" s="18" t="s">
        <v>52</v>
      </c>
      <c r="AH2528" s="18" t="s">
        <v>52</v>
      </c>
      <c r="AI2528" s="18" t="s">
        <v>52</v>
      </c>
      <c r="AJ2528">
        <v>2</v>
      </c>
      <c r="AK2528">
        <v>3</v>
      </c>
      <c r="AL2528">
        <v>2</v>
      </c>
      <c r="AM2528">
        <v>2</v>
      </c>
      <c r="AN2528" s="18">
        <v>0</v>
      </c>
      <c r="AO2528" s="18">
        <v>0</v>
      </c>
      <c r="AP2528" s="18">
        <v>0</v>
      </c>
      <c r="AQ2528" s="18">
        <v>0</v>
      </c>
      <c r="AR2528" s="29">
        <v>0</v>
      </c>
      <c r="AS2528" s="29">
        <v>0</v>
      </c>
      <c r="AT2528" s="29">
        <v>3</v>
      </c>
      <c r="AU2528" s="24" t="str">
        <f t="shared" si="40"/>
        <v>库存为3</v>
      </c>
      <c r="AV2528" s="31" t="str">
        <f>IFERROR(时间!$B$4+AU2528,"上周无销量")</f>
        <v>上周无销量</v>
      </c>
    </row>
    <row r="2529" spans="1:48">
      <c r="A2529" s="16" t="s">
        <v>4329</v>
      </c>
      <c r="B2529" t="s">
        <v>4330</v>
      </c>
      <c r="C2529" t="s">
        <v>4328</v>
      </c>
      <c r="D2529" s="24">
        <v>0</v>
      </c>
      <c r="E2529" s="24">
        <v>0</v>
      </c>
      <c r="F2529" s="24">
        <v>0</v>
      </c>
      <c r="G2529" s="24">
        <v>0</v>
      </c>
      <c r="H2529" s="25">
        <v>0</v>
      </c>
      <c r="I2529">
        <v>1</v>
      </c>
      <c r="J2529" s="26">
        <v>0</v>
      </c>
      <c r="K2529" s="26">
        <v>0</v>
      </c>
      <c r="L2529" s="26">
        <v>0</v>
      </c>
      <c r="M2529">
        <v>1</v>
      </c>
      <c r="N2529">
        <v>0</v>
      </c>
      <c r="O2529">
        <v>1</v>
      </c>
      <c r="P2529" t="s">
        <v>52</v>
      </c>
      <c r="Q2529" t="s">
        <v>52</v>
      </c>
      <c r="R2529" t="s">
        <v>52</v>
      </c>
      <c r="S2529" t="s">
        <v>52</v>
      </c>
      <c r="T2529" t="s">
        <v>52</v>
      </c>
      <c r="U2529" t="s">
        <v>52</v>
      </c>
      <c r="V2529" t="s">
        <v>52</v>
      </c>
      <c r="W2529" t="s">
        <v>52</v>
      </c>
      <c r="X2529" s="18" t="s">
        <v>52</v>
      </c>
      <c r="Y2529" s="18" t="s">
        <v>52</v>
      </c>
      <c r="Z2529" s="18" t="s">
        <v>52</v>
      </c>
      <c r="AA2529" s="18" t="s">
        <v>52</v>
      </c>
      <c r="AB2529" t="s">
        <v>52</v>
      </c>
      <c r="AC2529" t="s">
        <v>52</v>
      </c>
      <c r="AD2529" t="s">
        <v>52</v>
      </c>
      <c r="AE2529" t="s">
        <v>52</v>
      </c>
      <c r="AF2529" s="18" t="s">
        <v>52</v>
      </c>
      <c r="AG2529" s="18" t="s">
        <v>52</v>
      </c>
      <c r="AH2529" s="18" t="s">
        <v>52</v>
      </c>
      <c r="AI2529" s="18" t="s">
        <v>52</v>
      </c>
      <c r="AJ2529">
        <v>2</v>
      </c>
      <c r="AK2529">
        <v>2</v>
      </c>
      <c r="AL2529">
        <v>1</v>
      </c>
      <c r="AM2529">
        <v>4</v>
      </c>
      <c r="AN2529" s="18">
        <v>0</v>
      </c>
      <c r="AO2529" s="18">
        <v>0</v>
      </c>
      <c r="AP2529" s="18">
        <v>0</v>
      </c>
      <c r="AQ2529" s="18">
        <v>0</v>
      </c>
      <c r="AR2529" s="29">
        <v>0</v>
      </c>
      <c r="AS2529" s="29">
        <v>0</v>
      </c>
      <c r="AT2529" s="29">
        <v>1</v>
      </c>
      <c r="AU2529" s="24" t="str">
        <f t="shared" si="40"/>
        <v>库存为1</v>
      </c>
      <c r="AV2529" s="31" t="str">
        <f>IFERROR(时间!$B$4+AU2529,"上周无销量")</f>
        <v>上周无销量</v>
      </c>
    </row>
    <row r="2530" spans="1:48">
      <c r="A2530" s="16" t="s">
        <v>4331</v>
      </c>
      <c r="B2530" t="s">
        <v>4332</v>
      </c>
      <c r="C2530" t="s">
        <v>4328</v>
      </c>
      <c r="D2530" s="24">
        <v>0</v>
      </c>
      <c r="E2530" s="24">
        <v>0</v>
      </c>
      <c r="F2530" s="24">
        <v>0</v>
      </c>
      <c r="G2530" s="24">
        <v>1</v>
      </c>
      <c r="H2530" s="25">
        <v>15</v>
      </c>
      <c r="I2530">
        <v>1</v>
      </c>
      <c r="J2530" s="26">
        <v>0</v>
      </c>
      <c r="K2530" s="26">
        <v>0</v>
      </c>
      <c r="L2530" s="26">
        <v>0</v>
      </c>
      <c r="M2530">
        <v>1</v>
      </c>
      <c r="N2530">
        <v>0</v>
      </c>
      <c r="O2530">
        <v>1</v>
      </c>
      <c r="P2530" t="s">
        <v>52</v>
      </c>
      <c r="Q2530" t="s">
        <v>52</v>
      </c>
      <c r="R2530" t="s">
        <v>52</v>
      </c>
      <c r="S2530" t="s">
        <v>52</v>
      </c>
      <c r="T2530" t="s">
        <v>52</v>
      </c>
      <c r="U2530" t="s">
        <v>52</v>
      </c>
      <c r="V2530" t="s">
        <v>52</v>
      </c>
      <c r="W2530" t="s">
        <v>52</v>
      </c>
      <c r="X2530" s="18" t="s">
        <v>52</v>
      </c>
      <c r="Y2530" s="18" t="s">
        <v>52</v>
      </c>
      <c r="Z2530" s="18" t="s">
        <v>52</v>
      </c>
      <c r="AA2530" s="18" t="s">
        <v>52</v>
      </c>
      <c r="AB2530" t="s">
        <v>52</v>
      </c>
      <c r="AC2530" t="s">
        <v>52</v>
      </c>
      <c r="AD2530" t="s">
        <v>52</v>
      </c>
      <c r="AE2530" t="s">
        <v>52</v>
      </c>
      <c r="AF2530" s="18" t="s">
        <v>52</v>
      </c>
      <c r="AG2530" s="18" t="s">
        <v>52</v>
      </c>
      <c r="AH2530" s="18" t="s">
        <v>52</v>
      </c>
      <c r="AI2530" s="18" t="s">
        <v>52</v>
      </c>
      <c r="AJ2530">
        <v>2</v>
      </c>
      <c r="AK2530">
        <v>3</v>
      </c>
      <c r="AL2530">
        <v>3</v>
      </c>
      <c r="AM2530">
        <v>7</v>
      </c>
      <c r="AN2530" s="18">
        <v>0</v>
      </c>
      <c r="AO2530" s="18">
        <v>0</v>
      </c>
      <c r="AP2530" s="18">
        <v>0</v>
      </c>
      <c r="AQ2530" s="18">
        <v>0.142857142857143</v>
      </c>
      <c r="AR2530" s="29">
        <v>0</v>
      </c>
      <c r="AS2530" s="29">
        <v>0</v>
      </c>
      <c r="AT2530" s="29">
        <v>1</v>
      </c>
      <c r="AU2530" s="24" t="str">
        <f t="shared" si="40"/>
        <v>库存为1</v>
      </c>
      <c r="AV2530" s="31" t="str">
        <f>IFERROR(时间!$B$4+AU2530,"上周无销量")</f>
        <v>上周无销量</v>
      </c>
    </row>
    <row r="2531" spans="1:48">
      <c r="A2531" s="16" t="s">
        <v>4333</v>
      </c>
      <c r="B2531" t="s">
        <v>4334</v>
      </c>
      <c r="C2531" t="s">
        <v>4328</v>
      </c>
      <c r="D2531" s="24">
        <v>0</v>
      </c>
      <c r="E2531" s="24">
        <v>0</v>
      </c>
      <c r="F2531" s="24">
        <v>0</v>
      </c>
      <c r="G2531" s="24">
        <v>0</v>
      </c>
      <c r="H2531" s="25">
        <v>0</v>
      </c>
      <c r="I2531">
        <v>1</v>
      </c>
      <c r="J2531" s="26">
        <v>0</v>
      </c>
      <c r="K2531" s="26">
        <v>0</v>
      </c>
      <c r="L2531" s="26">
        <v>0</v>
      </c>
      <c r="M2531">
        <v>1</v>
      </c>
      <c r="N2531">
        <v>0</v>
      </c>
      <c r="O2531">
        <v>0</v>
      </c>
      <c r="P2531" t="s">
        <v>52</v>
      </c>
      <c r="Q2531" t="s">
        <v>52</v>
      </c>
      <c r="R2531" t="s">
        <v>52</v>
      </c>
      <c r="S2531" t="s">
        <v>52</v>
      </c>
      <c r="T2531" t="s">
        <v>52</v>
      </c>
      <c r="U2531" t="s">
        <v>52</v>
      </c>
      <c r="V2531" t="s">
        <v>52</v>
      </c>
      <c r="W2531" t="s">
        <v>52</v>
      </c>
      <c r="X2531" s="18" t="s">
        <v>52</v>
      </c>
      <c r="Y2531" s="18" t="s">
        <v>52</v>
      </c>
      <c r="Z2531" s="18" t="s">
        <v>52</v>
      </c>
      <c r="AA2531" s="18" t="s">
        <v>52</v>
      </c>
      <c r="AB2531" t="s">
        <v>52</v>
      </c>
      <c r="AC2531" t="s">
        <v>52</v>
      </c>
      <c r="AD2531" t="s">
        <v>52</v>
      </c>
      <c r="AE2531" t="s">
        <v>52</v>
      </c>
      <c r="AF2531" s="18" t="s">
        <v>52</v>
      </c>
      <c r="AG2531" s="18" t="s">
        <v>52</v>
      </c>
      <c r="AH2531" s="18" t="s">
        <v>52</v>
      </c>
      <c r="AI2531" s="18" t="s">
        <v>52</v>
      </c>
      <c r="AJ2531">
        <v>3</v>
      </c>
      <c r="AK2531">
        <v>2</v>
      </c>
      <c r="AL2531">
        <v>4</v>
      </c>
      <c r="AM2531">
        <v>3</v>
      </c>
      <c r="AN2531" s="18">
        <v>0</v>
      </c>
      <c r="AO2531" s="18">
        <v>0</v>
      </c>
      <c r="AP2531" s="18">
        <v>0</v>
      </c>
      <c r="AQ2531" s="18">
        <v>0</v>
      </c>
      <c r="AR2531" s="29">
        <v>0</v>
      </c>
      <c r="AS2531" s="29">
        <v>0</v>
      </c>
      <c r="AT2531" s="29">
        <v>1</v>
      </c>
      <c r="AU2531" s="24" t="str">
        <f t="shared" si="40"/>
        <v>库存为1</v>
      </c>
      <c r="AV2531" s="31" t="str">
        <f>IFERROR(时间!$B$4+AU2531,"上周无销量")</f>
        <v>上周无销量</v>
      </c>
    </row>
    <row r="2532" spans="1:48">
      <c r="A2532" s="16" t="s">
        <v>4335</v>
      </c>
      <c r="B2532" t="s">
        <v>4336</v>
      </c>
      <c r="C2532" t="s">
        <v>4328</v>
      </c>
      <c r="D2532" s="24">
        <v>0</v>
      </c>
      <c r="E2532" s="24">
        <v>0</v>
      </c>
      <c r="F2532" s="24">
        <v>0</v>
      </c>
      <c r="G2532" s="24">
        <v>0</v>
      </c>
      <c r="H2532" s="25">
        <v>0</v>
      </c>
      <c r="I2532">
        <v>3</v>
      </c>
      <c r="J2532" s="26">
        <v>0</v>
      </c>
      <c r="K2532" s="26">
        <v>0</v>
      </c>
      <c r="L2532" s="26">
        <v>0</v>
      </c>
      <c r="M2532">
        <v>3</v>
      </c>
      <c r="N2532">
        <v>0</v>
      </c>
      <c r="O2532">
        <v>3</v>
      </c>
      <c r="P2532">
        <v>745</v>
      </c>
      <c r="Q2532">
        <v>940</v>
      </c>
      <c r="R2532">
        <v>1037</v>
      </c>
      <c r="S2532">
        <v>2929</v>
      </c>
      <c r="T2532">
        <v>7</v>
      </c>
      <c r="U2532">
        <v>2</v>
      </c>
      <c r="V2532">
        <v>7</v>
      </c>
      <c r="W2532">
        <v>9</v>
      </c>
      <c r="X2532" s="18">
        <v>0.00939597315436242</v>
      </c>
      <c r="Y2532" s="18">
        <v>0.00212765957446809</v>
      </c>
      <c r="Z2532" s="18">
        <v>0.00675024108003857</v>
      </c>
      <c r="AA2532" s="18">
        <v>0.00307272106520997</v>
      </c>
      <c r="AB2532">
        <v>2.13</v>
      </c>
      <c r="AC2532">
        <v>0.99</v>
      </c>
      <c r="AD2532">
        <v>2.34</v>
      </c>
      <c r="AE2532">
        <v>3.3</v>
      </c>
      <c r="AF2532" s="18" t="s">
        <v>4337</v>
      </c>
      <c r="AG2532" s="18" t="s">
        <v>2343</v>
      </c>
      <c r="AH2532" s="18" t="s">
        <v>428</v>
      </c>
      <c r="AI2532" s="18" t="s">
        <v>4338</v>
      </c>
      <c r="AJ2532">
        <v>11</v>
      </c>
      <c r="AK2532">
        <v>4</v>
      </c>
      <c r="AL2532">
        <v>4</v>
      </c>
      <c r="AM2532">
        <v>5</v>
      </c>
      <c r="AN2532" s="18">
        <v>0</v>
      </c>
      <c r="AO2532" s="18">
        <v>0</v>
      </c>
      <c r="AP2532" s="18">
        <v>0</v>
      </c>
      <c r="AQ2532" s="18">
        <v>0</v>
      </c>
      <c r="AR2532" s="29">
        <v>0</v>
      </c>
      <c r="AS2532" s="29">
        <v>0</v>
      </c>
      <c r="AT2532" s="29">
        <v>3</v>
      </c>
      <c r="AU2532" s="24" t="str">
        <f t="shared" si="40"/>
        <v>库存为3</v>
      </c>
      <c r="AV2532" s="31" t="str">
        <f>IFERROR(时间!$B$4+AU2532,"上周无销量")</f>
        <v>上周无销量</v>
      </c>
    </row>
    <row r="2533" spans="1:48">
      <c r="A2533" s="16" t="s">
        <v>4339</v>
      </c>
      <c r="B2533" t="s">
        <v>4340</v>
      </c>
      <c r="C2533" t="s">
        <v>4328</v>
      </c>
      <c r="D2533" s="24">
        <v>0</v>
      </c>
      <c r="E2533" s="24">
        <v>0</v>
      </c>
      <c r="F2533" s="24">
        <v>0</v>
      </c>
      <c r="G2533" s="24">
        <v>0</v>
      </c>
      <c r="H2533" s="25">
        <v>0</v>
      </c>
      <c r="I2533">
        <v>2</v>
      </c>
      <c r="J2533" s="26">
        <v>0</v>
      </c>
      <c r="K2533" s="26">
        <v>0</v>
      </c>
      <c r="L2533" s="26">
        <v>0</v>
      </c>
      <c r="M2533">
        <v>2</v>
      </c>
      <c r="N2533">
        <v>0</v>
      </c>
      <c r="O2533">
        <v>2</v>
      </c>
      <c r="P2533" t="s">
        <v>52</v>
      </c>
      <c r="Q2533" t="s">
        <v>52</v>
      </c>
      <c r="R2533" t="s">
        <v>52</v>
      </c>
      <c r="S2533" t="s">
        <v>52</v>
      </c>
      <c r="T2533" t="s">
        <v>52</v>
      </c>
      <c r="U2533" t="s">
        <v>52</v>
      </c>
      <c r="V2533" t="s">
        <v>52</v>
      </c>
      <c r="W2533" t="s">
        <v>52</v>
      </c>
      <c r="X2533" s="18" t="s">
        <v>52</v>
      </c>
      <c r="Y2533" s="18" t="s">
        <v>52</v>
      </c>
      <c r="Z2533" s="18" t="s">
        <v>52</v>
      </c>
      <c r="AA2533" s="18" t="s">
        <v>52</v>
      </c>
      <c r="AB2533" t="s">
        <v>52</v>
      </c>
      <c r="AC2533" t="s">
        <v>52</v>
      </c>
      <c r="AD2533" t="s">
        <v>52</v>
      </c>
      <c r="AE2533" t="s">
        <v>52</v>
      </c>
      <c r="AF2533" s="18" t="s">
        <v>52</v>
      </c>
      <c r="AG2533" s="18" t="s">
        <v>52</v>
      </c>
      <c r="AH2533" s="18" t="s">
        <v>52</v>
      </c>
      <c r="AI2533" s="18" t="s">
        <v>52</v>
      </c>
      <c r="AJ2533">
        <v>1</v>
      </c>
      <c r="AK2533">
        <v>2</v>
      </c>
      <c r="AL2533">
        <v>2</v>
      </c>
      <c r="AM2533">
        <v>3</v>
      </c>
      <c r="AN2533" s="18">
        <v>0</v>
      </c>
      <c r="AO2533" s="18">
        <v>0</v>
      </c>
      <c r="AP2533" s="18">
        <v>0</v>
      </c>
      <c r="AQ2533" s="18">
        <v>0</v>
      </c>
      <c r="AR2533" s="29">
        <v>0</v>
      </c>
      <c r="AS2533" s="29">
        <v>0</v>
      </c>
      <c r="AT2533" s="29">
        <v>2</v>
      </c>
      <c r="AU2533" s="24" t="str">
        <f t="shared" si="40"/>
        <v>库存为2</v>
      </c>
      <c r="AV2533" s="31" t="str">
        <f>IFERROR(时间!$B$4+AU2533,"上周无销量")</f>
        <v>上周无销量</v>
      </c>
    </row>
    <row r="2534" spans="1:48">
      <c r="A2534" s="16" t="s">
        <v>4341</v>
      </c>
      <c r="B2534" t="s">
        <v>4342</v>
      </c>
      <c r="C2534" t="s">
        <v>4343</v>
      </c>
      <c r="D2534" s="24">
        <v>0</v>
      </c>
      <c r="E2534" s="24">
        <v>0</v>
      </c>
      <c r="F2534" s="24">
        <v>0</v>
      </c>
      <c r="G2534" s="24">
        <v>0</v>
      </c>
      <c r="H2534" s="25">
        <v>0</v>
      </c>
      <c r="I2534">
        <v>0</v>
      </c>
      <c r="J2534" s="26">
        <v>0</v>
      </c>
      <c r="K2534" s="26">
        <v>0</v>
      </c>
      <c r="L2534" s="26">
        <v>0</v>
      </c>
      <c r="M2534">
        <v>0</v>
      </c>
      <c r="N2534">
        <v>0</v>
      </c>
      <c r="O2534">
        <v>0</v>
      </c>
      <c r="P2534" t="s">
        <v>52</v>
      </c>
      <c r="Q2534" t="s">
        <v>52</v>
      </c>
      <c r="R2534" t="s">
        <v>52</v>
      </c>
      <c r="S2534" t="s">
        <v>52</v>
      </c>
      <c r="T2534" t="s">
        <v>52</v>
      </c>
      <c r="U2534" t="s">
        <v>52</v>
      </c>
      <c r="V2534" t="s">
        <v>52</v>
      </c>
      <c r="W2534" t="s">
        <v>52</v>
      </c>
      <c r="X2534" s="18" t="s">
        <v>52</v>
      </c>
      <c r="Y2534" s="18" t="s">
        <v>52</v>
      </c>
      <c r="Z2534" s="18" t="s">
        <v>52</v>
      </c>
      <c r="AA2534" s="18" t="s">
        <v>52</v>
      </c>
      <c r="AB2534" t="s">
        <v>52</v>
      </c>
      <c r="AC2534" t="s">
        <v>52</v>
      </c>
      <c r="AD2534" t="s">
        <v>52</v>
      </c>
      <c r="AE2534" t="s">
        <v>52</v>
      </c>
      <c r="AF2534" s="18" t="s">
        <v>52</v>
      </c>
      <c r="AG2534" s="18" t="s">
        <v>52</v>
      </c>
      <c r="AH2534" s="18" t="s">
        <v>52</v>
      </c>
      <c r="AI2534" s="18" t="s">
        <v>52</v>
      </c>
      <c r="AJ2534">
        <v>0</v>
      </c>
      <c r="AK2534">
        <v>0</v>
      </c>
      <c r="AL2534">
        <v>0</v>
      </c>
      <c r="AM2534">
        <v>0</v>
      </c>
      <c r="AN2534" s="18" t="s">
        <v>52</v>
      </c>
      <c r="AO2534" s="18" t="s">
        <v>52</v>
      </c>
      <c r="AP2534" s="18" t="s">
        <v>52</v>
      </c>
      <c r="AQ2534" s="18" t="s">
        <v>52</v>
      </c>
      <c r="AR2534" s="29">
        <v>0</v>
      </c>
      <c r="AS2534" s="29">
        <v>0</v>
      </c>
      <c r="AT2534" s="29">
        <v>0</v>
      </c>
      <c r="AU2534" s="24" t="str">
        <f t="shared" si="40"/>
        <v>库存为0</v>
      </c>
      <c r="AV2534" s="31" t="str">
        <f>IFERROR(时间!$B$4+AU2534,"上周无销量")</f>
        <v>上周无销量</v>
      </c>
    </row>
    <row r="2535" spans="1:48">
      <c r="A2535" s="16" t="s">
        <v>4344</v>
      </c>
      <c r="B2535" t="s">
        <v>4345</v>
      </c>
      <c r="C2535" t="s">
        <v>4343</v>
      </c>
      <c r="D2535" s="24">
        <v>0</v>
      </c>
      <c r="E2535" s="24">
        <v>0</v>
      </c>
      <c r="F2535" s="24">
        <v>0</v>
      </c>
      <c r="G2535" s="24">
        <v>0</v>
      </c>
      <c r="H2535" s="25">
        <v>0</v>
      </c>
      <c r="I2535">
        <v>0</v>
      </c>
      <c r="J2535" s="26">
        <v>0</v>
      </c>
      <c r="K2535" s="26">
        <v>0</v>
      </c>
      <c r="L2535" s="26">
        <v>0</v>
      </c>
      <c r="M2535">
        <v>0</v>
      </c>
      <c r="N2535">
        <v>0</v>
      </c>
      <c r="O2535">
        <v>0</v>
      </c>
      <c r="P2535" t="s">
        <v>52</v>
      </c>
      <c r="Q2535" t="s">
        <v>52</v>
      </c>
      <c r="R2535" t="s">
        <v>52</v>
      </c>
      <c r="S2535" t="s">
        <v>52</v>
      </c>
      <c r="T2535" t="s">
        <v>52</v>
      </c>
      <c r="U2535" t="s">
        <v>52</v>
      </c>
      <c r="V2535" t="s">
        <v>52</v>
      </c>
      <c r="W2535" t="s">
        <v>52</v>
      </c>
      <c r="X2535" s="18" t="s">
        <v>52</v>
      </c>
      <c r="Y2535" s="18" t="s">
        <v>52</v>
      </c>
      <c r="Z2535" s="18" t="s">
        <v>52</v>
      </c>
      <c r="AA2535" s="18" t="s">
        <v>52</v>
      </c>
      <c r="AB2535" t="s">
        <v>52</v>
      </c>
      <c r="AC2535" t="s">
        <v>52</v>
      </c>
      <c r="AD2535" t="s">
        <v>52</v>
      </c>
      <c r="AE2535" t="s">
        <v>52</v>
      </c>
      <c r="AF2535" s="18" t="s">
        <v>52</v>
      </c>
      <c r="AG2535" s="18" t="s">
        <v>52</v>
      </c>
      <c r="AH2535" s="18" t="s">
        <v>52</v>
      </c>
      <c r="AI2535" s="18" t="s">
        <v>52</v>
      </c>
      <c r="AJ2535">
        <v>0</v>
      </c>
      <c r="AK2535">
        <v>0</v>
      </c>
      <c r="AL2535">
        <v>0</v>
      </c>
      <c r="AM2535">
        <v>0</v>
      </c>
      <c r="AN2535" s="18" t="s">
        <v>52</v>
      </c>
      <c r="AO2535" s="18" t="s">
        <v>52</v>
      </c>
      <c r="AP2535" s="18" t="s">
        <v>52</v>
      </c>
      <c r="AQ2535" s="18" t="s">
        <v>52</v>
      </c>
      <c r="AR2535" s="29">
        <v>0</v>
      </c>
      <c r="AS2535" s="29">
        <v>0</v>
      </c>
      <c r="AT2535" s="29">
        <v>0</v>
      </c>
      <c r="AU2535" s="24" t="str">
        <f t="shared" si="40"/>
        <v>库存为0</v>
      </c>
      <c r="AV2535" s="31" t="str">
        <f>IFERROR(时间!$B$4+AU2535,"上周无销量")</f>
        <v>上周无销量</v>
      </c>
    </row>
    <row r="2536" spans="1:48">
      <c r="A2536" s="16" t="s">
        <v>4346</v>
      </c>
      <c r="B2536" t="s">
        <v>858</v>
      </c>
      <c r="C2536" t="s">
        <v>2189</v>
      </c>
      <c r="D2536" s="24">
        <v>0</v>
      </c>
      <c r="E2536" s="24">
        <v>0</v>
      </c>
      <c r="F2536" s="24">
        <v>0</v>
      </c>
      <c r="G2536" s="24">
        <v>0</v>
      </c>
      <c r="H2536" s="25">
        <v>0</v>
      </c>
      <c r="I2536">
        <v>11</v>
      </c>
      <c r="J2536" s="26">
        <v>0</v>
      </c>
      <c r="K2536" s="26">
        <v>0</v>
      </c>
      <c r="L2536" s="26">
        <v>2</v>
      </c>
      <c r="M2536">
        <v>13</v>
      </c>
      <c r="N2536">
        <v>0</v>
      </c>
      <c r="O2536">
        <v>0</v>
      </c>
      <c r="P2536" t="s">
        <v>52</v>
      </c>
      <c r="Q2536" t="s">
        <v>52</v>
      </c>
      <c r="R2536" t="s">
        <v>52</v>
      </c>
      <c r="S2536" t="s">
        <v>52</v>
      </c>
      <c r="T2536" t="s">
        <v>52</v>
      </c>
      <c r="U2536" t="s">
        <v>52</v>
      </c>
      <c r="V2536" t="s">
        <v>52</v>
      </c>
      <c r="W2536" t="s">
        <v>52</v>
      </c>
      <c r="X2536" s="18" t="s">
        <v>52</v>
      </c>
      <c r="Y2536" s="18" t="s">
        <v>52</v>
      </c>
      <c r="Z2536" s="18" t="s">
        <v>52</v>
      </c>
      <c r="AA2536" s="18" t="s">
        <v>52</v>
      </c>
      <c r="AB2536" t="s">
        <v>52</v>
      </c>
      <c r="AC2536" t="s">
        <v>52</v>
      </c>
      <c r="AD2536" t="s">
        <v>52</v>
      </c>
      <c r="AE2536" t="s">
        <v>52</v>
      </c>
      <c r="AF2536" s="18" t="s">
        <v>52</v>
      </c>
      <c r="AG2536" s="18" t="s">
        <v>52</v>
      </c>
      <c r="AH2536" s="18" t="s">
        <v>52</v>
      </c>
      <c r="AI2536" s="18" t="s">
        <v>52</v>
      </c>
      <c r="AJ2536">
        <v>6</v>
      </c>
      <c r="AK2536">
        <v>1</v>
      </c>
      <c r="AL2536">
        <v>7</v>
      </c>
      <c r="AM2536">
        <v>3</v>
      </c>
      <c r="AN2536" s="18">
        <v>0</v>
      </c>
      <c r="AO2536" s="18">
        <v>0</v>
      </c>
      <c r="AP2536" s="18">
        <v>0</v>
      </c>
      <c r="AQ2536" s="18">
        <v>0</v>
      </c>
      <c r="AR2536" s="29">
        <v>0</v>
      </c>
      <c r="AS2536" s="29">
        <v>0</v>
      </c>
      <c r="AT2536" s="29">
        <v>13</v>
      </c>
      <c r="AU2536" s="24" t="str">
        <f t="shared" si="40"/>
        <v>库存为13</v>
      </c>
      <c r="AV2536" s="31" t="str">
        <f>IFERROR(时间!$B$4+AU2536,"上周无销量")</f>
        <v>上周无销量</v>
      </c>
    </row>
    <row r="2537" spans="1:48">
      <c r="A2537" s="16" t="s">
        <v>4347</v>
      </c>
      <c r="B2537" t="s">
        <v>860</v>
      </c>
      <c r="C2537" t="s">
        <v>2189</v>
      </c>
      <c r="D2537" s="24">
        <v>0</v>
      </c>
      <c r="E2537" s="24">
        <v>0</v>
      </c>
      <c r="F2537" s="24">
        <v>0</v>
      </c>
      <c r="G2537" s="24">
        <v>0</v>
      </c>
      <c r="H2537" s="25">
        <v>0</v>
      </c>
      <c r="I2537">
        <v>26</v>
      </c>
      <c r="J2537" s="26">
        <v>12</v>
      </c>
      <c r="K2537" s="26">
        <v>0</v>
      </c>
      <c r="L2537" s="26">
        <v>0</v>
      </c>
      <c r="M2537">
        <v>38</v>
      </c>
      <c r="N2537">
        <v>0</v>
      </c>
      <c r="O2537">
        <v>0</v>
      </c>
      <c r="P2537" t="s">
        <v>52</v>
      </c>
      <c r="Q2537" t="s">
        <v>52</v>
      </c>
      <c r="R2537" t="s">
        <v>52</v>
      </c>
      <c r="S2537" t="s">
        <v>52</v>
      </c>
      <c r="T2537" t="s">
        <v>52</v>
      </c>
      <c r="U2537" t="s">
        <v>52</v>
      </c>
      <c r="V2537" t="s">
        <v>52</v>
      </c>
      <c r="W2537" t="s">
        <v>52</v>
      </c>
      <c r="X2537" s="18" t="s">
        <v>52</v>
      </c>
      <c r="Y2537" s="18" t="s">
        <v>52</v>
      </c>
      <c r="Z2537" s="18" t="s">
        <v>52</v>
      </c>
      <c r="AA2537" s="18" t="s">
        <v>52</v>
      </c>
      <c r="AB2537" t="s">
        <v>52</v>
      </c>
      <c r="AC2537" t="s">
        <v>52</v>
      </c>
      <c r="AD2537" t="s">
        <v>52</v>
      </c>
      <c r="AE2537" t="s">
        <v>52</v>
      </c>
      <c r="AF2537" s="18" t="s">
        <v>52</v>
      </c>
      <c r="AG2537" s="18" t="s">
        <v>52</v>
      </c>
      <c r="AH2537" s="18" t="s">
        <v>52</v>
      </c>
      <c r="AI2537" s="18" t="s">
        <v>52</v>
      </c>
      <c r="AJ2537">
        <v>3</v>
      </c>
      <c r="AK2537">
        <v>1</v>
      </c>
      <c r="AL2537">
        <v>6</v>
      </c>
      <c r="AM2537">
        <v>0</v>
      </c>
      <c r="AN2537" s="18">
        <v>0</v>
      </c>
      <c r="AO2537" s="18">
        <v>0</v>
      </c>
      <c r="AP2537" s="18">
        <v>0</v>
      </c>
      <c r="AQ2537" s="18" t="s">
        <v>52</v>
      </c>
      <c r="AR2537" s="29">
        <v>0</v>
      </c>
      <c r="AS2537" s="29">
        <v>0</v>
      </c>
      <c r="AT2537" s="29">
        <v>38</v>
      </c>
      <c r="AU2537" s="24" t="str">
        <f t="shared" si="40"/>
        <v>库存为38</v>
      </c>
      <c r="AV2537" s="31" t="str">
        <f>IFERROR(时间!$B$4+AU2537,"上周无销量")</f>
        <v>上周无销量</v>
      </c>
    </row>
    <row r="2538" spans="1:48">
      <c r="A2538" s="16" t="s">
        <v>4348</v>
      </c>
      <c r="B2538" t="s">
        <v>862</v>
      </c>
      <c r="C2538" t="s">
        <v>2189</v>
      </c>
      <c r="D2538" s="24">
        <v>0</v>
      </c>
      <c r="E2538" s="24">
        <v>0</v>
      </c>
      <c r="F2538" s="24">
        <v>0</v>
      </c>
      <c r="G2538" s="24">
        <v>0</v>
      </c>
      <c r="H2538" s="25">
        <v>0</v>
      </c>
      <c r="I2538">
        <v>9</v>
      </c>
      <c r="J2538" s="26">
        <v>0</v>
      </c>
      <c r="K2538" s="26">
        <v>0</v>
      </c>
      <c r="L2538" s="26">
        <v>0</v>
      </c>
      <c r="M2538">
        <v>9</v>
      </c>
      <c r="N2538">
        <v>0</v>
      </c>
      <c r="O2538">
        <v>0</v>
      </c>
      <c r="P2538" t="s">
        <v>52</v>
      </c>
      <c r="Q2538" t="s">
        <v>52</v>
      </c>
      <c r="R2538" t="s">
        <v>52</v>
      </c>
      <c r="S2538" t="s">
        <v>52</v>
      </c>
      <c r="T2538" t="s">
        <v>52</v>
      </c>
      <c r="U2538" t="s">
        <v>52</v>
      </c>
      <c r="V2538" t="s">
        <v>52</v>
      </c>
      <c r="W2538" t="s">
        <v>52</v>
      </c>
      <c r="X2538" s="18" t="s">
        <v>52</v>
      </c>
      <c r="Y2538" s="18" t="s">
        <v>52</v>
      </c>
      <c r="Z2538" s="18" t="s">
        <v>52</v>
      </c>
      <c r="AA2538" s="18" t="s">
        <v>52</v>
      </c>
      <c r="AB2538" t="s">
        <v>52</v>
      </c>
      <c r="AC2538" t="s">
        <v>52</v>
      </c>
      <c r="AD2538" t="s">
        <v>52</v>
      </c>
      <c r="AE2538" t="s">
        <v>52</v>
      </c>
      <c r="AF2538" s="18" t="s">
        <v>52</v>
      </c>
      <c r="AG2538" s="18" t="s">
        <v>52</v>
      </c>
      <c r="AH2538" s="18" t="s">
        <v>52</v>
      </c>
      <c r="AI2538" s="18" t="s">
        <v>52</v>
      </c>
      <c r="AJ2538">
        <v>1</v>
      </c>
      <c r="AK2538">
        <v>2</v>
      </c>
      <c r="AL2538">
        <v>10</v>
      </c>
      <c r="AM2538">
        <v>6</v>
      </c>
      <c r="AN2538" s="18">
        <v>0</v>
      </c>
      <c r="AO2538" s="18">
        <v>0</v>
      </c>
      <c r="AP2538" s="18">
        <v>0</v>
      </c>
      <c r="AQ2538" s="18">
        <v>0</v>
      </c>
      <c r="AR2538" s="29">
        <v>0</v>
      </c>
      <c r="AS2538" s="29">
        <v>0</v>
      </c>
      <c r="AT2538" s="29">
        <v>9</v>
      </c>
      <c r="AU2538" s="24" t="str">
        <f t="shared" si="40"/>
        <v>库存为9</v>
      </c>
      <c r="AV2538" s="31" t="str">
        <f>IFERROR(时间!$B$4+AU2538,"上周无销量")</f>
        <v>上周无销量</v>
      </c>
    </row>
    <row r="2539" spans="1:48">
      <c r="A2539" s="16" t="s">
        <v>4349</v>
      </c>
      <c r="B2539" t="s">
        <v>864</v>
      </c>
      <c r="C2539" t="s">
        <v>2189</v>
      </c>
      <c r="D2539" s="24">
        <v>0</v>
      </c>
      <c r="E2539" s="24">
        <v>0</v>
      </c>
      <c r="F2539" s="24">
        <v>0</v>
      </c>
      <c r="G2539" s="24">
        <v>0</v>
      </c>
      <c r="H2539" s="25">
        <v>0</v>
      </c>
      <c r="I2539">
        <v>0</v>
      </c>
      <c r="J2539" s="26">
        <v>0</v>
      </c>
      <c r="K2539" s="26">
        <v>0</v>
      </c>
      <c r="L2539" s="26">
        <v>0</v>
      </c>
      <c r="M2539">
        <v>0</v>
      </c>
      <c r="N2539">
        <v>0</v>
      </c>
      <c r="O2539">
        <v>0</v>
      </c>
      <c r="P2539" t="s">
        <v>52</v>
      </c>
      <c r="Q2539" t="s">
        <v>52</v>
      </c>
      <c r="R2539" t="s">
        <v>52</v>
      </c>
      <c r="S2539" t="s">
        <v>52</v>
      </c>
      <c r="T2539" t="s">
        <v>52</v>
      </c>
      <c r="U2539" t="s">
        <v>52</v>
      </c>
      <c r="V2539" t="s">
        <v>52</v>
      </c>
      <c r="W2539" t="s">
        <v>52</v>
      </c>
      <c r="X2539" s="18" t="s">
        <v>52</v>
      </c>
      <c r="Y2539" s="18" t="s">
        <v>52</v>
      </c>
      <c r="Z2539" s="18" t="s">
        <v>52</v>
      </c>
      <c r="AA2539" s="18" t="s">
        <v>52</v>
      </c>
      <c r="AB2539" t="s">
        <v>52</v>
      </c>
      <c r="AC2539" t="s">
        <v>52</v>
      </c>
      <c r="AD2539" t="s">
        <v>52</v>
      </c>
      <c r="AE2539" t="s">
        <v>52</v>
      </c>
      <c r="AF2539" s="18" t="s">
        <v>52</v>
      </c>
      <c r="AG2539" s="18" t="s">
        <v>52</v>
      </c>
      <c r="AH2539" s="18" t="s">
        <v>52</v>
      </c>
      <c r="AI2539" s="18" t="s">
        <v>52</v>
      </c>
      <c r="AJ2539">
        <v>0</v>
      </c>
      <c r="AK2539">
        <v>0</v>
      </c>
      <c r="AL2539">
        <v>0</v>
      </c>
      <c r="AM2539">
        <v>0</v>
      </c>
      <c r="AN2539" s="18" t="s">
        <v>52</v>
      </c>
      <c r="AO2539" s="18" t="s">
        <v>52</v>
      </c>
      <c r="AP2539" s="18" t="s">
        <v>52</v>
      </c>
      <c r="AQ2539" s="18" t="s">
        <v>52</v>
      </c>
      <c r="AR2539" s="29">
        <v>0</v>
      </c>
      <c r="AS2539" s="29">
        <v>0</v>
      </c>
      <c r="AT2539" s="29">
        <v>0</v>
      </c>
      <c r="AU2539" s="24" t="str">
        <f t="shared" si="40"/>
        <v>库存为0</v>
      </c>
      <c r="AV2539" s="31" t="str">
        <f>IFERROR(时间!$B$4+AU2539,"上周无销量")</f>
        <v>上周无销量</v>
      </c>
    </row>
    <row r="2540" spans="1:48">
      <c r="A2540" s="16" t="s">
        <v>4350</v>
      </c>
      <c r="B2540" t="s">
        <v>876</v>
      </c>
      <c r="C2540" t="s">
        <v>2189</v>
      </c>
      <c r="D2540" s="24">
        <v>0</v>
      </c>
      <c r="E2540" s="24">
        <v>0</v>
      </c>
      <c r="F2540" s="24">
        <v>0</v>
      </c>
      <c r="G2540" s="24">
        <v>0</v>
      </c>
      <c r="H2540" s="25">
        <v>0</v>
      </c>
      <c r="I2540">
        <v>0</v>
      </c>
      <c r="J2540" s="26">
        <v>0</v>
      </c>
      <c r="K2540" s="26">
        <v>0</v>
      </c>
      <c r="L2540" s="26">
        <v>0</v>
      </c>
      <c r="M2540">
        <v>0</v>
      </c>
      <c r="N2540">
        <v>0</v>
      </c>
      <c r="O2540">
        <v>0</v>
      </c>
      <c r="P2540" t="s">
        <v>52</v>
      </c>
      <c r="Q2540" t="s">
        <v>52</v>
      </c>
      <c r="R2540" t="s">
        <v>52</v>
      </c>
      <c r="S2540" t="s">
        <v>52</v>
      </c>
      <c r="T2540" t="s">
        <v>52</v>
      </c>
      <c r="U2540" t="s">
        <v>52</v>
      </c>
      <c r="V2540" t="s">
        <v>52</v>
      </c>
      <c r="W2540" t="s">
        <v>52</v>
      </c>
      <c r="X2540" s="18" t="s">
        <v>52</v>
      </c>
      <c r="Y2540" s="18" t="s">
        <v>52</v>
      </c>
      <c r="Z2540" s="18" t="s">
        <v>52</v>
      </c>
      <c r="AA2540" s="18" t="s">
        <v>52</v>
      </c>
      <c r="AB2540" t="s">
        <v>52</v>
      </c>
      <c r="AC2540" t="s">
        <v>52</v>
      </c>
      <c r="AD2540" t="s">
        <v>52</v>
      </c>
      <c r="AE2540" t="s">
        <v>52</v>
      </c>
      <c r="AF2540" s="18" t="s">
        <v>52</v>
      </c>
      <c r="AG2540" s="18" t="s">
        <v>52</v>
      </c>
      <c r="AH2540" s="18" t="s">
        <v>52</v>
      </c>
      <c r="AI2540" s="18" t="s">
        <v>52</v>
      </c>
      <c r="AJ2540">
        <v>0</v>
      </c>
      <c r="AK2540">
        <v>0</v>
      </c>
      <c r="AL2540">
        <v>0</v>
      </c>
      <c r="AM2540">
        <v>0</v>
      </c>
      <c r="AN2540" s="18" t="s">
        <v>52</v>
      </c>
      <c r="AO2540" s="18" t="s">
        <v>52</v>
      </c>
      <c r="AP2540" s="18" t="s">
        <v>52</v>
      </c>
      <c r="AQ2540" s="18" t="s">
        <v>52</v>
      </c>
      <c r="AR2540" s="29">
        <v>0</v>
      </c>
      <c r="AS2540" s="29">
        <v>0</v>
      </c>
      <c r="AT2540" s="29">
        <v>0</v>
      </c>
      <c r="AU2540" s="24" t="str">
        <f t="shared" si="40"/>
        <v>库存为0</v>
      </c>
      <c r="AV2540" s="31" t="str">
        <f>IFERROR(时间!$B$4+AU2540,"上周无销量")</f>
        <v>上周无销量</v>
      </c>
    </row>
    <row r="2541" spans="1:48">
      <c r="A2541" s="16" t="s">
        <v>4351</v>
      </c>
      <c r="B2541" t="s">
        <v>878</v>
      </c>
      <c r="C2541" t="s">
        <v>2189</v>
      </c>
      <c r="D2541" s="24">
        <v>0</v>
      </c>
      <c r="E2541" s="24">
        <v>0</v>
      </c>
      <c r="F2541" s="24">
        <v>0</v>
      </c>
      <c r="G2541" s="24">
        <v>0</v>
      </c>
      <c r="H2541" s="25">
        <v>0</v>
      </c>
      <c r="I2541">
        <v>2</v>
      </c>
      <c r="J2541" s="26">
        <v>14</v>
      </c>
      <c r="K2541" s="26">
        <v>0</v>
      </c>
      <c r="L2541" s="26">
        <v>0</v>
      </c>
      <c r="M2541">
        <v>16</v>
      </c>
      <c r="N2541">
        <v>0</v>
      </c>
      <c r="O2541">
        <v>0</v>
      </c>
      <c r="P2541" t="s">
        <v>52</v>
      </c>
      <c r="Q2541" t="s">
        <v>52</v>
      </c>
      <c r="R2541" t="s">
        <v>52</v>
      </c>
      <c r="S2541" t="s">
        <v>52</v>
      </c>
      <c r="T2541" t="s">
        <v>52</v>
      </c>
      <c r="U2541" t="s">
        <v>52</v>
      </c>
      <c r="V2541" t="s">
        <v>52</v>
      </c>
      <c r="W2541" t="s">
        <v>52</v>
      </c>
      <c r="X2541" s="18" t="s">
        <v>52</v>
      </c>
      <c r="Y2541" s="18" t="s">
        <v>52</v>
      </c>
      <c r="Z2541" s="18" t="s">
        <v>52</v>
      </c>
      <c r="AA2541" s="18" t="s">
        <v>52</v>
      </c>
      <c r="AB2541" t="s">
        <v>52</v>
      </c>
      <c r="AC2541" t="s">
        <v>52</v>
      </c>
      <c r="AD2541" t="s">
        <v>52</v>
      </c>
      <c r="AE2541" t="s">
        <v>52</v>
      </c>
      <c r="AF2541" s="18" t="s">
        <v>52</v>
      </c>
      <c r="AG2541" s="18" t="s">
        <v>52</v>
      </c>
      <c r="AH2541" s="18" t="s">
        <v>52</v>
      </c>
      <c r="AI2541" s="18" t="s">
        <v>52</v>
      </c>
      <c r="AJ2541">
        <v>6</v>
      </c>
      <c r="AK2541">
        <v>2</v>
      </c>
      <c r="AL2541">
        <v>4</v>
      </c>
      <c r="AM2541">
        <v>3</v>
      </c>
      <c r="AN2541" s="18">
        <v>0</v>
      </c>
      <c r="AO2541" s="18">
        <v>0</v>
      </c>
      <c r="AP2541" s="18">
        <v>0</v>
      </c>
      <c r="AQ2541" s="18">
        <v>0</v>
      </c>
      <c r="AR2541" s="29">
        <v>0</v>
      </c>
      <c r="AS2541" s="29">
        <v>0</v>
      </c>
      <c r="AT2541" s="29">
        <v>16</v>
      </c>
      <c r="AU2541" s="24" t="str">
        <f t="shared" si="40"/>
        <v>库存为16</v>
      </c>
      <c r="AV2541" s="31" t="str">
        <f>IFERROR(时间!$B$4+AU2541,"上周无销量")</f>
        <v>上周无销量</v>
      </c>
    </row>
    <row r="2542" spans="1:48">
      <c r="A2542" s="16" t="s">
        <v>4352</v>
      </c>
      <c r="B2542" t="s">
        <v>880</v>
      </c>
      <c r="C2542" t="s">
        <v>2189</v>
      </c>
      <c r="D2542" s="24">
        <v>0</v>
      </c>
      <c r="E2542" s="24">
        <v>0</v>
      </c>
      <c r="F2542" s="24">
        <v>0</v>
      </c>
      <c r="G2542" s="24">
        <v>0</v>
      </c>
      <c r="H2542" s="25">
        <v>0</v>
      </c>
      <c r="I2542">
        <v>16</v>
      </c>
      <c r="J2542" s="26">
        <v>0</v>
      </c>
      <c r="K2542" s="26">
        <v>0</v>
      </c>
      <c r="L2542" s="26">
        <v>0</v>
      </c>
      <c r="M2542">
        <v>16</v>
      </c>
      <c r="N2542">
        <v>0</v>
      </c>
      <c r="O2542">
        <v>0</v>
      </c>
      <c r="P2542" t="s">
        <v>52</v>
      </c>
      <c r="Q2542" t="s">
        <v>52</v>
      </c>
      <c r="R2542" t="s">
        <v>52</v>
      </c>
      <c r="S2542" t="s">
        <v>52</v>
      </c>
      <c r="T2542" t="s">
        <v>52</v>
      </c>
      <c r="U2542" t="s">
        <v>52</v>
      </c>
      <c r="V2542" t="s">
        <v>52</v>
      </c>
      <c r="W2542" t="s">
        <v>52</v>
      </c>
      <c r="X2542" s="18" t="s">
        <v>52</v>
      </c>
      <c r="Y2542" s="18" t="s">
        <v>52</v>
      </c>
      <c r="Z2542" s="18" t="s">
        <v>52</v>
      </c>
      <c r="AA2542" s="18" t="s">
        <v>52</v>
      </c>
      <c r="AB2542" t="s">
        <v>52</v>
      </c>
      <c r="AC2542" t="s">
        <v>52</v>
      </c>
      <c r="AD2542" t="s">
        <v>52</v>
      </c>
      <c r="AE2542" t="s">
        <v>52</v>
      </c>
      <c r="AF2542" s="18" t="s">
        <v>52</v>
      </c>
      <c r="AG2542" s="18" t="s">
        <v>52</v>
      </c>
      <c r="AH2542" s="18" t="s">
        <v>52</v>
      </c>
      <c r="AI2542" s="18" t="s">
        <v>52</v>
      </c>
      <c r="AJ2542">
        <v>3</v>
      </c>
      <c r="AK2542">
        <v>1</v>
      </c>
      <c r="AL2542">
        <v>3</v>
      </c>
      <c r="AM2542">
        <v>3</v>
      </c>
      <c r="AN2542" s="18">
        <v>0</v>
      </c>
      <c r="AO2542" s="18">
        <v>0</v>
      </c>
      <c r="AP2542" s="18">
        <v>0</v>
      </c>
      <c r="AQ2542" s="18">
        <v>0</v>
      </c>
      <c r="AR2542" s="29">
        <v>0</v>
      </c>
      <c r="AS2542" s="29">
        <v>0</v>
      </c>
      <c r="AT2542" s="29">
        <v>16</v>
      </c>
      <c r="AU2542" s="24" t="str">
        <f t="shared" si="40"/>
        <v>库存为16</v>
      </c>
      <c r="AV2542" s="31" t="str">
        <f>IFERROR(时间!$B$4+AU2542,"上周无销量")</f>
        <v>上周无销量</v>
      </c>
    </row>
    <row r="2543" spans="1:48">
      <c r="A2543" s="16" t="s">
        <v>4353</v>
      </c>
      <c r="B2543" t="s">
        <v>882</v>
      </c>
      <c r="C2543" t="s">
        <v>2189</v>
      </c>
      <c r="D2543" s="24">
        <v>0</v>
      </c>
      <c r="E2543" s="24">
        <v>0</v>
      </c>
      <c r="F2543" s="24">
        <v>0</v>
      </c>
      <c r="G2543" s="24">
        <v>0</v>
      </c>
      <c r="H2543" s="25">
        <v>0</v>
      </c>
      <c r="I2543">
        <v>5</v>
      </c>
      <c r="J2543" s="26">
        <v>0</v>
      </c>
      <c r="K2543" s="26">
        <v>0</v>
      </c>
      <c r="L2543" s="26">
        <v>0</v>
      </c>
      <c r="M2543">
        <v>5</v>
      </c>
      <c r="N2543">
        <v>0</v>
      </c>
      <c r="O2543">
        <v>0</v>
      </c>
      <c r="P2543" t="s">
        <v>52</v>
      </c>
      <c r="Q2543" t="s">
        <v>52</v>
      </c>
      <c r="R2543" t="s">
        <v>52</v>
      </c>
      <c r="S2543" t="s">
        <v>52</v>
      </c>
      <c r="T2543" t="s">
        <v>52</v>
      </c>
      <c r="U2543" t="s">
        <v>52</v>
      </c>
      <c r="V2543" t="s">
        <v>52</v>
      </c>
      <c r="W2543" t="s">
        <v>52</v>
      </c>
      <c r="X2543" s="18" t="s">
        <v>52</v>
      </c>
      <c r="Y2543" s="18" t="s">
        <v>52</v>
      </c>
      <c r="Z2543" s="18" t="s">
        <v>52</v>
      </c>
      <c r="AA2543" s="18" t="s">
        <v>52</v>
      </c>
      <c r="AB2543" t="s">
        <v>52</v>
      </c>
      <c r="AC2543" t="s">
        <v>52</v>
      </c>
      <c r="AD2543" t="s">
        <v>52</v>
      </c>
      <c r="AE2543" t="s">
        <v>52</v>
      </c>
      <c r="AF2543" s="18" t="s">
        <v>52</v>
      </c>
      <c r="AG2543" s="18" t="s">
        <v>52</v>
      </c>
      <c r="AH2543" s="18" t="s">
        <v>52</v>
      </c>
      <c r="AI2543" s="18" t="s">
        <v>52</v>
      </c>
      <c r="AJ2543">
        <v>2</v>
      </c>
      <c r="AK2543">
        <v>2</v>
      </c>
      <c r="AL2543">
        <v>13</v>
      </c>
      <c r="AM2543">
        <v>4</v>
      </c>
      <c r="AN2543" s="18">
        <v>0</v>
      </c>
      <c r="AO2543" s="18">
        <v>0</v>
      </c>
      <c r="AP2543" s="18">
        <v>0</v>
      </c>
      <c r="AQ2543" s="18">
        <v>0</v>
      </c>
      <c r="AR2543" s="29">
        <v>0</v>
      </c>
      <c r="AS2543" s="29">
        <v>0</v>
      </c>
      <c r="AT2543" s="29">
        <v>5</v>
      </c>
      <c r="AU2543" s="24" t="str">
        <f t="shared" si="40"/>
        <v>库存为5</v>
      </c>
      <c r="AV2543" s="31" t="str">
        <f>IFERROR(时间!$B$4+AU2543,"上周无销量")</f>
        <v>上周无销量</v>
      </c>
    </row>
    <row r="2544" spans="1:48">
      <c r="A2544" s="16" t="s">
        <v>4354</v>
      </c>
      <c r="B2544" t="s">
        <v>884</v>
      </c>
      <c r="C2544" t="s">
        <v>2189</v>
      </c>
      <c r="D2544" s="24">
        <v>0</v>
      </c>
      <c r="E2544" s="24">
        <v>0</v>
      </c>
      <c r="F2544" s="24">
        <v>0</v>
      </c>
      <c r="G2544" s="24">
        <v>0</v>
      </c>
      <c r="H2544" s="25">
        <v>0</v>
      </c>
      <c r="I2544">
        <v>0</v>
      </c>
      <c r="J2544" s="26">
        <v>0</v>
      </c>
      <c r="K2544" s="26">
        <v>0</v>
      </c>
      <c r="L2544" s="26">
        <v>0</v>
      </c>
      <c r="M2544">
        <v>0</v>
      </c>
      <c r="N2544">
        <v>0</v>
      </c>
      <c r="O2544">
        <v>0</v>
      </c>
      <c r="P2544" t="s">
        <v>52</v>
      </c>
      <c r="Q2544" t="s">
        <v>52</v>
      </c>
      <c r="R2544" t="s">
        <v>52</v>
      </c>
      <c r="S2544" t="s">
        <v>52</v>
      </c>
      <c r="T2544" t="s">
        <v>52</v>
      </c>
      <c r="U2544" t="s">
        <v>52</v>
      </c>
      <c r="V2544" t="s">
        <v>52</v>
      </c>
      <c r="W2544" t="s">
        <v>52</v>
      </c>
      <c r="X2544" s="18" t="s">
        <v>52</v>
      </c>
      <c r="Y2544" s="18" t="s">
        <v>52</v>
      </c>
      <c r="Z2544" s="18" t="s">
        <v>52</v>
      </c>
      <c r="AA2544" s="18" t="s">
        <v>52</v>
      </c>
      <c r="AB2544" t="s">
        <v>52</v>
      </c>
      <c r="AC2544" t="s">
        <v>52</v>
      </c>
      <c r="AD2544" t="s">
        <v>52</v>
      </c>
      <c r="AE2544" t="s">
        <v>52</v>
      </c>
      <c r="AF2544" s="18" t="s">
        <v>52</v>
      </c>
      <c r="AG2544" s="18" t="s">
        <v>52</v>
      </c>
      <c r="AH2544" s="18" t="s">
        <v>52</v>
      </c>
      <c r="AI2544" s="18" t="s">
        <v>52</v>
      </c>
      <c r="AJ2544">
        <v>0</v>
      </c>
      <c r="AK2544">
        <v>0</v>
      </c>
      <c r="AL2544">
        <v>0</v>
      </c>
      <c r="AM2544">
        <v>0</v>
      </c>
      <c r="AN2544" s="18" t="s">
        <v>52</v>
      </c>
      <c r="AO2544" s="18" t="s">
        <v>52</v>
      </c>
      <c r="AP2544" s="18" t="s">
        <v>52</v>
      </c>
      <c r="AQ2544" s="18" t="s">
        <v>52</v>
      </c>
      <c r="AR2544" s="29">
        <v>0</v>
      </c>
      <c r="AS2544" s="29">
        <v>0</v>
      </c>
      <c r="AT2544" s="29">
        <v>0</v>
      </c>
      <c r="AU2544" s="24" t="str">
        <f t="shared" si="40"/>
        <v>库存为0</v>
      </c>
      <c r="AV2544" s="31" t="str">
        <f>IFERROR(时间!$B$4+AU2544,"上周无销量")</f>
        <v>上周无销量</v>
      </c>
    </row>
    <row r="2545" spans="1:48">
      <c r="A2545" s="16" t="s">
        <v>4355</v>
      </c>
      <c r="B2545" t="s">
        <v>886</v>
      </c>
      <c r="C2545" t="s">
        <v>2189</v>
      </c>
      <c r="D2545" s="24">
        <v>0</v>
      </c>
      <c r="E2545" s="24">
        <v>0</v>
      </c>
      <c r="F2545" s="24">
        <v>0</v>
      </c>
      <c r="G2545" s="24">
        <v>0</v>
      </c>
      <c r="H2545" s="25">
        <v>0</v>
      </c>
      <c r="I2545">
        <v>8</v>
      </c>
      <c r="J2545" s="26">
        <v>0</v>
      </c>
      <c r="K2545" s="26">
        <v>0</v>
      </c>
      <c r="L2545" s="26">
        <v>0</v>
      </c>
      <c r="M2545">
        <v>8</v>
      </c>
      <c r="N2545">
        <v>0</v>
      </c>
      <c r="O2545">
        <v>0</v>
      </c>
      <c r="P2545" t="s">
        <v>52</v>
      </c>
      <c r="Q2545" t="s">
        <v>52</v>
      </c>
      <c r="R2545" t="s">
        <v>52</v>
      </c>
      <c r="S2545" t="s">
        <v>52</v>
      </c>
      <c r="T2545" t="s">
        <v>52</v>
      </c>
      <c r="U2545" t="s">
        <v>52</v>
      </c>
      <c r="V2545" t="s">
        <v>52</v>
      </c>
      <c r="W2545" t="s">
        <v>52</v>
      </c>
      <c r="X2545" s="18" t="s">
        <v>52</v>
      </c>
      <c r="Y2545" s="18" t="s">
        <v>52</v>
      </c>
      <c r="Z2545" s="18" t="s">
        <v>52</v>
      </c>
      <c r="AA2545" s="18" t="s">
        <v>52</v>
      </c>
      <c r="AB2545" t="s">
        <v>52</v>
      </c>
      <c r="AC2545" t="s">
        <v>52</v>
      </c>
      <c r="AD2545" t="s">
        <v>52</v>
      </c>
      <c r="AE2545" t="s">
        <v>52</v>
      </c>
      <c r="AF2545" s="18" t="s">
        <v>52</v>
      </c>
      <c r="AG2545" s="18" t="s">
        <v>52</v>
      </c>
      <c r="AH2545" s="18" t="s">
        <v>52</v>
      </c>
      <c r="AI2545" s="18" t="s">
        <v>52</v>
      </c>
      <c r="AJ2545">
        <v>6</v>
      </c>
      <c r="AK2545">
        <v>1</v>
      </c>
      <c r="AL2545">
        <v>4</v>
      </c>
      <c r="AM2545">
        <v>6</v>
      </c>
      <c r="AN2545" s="18">
        <v>0</v>
      </c>
      <c r="AO2545" s="18">
        <v>0</v>
      </c>
      <c r="AP2545" s="18">
        <v>0</v>
      </c>
      <c r="AQ2545" s="18">
        <v>0</v>
      </c>
      <c r="AR2545" s="29">
        <v>0</v>
      </c>
      <c r="AS2545" s="29">
        <v>0</v>
      </c>
      <c r="AT2545" s="29">
        <v>8</v>
      </c>
      <c r="AU2545" s="24" t="str">
        <f t="shared" si="40"/>
        <v>库存为8</v>
      </c>
      <c r="AV2545" s="31" t="str">
        <f>IFERROR(时间!$B$4+AU2545,"上周无销量")</f>
        <v>上周无销量</v>
      </c>
    </row>
    <row r="2546" spans="1:48">
      <c r="A2546" s="16" t="s">
        <v>4356</v>
      </c>
      <c r="B2546" t="s">
        <v>888</v>
      </c>
      <c r="C2546" t="s">
        <v>2189</v>
      </c>
      <c r="D2546" s="24">
        <v>0</v>
      </c>
      <c r="E2546" s="24">
        <v>0</v>
      </c>
      <c r="F2546" s="24">
        <v>0</v>
      </c>
      <c r="G2546" s="24">
        <v>0</v>
      </c>
      <c r="H2546" s="25">
        <v>0</v>
      </c>
      <c r="I2546">
        <v>30</v>
      </c>
      <c r="J2546" s="26">
        <v>20</v>
      </c>
      <c r="K2546" s="26">
        <v>0</v>
      </c>
      <c r="L2546" s="26">
        <v>0</v>
      </c>
      <c r="M2546">
        <v>50</v>
      </c>
      <c r="N2546">
        <v>0</v>
      </c>
      <c r="O2546">
        <v>0</v>
      </c>
      <c r="P2546" t="s">
        <v>52</v>
      </c>
      <c r="Q2546" t="s">
        <v>52</v>
      </c>
      <c r="R2546" t="s">
        <v>52</v>
      </c>
      <c r="S2546" t="s">
        <v>52</v>
      </c>
      <c r="T2546" t="s">
        <v>52</v>
      </c>
      <c r="U2546" t="s">
        <v>52</v>
      </c>
      <c r="V2546" t="s">
        <v>52</v>
      </c>
      <c r="W2546" t="s">
        <v>52</v>
      </c>
      <c r="X2546" s="18" t="s">
        <v>52</v>
      </c>
      <c r="Y2546" s="18" t="s">
        <v>52</v>
      </c>
      <c r="Z2546" s="18" t="s">
        <v>52</v>
      </c>
      <c r="AA2546" s="18" t="s">
        <v>52</v>
      </c>
      <c r="AB2546" t="s">
        <v>52</v>
      </c>
      <c r="AC2546" t="s">
        <v>52</v>
      </c>
      <c r="AD2546" t="s">
        <v>52</v>
      </c>
      <c r="AE2546" t="s">
        <v>52</v>
      </c>
      <c r="AF2546" s="18" t="s">
        <v>52</v>
      </c>
      <c r="AG2546" s="18" t="s">
        <v>52</v>
      </c>
      <c r="AH2546" s="18" t="s">
        <v>52</v>
      </c>
      <c r="AI2546" s="18" t="s">
        <v>52</v>
      </c>
      <c r="AJ2546">
        <v>9</v>
      </c>
      <c r="AK2546">
        <v>2</v>
      </c>
      <c r="AL2546">
        <v>6</v>
      </c>
      <c r="AM2546">
        <v>5</v>
      </c>
      <c r="AN2546" s="18">
        <v>0</v>
      </c>
      <c r="AO2546" s="18">
        <v>0</v>
      </c>
      <c r="AP2546" s="18">
        <v>0</v>
      </c>
      <c r="AQ2546" s="18">
        <v>0</v>
      </c>
      <c r="AR2546" s="29">
        <v>0</v>
      </c>
      <c r="AS2546" s="29">
        <v>0</v>
      </c>
      <c r="AT2546" s="29">
        <v>50</v>
      </c>
      <c r="AU2546" s="24" t="str">
        <f t="shared" si="40"/>
        <v>库存为50</v>
      </c>
      <c r="AV2546" s="31" t="str">
        <f>IFERROR(时间!$B$4+AU2546,"上周无销量")</f>
        <v>上周无销量</v>
      </c>
    </row>
    <row r="2547" spans="1:48">
      <c r="A2547" s="16" t="s">
        <v>4357</v>
      </c>
      <c r="B2547" t="s">
        <v>890</v>
      </c>
      <c r="C2547" t="s">
        <v>2189</v>
      </c>
      <c r="D2547" s="24">
        <v>0</v>
      </c>
      <c r="E2547" s="24">
        <v>0</v>
      </c>
      <c r="F2547" s="24">
        <v>0</v>
      </c>
      <c r="G2547" s="24">
        <v>0</v>
      </c>
      <c r="H2547" s="25">
        <v>0</v>
      </c>
      <c r="I2547">
        <v>13</v>
      </c>
      <c r="J2547" s="26">
        <v>0</v>
      </c>
      <c r="K2547" s="26">
        <v>0</v>
      </c>
      <c r="L2547" s="26">
        <v>0</v>
      </c>
      <c r="M2547">
        <v>13</v>
      </c>
      <c r="N2547">
        <v>0</v>
      </c>
      <c r="O2547">
        <v>0</v>
      </c>
      <c r="P2547" t="s">
        <v>52</v>
      </c>
      <c r="Q2547" t="s">
        <v>52</v>
      </c>
      <c r="R2547" t="s">
        <v>52</v>
      </c>
      <c r="S2547" t="s">
        <v>52</v>
      </c>
      <c r="T2547" t="s">
        <v>52</v>
      </c>
      <c r="U2547" t="s">
        <v>52</v>
      </c>
      <c r="V2547" t="s">
        <v>52</v>
      </c>
      <c r="W2547" t="s">
        <v>52</v>
      </c>
      <c r="X2547" s="18" t="s">
        <v>52</v>
      </c>
      <c r="Y2547" s="18" t="s">
        <v>52</v>
      </c>
      <c r="Z2547" s="18" t="s">
        <v>52</v>
      </c>
      <c r="AA2547" s="18" t="s">
        <v>52</v>
      </c>
      <c r="AB2547" t="s">
        <v>52</v>
      </c>
      <c r="AC2547" t="s">
        <v>52</v>
      </c>
      <c r="AD2547" t="s">
        <v>52</v>
      </c>
      <c r="AE2547" t="s">
        <v>52</v>
      </c>
      <c r="AF2547" s="18" t="s">
        <v>52</v>
      </c>
      <c r="AG2547" s="18" t="s">
        <v>52</v>
      </c>
      <c r="AH2547" s="18" t="s">
        <v>52</v>
      </c>
      <c r="AI2547" s="18" t="s">
        <v>52</v>
      </c>
      <c r="AJ2547">
        <v>7</v>
      </c>
      <c r="AK2547">
        <v>2</v>
      </c>
      <c r="AL2547">
        <v>11</v>
      </c>
      <c r="AM2547">
        <v>5</v>
      </c>
      <c r="AN2547" s="18">
        <v>0</v>
      </c>
      <c r="AO2547" s="18">
        <v>0</v>
      </c>
      <c r="AP2547" s="18">
        <v>0</v>
      </c>
      <c r="AQ2547" s="18">
        <v>0</v>
      </c>
      <c r="AR2547" s="29">
        <v>0</v>
      </c>
      <c r="AS2547" s="29">
        <v>0</v>
      </c>
      <c r="AT2547" s="29">
        <v>13</v>
      </c>
      <c r="AU2547" s="24" t="str">
        <f t="shared" si="40"/>
        <v>库存为13</v>
      </c>
      <c r="AV2547" s="31" t="str">
        <f>IFERROR(时间!$B$4+AU2547,"上周无销量")</f>
        <v>上周无销量</v>
      </c>
    </row>
    <row r="2548" spans="1:48">
      <c r="A2548" s="16" t="s">
        <v>4358</v>
      </c>
      <c r="B2548" t="s">
        <v>892</v>
      </c>
      <c r="C2548" t="s">
        <v>2189</v>
      </c>
      <c r="D2548" s="24">
        <v>0</v>
      </c>
      <c r="E2548" s="24">
        <v>0</v>
      </c>
      <c r="F2548" s="24">
        <v>0</v>
      </c>
      <c r="G2548" s="24">
        <v>0</v>
      </c>
      <c r="H2548" s="25">
        <v>0</v>
      </c>
      <c r="I2548">
        <v>0</v>
      </c>
      <c r="J2548" s="26">
        <v>0</v>
      </c>
      <c r="K2548" s="26">
        <v>0</v>
      </c>
      <c r="L2548" s="26">
        <v>0</v>
      </c>
      <c r="M2548">
        <v>0</v>
      </c>
      <c r="N2548">
        <v>0</v>
      </c>
      <c r="O2548">
        <v>0</v>
      </c>
      <c r="P2548" t="s">
        <v>52</v>
      </c>
      <c r="Q2548" t="s">
        <v>52</v>
      </c>
      <c r="R2548" t="s">
        <v>52</v>
      </c>
      <c r="S2548" t="s">
        <v>52</v>
      </c>
      <c r="T2548" t="s">
        <v>52</v>
      </c>
      <c r="U2548" t="s">
        <v>52</v>
      </c>
      <c r="V2548" t="s">
        <v>52</v>
      </c>
      <c r="W2548" t="s">
        <v>52</v>
      </c>
      <c r="X2548" s="18" t="s">
        <v>52</v>
      </c>
      <c r="Y2548" s="18" t="s">
        <v>52</v>
      </c>
      <c r="Z2548" s="18" t="s">
        <v>52</v>
      </c>
      <c r="AA2548" s="18" t="s">
        <v>52</v>
      </c>
      <c r="AB2548" t="s">
        <v>52</v>
      </c>
      <c r="AC2548" t="s">
        <v>52</v>
      </c>
      <c r="AD2548" t="s">
        <v>52</v>
      </c>
      <c r="AE2548" t="s">
        <v>52</v>
      </c>
      <c r="AF2548" s="18" t="s">
        <v>52</v>
      </c>
      <c r="AG2548" s="18" t="s">
        <v>52</v>
      </c>
      <c r="AH2548" s="18" t="s">
        <v>52</v>
      </c>
      <c r="AI2548" s="18" t="s">
        <v>52</v>
      </c>
      <c r="AJ2548">
        <v>1</v>
      </c>
      <c r="AK2548">
        <v>5</v>
      </c>
      <c r="AL2548">
        <v>9</v>
      </c>
      <c r="AM2548">
        <v>7</v>
      </c>
      <c r="AN2548" s="18">
        <v>0</v>
      </c>
      <c r="AO2548" s="18">
        <v>0</v>
      </c>
      <c r="AP2548" s="18">
        <v>0</v>
      </c>
      <c r="AQ2548" s="18">
        <v>0</v>
      </c>
      <c r="AR2548" s="29">
        <v>0</v>
      </c>
      <c r="AS2548" s="29">
        <v>0</v>
      </c>
      <c r="AT2548" s="29">
        <v>0</v>
      </c>
      <c r="AU2548" s="24" t="str">
        <f t="shared" si="40"/>
        <v>库存为0</v>
      </c>
      <c r="AV2548" s="31" t="str">
        <f>IFERROR(时间!$B$4+AU2548,"上周无销量")</f>
        <v>上周无销量</v>
      </c>
    </row>
    <row r="2549" spans="1:48">
      <c r="A2549" s="16" t="s">
        <v>4359</v>
      </c>
      <c r="B2549" t="s">
        <v>896</v>
      </c>
      <c r="C2549" t="s">
        <v>2189</v>
      </c>
      <c r="D2549" s="24">
        <v>0</v>
      </c>
      <c r="E2549" s="24">
        <v>0</v>
      </c>
      <c r="F2549" s="24">
        <v>0</v>
      </c>
      <c r="G2549" s="24">
        <v>0</v>
      </c>
      <c r="H2549" s="25">
        <v>0</v>
      </c>
      <c r="I2549">
        <v>18</v>
      </c>
      <c r="J2549" s="26">
        <v>0</v>
      </c>
      <c r="K2549" s="26">
        <v>0</v>
      </c>
      <c r="L2549" s="26">
        <v>0</v>
      </c>
      <c r="M2549">
        <v>18</v>
      </c>
      <c r="N2549">
        <v>0</v>
      </c>
      <c r="O2549">
        <v>0</v>
      </c>
      <c r="P2549" t="s">
        <v>52</v>
      </c>
      <c r="Q2549" t="s">
        <v>52</v>
      </c>
      <c r="R2549" t="s">
        <v>52</v>
      </c>
      <c r="S2549" t="s">
        <v>52</v>
      </c>
      <c r="T2549" t="s">
        <v>52</v>
      </c>
      <c r="U2549" t="s">
        <v>52</v>
      </c>
      <c r="V2549" t="s">
        <v>52</v>
      </c>
      <c r="W2549" t="s">
        <v>52</v>
      </c>
      <c r="X2549" s="18" t="s">
        <v>52</v>
      </c>
      <c r="Y2549" s="18" t="s">
        <v>52</v>
      </c>
      <c r="Z2549" s="18" t="s">
        <v>52</v>
      </c>
      <c r="AA2549" s="18" t="s">
        <v>52</v>
      </c>
      <c r="AB2549" t="s">
        <v>52</v>
      </c>
      <c r="AC2549" t="s">
        <v>52</v>
      </c>
      <c r="AD2549" t="s">
        <v>52</v>
      </c>
      <c r="AE2549" t="s">
        <v>52</v>
      </c>
      <c r="AF2549" s="18" t="s">
        <v>52</v>
      </c>
      <c r="AG2549" s="18" t="s">
        <v>52</v>
      </c>
      <c r="AH2549" s="18" t="s">
        <v>52</v>
      </c>
      <c r="AI2549" s="18" t="s">
        <v>52</v>
      </c>
      <c r="AJ2549">
        <v>7</v>
      </c>
      <c r="AK2549">
        <v>3</v>
      </c>
      <c r="AL2549">
        <v>9</v>
      </c>
      <c r="AM2549">
        <v>5</v>
      </c>
      <c r="AN2549" s="18">
        <v>0</v>
      </c>
      <c r="AO2549" s="18">
        <v>0</v>
      </c>
      <c r="AP2549" s="18">
        <v>0</v>
      </c>
      <c r="AQ2549" s="18">
        <v>0</v>
      </c>
      <c r="AR2549" s="29">
        <v>0</v>
      </c>
      <c r="AS2549" s="29">
        <v>0</v>
      </c>
      <c r="AT2549" s="29">
        <v>18</v>
      </c>
      <c r="AU2549" s="24" t="str">
        <f t="shared" si="40"/>
        <v>库存为18</v>
      </c>
      <c r="AV2549" s="31" t="str">
        <f>IFERROR(时间!$B$4+AU2549,"上周无销量")</f>
        <v>上周无销量</v>
      </c>
    </row>
    <row r="2550" spans="1:48">
      <c r="A2550" s="16" t="s">
        <v>4360</v>
      </c>
      <c r="B2550" t="s">
        <v>898</v>
      </c>
      <c r="C2550" t="s">
        <v>2189</v>
      </c>
      <c r="D2550" s="24">
        <v>0</v>
      </c>
      <c r="E2550" s="24">
        <v>0</v>
      </c>
      <c r="F2550" s="24">
        <v>0</v>
      </c>
      <c r="G2550" s="24">
        <v>0</v>
      </c>
      <c r="H2550" s="25">
        <v>0</v>
      </c>
      <c r="I2550">
        <v>10</v>
      </c>
      <c r="J2550" s="26">
        <v>0</v>
      </c>
      <c r="K2550" s="26">
        <v>0</v>
      </c>
      <c r="L2550" s="26">
        <v>0</v>
      </c>
      <c r="M2550">
        <v>10</v>
      </c>
      <c r="N2550">
        <v>0</v>
      </c>
      <c r="O2550">
        <v>0</v>
      </c>
      <c r="P2550" t="s">
        <v>52</v>
      </c>
      <c r="Q2550" t="s">
        <v>52</v>
      </c>
      <c r="R2550" t="s">
        <v>52</v>
      </c>
      <c r="S2550" t="s">
        <v>52</v>
      </c>
      <c r="T2550" t="s">
        <v>52</v>
      </c>
      <c r="U2550" t="s">
        <v>52</v>
      </c>
      <c r="V2550" t="s">
        <v>52</v>
      </c>
      <c r="W2550" t="s">
        <v>52</v>
      </c>
      <c r="X2550" s="18" t="s">
        <v>52</v>
      </c>
      <c r="Y2550" s="18" t="s">
        <v>52</v>
      </c>
      <c r="Z2550" s="18" t="s">
        <v>52</v>
      </c>
      <c r="AA2550" s="18" t="s">
        <v>52</v>
      </c>
      <c r="AB2550" t="s">
        <v>52</v>
      </c>
      <c r="AC2550" t="s">
        <v>52</v>
      </c>
      <c r="AD2550" t="s">
        <v>52</v>
      </c>
      <c r="AE2550" t="s">
        <v>52</v>
      </c>
      <c r="AF2550" s="18" t="s">
        <v>52</v>
      </c>
      <c r="AG2550" s="18" t="s">
        <v>52</v>
      </c>
      <c r="AH2550" s="18" t="s">
        <v>52</v>
      </c>
      <c r="AI2550" s="18" t="s">
        <v>52</v>
      </c>
      <c r="AJ2550">
        <v>6</v>
      </c>
      <c r="AK2550">
        <v>3</v>
      </c>
      <c r="AL2550">
        <v>4</v>
      </c>
      <c r="AM2550">
        <v>4</v>
      </c>
      <c r="AN2550" s="18">
        <v>0</v>
      </c>
      <c r="AO2550" s="18">
        <v>0</v>
      </c>
      <c r="AP2550" s="18">
        <v>0</v>
      </c>
      <c r="AQ2550" s="18">
        <v>0</v>
      </c>
      <c r="AR2550" s="29">
        <v>0</v>
      </c>
      <c r="AS2550" s="29">
        <v>0</v>
      </c>
      <c r="AT2550" s="29">
        <v>10</v>
      </c>
      <c r="AU2550" s="24" t="str">
        <f t="shared" si="40"/>
        <v>库存为10</v>
      </c>
      <c r="AV2550" s="31" t="str">
        <f>IFERROR(时间!$B$4+AU2550,"上周无销量")</f>
        <v>上周无销量</v>
      </c>
    </row>
    <row r="2551" spans="1:48">
      <c r="A2551" s="16" t="s">
        <v>4361</v>
      </c>
      <c r="B2551" t="s">
        <v>900</v>
      </c>
      <c r="C2551" t="s">
        <v>2189</v>
      </c>
      <c r="D2551" s="24">
        <v>0</v>
      </c>
      <c r="E2551" s="24">
        <v>0</v>
      </c>
      <c r="F2551" s="24">
        <v>0</v>
      </c>
      <c r="G2551" s="24">
        <v>0</v>
      </c>
      <c r="H2551" s="25">
        <v>0</v>
      </c>
      <c r="I2551">
        <v>16</v>
      </c>
      <c r="J2551" s="26">
        <v>0</v>
      </c>
      <c r="K2551" s="26">
        <v>0</v>
      </c>
      <c r="L2551" s="26">
        <v>0</v>
      </c>
      <c r="M2551">
        <v>16</v>
      </c>
      <c r="N2551">
        <v>0</v>
      </c>
      <c r="O2551">
        <v>0</v>
      </c>
      <c r="P2551" t="s">
        <v>52</v>
      </c>
      <c r="Q2551" t="s">
        <v>52</v>
      </c>
      <c r="R2551" t="s">
        <v>52</v>
      </c>
      <c r="S2551" t="s">
        <v>52</v>
      </c>
      <c r="T2551" t="s">
        <v>52</v>
      </c>
      <c r="U2551" t="s">
        <v>52</v>
      </c>
      <c r="V2551" t="s">
        <v>52</v>
      </c>
      <c r="W2551" t="s">
        <v>52</v>
      </c>
      <c r="X2551" s="18" t="s">
        <v>52</v>
      </c>
      <c r="Y2551" s="18" t="s">
        <v>52</v>
      </c>
      <c r="Z2551" s="18" t="s">
        <v>52</v>
      </c>
      <c r="AA2551" s="18" t="s">
        <v>52</v>
      </c>
      <c r="AB2551" t="s">
        <v>52</v>
      </c>
      <c r="AC2551" t="s">
        <v>52</v>
      </c>
      <c r="AD2551" t="s">
        <v>52</v>
      </c>
      <c r="AE2551" t="s">
        <v>52</v>
      </c>
      <c r="AF2551" s="18" t="s">
        <v>52</v>
      </c>
      <c r="AG2551" s="18" t="s">
        <v>52</v>
      </c>
      <c r="AH2551" s="18" t="s">
        <v>52</v>
      </c>
      <c r="AI2551" s="18" t="s">
        <v>52</v>
      </c>
      <c r="AJ2551">
        <v>2</v>
      </c>
      <c r="AK2551">
        <v>2</v>
      </c>
      <c r="AL2551">
        <v>5</v>
      </c>
      <c r="AM2551">
        <v>3</v>
      </c>
      <c r="AN2551" s="18">
        <v>0</v>
      </c>
      <c r="AO2551" s="18">
        <v>0</v>
      </c>
      <c r="AP2551" s="18">
        <v>0</v>
      </c>
      <c r="AQ2551" s="18">
        <v>0</v>
      </c>
      <c r="AR2551" s="29">
        <v>0</v>
      </c>
      <c r="AS2551" s="29">
        <v>0</v>
      </c>
      <c r="AT2551" s="29">
        <v>16</v>
      </c>
      <c r="AU2551" s="24" t="str">
        <f t="shared" si="40"/>
        <v>库存为16</v>
      </c>
      <c r="AV2551" s="31" t="str">
        <f>IFERROR(时间!$B$4+AU2551,"上周无销量")</f>
        <v>上周无销量</v>
      </c>
    </row>
    <row r="2552" spans="1:48">
      <c r="A2552" s="16" t="s">
        <v>4362</v>
      </c>
      <c r="B2552" t="s">
        <v>902</v>
      </c>
      <c r="C2552" t="s">
        <v>2189</v>
      </c>
      <c r="D2552" s="24">
        <v>0</v>
      </c>
      <c r="E2552" s="24">
        <v>0</v>
      </c>
      <c r="F2552" s="24">
        <v>0</v>
      </c>
      <c r="G2552" s="24">
        <v>0</v>
      </c>
      <c r="H2552" s="25">
        <v>0</v>
      </c>
      <c r="I2552">
        <v>13</v>
      </c>
      <c r="J2552" s="26">
        <v>0</v>
      </c>
      <c r="K2552" s="26">
        <v>0</v>
      </c>
      <c r="L2552" s="26">
        <v>0</v>
      </c>
      <c r="M2552">
        <v>13</v>
      </c>
      <c r="N2552">
        <v>0</v>
      </c>
      <c r="O2552">
        <v>0</v>
      </c>
      <c r="P2552" t="s">
        <v>52</v>
      </c>
      <c r="Q2552" t="s">
        <v>52</v>
      </c>
      <c r="R2552" t="s">
        <v>52</v>
      </c>
      <c r="S2552" t="s">
        <v>52</v>
      </c>
      <c r="T2552" t="s">
        <v>52</v>
      </c>
      <c r="U2552" t="s">
        <v>52</v>
      </c>
      <c r="V2552" t="s">
        <v>52</v>
      </c>
      <c r="W2552" t="s">
        <v>52</v>
      </c>
      <c r="X2552" s="18" t="s">
        <v>52</v>
      </c>
      <c r="Y2552" s="18" t="s">
        <v>52</v>
      </c>
      <c r="Z2552" s="18" t="s">
        <v>52</v>
      </c>
      <c r="AA2552" s="18" t="s">
        <v>52</v>
      </c>
      <c r="AB2552" t="s">
        <v>52</v>
      </c>
      <c r="AC2552" t="s">
        <v>52</v>
      </c>
      <c r="AD2552" t="s">
        <v>52</v>
      </c>
      <c r="AE2552" t="s">
        <v>52</v>
      </c>
      <c r="AF2552" s="18" t="s">
        <v>52</v>
      </c>
      <c r="AG2552" s="18" t="s">
        <v>52</v>
      </c>
      <c r="AH2552" s="18" t="s">
        <v>52</v>
      </c>
      <c r="AI2552" s="18" t="s">
        <v>52</v>
      </c>
      <c r="AJ2552">
        <v>0</v>
      </c>
      <c r="AK2552">
        <v>3</v>
      </c>
      <c r="AL2552">
        <v>9</v>
      </c>
      <c r="AM2552">
        <v>4</v>
      </c>
      <c r="AN2552" s="18" t="s">
        <v>52</v>
      </c>
      <c r="AO2552" s="18">
        <v>0</v>
      </c>
      <c r="AP2552" s="18">
        <v>0</v>
      </c>
      <c r="AQ2552" s="18">
        <v>0</v>
      </c>
      <c r="AR2552" s="29">
        <v>0</v>
      </c>
      <c r="AS2552" s="29">
        <v>0</v>
      </c>
      <c r="AT2552" s="29">
        <v>13</v>
      </c>
      <c r="AU2552" s="24" t="str">
        <f t="shared" si="40"/>
        <v>库存为13</v>
      </c>
      <c r="AV2552" s="31" t="str">
        <f>IFERROR(时间!$B$4+AU2552,"上周无销量")</f>
        <v>上周无销量</v>
      </c>
    </row>
    <row r="2553" spans="1:48">
      <c r="A2553" s="16" t="s">
        <v>4363</v>
      </c>
      <c r="B2553" t="s">
        <v>904</v>
      </c>
      <c r="C2553" t="s">
        <v>2189</v>
      </c>
      <c r="D2553" s="24">
        <v>0</v>
      </c>
      <c r="E2553" s="24">
        <v>0</v>
      </c>
      <c r="F2553" s="24">
        <v>0</v>
      </c>
      <c r="G2553" s="24">
        <v>0</v>
      </c>
      <c r="H2553" s="25">
        <v>0</v>
      </c>
      <c r="I2553">
        <v>7</v>
      </c>
      <c r="J2553" s="26">
        <v>0</v>
      </c>
      <c r="K2553" s="26">
        <v>0</v>
      </c>
      <c r="L2553" s="26">
        <v>0</v>
      </c>
      <c r="M2553">
        <v>7</v>
      </c>
      <c r="N2553">
        <v>0</v>
      </c>
      <c r="O2553">
        <v>0</v>
      </c>
      <c r="P2553" t="s">
        <v>52</v>
      </c>
      <c r="Q2553" t="s">
        <v>52</v>
      </c>
      <c r="R2553" t="s">
        <v>52</v>
      </c>
      <c r="S2553" t="s">
        <v>52</v>
      </c>
      <c r="T2553" t="s">
        <v>52</v>
      </c>
      <c r="U2553" t="s">
        <v>52</v>
      </c>
      <c r="V2553" t="s">
        <v>52</v>
      </c>
      <c r="W2553" t="s">
        <v>52</v>
      </c>
      <c r="X2553" s="18" t="s">
        <v>52</v>
      </c>
      <c r="Y2553" s="18" t="s">
        <v>52</v>
      </c>
      <c r="Z2553" s="18" t="s">
        <v>52</v>
      </c>
      <c r="AA2553" s="18" t="s">
        <v>52</v>
      </c>
      <c r="AB2553" t="s">
        <v>52</v>
      </c>
      <c r="AC2553" t="s">
        <v>52</v>
      </c>
      <c r="AD2553" t="s">
        <v>52</v>
      </c>
      <c r="AE2553" t="s">
        <v>52</v>
      </c>
      <c r="AF2553" s="18" t="s">
        <v>52</v>
      </c>
      <c r="AG2553" s="18" t="s">
        <v>52</v>
      </c>
      <c r="AH2553" s="18" t="s">
        <v>52</v>
      </c>
      <c r="AI2553" s="18" t="s">
        <v>52</v>
      </c>
      <c r="AJ2553">
        <v>3</v>
      </c>
      <c r="AK2553">
        <v>2</v>
      </c>
      <c r="AL2553">
        <v>5</v>
      </c>
      <c r="AM2553">
        <v>3</v>
      </c>
      <c r="AN2553" s="18">
        <v>0</v>
      </c>
      <c r="AO2553" s="18">
        <v>0</v>
      </c>
      <c r="AP2553" s="18">
        <v>0</v>
      </c>
      <c r="AQ2553" s="18">
        <v>0</v>
      </c>
      <c r="AR2553" s="29">
        <v>0</v>
      </c>
      <c r="AS2553" s="29">
        <v>0</v>
      </c>
      <c r="AT2553" s="29">
        <v>7</v>
      </c>
      <c r="AU2553" s="24" t="str">
        <f t="shared" si="40"/>
        <v>库存为7</v>
      </c>
      <c r="AV2553" s="31" t="str">
        <f>IFERROR(时间!$B$4+AU2553,"上周无销量")</f>
        <v>上周无销量</v>
      </c>
    </row>
    <row r="2554" spans="1:48">
      <c r="A2554" s="16" t="s">
        <v>4364</v>
      </c>
      <c r="B2554" t="s">
        <v>906</v>
      </c>
      <c r="C2554" t="s">
        <v>2189</v>
      </c>
      <c r="D2554" s="24">
        <v>0</v>
      </c>
      <c r="E2554" s="24">
        <v>0</v>
      </c>
      <c r="F2554" s="24">
        <v>0</v>
      </c>
      <c r="G2554" s="24">
        <v>0</v>
      </c>
      <c r="H2554" s="25">
        <v>0</v>
      </c>
      <c r="I2554">
        <v>11</v>
      </c>
      <c r="J2554" s="26">
        <v>0</v>
      </c>
      <c r="K2554" s="26">
        <v>0</v>
      </c>
      <c r="L2554" s="26">
        <v>0</v>
      </c>
      <c r="M2554">
        <v>11</v>
      </c>
      <c r="N2554">
        <v>0</v>
      </c>
      <c r="O2554">
        <v>0</v>
      </c>
      <c r="P2554" t="s">
        <v>52</v>
      </c>
      <c r="Q2554" t="s">
        <v>52</v>
      </c>
      <c r="R2554" t="s">
        <v>52</v>
      </c>
      <c r="S2554" t="s">
        <v>52</v>
      </c>
      <c r="T2554" t="s">
        <v>52</v>
      </c>
      <c r="U2554" t="s">
        <v>52</v>
      </c>
      <c r="V2554" t="s">
        <v>52</v>
      </c>
      <c r="W2554" t="s">
        <v>52</v>
      </c>
      <c r="X2554" s="18" t="s">
        <v>52</v>
      </c>
      <c r="Y2554" s="18" t="s">
        <v>52</v>
      </c>
      <c r="Z2554" s="18" t="s">
        <v>52</v>
      </c>
      <c r="AA2554" s="18" t="s">
        <v>52</v>
      </c>
      <c r="AB2554" t="s">
        <v>52</v>
      </c>
      <c r="AC2554" t="s">
        <v>52</v>
      </c>
      <c r="AD2554" t="s">
        <v>52</v>
      </c>
      <c r="AE2554" t="s">
        <v>52</v>
      </c>
      <c r="AF2554" s="18" t="s">
        <v>52</v>
      </c>
      <c r="AG2554" s="18" t="s">
        <v>52</v>
      </c>
      <c r="AH2554" s="18" t="s">
        <v>52</v>
      </c>
      <c r="AI2554" s="18" t="s">
        <v>52</v>
      </c>
      <c r="AJ2554">
        <v>3</v>
      </c>
      <c r="AK2554">
        <v>1</v>
      </c>
      <c r="AL2554">
        <v>7</v>
      </c>
      <c r="AM2554">
        <v>3</v>
      </c>
      <c r="AN2554" s="18">
        <v>0</v>
      </c>
      <c r="AO2554" s="18">
        <v>0</v>
      </c>
      <c r="AP2554" s="18">
        <v>0</v>
      </c>
      <c r="AQ2554" s="18">
        <v>0</v>
      </c>
      <c r="AR2554" s="29">
        <v>0</v>
      </c>
      <c r="AS2554" s="29">
        <v>0</v>
      </c>
      <c r="AT2554" s="29">
        <v>11</v>
      </c>
      <c r="AU2554" s="24" t="str">
        <f t="shared" si="40"/>
        <v>库存为11</v>
      </c>
      <c r="AV2554" s="31" t="str">
        <f>IFERROR(时间!$B$4+AU2554,"上周无销量")</f>
        <v>上周无销量</v>
      </c>
    </row>
    <row r="2555" spans="1:48">
      <c r="A2555" s="16" t="s">
        <v>4365</v>
      </c>
      <c r="B2555" t="s">
        <v>908</v>
      </c>
      <c r="C2555" t="s">
        <v>2189</v>
      </c>
      <c r="D2555" s="24">
        <v>0</v>
      </c>
      <c r="E2555" s="24">
        <v>0</v>
      </c>
      <c r="F2555" s="24">
        <v>0</v>
      </c>
      <c r="G2555" s="24">
        <v>0</v>
      </c>
      <c r="H2555" s="25">
        <v>0</v>
      </c>
      <c r="I2555">
        <v>5</v>
      </c>
      <c r="J2555" s="26">
        <v>16</v>
      </c>
      <c r="K2555" s="26">
        <v>0</v>
      </c>
      <c r="L2555" s="26">
        <v>0</v>
      </c>
      <c r="M2555">
        <v>21</v>
      </c>
      <c r="N2555">
        <v>0</v>
      </c>
      <c r="O2555">
        <v>0</v>
      </c>
      <c r="P2555" t="s">
        <v>52</v>
      </c>
      <c r="Q2555" t="s">
        <v>52</v>
      </c>
      <c r="R2555" t="s">
        <v>52</v>
      </c>
      <c r="S2555" t="s">
        <v>52</v>
      </c>
      <c r="T2555" t="s">
        <v>52</v>
      </c>
      <c r="U2555" t="s">
        <v>52</v>
      </c>
      <c r="V2555" t="s">
        <v>52</v>
      </c>
      <c r="W2555" t="s">
        <v>52</v>
      </c>
      <c r="X2555" s="18" t="s">
        <v>52</v>
      </c>
      <c r="Y2555" s="18" t="s">
        <v>52</v>
      </c>
      <c r="Z2555" s="18" t="s">
        <v>52</v>
      </c>
      <c r="AA2555" s="18" t="s">
        <v>52</v>
      </c>
      <c r="AB2555" t="s">
        <v>52</v>
      </c>
      <c r="AC2555" t="s">
        <v>52</v>
      </c>
      <c r="AD2555" t="s">
        <v>52</v>
      </c>
      <c r="AE2555" t="s">
        <v>52</v>
      </c>
      <c r="AF2555" s="18" t="s">
        <v>52</v>
      </c>
      <c r="AG2555" s="18" t="s">
        <v>52</v>
      </c>
      <c r="AH2555" s="18" t="s">
        <v>52</v>
      </c>
      <c r="AI2555" s="18" t="s">
        <v>52</v>
      </c>
      <c r="AJ2555">
        <v>7</v>
      </c>
      <c r="AK2555">
        <v>3</v>
      </c>
      <c r="AL2555">
        <v>9</v>
      </c>
      <c r="AM2555">
        <v>9</v>
      </c>
      <c r="AN2555" s="18">
        <v>0</v>
      </c>
      <c r="AO2555" s="18">
        <v>0</v>
      </c>
      <c r="AP2555" s="18">
        <v>0</v>
      </c>
      <c r="AQ2555" s="18">
        <v>0</v>
      </c>
      <c r="AR2555" s="29">
        <v>0</v>
      </c>
      <c r="AS2555" s="29">
        <v>0</v>
      </c>
      <c r="AT2555" s="29">
        <v>21</v>
      </c>
      <c r="AU2555" s="24" t="str">
        <f t="shared" si="40"/>
        <v>库存为21</v>
      </c>
      <c r="AV2555" s="31" t="str">
        <f>IFERROR(时间!$B$4+AU2555,"上周无销量")</f>
        <v>上周无销量</v>
      </c>
    </row>
    <row r="2556" spans="1:48">
      <c r="A2556" s="16" t="s">
        <v>4366</v>
      </c>
      <c r="B2556" t="s">
        <v>910</v>
      </c>
      <c r="C2556" t="s">
        <v>2189</v>
      </c>
      <c r="D2556" s="24">
        <v>0</v>
      </c>
      <c r="E2556" s="24">
        <v>0</v>
      </c>
      <c r="F2556" s="24">
        <v>0</v>
      </c>
      <c r="G2556" s="24">
        <v>0</v>
      </c>
      <c r="H2556" s="25">
        <v>0</v>
      </c>
      <c r="I2556">
        <v>13</v>
      </c>
      <c r="J2556" s="26">
        <v>0</v>
      </c>
      <c r="K2556" s="26">
        <v>0</v>
      </c>
      <c r="L2556" s="26">
        <v>0</v>
      </c>
      <c r="M2556">
        <v>13</v>
      </c>
      <c r="N2556">
        <v>0</v>
      </c>
      <c r="O2556">
        <v>0</v>
      </c>
      <c r="P2556" t="s">
        <v>52</v>
      </c>
      <c r="Q2556" t="s">
        <v>52</v>
      </c>
      <c r="R2556" t="s">
        <v>52</v>
      </c>
      <c r="S2556" t="s">
        <v>52</v>
      </c>
      <c r="T2556" t="s">
        <v>52</v>
      </c>
      <c r="U2556" t="s">
        <v>52</v>
      </c>
      <c r="V2556" t="s">
        <v>52</v>
      </c>
      <c r="W2556" t="s">
        <v>52</v>
      </c>
      <c r="X2556" s="18" t="s">
        <v>52</v>
      </c>
      <c r="Y2556" s="18" t="s">
        <v>52</v>
      </c>
      <c r="Z2556" s="18" t="s">
        <v>52</v>
      </c>
      <c r="AA2556" s="18" t="s">
        <v>52</v>
      </c>
      <c r="AB2556" t="s">
        <v>52</v>
      </c>
      <c r="AC2556" t="s">
        <v>52</v>
      </c>
      <c r="AD2556" t="s">
        <v>52</v>
      </c>
      <c r="AE2556" t="s">
        <v>52</v>
      </c>
      <c r="AF2556" s="18" t="s">
        <v>52</v>
      </c>
      <c r="AG2556" s="18" t="s">
        <v>52</v>
      </c>
      <c r="AH2556" s="18" t="s">
        <v>52</v>
      </c>
      <c r="AI2556" s="18" t="s">
        <v>52</v>
      </c>
      <c r="AJ2556">
        <v>3</v>
      </c>
      <c r="AK2556">
        <v>2</v>
      </c>
      <c r="AL2556">
        <v>3</v>
      </c>
      <c r="AM2556">
        <v>8</v>
      </c>
      <c r="AN2556" s="18">
        <v>0</v>
      </c>
      <c r="AO2556" s="18">
        <v>0</v>
      </c>
      <c r="AP2556" s="18">
        <v>0</v>
      </c>
      <c r="AQ2556" s="18">
        <v>0</v>
      </c>
      <c r="AR2556" s="29">
        <v>0</v>
      </c>
      <c r="AS2556" s="29">
        <v>0</v>
      </c>
      <c r="AT2556" s="29">
        <v>13</v>
      </c>
      <c r="AU2556" s="24" t="str">
        <f t="shared" si="40"/>
        <v>库存为13</v>
      </c>
      <c r="AV2556" s="31" t="str">
        <f>IFERROR(时间!$B$4+AU2556,"上周无销量")</f>
        <v>上周无销量</v>
      </c>
    </row>
    <row r="2557" spans="1:48">
      <c r="A2557" s="16" t="s">
        <v>4367</v>
      </c>
      <c r="B2557" t="s">
        <v>912</v>
      </c>
      <c r="C2557" t="s">
        <v>2189</v>
      </c>
      <c r="D2557" s="24">
        <v>0</v>
      </c>
      <c r="E2557" s="24">
        <v>0</v>
      </c>
      <c r="F2557" s="24">
        <v>0</v>
      </c>
      <c r="G2557" s="24">
        <v>0</v>
      </c>
      <c r="H2557" s="25">
        <v>0</v>
      </c>
      <c r="I2557">
        <v>1</v>
      </c>
      <c r="J2557" s="26">
        <v>0</v>
      </c>
      <c r="K2557" s="26">
        <v>0</v>
      </c>
      <c r="L2557" s="26">
        <v>0</v>
      </c>
      <c r="M2557">
        <v>1</v>
      </c>
      <c r="N2557">
        <v>0</v>
      </c>
      <c r="O2557">
        <v>0</v>
      </c>
      <c r="P2557" t="s">
        <v>52</v>
      </c>
      <c r="Q2557" t="s">
        <v>52</v>
      </c>
      <c r="R2557" t="s">
        <v>52</v>
      </c>
      <c r="S2557" t="s">
        <v>52</v>
      </c>
      <c r="T2557" t="s">
        <v>52</v>
      </c>
      <c r="U2557" t="s">
        <v>52</v>
      </c>
      <c r="V2557" t="s">
        <v>52</v>
      </c>
      <c r="W2557" t="s">
        <v>52</v>
      </c>
      <c r="X2557" s="18" t="s">
        <v>52</v>
      </c>
      <c r="Y2557" s="18" t="s">
        <v>52</v>
      </c>
      <c r="Z2557" s="18" t="s">
        <v>52</v>
      </c>
      <c r="AA2557" s="18" t="s">
        <v>52</v>
      </c>
      <c r="AB2557" t="s">
        <v>52</v>
      </c>
      <c r="AC2557" t="s">
        <v>52</v>
      </c>
      <c r="AD2557" t="s">
        <v>52</v>
      </c>
      <c r="AE2557" t="s">
        <v>52</v>
      </c>
      <c r="AF2557" s="18" t="s">
        <v>52</v>
      </c>
      <c r="AG2557" s="18" t="s">
        <v>52</v>
      </c>
      <c r="AH2557" s="18" t="s">
        <v>52</v>
      </c>
      <c r="AI2557" s="18" t="s">
        <v>52</v>
      </c>
      <c r="AJ2557">
        <v>4</v>
      </c>
      <c r="AK2557">
        <v>1</v>
      </c>
      <c r="AL2557">
        <v>6</v>
      </c>
      <c r="AM2557">
        <v>1</v>
      </c>
      <c r="AN2557" s="18">
        <v>0</v>
      </c>
      <c r="AO2557" s="18">
        <v>0</v>
      </c>
      <c r="AP2557" s="18">
        <v>0</v>
      </c>
      <c r="AQ2557" s="18">
        <v>0</v>
      </c>
      <c r="AR2557" s="29">
        <v>0</v>
      </c>
      <c r="AS2557" s="29">
        <v>0</v>
      </c>
      <c r="AT2557" s="29">
        <v>1</v>
      </c>
      <c r="AU2557" s="24" t="str">
        <f t="shared" si="40"/>
        <v>库存为1</v>
      </c>
      <c r="AV2557" s="31" t="str">
        <f>IFERROR(时间!$B$4+AU2557,"上周无销量")</f>
        <v>上周无销量</v>
      </c>
    </row>
    <row r="2558" spans="1:48">
      <c r="A2558" s="16" t="s">
        <v>4368</v>
      </c>
      <c r="B2558" t="s">
        <v>914</v>
      </c>
      <c r="C2558" t="s">
        <v>2189</v>
      </c>
      <c r="D2558" s="24">
        <v>0</v>
      </c>
      <c r="E2558" s="24">
        <v>0</v>
      </c>
      <c r="F2558" s="24">
        <v>0</v>
      </c>
      <c r="G2558" s="24">
        <v>0</v>
      </c>
      <c r="H2558" s="25">
        <v>0</v>
      </c>
      <c r="I2558">
        <v>13</v>
      </c>
      <c r="J2558" s="26">
        <v>0</v>
      </c>
      <c r="K2558" s="26">
        <v>0</v>
      </c>
      <c r="L2558" s="26">
        <v>0</v>
      </c>
      <c r="M2558">
        <v>13</v>
      </c>
      <c r="N2558">
        <v>0</v>
      </c>
      <c r="O2558">
        <v>0</v>
      </c>
      <c r="P2558" t="s">
        <v>52</v>
      </c>
      <c r="Q2558" t="s">
        <v>52</v>
      </c>
      <c r="R2558" t="s">
        <v>52</v>
      </c>
      <c r="S2558" t="s">
        <v>52</v>
      </c>
      <c r="T2558" t="s">
        <v>52</v>
      </c>
      <c r="U2558" t="s">
        <v>52</v>
      </c>
      <c r="V2558" t="s">
        <v>52</v>
      </c>
      <c r="W2558" t="s">
        <v>52</v>
      </c>
      <c r="X2558" s="18" t="s">
        <v>52</v>
      </c>
      <c r="Y2558" s="18" t="s">
        <v>52</v>
      </c>
      <c r="Z2558" s="18" t="s">
        <v>52</v>
      </c>
      <c r="AA2558" s="18" t="s">
        <v>52</v>
      </c>
      <c r="AB2558" t="s">
        <v>52</v>
      </c>
      <c r="AC2558" t="s">
        <v>52</v>
      </c>
      <c r="AD2558" t="s">
        <v>52</v>
      </c>
      <c r="AE2558" t="s">
        <v>52</v>
      </c>
      <c r="AF2558" s="18" t="s">
        <v>52</v>
      </c>
      <c r="AG2558" s="18" t="s">
        <v>52</v>
      </c>
      <c r="AH2558" s="18" t="s">
        <v>52</v>
      </c>
      <c r="AI2558" s="18" t="s">
        <v>52</v>
      </c>
      <c r="AJ2558">
        <v>8</v>
      </c>
      <c r="AK2558">
        <v>1</v>
      </c>
      <c r="AL2558">
        <v>10</v>
      </c>
      <c r="AM2558">
        <v>2</v>
      </c>
      <c r="AN2558" s="18">
        <v>0</v>
      </c>
      <c r="AO2558" s="18">
        <v>0</v>
      </c>
      <c r="AP2558" s="18">
        <v>0</v>
      </c>
      <c r="AQ2558" s="18">
        <v>0</v>
      </c>
      <c r="AR2558" s="29">
        <v>0</v>
      </c>
      <c r="AS2558" s="29">
        <v>0</v>
      </c>
      <c r="AT2558" s="29">
        <v>13</v>
      </c>
      <c r="AU2558" s="24" t="str">
        <f t="shared" si="40"/>
        <v>库存为13</v>
      </c>
      <c r="AV2558" s="31" t="str">
        <f>IFERROR(时间!$B$4+AU2558,"上周无销量")</f>
        <v>上周无销量</v>
      </c>
    </row>
    <row r="2559" spans="1:48">
      <c r="A2559" s="16" t="s">
        <v>4369</v>
      </c>
      <c r="B2559" t="s">
        <v>916</v>
      </c>
      <c r="C2559" t="s">
        <v>2189</v>
      </c>
      <c r="D2559" s="24">
        <v>0</v>
      </c>
      <c r="E2559" s="24">
        <v>0</v>
      </c>
      <c r="F2559" s="24">
        <v>0</v>
      </c>
      <c r="G2559" s="24">
        <v>0</v>
      </c>
      <c r="H2559" s="25">
        <v>0</v>
      </c>
      <c r="I2559">
        <v>9</v>
      </c>
      <c r="J2559" s="26">
        <v>0</v>
      </c>
      <c r="K2559" s="26">
        <v>0</v>
      </c>
      <c r="L2559" s="26">
        <v>0</v>
      </c>
      <c r="M2559">
        <v>9</v>
      </c>
      <c r="N2559">
        <v>0</v>
      </c>
      <c r="O2559">
        <v>0</v>
      </c>
      <c r="P2559" t="s">
        <v>52</v>
      </c>
      <c r="Q2559" t="s">
        <v>52</v>
      </c>
      <c r="R2559" t="s">
        <v>52</v>
      </c>
      <c r="S2559" t="s">
        <v>52</v>
      </c>
      <c r="T2559" t="s">
        <v>52</v>
      </c>
      <c r="U2559" t="s">
        <v>52</v>
      </c>
      <c r="V2559" t="s">
        <v>52</v>
      </c>
      <c r="W2559" t="s">
        <v>52</v>
      </c>
      <c r="X2559" s="18" t="s">
        <v>52</v>
      </c>
      <c r="Y2559" s="18" t="s">
        <v>52</v>
      </c>
      <c r="Z2559" s="18" t="s">
        <v>52</v>
      </c>
      <c r="AA2559" s="18" t="s">
        <v>52</v>
      </c>
      <c r="AB2559" t="s">
        <v>52</v>
      </c>
      <c r="AC2559" t="s">
        <v>52</v>
      </c>
      <c r="AD2559" t="s">
        <v>52</v>
      </c>
      <c r="AE2559" t="s">
        <v>52</v>
      </c>
      <c r="AF2559" s="18" t="s">
        <v>52</v>
      </c>
      <c r="AG2559" s="18" t="s">
        <v>52</v>
      </c>
      <c r="AH2559" s="18" t="s">
        <v>52</v>
      </c>
      <c r="AI2559" s="18" t="s">
        <v>52</v>
      </c>
      <c r="AJ2559">
        <v>4</v>
      </c>
      <c r="AK2559">
        <v>0</v>
      </c>
      <c r="AL2559">
        <v>12</v>
      </c>
      <c r="AM2559">
        <v>6</v>
      </c>
      <c r="AN2559" s="18">
        <v>0</v>
      </c>
      <c r="AO2559" s="18" t="s">
        <v>52</v>
      </c>
      <c r="AP2559" s="18">
        <v>0</v>
      </c>
      <c r="AQ2559" s="18">
        <v>0</v>
      </c>
      <c r="AR2559" s="29">
        <v>0</v>
      </c>
      <c r="AS2559" s="29">
        <v>0</v>
      </c>
      <c r="AT2559" s="29">
        <v>9</v>
      </c>
      <c r="AU2559" s="24" t="str">
        <f t="shared" si="40"/>
        <v>库存为9</v>
      </c>
      <c r="AV2559" s="31" t="str">
        <f>IFERROR(时间!$B$4+AU2559,"上周无销量")</f>
        <v>上周无销量</v>
      </c>
    </row>
    <row r="2560" spans="1:48">
      <c r="A2560" s="16" t="s">
        <v>4370</v>
      </c>
      <c r="B2560" t="s">
        <v>918</v>
      </c>
      <c r="C2560" t="s">
        <v>2189</v>
      </c>
      <c r="D2560" s="24">
        <v>0</v>
      </c>
      <c r="E2560" s="24">
        <v>0</v>
      </c>
      <c r="F2560" s="24">
        <v>0</v>
      </c>
      <c r="G2560" s="24">
        <v>0</v>
      </c>
      <c r="H2560" s="25">
        <v>0</v>
      </c>
      <c r="I2560">
        <v>24</v>
      </c>
      <c r="J2560" s="26">
        <v>0</v>
      </c>
      <c r="K2560" s="26">
        <v>0</v>
      </c>
      <c r="L2560" s="26">
        <v>0</v>
      </c>
      <c r="M2560">
        <v>24</v>
      </c>
      <c r="N2560">
        <v>0</v>
      </c>
      <c r="O2560">
        <v>0</v>
      </c>
      <c r="P2560" t="s">
        <v>52</v>
      </c>
      <c r="Q2560" t="s">
        <v>52</v>
      </c>
      <c r="R2560" t="s">
        <v>52</v>
      </c>
      <c r="S2560" t="s">
        <v>52</v>
      </c>
      <c r="T2560" t="s">
        <v>52</v>
      </c>
      <c r="U2560" t="s">
        <v>52</v>
      </c>
      <c r="V2560" t="s">
        <v>52</v>
      </c>
      <c r="W2560" t="s">
        <v>52</v>
      </c>
      <c r="X2560" s="18" t="s">
        <v>52</v>
      </c>
      <c r="Y2560" s="18" t="s">
        <v>52</v>
      </c>
      <c r="Z2560" s="18" t="s">
        <v>52</v>
      </c>
      <c r="AA2560" s="18" t="s">
        <v>52</v>
      </c>
      <c r="AB2560" t="s">
        <v>52</v>
      </c>
      <c r="AC2560" t="s">
        <v>52</v>
      </c>
      <c r="AD2560" t="s">
        <v>52</v>
      </c>
      <c r="AE2560" t="s">
        <v>52</v>
      </c>
      <c r="AF2560" s="18" t="s">
        <v>52</v>
      </c>
      <c r="AG2560" s="18" t="s">
        <v>52</v>
      </c>
      <c r="AH2560" s="18" t="s">
        <v>52</v>
      </c>
      <c r="AI2560" s="18" t="s">
        <v>52</v>
      </c>
      <c r="AJ2560">
        <v>5</v>
      </c>
      <c r="AK2560">
        <v>1</v>
      </c>
      <c r="AL2560">
        <v>7</v>
      </c>
      <c r="AM2560">
        <v>4</v>
      </c>
      <c r="AN2560" s="18">
        <v>0</v>
      </c>
      <c r="AO2560" s="18">
        <v>0</v>
      </c>
      <c r="AP2560" s="18">
        <v>0</v>
      </c>
      <c r="AQ2560" s="18">
        <v>0</v>
      </c>
      <c r="AR2560" s="29">
        <v>0</v>
      </c>
      <c r="AS2560" s="29">
        <v>0</v>
      </c>
      <c r="AT2560" s="29">
        <v>24</v>
      </c>
      <c r="AU2560" s="24" t="str">
        <f t="shared" si="40"/>
        <v>库存为24</v>
      </c>
      <c r="AV2560" s="31" t="str">
        <f>IFERROR(时间!$B$4+AU2560,"上周无销量")</f>
        <v>上周无销量</v>
      </c>
    </row>
    <row r="2561" spans="1:48">
      <c r="A2561" s="16" t="s">
        <v>4371</v>
      </c>
      <c r="B2561" t="s">
        <v>920</v>
      </c>
      <c r="C2561" t="s">
        <v>2189</v>
      </c>
      <c r="D2561" s="24">
        <v>0</v>
      </c>
      <c r="E2561" s="24">
        <v>0</v>
      </c>
      <c r="F2561" s="24">
        <v>0</v>
      </c>
      <c r="G2561" s="24">
        <v>0</v>
      </c>
      <c r="H2561" s="25">
        <v>0</v>
      </c>
      <c r="I2561">
        <v>27</v>
      </c>
      <c r="J2561" s="26">
        <v>0</v>
      </c>
      <c r="K2561" s="26">
        <v>0</v>
      </c>
      <c r="L2561" s="26">
        <v>0</v>
      </c>
      <c r="M2561">
        <v>27</v>
      </c>
      <c r="N2561">
        <v>0</v>
      </c>
      <c r="O2561">
        <v>0</v>
      </c>
      <c r="P2561" t="s">
        <v>52</v>
      </c>
      <c r="Q2561" t="s">
        <v>52</v>
      </c>
      <c r="R2561" t="s">
        <v>52</v>
      </c>
      <c r="S2561" t="s">
        <v>52</v>
      </c>
      <c r="T2561" t="s">
        <v>52</v>
      </c>
      <c r="U2561" t="s">
        <v>52</v>
      </c>
      <c r="V2561" t="s">
        <v>52</v>
      </c>
      <c r="W2561" t="s">
        <v>52</v>
      </c>
      <c r="X2561" s="18" t="s">
        <v>52</v>
      </c>
      <c r="Y2561" s="18" t="s">
        <v>52</v>
      </c>
      <c r="Z2561" s="18" t="s">
        <v>52</v>
      </c>
      <c r="AA2561" s="18" t="s">
        <v>52</v>
      </c>
      <c r="AB2561" t="s">
        <v>52</v>
      </c>
      <c r="AC2561" t="s">
        <v>52</v>
      </c>
      <c r="AD2561" t="s">
        <v>52</v>
      </c>
      <c r="AE2561" t="s">
        <v>52</v>
      </c>
      <c r="AF2561" s="18" t="s">
        <v>52</v>
      </c>
      <c r="AG2561" s="18" t="s">
        <v>52</v>
      </c>
      <c r="AH2561" s="18" t="s">
        <v>52</v>
      </c>
      <c r="AI2561" s="18" t="s">
        <v>52</v>
      </c>
      <c r="AJ2561">
        <v>2</v>
      </c>
      <c r="AK2561">
        <v>1</v>
      </c>
      <c r="AL2561">
        <v>6</v>
      </c>
      <c r="AM2561">
        <v>3</v>
      </c>
      <c r="AN2561" s="18">
        <v>0</v>
      </c>
      <c r="AO2561" s="18">
        <v>0</v>
      </c>
      <c r="AP2561" s="18">
        <v>0</v>
      </c>
      <c r="AQ2561" s="18">
        <v>0</v>
      </c>
      <c r="AR2561" s="29">
        <v>0</v>
      </c>
      <c r="AS2561" s="29">
        <v>0</v>
      </c>
      <c r="AT2561" s="29">
        <v>27</v>
      </c>
      <c r="AU2561" s="24" t="str">
        <f t="shared" si="40"/>
        <v>库存为27</v>
      </c>
      <c r="AV2561" s="31" t="str">
        <f>IFERROR(时间!$B$4+AU2561,"上周无销量")</f>
        <v>上周无销量</v>
      </c>
    </row>
    <row r="2562" spans="1:48">
      <c r="A2562" s="16" t="s">
        <v>4372</v>
      </c>
      <c r="B2562" t="s">
        <v>922</v>
      </c>
      <c r="C2562" t="s">
        <v>2189</v>
      </c>
      <c r="D2562" s="24">
        <v>0</v>
      </c>
      <c r="E2562" s="24">
        <v>0</v>
      </c>
      <c r="F2562" s="24">
        <v>0</v>
      </c>
      <c r="G2562" s="24">
        <v>0</v>
      </c>
      <c r="H2562" s="25">
        <v>0</v>
      </c>
      <c r="I2562">
        <v>7</v>
      </c>
      <c r="J2562" s="26">
        <v>0</v>
      </c>
      <c r="K2562" s="26">
        <v>0</v>
      </c>
      <c r="L2562" s="26">
        <v>0</v>
      </c>
      <c r="M2562">
        <v>7</v>
      </c>
      <c r="N2562">
        <v>0</v>
      </c>
      <c r="O2562">
        <v>0</v>
      </c>
      <c r="P2562" t="s">
        <v>52</v>
      </c>
      <c r="Q2562" t="s">
        <v>52</v>
      </c>
      <c r="R2562" t="s">
        <v>52</v>
      </c>
      <c r="S2562" t="s">
        <v>52</v>
      </c>
      <c r="T2562" t="s">
        <v>52</v>
      </c>
      <c r="U2562" t="s">
        <v>52</v>
      </c>
      <c r="V2562" t="s">
        <v>52</v>
      </c>
      <c r="W2562" t="s">
        <v>52</v>
      </c>
      <c r="X2562" s="18" t="s">
        <v>52</v>
      </c>
      <c r="Y2562" s="18" t="s">
        <v>52</v>
      </c>
      <c r="Z2562" s="18" t="s">
        <v>52</v>
      </c>
      <c r="AA2562" s="18" t="s">
        <v>52</v>
      </c>
      <c r="AB2562" t="s">
        <v>52</v>
      </c>
      <c r="AC2562" t="s">
        <v>52</v>
      </c>
      <c r="AD2562" t="s">
        <v>52</v>
      </c>
      <c r="AE2562" t="s">
        <v>52</v>
      </c>
      <c r="AF2562" s="18" t="s">
        <v>52</v>
      </c>
      <c r="AG2562" s="18" t="s">
        <v>52</v>
      </c>
      <c r="AH2562" s="18" t="s">
        <v>52</v>
      </c>
      <c r="AI2562" s="18" t="s">
        <v>52</v>
      </c>
      <c r="AJ2562">
        <v>2</v>
      </c>
      <c r="AK2562">
        <v>1</v>
      </c>
      <c r="AL2562">
        <v>8</v>
      </c>
      <c r="AM2562">
        <v>4</v>
      </c>
      <c r="AN2562" s="18">
        <v>0</v>
      </c>
      <c r="AO2562" s="18">
        <v>0</v>
      </c>
      <c r="AP2562" s="18">
        <v>0</v>
      </c>
      <c r="AQ2562" s="18">
        <v>0</v>
      </c>
      <c r="AR2562" s="29">
        <v>0</v>
      </c>
      <c r="AS2562" s="29">
        <v>0</v>
      </c>
      <c r="AT2562" s="29">
        <v>7</v>
      </c>
      <c r="AU2562" s="24" t="str">
        <f t="shared" si="40"/>
        <v>库存为7</v>
      </c>
      <c r="AV2562" s="31" t="str">
        <f>IFERROR(时间!$B$4+AU2562,"上周无销量")</f>
        <v>上周无销量</v>
      </c>
    </row>
    <row r="2563" spans="1:48">
      <c r="A2563" s="16" t="s">
        <v>4373</v>
      </c>
      <c r="B2563" t="s">
        <v>924</v>
      </c>
      <c r="C2563" t="s">
        <v>2189</v>
      </c>
      <c r="D2563" s="24">
        <v>0</v>
      </c>
      <c r="E2563" s="24">
        <v>0</v>
      </c>
      <c r="F2563" s="24">
        <v>0</v>
      </c>
      <c r="G2563" s="24">
        <v>0</v>
      </c>
      <c r="H2563" s="25">
        <v>0</v>
      </c>
      <c r="I2563">
        <v>11</v>
      </c>
      <c r="J2563" s="26">
        <v>0</v>
      </c>
      <c r="K2563" s="26">
        <v>0</v>
      </c>
      <c r="L2563" s="26">
        <v>0</v>
      </c>
      <c r="M2563">
        <v>11</v>
      </c>
      <c r="N2563">
        <v>0</v>
      </c>
      <c r="O2563">
        <v>0</v>
      </c>
      <c r="P2563" t="s">
        <v>52</v>
      </c>
      <c r="Q2563" t="s">
        <v>52</v>
      </c>
      <c r="R2563" t="s">
        <v>52</v>
      </c>
      <c r="S2563" t="s">
        <v>52</v>
      </c>
      <c r="T2563" t="s">
        <v>52</v>
      </c>
      <c r="U2563" t="s">
        <v>52</v>
      </c>
      <c r="V2563" t="s">
        <v>52</v>
      </c>
      <c r="W2563" t="s">
        <v>52</v>
      </c>
      <c r="X2563" s="18" t="s">
        <v>52</v>
      </c>
      <c r="Y2563" s="18" t="s">
        <v>52</v>
      </c>
      <c r="Z2563" s="18" t="s">
        <v>52</v>
      </c>
      <c r="AA2563" s="18" t="s">
        <v>52</v>
      </c>
      <c r="AB2563" t="s">
        <v>52</v>
      </c>
      <c r="AC2563" t="s">
        <v>52</v>
      </c>
      <c r="AD2563" t="s">
        <v>52</v>
      </c>
      <c r="AE2563" t="s">
        <v>52</v>
      </c>
      <c r="AF2563" s="18" t="s">
        <v>52</v>
      </c>
      <c r="AG2563" s="18" t="s">
        <v>52</v>
      </c>
      <c r="AH2563" s="18" t="s">
        <v>52</v>
      </c>
      <c r="AI2563" s="18" t="s">
        <v>52</v>
      </c>
      <c r="AJ2563">
        <v>4</v>
      </c>
      <c r="AK2563">
        <v>4</v>
      </c>
      <c r="AL2563">
        <v>6</v>
      </c>
      <c r="AM2563">
        <v>4</v>
      </c>
      <c r="AN2563" s="18">
        <v>0</v>
      </c>
      <c r="AO2563" s="18">
        <v>0</v>
      </c>
      <c r="AP2563" s="18">
        <v>0</v>
      </c>
      <c r="AQ2563" s="18">
        <v>0</v>
      </c>
      <c r="AR2563" s="29">
        <v>0</v>
      </c>
      <c r="AS2563" s="29">
        <v>0</v>
      </c>
      <c r="AT2563" s="29">
        <v>11</v>
      </c>
      <c r="AU2563" s="24" t="str">
        <f t="shared" si="40"/>
        <v>库存为11</v>
      </c>
      <c r="AV2563" s="31" t="str">
        <f>IFERROR(时间!$B$4+AU2563,"上周无销量")</f>
        <v>上周无销量</v>
      </c>
    </row>
    <row r="2564" spans="1:48">
      <c r="A2564" s="16" t="s">
        <v>4374</v>
      </c>
      <c r="B2564" t="s">
        <v>868</v>
      </c>
      <c r="C2564" t="s">
        <v>2189</v>
      </c>
      <c r="D2564" s="24">
        <v>0</v>
      </c>
      <c r="E2564" s="24">
        <v>0</v>
      </c>
      <c r="F2564" s="24">
        <v>0</v>
      </c>
      <c r="G2564" s="24">
        <v>0</v>
      </c>
      <c r="H2564" s="25">
        <v>0</v>
      </c>
      <c r="I2564">
        <v>10</v>
      </c>
      <c r="J2564" s="26">
        <v>0</v>
      </c>
      <c r="K2564" s="26">
        <v>0</v>
      </c>
      <c r="L2564" s="26">
        <v>1</v>
      </c>
      <c r="M2564">
        <v>11</v>
      </c>
      <c r="N2564">
        <v>0</v>
      </c>
      <c r="O2564">
        <v>0</v>
      </c>
      <c r="P2564" t="s">
        <v>52</v>
      </c>
      <c r="Q2564" t="s">
        <v>52</v>
      </c>
      <c r="R2564" t="s">
        <v>52</v>
      </c>
      <c r="S2564" t="s">
        <v>52</v>
      </c>
      <c r="T2564" t="s">
        <v>52</v>
      </c>
      <c r="U2564" t="s">
        <v>52</v>
      </c>
      <c r="V2564" t="s">
        <v>52</v>
      </c>
      <c r="W2564" t="s">
        <v>52</v>
      </c>
      <c r="X2564" s="18" t="s">
        <v>52</v>
      </c>
      <c r="Y2564" s="18" t="s">
        <v>52</v>
      </c>
      <c r="Z2564" s="18" t="s">
        <v>52</v>
      </c>
      <c r="AA2564" s="18" t="s">
        <v>52</v>
      </c>
      <c r="AB2564" t="s">
        <v>52</v>
      </c>
      <c r="AC2564" t="s">
        <v>52</v>
      </c>
      <c r="AD2564" t="s">
        <v>52</v>
      </c>
      <c r="AE2564" t="s">
        <v>52</v>
      </c>
      <c r="AF2564" s="18" t="s">
        <v>52</v>
      </c>
      <c r="AG2564" s="18" t="s">
        <v>52</v>
      </c>
      <c r="AH2564" s="18" t="s">
        <v>52</v>
      </c>
      <c r="AI2564" s="18" t="s">
        <v>52</v>
      </c>
      <c r="AJ2564">
        <v>10</v>
      </c>
      <c r="AK2564">
        <v>3</v>
      </c>
      <c r="AL2564">
        <v>6</v>
      </c>
      <c r="AM2564">
        <v>6</v>
      </c>
      <c r="AN2564" s="18">
        <v>0</v>
      </c>
      <c r="AO2564" s="18">
        <v>0</v>
      </c>
      <c r="AP2564" s="18">
        <v>0</v>
      </c>
      <c r="AQ2564" s="18">
        <v>0</v>
      </c>
      <c r="AR2564" s="29">
        <v>0</v>
      </c>
      <c r="AS2564" s="29">
        <v>0</v>
      </c>
      <c r="AT2564" s="29">
        <v>11</v>
      </c>
      <c r="AU2564" s="24" t="str">
        <f t="shared" si="40"/>
        <v>库存为11</v>
      </c>
      <c r="AV2564" s="31" t="str">
        <f>IFERROR(时间!$B$4+AU2564,"上周无销量")</f>
        <v>上周无销量</v>
      </c>
    </row>
    <row r="2565" spans="1:48">
      <c r="A2565" s="16" t="s">
        <v>4375</v>
      </c>
      <c r="B2565" t="s">
        <v>870</v>
      </c>
      <c r="C2565" t="s">
        <v>2189</v>
      </c>
      <c r="D2565" s="24">
        <v>0</v>
      </c>
      <c r="E2565" s="24">
        <v>0</v>
      </c>
      <c r="F2565" s="24">
        <v>0</v>
      </c>
      <c r="G2565" s="24">
        <v>0</v>
      </c>
      <c r="H2565" s="25">
        <v>0</v>
      </c>
      <c r="I2565">
        <v>3</v>
      </c>
      <c r="J2565" s="26">
        <v>0</v>
      </c>
      <c r="K2565" s="26">
        <v>0</v>
      </c>
      <c r="L2565" s="26">
        <v>0</v>
      </c>
      <c r="M2565">
        <v>3</v>
      </c>
      <c r="N2565">
        <v>0</v>
      </c>
      <c r="O2565">
        <v>0</v>
      </c>
      <c r="P2565" t="s">
        <v>52</v>
      </c>
      <c r="Q2565" t="s">
        <v>52</v>
      </c>
      <c r="R2565" t="s">
        <v>52</v>
      </c>
      <c r="S2565" t="s">
        <v>52</v>
      </c>
      <c r="T2565" t="s">
        <v>52</v>
      </c>
      <c r="U2565" t="s">
        <v>52</v>
      </c>
      <c r="V2565" t="s">
        <v>52</v>
      </c>
      <c r="W2565" t="s">
        <v>52</v>
      </c>
      <c r="X2565" s="18" t="s">
        <v>52</v>
      </c>
      <c r="Y2565" s="18" t="s">
        <v>52</v>
      </c>
      <c r="Z2565" s="18" t="s">
        <v>52</v>
      </c>
      <c r="AA2565" s="18" t="s">
        <v>52</v>
      </c>
      <c r="AB2565" t="s">
        <v>52</v>
      </c>
      <c r="AC2565" t="s">
        <v>52</v>
      </c>
      <c r="AD2565" t="s">
        <v>52</v>
      </c>
      <c r="AE2565" t="s">
        <v>52</v>
      </c>
      <c r="AF2565" s="18" t="s">
        <v>52</v>
      </c>
      <c r="AG2565" s="18" t="s">
        <v>52</v>
      </c>
      <c r="AH2565" s="18" t="s">
        <v>52</v>
      </c>
      <c r="AI2565" s="18" t="s">
        <v>52</v>
      </c>
      <c r="AJ2565">
        <v>7</v>
      </c>
      <c r="AK2565">
        <v>7</v>
      </c>
      <c r="AL2565">
        <v>14</v>
      </c>
      <c r="AM2565">
        <v>8</v>
      </c>
      <c r="AN2565" s="18">
        <v>0</v>
      </c>
      <c r="AO2565" s="18">
        <v>0</v>
      </c>
      <c r="AP2565" s="18">
        <v>0</v>
      </c>
      <c r="AQ2565" s="18">
        <v>0</v>
      </c>
      <c r="AR2565" s="29">
        <v>0</v>
      </c>
      <c r="AS2565" s="29">
        <v>0</v>
      </c>
      <c r="AT2565" s="29">
        <v>3</v>
      </c>
      <c r="AU2565" s="24" t="str">
        <f t="shared" si="40"/>
        <v>库存为3</v>
      </c>
      <c r="AV2565" s="31" t="str">
        <f>IFERROR(时间!$B$4+AU2565,"上周无销量")</f>
        <v>上周无销量</v>
      </c>
    </row>
    <row r="2566" spans="1:48">
      <c r="A2566" s="16" t="s">
        <v>4376</v>
      </c>
      <c r="B2566" t="s">
        <v>872</v>
      </c>
      <c r="C2566" t="s">
        <v>2189</v>
      </c>
      <c r="D2566" s="24">
        <v>0</v>
      </c>
      <c r="E2566" s="24">
        <v>0</v>
      </c>
      <c r="F2566" s="24">
        <v>0</v>
      </c>
      <c r="G2566" s="24">
        <v>0</v>
      </c>
      <c r="H2566" s="25">
        <v>0</v>
      </c>
      <c r="I2566">
        <v>0</v>
      </c>
      <c r="J2566" s="26">
        <v>11</v>
      </c>
      <c r="K2566" s="26">
        <v>0</v>
      </c>
      <c r="L2566" s="26">
        <v>0</v>
      </c>
      <c r="M2566">
        <v>11</v>
      </c>
      <c r="N2566">
        <v>0</v>
      </c>
      <c r="O2566">
        <v>0</v>
      </c>
      <c r="P2566" t="s">
        <v>52</v>
      </c>
      <c r="Q2566" t="s">
        <v>52</v>
      </c>
      <c r="R2566" t="s">
        <v>52</v>
      </c>
      <c r="S2566" t="s">
        <v>52</v>
      </c>
      <c r="T2566" t="s">
        <v>52</v>
      </c>
      <c r="U2566" t="s">
        <v>52</v>
      </c>
      <c r="V2566" t="s">
        <v>52</v>
      </c>
      <c r="W2566" t="s">
        <v>52</v>
      </c>
      <c r="X2566" s="18" t="s">
        <v>52</v>
      </c>
      <c r="Y2566" s="18" t="s">
        <v>52</v>
      </c>
      <c r="Z2566" s="18" t="s">
        <v>52</v>
      </c>
      <c r="AA2566" s="18" t="s">
        <v>52</v>
      </c>
      <c r="AB2566" t="s">
        <v>52</v>
      </c>
      <c r="AC2566" t="s">
        <v>52</v>
      </c>
      <c r="AD2566" t="s">
        <v>52</v>
      </c>
      <c r="AE2566" t="s">
        <v>52</v>
      </c>
      <c r="AF2566" s="18" t="s">
        <v>52</v>
      </c>
      <c r="AG2566" s="18" t="s">
        <v>52</v>
      </c>
      <c r="AH2566" s="18" t="s">
        <v>52</v>
      </c>
      <c r="AI2566" s="18" t="s">
        <v>52</v>
      </c>
      <c r="AJ2566">
        <v>0</v>
      </c>
      <c r="AK2566">
        <v>0</v>
      </c>
      <c r="AL2566">
        <v>0</v>
      </c>
      <c r="AM2566">
        <v>0</v>
      </c>
      <c r="AN2566" s="18" t="s">
        <v>52</v>
      </c>
      <c r="AO2566" s="18" t="s">
        <v>52</v>
      </c>
      <c r="AP2566" s="18" t="s">
        <v>52</v>
      </c>
      <c r="AQ2566" s="18" t="s">
        <v>52</v>
      </c>
      <c r="AR2566" s="29">
        <v>0</v>
      </c>
      <c r="AS2566" s="29">
        <v>0</v>
      </c>
      <c r="AT2566" s="29">
        <v>11</v>
      </c>
      <c r="AU2566" s="24" t="str">
        <f t="shared" ref="AU2566:AU2620" si="41">IF(AR2566="","库存为"&amp;M2566,IF(AS2566=0,"库存为"&amp;M2566,INT(M2566/AR2566)))</f>
        <v>库存为11</v>
      </c>
      <c r="AV2566" s="31" t="str">
        <f>IFERROR(时间!$B$4+AU2566,"上周无销量")</f>
        <v>上周无销量</v>
      </c>
    </row>
    <row r="2567" spans="1:48">
      <c r="A2567" s="16" t="s">
        <v>4377</v>
      </c>
      <c r="B2567" t="s">
        <v>874</v>
      </c>
      <c r="C2567" t="s">
        <v>2189</v>
      </c>
      <c r="D2567" s="24">
        <v>0</v>
      </c>
      <c r="E2567" s="24">
        <v>0</v>
      </c>
      <c r="F2567" s="24">
        <v>0</v>
      </c>
      <c r="G2567" s="24">
        <v>0</v>
      </c>
      <c r="H2567" s="25">
        <v>0</v>
      </c>
      <c r="I2567">
        <v>7</v>
      </c>
      <c r="J2567" s="26">
        <v>0</v>
      </c>
      <c r="K2567" s="26">
        <v>0</v>
      </c>
      <c r="L2567" s="26">
        <v>0</v>
      </c>
      <c r="M2567">
        <v>7</v>
      </c>
      <c r="N2567">
        <v>0</v>
      </c>
      <c r="O2567">
        <v>0</v>
      </c>
      <c r="P2567" t="s">
        <v>52</v>
      </c>
      <c r="Q2567" t="s">
        <v>52</v>
      </c>
      <c r="R2567" t="s">
        <v>52</v>
      </c>
      <c r="S2567" t="s">
        <v>52</v>
      </c>
      <c r="T2567" t="s">
        <v>52</v>
      </c>
      <c r="U2567" t="s">
        <v>52</v>
      </c>
      <c r="V2567" t="s">
        <v>52</v>
      </c>
      <c r="W2567" t="s">
        <v>52</v>
      </c>
      <c r="X2567" s="18" t="s">
        <v>52</v>
      </c>
      <c r="Y2567" s="18" t="s">
        <v>52</v>
      </c>
      <c r="Z2567" s="18" t="s">
        <v>52</v>
      </c>
      <c r="AA2567" s="18" t="s">
        <v>52</v>
      </c>
      <c r="AB2567" t="s">
        <v>52</v>
      </c>
      <c r="AC2567" t="s">
        <v>52</v>
      </c>
      <c r="AD2567" t="s">
        <v>52</v>
      </c>
      <c r="AE2567" t="s">
        <v>52</v>
      </c>
      <c r="AF2567" s="18" t="s">
        <v>52</v>
      </c>
      <c r="AG2567" s="18" t="s">
        <v>52</v>
      </c>
      <c r="AH2567" s="18" t="s">
        <v>52</v>
      </c>
      <c r="AI2567" s="18" t="s">
        <v>52</v>
      </c>
      <c r="AJ2567">
        <v>3</v>
      </c>
      <c r="AK2567">
        <v>1</v>
      </c>
      <c r="AL2567">
        <v>5</v>
      </c>
      <c r="AM2567">
        <v>10</v>
      </c>
      <c r="AN2567" s="18">
        <v>0</v>
      </c>
      <c r="AO2567" s="18">
        <v>0</v>
      </c>
      <c r="AP2567" s="18">
        <v>0</v>
      </c>
      <c r="AQ2567" s="18">
        <v>0</v>
      </c>
      <c r="AR2567" s="29">
        <v>0</v>
      </c>
      <c r="AS2567" s="29">
        <v>0</v>
      </c>
      <c r="AT2567" s="29">
        <v>7</v>
      </c>
      <c r="AU2567" s="24" t="str">
        <f t="shared" si="41"/>
        <v>库存为7</v>
      </c>
      <c r="AV2567" s="31" t="str">
        <f>IFERROR(时间!$B$4+AU2567,"上周无销量")</f>
        <v>上周无销量</v>
      </c>
    </row>
    <row r="2568" spans="1:48">
      <c r="A2568" s="16" t="s">
        <v>4378</v>
      </c>
      <c r="B2568" t="s">
        <v>4379</v>
      </c>
      <c r="C2568" t="s">
        <v>4380</v>
      </c>
      <c r="D2568" s="24">
        <v>0</v>
      </c>
      <c r="E2568" s="24">
        <v>0</v>
      </c>
      <c r="F2568" s="24">
        <v>0</v>
      </c>
      <c r="G2568" s="24">
        <v>0</v>
      </c>
      <c r="H2568" s="25">
        <v>0</v>
      </c>
      <c r="I2568">
        <v>0</v>
      </c>
      <c r="J2568" s="26">
        <v>0</v>
      </c>
      <c r="K2568" s="26">
        <v>0</v>
      </c>
      <c r="L2568" s="26">
        <v>0</v>
      </c>
      <c r="M2568">
        <v>0</v>
      </c>
      <c r="N2568">
        <v>0</v>
      </c>
      <c r="O2568">
        <v>0</v>
      </c>
      <c r="P2568" t="s">
        <v>52</v>
      </c>
      <c r="Q2568" t="s">
        <v>52</v>
      </c>
      <c r="R2568" t="s">
        <v>52</v>
      </c>
      <c r="S2568" t="s">
        <v>52</v>
      </c>
      <c r="T2568" t="s">
        <v>52</v>
      </c>
      <c r="U2568" t="s">
        <v>52</v>
      </c>
      <c r="V2568" t="s">
        <v>52</v>
      </c>
      <c r="W2568" t="s">
        <v>52</v>
      </c>
      <c r="X2568" s="18" t="s">
        <v>52</v>
      </c>
      <c r="Y2568" s="18" t="s">
        <v>52</v>
      </c>
      <c r="Z2568" s="18" t="s">
        <v>52</v>
      </c>
      <c r="AA2568" s="18" t="s">
        <v>52</v>
      </c>
      <c r="AB2568" t="s">
        <v>52</v>
      </c>
      <c r="AC2568" t="s">
        <v>52</v>
      </c>
      <c r="AD2568" t="s">
        <v>52</v>
      </c>
      <c r="AE2568" t="s">
        <v>52</v>
      </c>
      <c r="AF2568" s="18" t="s">
        <v>52</v>
      </c>
      <c r="AG2568" s="18" t="s">
        <v>52</v>
      </c>
      <c r="AH2568" s="18" t="s">
        <v>52</v>
      </c>
      <c r="AI2568" s="18" t="s">
        <v>52</v>
      </c>
      <c r="AJ2568">
        <v>0</v>
      </c>
      <c r="AK2568">
        <v>0</v>
      </c>
      <c r="AL2568">
        <v>0</v>
      </c>
      <c r="AM2568">
        <v>0</v>
      </c>
      <c r="AN2568" s="18" t="s">
        <v>52</v>
      </c>
      <c r="AO2568" s="18" t="s">
        <v>52</v>
      </c>
      <c r="AP2568" s="18" t="s">
        <v>52</v>
      </c>
      <c r="AQ2568" s="18" t="s">
        <v>52</v>
      </c>
      <c r="AR2568" s="29">
        <v>0</v>
      </c>
      <c r="AS2568" s="29">
        <v>0</v>
      </c>
      <c r="AT2568" s="29">
        <v>0</v>
      </c>
      <c r="AU2568" s="24" t="str">
        <f t="shared" si="41"/>
        <v>库存为0</v>
      </c>
      <c r="AV2568" s="31" t="str">
        <f>IFERROR(时间!$B$4+AU2568,"上周无销量")</f>
        <v>上周无销量</v>
      </c>
    </row>
    <row r="2569" spans="1:48">
      <c r="A2569" s="16" t="s">
        <v>4381</v>
      </c>
      <c r="B2569" t="s">
        <v>356</v>
      </c>
      <c r="C2569" t="s">
        <v>4380</v>
      </c>
      <c r="D2569" s="24">
        <v>0</v>
      </c>
      <c r="E2569" s="24">
        <v>0</v>
      </c>
      <c r="F2569" s="24">
        <v>0</v>
      </c>
      <c r="G2569" s="24">
        <v>0</v>
      </c>
      <c r="H2569" s="25">
        <v>0</v>
      </c>
      <c r="I2569">
        <v>5</v>
      </c>
      <c r="J2569" s="26">
        <v>0</v>
      </c>
      <c r="K2569" s="26">
        <v>0</v>
      </c>
      <c r="L2569" s="26">
        <v>0</v>
      </c>
      <c r="M2569">
        <v>5</v>
      </c>
      <c r="N2569">
        <v>0</v>
      </c>
      <c r="O2569">
        <v>0</v>
      </c>
      <c r="P2569" t="s">
        <v>52</v>
      </c>
      <c r="Q2569" t="s">
        <v>52</v>
      </c>
      <c r="R2569" t="s">
        <v>52</v>
      </c>
      <c r="S2569" t="s">
        <v>52</v>
      </c>
      <c r="T2569" t="s">
        <v>52</v>
      </c>
      <c r="U2569" t="s">
        <v>52</v>
      </c>
      <c r="V2569" t="s">
        <v>52</v>
      </c>
      <c r="W2569" t="s">
        <v>52</v>
      </c>
      <c r="X2569" s="18" t="s">
        <v>52</v>
      </c>
      <c r="Y2569" s="18" t="s">
        <v>52</v>
      </c>
      <c r="Z2569" s="18" t="s">
        <v>52</v>
      </c>
      <c r="AA2569" s="18" t="s">
        <v>52</v>
      </c>
      <c r="AB2569" t="s">
        <v>52</v>
      </c>
      <c r="AC2569" t="s">
        <v>52</v>
      </c>
      <c r="AD2569" t="s">
        <v>52</v>
      </c>
      <c r="AE2569" t="s">
        <v>52</v>
      </c>
      <c r="AF2569" s="18" t="s">
        <v>52</v>
      </c>
      <c r="AG2569" s="18" t="s">
        <v>52</v>
      </c>
      <c r="AH2569" s="18" t="s">
        <v>52</v>
      </c>
      <c r="AI2569" s="18" t="s">
        <v>52</v>
      </c>
      <c r="AJ2569">
        <v>52</v>
      </c>
      <c r="AK2569">
        <v>54</v>
      </c>
      <c r="AL2569">
        <v>48</v>
      </c>
      <c r="AM2569">
        <v>58</v>
      </c>
      <c r="AN2569" s="18">
        <v>0</v>
      </c>
      <c r="AO2569" s="18">
        <v>0</v>
      </c>
      <c r="AP2569" s="18">
        <v>0</v>
      </c>
      <c r="AQ2569" s="18">
        <v>0</v>
      </c>
      <c r="AR2569" s="29">
        <v>0</v>
      </c>
      <c r="AS2569" s="29">
        <v>0</v>
      </c>
      <c r="AT2569" s="29">
        <v>5</v>
      </c>
      <c r="AU2569" s="24" t="str">
        <f t="shared" si="41"/>
        <v>库存为5</v>
      </c>
      <c r="AV2569" s="31" t="str">
        <f>IFERROR(时间!$B$4+AU2569,"上周无销量")</f>
        <v>上周无销量</v>
      </c>
    </row>
    <row r="2570" spans="1:48">
      <c r="A2570" s="16" t="s">
        <v>4382</v>
      </c>
      <c r="B2570" t="s">
        <v>4383</v>
      </c>
      <c r="C2570" t="s">
        <v>4380</v>
      </c>
      <c r="D2570" s="24">
        <v>0</v>
      </c>
      <c r="E2570" s="24">
        <v>0</v>
      </c>
      <c r="F2570" s="24">
        <v>0</v>
      </c>
      <c r="G2570" s="24">
        <v>0</v>
      </c>
      <c r="H2570" s="25">
        <v>0</v>
      </c>
      <c r="I2570">
        <v>0</v>
      </c>
      <c r="J2570" s="26">
        <v>0</v>
      </c>
      <c r="K2570" s="26">
        <v>0</v>
      </c>
      <c r="L2570" s="26">
        <v>0</v>
      </c>
      <c r="M2570">
        <v>0</v>
      </c>
      <c r="N2570">
        <v>0</v>
      </c>
      <c r="O2570">
        <v>0</v>
      </c>
      <c r="P2570" t="s">
        <v>52</v>
      </c>
      <c r="Q2570" t="s">
        <v>52</v>
      </c>
      <c r="R2570" t="s">
        <v>52</v>
      </c>
      <c r="S2570" t="s">
        <v>52</v>
      </c>
      <c r="T2570" t="s">
        <v>52</v>
      </c>
      <c r="U2570" t="s">
        <v>52</v>
      </c>
      <c r="V2570" t="s">
        <v>52</v>
      </c>
      <c r="W2570" t="s">
        <v>52</v>
      </c>
      <c r="X2570" s="18" t="s">
        <v>52</v>
      </c>
      <c r="Y2570" s="18" t="s">
        <v>52</v>
      </c>
      <c r="Z2570" s="18" t="s">
        <v>52</v>
      </c>
      <c r="AA2570" s="18" t="s">
        <v>52</v>
      </c>
      <c r="AB2570" t="s">
        <v>52</v>
      </c>
      <c r="AC2570" t="s">
        <v>52</v>
      </c>
      <c r="AD2570" t="s">
        <v>52</v>
      </c>
      <c r="AE2570" t="s">
        <v>52</v>
      </c>
      <c r="AF2570" s="18" t="s">
        <v>52</v>
      </c>
      <c r="AG2570" s="18" t="s">
        <v>52</v>
      </c>
      <c r="AH2570" s="18" t="s">
        <v>52</v>
      </c>
      <c r="AI2570" s="18" t="s">
        <v>52</v>
      </c>
      <c r="AJ2570">
        <v>0</v>
      </c>
      <c r="AK2570">
        <v>0</v>
      </c>
      <c r="AL2570">
        <v>0</v>
      </c>
      <c r="AM2570">
        <v>0</v>
      </c>
      <c r="AN2570" s="18" t="s">
        <v>52</v>
      </c>
      <c r="AO2570" s="18" t="s">
        <v>52</v>
      </c>
      <c r="AP2570" s="18" t="s">
        <v>52</v>
      </c>
      <c r="AQ2570" s="18" t="s">
        <v>52</v>
      </c>
      <c r="AR2570" s="29">
        <v>0</v>
      </c>
      <c r="AS2570" s="29">
        <v>0</v>
      </c>
      <c r="AT2570" s="29">
        <v>0</v>
      </c>
      <c r="AU2570" s="24" t="str">
        <f t="shared" si="41"/>
        <v>库存为0</v>
      </c>
      <c r="AV2570" s="31" t="str">
        <f>IFERROR(时间!$B$4+AU2570,"上周无销量")</f>
        <v>上周无销量</v>
      </c>
    </row>
    <row r="2571" spans="1:48">
      <c r="A2571" s="16" t="s">
        <v>4384</v>
      </c>
      <c r="B2571" t="s">
        <v>4385</v>
      </c>
      <c r="C2571" t="s">
        <v>4380</v>
      </c>
      <c r="D2571" s="24">
        <v>0</v>
      </c>
      <c r="E2571" s="24">
        <v>0</v>
      </c>
      <c r="F2571" s="24">
        <v>0</v>
      </c>
      <c r="G2571" s="24">
        <v>0</v>
      </c>
      <c r="H2571" s="25">
        <v>0</v>
      </c>
      <c r="I2571">
        <v>0</v>
      </c>
      <c r="J2571" s="26">
        <v>0</v>
      </c>
      <c r="K2571" s="26">
        <v>0</v>
      </c>
      <c r="L2571" s="26">
        <v>0</v>
      </c>
      <c r="M2571">
        <v>0</v>
      </c>
      <c r="N2571">
        <v>0</v>
      </c>
      <c r="O2571">
        <v>0</v>
      </c>
      <c r="P2571" t="s">
        <v>52</v>
      </c>
      <c r="Q2571" t="s">
        <v>52</v>
      </c>
      <c r="R2571" t="s">
        <v>52</v>
      </c>
      <c r="S2571" t="s">
        <v>52</v>
      </c>
      <c r="T2571" t="s">
        <v>52</v>
      </c>
      <c r="U2571" t="s">
        <v>52</v>
      </c>
      <c r="V2571" t="s">
        <v>52</v>
      </c>
      <c r="W2571" t="s">
        <v>52</v>
      </c>
      <c r="X2571" s="18" t="s">
        <v>52</v>
      </c>
      <c r="Y2571" s="18" t="s">
        <v>52</v>
      </c>
      <c r="Z2571" s="18" t="s">
        <v>52</v>
      </c>
      <c r="AA2571" s="18" t="s">
        <v>52</v>
      </c>
      <c r="AB2571" t="s">
        <v>52</v>
      </c>
      <c r="AC2571" t="s">
        <v>52</v>
      </c>
      <c r="AD2571" t="s">
        <v>52</v>
      </c>
      <c r="AE2571" t="s">
        <v>52</v>
      </c>
      <c r="AF2571" s="18" t="s">
        <v>52</v>
      </c>
      <c r="AG2571" s="18" t="s">
        <v>52</v>
      </c>
      <c r="AH2571" s="18" t="s">
        <v>52</v>
      </c>
      <c r="AI2571" s="18" t="s">
        <v>52</v>
      </c>
      <c r="AJ2571">
        <v>0</v>
      </c>
      <c r="AK2571">
        <v>0</v>
      </c>
      <c r="AL2571">
        <v>0</v>
      </c>
      <c r="AM2571">
        <v>0</v>
      </c>
      <c r="AN2571" s="18" t="s">
        <v>52</v>
      </c>
      <c r="AO2571" s="18" t="s">
        <v>52</v>
      </c>
      <c r="AP2571" s="18" t="s">
        <v>52</v>
      </c>
      <c r="AQ2571" s="18" t="s">
        <v>52</v>
      </c>
      <c r="AR2571" s="29">
        <v>0</v>
      </c>
      <c r="AS2571" s="29">
        <v>0</v>
      </c>
      <c r="AT2571" s="29">
        <v>0</v>
      </c>
      <c r="AU2571" s="24" t="str">
        <f t="shared" si="41"/>
        <v>库存为0</v>
      </c>
      <c r="AV2571" s="31" t="str">
        <f>IFERROR(时间!$B$4+AU2571,"上周无销量")</f>
        <v>上周无销量</v>
      </c>
    </row>
    <row r="2572" spans="1:48">
      <c r="A2572" s="16" t="s">
        <v>4386</v>
      </c>
      <c r="B2572" t="s">
        <v>4387</v>
      </c>
      <c r="C2572" t="s">
        <v>4380</v>
      </c>
      <c r="D2572" s="24">
        <v>0</v>
      </c>
      <c r="E2572" s="24">
        <v>0</v>
      </c>
      <c r="F2572" s="24">
        <v>0</v>
      </c>
      <c r="G2572" s="24">
        <v>0</v>
      </c>
      <c r="H2572" s="25">
        <v>0</v>
      </c>
      <c r="I2572">
        <v>0</v>
      </c>
      <c r="J2572" s="26">
        <v>0</v>
      </c>
      <c r="K2572" s="26">
        <v>0</v>
      </c>
      <c r="L2572" s="26">
        <v>0</v>
      </c>
      <c r="M2572">
        <v>0</v>
      </c>
      <c r="N2572">
        <v>0</v>
      </c>
      <c r="O2572">
        <v>0</v>
      </c>
      <c r="P2572" t="s">
        <v>52</v>
      </c>
      <c r="Q2572" t="s">
        <v>52</v>
      </c>
      <c r="R2572" t="s">
        <v>52</v>
      </c>
      <c r="S2572" t="s">
        <v>52</v>
      </c>
      <c r="T2572" t="s">
        <v>52</v>
      </c>
      <c r="U2572" t="s">
        <v>52</v>
      </c>
      <c r="V2572" t="s">
        <v>52</v>
      </c>
      <c r="W2572" t="s">
        <v>52</v>
      </c>
      <c r="X2572" s="18" t="s">
        <v>52</v>
      </c>
      <c r="Y2572" s="18" t="s">
        <v>52</v>
      </c>
      <c r="Z2572" s="18" t="s">
        <v>52</v>
      </c>
      <c r="AA2572" s="18" t="s">
        <v>52</v>
      </c>
      <c r="AB2572" t="s">
        <v>52</v>
      </c>
      <c r="AC2572" t="s">
        <v>52</v>
      </c>
      <c r="AD2572" t="s">
        <v>52</v>
      </c>
      <c r="AE2572" t="s">
        <v>52</v>
      </c>
      <c r="AF2572" s="18" t="s">
        <v>52</v>
      </c>
      <c r="AG2572" s="18" t="s">
        <v>52</v>
      </c>
      <c r="AH2572" s="18" t="s">
        <v>52</v>
      </c>
      <c r="AI2572" s="18" t="s">
        <v>52</v>
      </c>
      <c r="AJ2572">
        <v>0</v>
      </c>
      <c r="AK2572">
        <v>0</v>
      </c>
      <c r="AL2572">
        <v>0</v>
      </c>
      <c r="AM2572">
        <v>0</v>
      </c>
      <c r="AN2572" s="18" t="s">
        <v>52</v>
      </c>
      <c r="AO2572" s="18" t="s">
        <v>52</v>
      </c>
      <c r="AP2572" s="18" t="s">
        <v>52</v>
      </c>
      <c r="AQ2572" s="18" t="s">
        <v>52</v>
      </c>
      <c r="AR2572" s="29">
        <v>0</v>
      </c>
      <c r="AS2572" s="29">
        <v>0</v>
      </c>
      <c r="AT2572" s="29">
        <v>0</v>
      </c>
      <c r="AU2572" s="24" t="str">
        <f t="shared" si="41"/>
        <v>库存为0</v>
      </c>
      <c r="AV2572" s="31" t="str">
        <f>IFERROR(时间!$B$4+AU2572,"上周无销量")</f>
        <v>上周无销量</v>
      </c>
    </row>
    <row r="2573" spans="1:48">
      <c r="A2573" s="16" t="s">
        <v>4388</v>
      </c>
      <c r="B2573" t="s">
        <v>4176</v>
      </c>
      <c r="C2573" t="s">
        <v>4389</v>
      </c>
      <c r="D2573" s="24">
        <v>0</v>
      </c>
      <c r="E2573" s="24">
        <v>0</v>
      </c>
      <c r="F2573" s="24">
        <v>1</v>
      </c>
      <c r="G2573" s="24">
        <v>0</v>
      </c>
      <c r="H2573" s="25">
        <v>22.98</v>
      </c>
      <c r="I2573">
        <v>22</v>
      </c>
      <c r="J2573" s="26">
        <v>0</v>
      </c>
      <c r="K2573" s="26">
        <v>0</v>
      </c>
      <c r="L2573" s="26">
        <v>0</v>
      </c>
      <c r="M2573">
        <v>22</v>
      </c>
      <c r="N2573">
        <v>0</v>
      </c>
      <c r="O2573">
        <v>6</v>
      </c>
      <c r="P2573">
        <v>976</v>
      </c>
      <c r="Q2573">
        <v>231</v>
      </c>
      <c r="R2573">
        <v>0</v>
      </c>
      <c r="S2573">
        <v>0</v>
      </c>
      <c r="T2573">
        <v>2</v>
      </c>
      <c r="U2573">
        <v>2</v>
      </c>
      <c r="V2573">
        <v>0</v>
      </c>
      <c r="W2573">
        <v>0</v>
      </c>
      <c r="X2573" s="18">
        <v>0.00204918032786885</v>
      </c>
      <c r="Y2573" s="18">
        <v>0.00865800865800866</v>
      </c>
      <c r="Z2573" s="18" t="s">
        <v>52</v>
      </c>
      <c r="AA2573" s="18" t="s">
        <v>52</v>
      </c>
      <c r="AB2573">
        <v>1.37</v>
      </c>
      <c r="AC2573">
        <v>0.49</v>
      </c>
      <c r="AD2573">
        <v>0</v>
      </c>
      <c r="AE2573">
        <v>0</v>
      </c>
      <c r="AF2573" s="18" t="s">
        <v>4390</v>
      </c>
      <c r="AG2573" s="18" t="s">
        <v>2450</v>
      </c>
      <c r="AH2573" s="18" t="s">
        <v>52</v>
      </c>
      <c r="AI2573" s="18" t="s">
        <v>52</v>
      </c>
      <c r="AJ2573">
        <v>8</v>
      </c>
      <c r="AK2573">
        <v>8</v>
      </c>
      <c r="AL2573">
        <v>10</v>
      </c>
      <c r="AM2573">
        <v>9</v>
      </c>
      <c r="AN2573" s="18">
        <v>0</v>
      </c>
      <c r="AO2573" s="18">
        <v>0</v>
      </c>
      <c r="AP2573" s="18">
        <v>0.1</v>
      </c>
      <c r="AQ2573" s="18">
        <v>0</v>
      </c>
      <c r="AR2573" s="29">
        <v>0</v>
      </c>
      <c r="AS2573" s="29">
        <v>0</v>
      </c>
      <c r="AT2573" s="29">
        <v>22</v>
      </c>
      <c r="AU2573" s="24" t="str">
        <f t="shared" si="41"/>
        <v>库存为22</v>
      </c>
      <c r="AV2573" s="31" t="str">
        <f>IFERROR(时间!$B$4+AU2573,"上周无销量")</f>
        <v>上周无销量</v>
      </c>
    </row>
    <row r="2574" spans="1:48">
      <c r="A2574" s="16" t="s">
        <v>4391</v>
      </c>
      <c r="B2574" t="s">
        <v>4178</v>
      </c>
      <c r="C2574" t="s">
        <v>4389</v>
      </c>
      <c r="D2574" s="24">
        <v>1</v>
      </c>
      <c r="E2574" s="24">
        <v>0</v>
      </c>
      <c r="F2574" s="24">
        <v>0</v>
      </c>
      <c r="G2574" s="24">
        <v>1</v>
      </c>
      <c r="H2574" s="25">
        <v>22.98</v>
      </c>
      <c r="I2574">
        <v>21</v>
      </c>
      <c r="J2574" s="26">
        <v>0</v>
      </c>
      <c r="K2574" s="26">
        <v>0</v>
      </c>
      <c r="L2574" s="26">
        <v>0</v>
      </c>
      <c r="M2574">
        <v>21</v>
      </c>
      <c r="N2574">
        <v>0</v>
      </c>
      <c r="O2574">
        <v>18</v>
      </c>
      <c r="P2574" t="s">
        <v>52</v>
      </c>
      <c r="Q2574" t="s">
        <v>52</v>
      </c>
      <c r="R2574" t="s">
        <v>52</v>
      </c>
      <c r="S2574" t="s">
        <v>52</v>
      </c>
      <c r="T2574" t="s">
        <v>52</v>
      </c>
      <c r="U2574" t="s">
        <v>52</v>
      </c>
      <c r="V2574" t="s">
        <v>52</v>
      </c>
      <c r="W2574" t="s">
        <v>52</v>
      </c>
      <c r="X2574" s="18" t="s">
        <v>52</v>
      </c>
      <c r="Y2574" s="18" t="s">
        <v>52</v>
      </c>
      <c r="Z2574" s="18" t="s">
        <v>52</v>
      </c>
      <c r="AA2574" s="18" t="s">
        <v>52</v>
      </c>
      <c r="AB2574" t="s">
        <v>52</v>
      </c>
      <c r="AC2574" t="s">
        <v>52</v>
      </c>
      <c r="AD2574" t="s">
        <v>52</v>
      </c>
      <c r="AE2574" t="s">
        <v>52</v>
      </c>
      <c r="AF2574" s="18" t="s">
        <v>52</v>
      </c>
      <c r="AG2574" s="18" t="s">
        <v>52</v>
      </c>
      <c r="AH2574" s="18" t="s">
        <v>52</v>
      </c>
      <c r="AI2574" s="18" t="s">
        <v>52</v>
      </c>
      <c r="AJ2574">
        <v>5</v>
      </c>
      <c r="AK2574">
        <v>5</v>
      </c>
      <c r="AL2574">
        <v>14</v>
      </c>
      <c r="AM2574">
        <v>8</v>
      </c>
      <c r="AN2574" s="18">
        <v>0.2</v>
      </c>
      <c r="AO2574" s="18">
        <v>0</v>
      </c>
      <c r="AP2574" s="18">
        <v>0</v>
      </c>
      <c r="AQ2574" s="18">
        <v>0.125</v>
      </c>
      <c r="AR2574" s="29">
        <v>0.142857142857143</v>
      </c>
      <c r="AS2574" s="29">
        <v>8.57142857142857</v>
      </c>
      <c r="AT2574" s="29">
        <v>12.4285714285714</v>
      </c>
      <c r="AU2574" s="24">
        <f t="shared" si="41"/>
        <v>147</v>
      </c>
      <c r="AV2574" s="31">
        <f>IFERROR(时间!$B$4+AU2574,"上周无销量")</f>
        <v>43465</v>
      </c>
    </row>
    <row r="2575" spans="1:48">
      <c r="A2575" s="16" t="s">
        <v>4392</v>
      </c>
      <c r="B2575" t="s">
        <v>4180</v>
      </c>
      <c r="C2575" t="s">
        <v>4389</v>
      </c>
      <c r="D2575" s="24">
        <v>0</v>
      </c>
      <c r="E2575" s="24">
        <v>0</v>
      </c>
      <c r="F2575" s="24">
        <v>1</v>
      </c>
      <c r="G2575" s="24">
        <v>0</v>
      </c>
      <c r="H2575" s="25">
        <v>22.98</v>
      </c>
      <c r="I2575">
        <v>13</v>
      </c>
      <c r="J2575" s="26">
        <v>0</v>
      </c>
      <c r="K2575" s="26">
        <v>0</v>
      </c>
      <c r="L2575" s="26">
        <v>1</v>
      </c>
      <c r="M2575">
        <v>14</v>
      </c>
      <c r="N2575">
        <v>0</v>
      </c>
      <c r="O2575">
        <v>6</v>
      </c>
      <c r="P2575" t="s">
        <v>52</v>
      </c>
      <c r="Q2575" t="s">
        <v>52</v>
      </c>
      <c r="R2575" t="s">
        <v>52</v>
      </c>
      <c r="S2575" t="s">
        <v>52</v>
      </c>
      <c r="T2575" t="s">
        <v>52</v>
      </c>
      <c r="U2575" t="s">
        <v>52</v>
      </c>
      <c r="V2575" t="s">
        <v>52</v>
      </c>
      <c r="W2575" t="s">
        <v>52</v>
      </c>
      <c r="X2575" s="18" t="s">
        <v>52</v>
      </c>
      <c r="Y2575" s="18" t="s">
        <v>52</v>
      </c>
      <c r="Z2575" s="18" t="s">
        <v>52</v>
      </c>
      <c r="AA2575" s="18" t="s">
        <v>52</v>
      </c>
      <c r="AB2575" t="s">
        <v>52</v>
      </c>
      <c r="AC2575" t="s">
        <v>52</v>
      </c>
      <c r="AD2575" t="s">
        <v>52</v>
      </c>
      <c r="AE2575" t="s">
        <v>52</v>
      </c>
      <c r="AF2575" s="18" t="s">
        <v>52</v>
      </c>
      <c r="AG2575" s="18" t="s">
        <v>52</v>
      </c>
      <c r="AH2575" s="18" t="s">
        <v>52</v>
      </c>
      <c r="AI2575" s="18" t="s">
        <v>52</v>
      </c>
      <c r="AJ2575">
        <v>16</v>
      </c>
      <c r="AK2575">
        <v>10</v>
      </c>
      <c r="AL2575">
        <v>9</v>
      </c>
      <c r="AM2575">
        <v>15</v>
      </c>
      <c r="AN2575" s="18">
        <v>0</v>
      </c>
      <c r="AO2575" s="18">
        <v>0</v>
      </c>
      <c r="AP2575" s="18">
        <v>0.111111111111111</v>
      </c>
      <c r="AQ2575" s="18">
        <v>0</v>
      </c>
      <c r="AR2575" s="29">
        <v>0</v>
      </c>
      <c r="AS2575" s="29">
        <v>0</v>
      </c>
      <c r="AT2575" s="29">
        <v>14</v>
      </c>
      <c r="AU2575" s="24" t="str">
        <f t="shared" si="41"/>
        <v>库存为14</v>
      </c>
      <c r="AV2575" s="31" t="str">
        <f>IFERROR(时间!$B$4+AU2575,"上周无销量")</f>
        <v>上周无销量</v>
      </c>
    </row>
    <row r="2576" spans="1:48">
      <c r="A2576" s="16" t="s">
        <v>4393</v>
      </c>
      <c r="B2576" t="s">
        <v>4182</v>
      </c>
      <c r="C2576" t="s">
        <v>4389</v>
      </c>
      <c r="D2576" s="24">
        <v>4</v>
      </c>
      <c r="E2576" s="24">
        <v>0</v>
      </c>
      <c r="F2576" s="24">
        <v>0</v>
      </c>
      <c r="G2576" s="24">
        <v>0</v>
      </c>
      <c r="H2576" s="25">
        <v>22.98</v>
      </c>
      <c r="I2576">
        <v>5</v>
      </c>
      <c r="J2576" s="26">
        <v>0</v>
      </c>
      <c r="K2576" s="26">
        <v>0</v>
      </c>
      <c r="L2576" s="26">
        <v>0</v>
      </c>
      <c r="M2576">
        <v>5</v>
      </c>
      <c r="N2576">
        <v>0</v>
      </c>
      <c r="O2576">
        <v>0</v>
      </c>
      <c r="P2576" t="s">
        <v>52</v>
      </c>
      <c r="Q2576" t="s">
        <v>52</v>
      </c>
      <c r="R2576" t="s">
        <v>52</v>
      </c>
      <c r="S2576" t="s">
        <v>52</v>
      </c>
      <c r="T2576" t="s">
        <v>52</v>
      </c>
      <c r="U2576" t="s">
        <v>52</v>
      </c>
      <c r="V2576" t="s">
        <v>52</v>
      </c>
      <c r="W2576" t="s">
        <v>52</v>
      </c>
      <c r="X2576" s="18" t="s">
        <v>52</v>
      </c>
      <c r="Y2576" s="18" t="s">
        <v>52</v>
      </c>
      <c r="Z2576" s="18" t="s">
        <v>52</v>
      </c>
      <c r="AA2576" s="18" t="s">
        <v>52</v>
      </c>
      <c r="AB2576" t="s">
        <v>52</v>
      </c>
      <c r="AC2576" t="s">
        <v>52</v>
      </c>
      <c r="AD2576" t="s">
        <v>52</v>
      </c>
      <c r="AE2576" t="s">
        <v>52</v>
      </c>
      <c r="AF2576" s="18" t="s">
        <v>52</v>
      </c>
      <c r="AG2576" s="18" t="s">
        <v>52</v>
      </c>
      <c r="AH2576" s="18" t="s">
        <v>52</v>
      </c>
      <c r="AI2576" s="18" t="s">
        <v>52</v>
      </c>
      <c r="AJ2576">
        <v>5</v>
      </c>
      <c r="AK2576">
        <v>3</v>
      </c>
      <c r="AL2576">
        <v>6</v>
      </c>
      <c r="AM2576">
        <v>7</v>
      </c>
      <c r="AN2576" s="18">
        <v>0.8</v>
      </c>
      <c r="AO2576" s="18">
        <v>0</v>
      </c>
      <c r="AP2576" s="18">
        <v>0</v>
      </c>
      <c r="AQ2576" s="18">
        <v>0</v>
      </c>
      <c r="AR2576" s="29">
        <v>0.571428571428571</v>
      </c>
      <c r="AS2576" s="29">
        <v>34.2857142857143</v>
      </c>
      <c r="AT2576" s="29">
        <v>-29.2857142857143</v>
      </c>
      <c r="AU2576" s="24">
        <f t="shared" si="41"/>
        <v>8</v>
      </c>
      <c r="AV2576" s="31">
        <f>IFERROR(时间!$B$4+AU2576,"上周无销量")</f>
        <v>43326</v>
      </c>
    </row>
    <row r="2577" spans="1:48">
      <c r="A2577" s="16" t="s">
        <v>4394</v>
      </c>
      <c r="B2577" t="s">
        <v>4184</v>
      </c>
      <c r="C2577" t="s">
        <v>4389</v>
      </c>
      <c r="D2577" s="24">
        <v>0</v>
      </c>
      <c r="E2577" s="24">
        <v>0</v>
      </c>
      <c r="F2577" s="24">
        <v>0</v>
      </c>
      <c r="G2577" s="24">
        <v>0</v>
      </c>
      <c r="H2577" s="25">
        <v>0</v>
      </c>
      <c r="I2577">
        <v>16</v>
      </c>
      <c r="J2577" s="26">
        <v>0</v>
      </c>
      <c r="K2577" s="26">
        <v>0</v>
      </c>
      <c r="L2577" s="26">
        <v>0</v>
      </c>
      <c r="M2577">
        <v>16</v>
      </c>
      <c r="N2577">
        <v>0</v>
      </c>
      <c r="O2577">
        <v>1</v>
      </c>
      <c r="P2577" t="s">
        <v>52</v>
      </c>
      <c r="Q2577" t="s">
        <v>52</v>
      </c>
      <c r="R2577" t="s">
        <v>52</v>
      </c>
      <c r="S2577" t="s">
        <v>52</v>
      </c>
      <c r="T2577" t="s">
        <v>52</v>
      </c>
      <c r="U2577" t="s">
        <v>52</v>
      </c>
      <c r="V2577" t="s">
        <v>52</v>
      </c>
      <c r="W2577" t="s">
        <v>52</v>
      </c>
      <c r="X2577" s="18" t="s">
        <v>52</v>
      </c>
      <c r="Y2577" s="18" t="s">
        <v>52</v>
      </c>
      <c r="Z2577" s="18" t="s">
        <v>52</v>
      </c>
      <c r="AA2577" s="18" t="s">
        <v>52</v>
      </c>
      <c r="AB2577" t="s">
        <v>52</v>
      </c>
      <c r="AC2577" t="s">
        <v>52</v>
      </c>
      <c r="AD2577" t="s">
        <v>52</v>
      </c>
      <c r="AE2577" t="s">
        <v>52</v>
      </c>
      <c r="AF2577" s="18" t="s">
        <v>52</v>
      </c>
      <c r="AG2577" s="18" t="s">
        <v>52</v>
      </c>
      <c r="AH2577" s="18" t="s">
        <v>52</v>
      </c>
      <c r="AI2577" s="18" t="s">
        <v>52</v>
      </c>
      <c r="AJ2577">
        <v>4</v>
      </c>
      <c r="AK2577">
        <v>2</v>
      </c>
      <c r="AL2577">
        <v>8</v>
      </c>
      <c r="AM2577">
        <v>5</v>
      </c>
      <c r="AN2577" s="18">
        <v>0</v>
      </c>
      <c r="AO2577" s="18">
        <v>0</v>
      </c>
      <c r="AP2577" s="18">
        <v>0</v>
      </c>
      <c r="AQ2577" s="18">
        <v>0</v>
      </c>
      <c r="AR2577" s="29">
        <v>0</v>
      </c>
      <c r="AS2577" s="29">
        <v>0</v>
      </c>
      <c r="AT2577" s="29">
        <v>16</v>
      </c>
      <c r="AU2577" s="24" t="str">
        <f t="shared" si="41"/>
        <v>库存为16</v>
      </c>
      <c r="AV2577" s="31" t="str">
        <f>IFERROR(时间!$B$4+AU2577,"上周无销量")</f>
        <v>上周无销量</v>
      </c>
    </row>
    <row r="2578" spans="1:48">
      <c r="A2578" s="16" t="s">
        <v>4395</v>
      </c>
      <c r="B2578" t="s">
        <v>4163</v>
      </c>
      <c r="C2578" t="s">
        <v>4389</v>
      </c>
      <c r="D2578" s="24">
        <v>1</v>
      </c>
      <c r="E2578" s="24">
        <v>1</v>
      </c>
      <c r="F2578" s="24">
        <v>0</v>
      </c>
      <c r="G2578" s="24">
        <v>0</v>
      </c>
      <c r="H2578" s="25">
        <v>22.98</v>
      </c>
      <c r="I2578">
        <v>30</v>
      </c>
      <c r="J2578" s="26">
        <v>0</v>
      </c>
      <c r="K2578" s="26">
        <v>0</v>
      </c>
      <c r="L2578" s="26">
        <v>0</v>
      </c>
      <c r="M2578">
        <v>30</v>
      </c>
      <c r="N2578">
        <v>0</v>
      </c>
      <c r="O2578">
        <v>13</v>
      </c>
      <c r="P2578">
        <v>5731</v>
      </c>
      <c r="Q2578">
        <v>3413</v>
      </c>
      <c r="R2578">
        <v>978</v>
      </c>
      <c r="S2578">
        <v>404</v>
      </c>
      <c r="T2578">
        <v>29</v>
      </c>
      <c r="U2578">
        <v>22</v>
      </c>
      <c r="V2578">
        <v>10</v>
      </c>
      <c r="W2578">
        <v>2</v>
      </c>
      <c r="X2578" s="18">
        <v>0.00506019891816437</v>
      </c>
      <c r="Y2578" s="18">
        <v>0.00644594198652212</v>
      </c>
      <c r="Z2578" s="18">
        <v>0.0102249488752556</v>
      </c>
      <c r="AA2578" s="18">
        <v>0.00495049504950495</v>
      </c>
      <c r="AB2578">
        <v>19.16</v>
      </c>
      <c r="AC2578">
        <v>10.27</v>
      </c>
      <c r="AD2578">
        <v>5.78</v>
      </c>
      <c r="AE2578">
        <v>0.61</v>
      </c>
      <c r="AF2578" s="18">
        <v>0.833768494342907</v>
      </c>
      <c r="AG2578" s="18">
        <v>0.446910356832028</v>
      </c>
      <c r="AH2578" s="18" t="s">
        <v>4396</v>
      </c>
      <c r="AI2578" s="18" t="s">
        <v>516</v>
      </c>
      <c r="AJ2578">
        <v>21</v>
      </c>
      <c r="AK2578">
        <v>16</v>
      </c>
      <c r="AL2578">
        <v>10</v>
      </c>
      <c r="AM2578">
        <v>6</v>
      </c>
      <c r="AN2578" s="18">
        <v>0.0476190476190476</v>
      </c>
      <c r="AO2578" s="18">
        <v>0.0625</v>
      </c>
      <c r="AP2578" s="18">
        <v>0</v>
      </c>
      <c r="AQ2578" s="18">
        <v>0</v>
      </c>
      <c r="AR2578" s="29">
        <v>0.142857142857143</v>
      </c>
      <c r="AS2578" s="29">
        <v>8.57142857142857</v>
      </c>
      <c r="AT2578" s="29">
        <v>21.4285714285714</v>
      </c>
      <c r="AU2578" s="24">
        <f t="shared" si="41"/>
        <v>210</v>
      </c>
      <c r="AV2578" s="31">
        <f>IFERROR(时间!$B$4+AU2578,"上周无销量")</f>
        <v>43528</v>
      </c>
    </row>
    <row r="2579" spans="1:48">
      <c r="A2579" s="16" t="s">
        <v>4397</v>
      </c>
      <c r="B2579" t="s">
        <v>4166</v>
      </c>
      <c r="C2579" t="s">
        <v>4389</v>
      </c>
      <c r="D2579" s="24">
        <v>4</v>
      </c>
      <c r="E2579" s="24">
        <v>0</v>
      </c>
      <c r="F2579" s="24">
        <v>3</v>
      </c>
      <c r="G2579" s="24">
        <v>3</v>
      </c>
      <c r="H2579" s="25">
        <v>22.98</v>
      </c>
      <c r="I2579">
        <v>10</v>
      </c>
      <c r="J2579" s="26">
        <v>0</v>
      </c>
      <c r="K2579" s="26">
        <v>0</v>
      </c>
      <c r="L2579" s="26">
        <v>0</v>
      </c>
      <c r="M2579">
        <v>10</v>
      </c>
      <c r="N2579">
        <v>0</v>
      </c>
      <c r="O2579">
        <v>0</v>
      </c>
      <c r="P2579" t="s">
        <v>52</v>
      </c>
      <c r="Q2579" t="s">
        <v>52</v>
      </c>
      <c r="R2579" t="s">
        <v>52</v>
      </c>
      <c r="S2579" t="s">
        <v>52</v>
      </c>
      <c r="T2579" t="s">
        <v>52</v>
      </c>
      <c r="U2579" t="s">
        <v>52</v>
      </c>
      <c r="V2579" t="s">
        <v>52</v>
      </c>
      <c r="W2579" t="s">
        <v>52</v>
      </c>
      <c r="X2579" s="18" t="s">
        <v>52</v>
      </c>
      <c r="Y2579" s="18" t="s">
        <v>52</v>
      </c>
      <c r="Z2579" s="18" t="s">
        <v>52</v>
      </c>
      <c r="AA2579" s="18" t="s">
        <v>52</v>
      </c>
      <c r="AB2579" t="s">
        <v>52</v>
      </c>
      <c r="AC2579" t="s">
        <v>52</v>
      </c>
      <c r="AD2579" t="s">
        <v>52</v>
      </c>
      <c r="AE2579" t="s">
        <v>52</v>
      </c>
      <c r="AF2579" s="18" t="s">
        <v>52</v>
      </c>
      <c r="AG2579" s="18" t="s">
        <v>52</v>
      </c>
      <c r="AH2579" s="18" t="s">
        <v>52</v>
      </c>
      <c r="AI2579" s="18" t="s">
        <v>52</v>
      </c>
      <c r="AJ2579">
        <v>8</v>
      </c>
      <c r="AK2579">
        <v>4</v>
      </c>
      <c r="AL2579">
        <v>19</v>
      </c>
      <c r="AM2579">
        <v>14</v>
      </c>
      <c r="AN2579" s="18">
        <v>0.5</v>
      </c>
      <c r="AO2579" s="18">
        <v>0</v>
      </c>
      <c r="AP2579" s="18">
        <v>0.157894736842105</v>
      </c>
      <c r="AQ2579" s="18">
        <v>0.214285714285714</v>
      </c>
      <c r="AR2579" s="29">
        <v>0.571428571428571</v>
      </c>
      <c r="AS2579" s="29">
        <v>34.2857142857143</v>
      </c>
      <c r="AT2579" s="29">
        <v>-24.2857142857143</v>
      </c>
      <c r="AU2579" s="24">
        <f t="shared" si="41"/>
        <v>17</v>
      </c>
      <c r="AV2579" s="31">
        <f>IFERROR(时间!$B$4+AU2579,"上周无销量")</f>
        <v>43335</v>
      </c>
    </row>
    <row r="2580" spans="1:48">
      <c r="A2580" s="16" t="s">
        <v>4398</v>
      </c>
      <c r="B2580" t="s">
        <v>4168</v>
      </c>
      <c r="C2580" t="s">
        <v>4389</v>
      </c>
      <c r="D2580" s="24">
        <v>0</v>
      </c>
      <c r="E2580" s="24">
        <v>2</v>
      </c>
      <c r="F2580" s="24">
        <v>0</v>
      </c>
      <c r="G2580" s="24">
        <v>1</v>
      </c>
      <c r="H2580" s="25">
        <v>22.98</v>
      </c>
      <c r="I2580">
        <v>7</v>
      </c>
      <c r="J2580" s="26">
        <v>0</v>
      </c>
      <c r="K2580" s="26">
        <v>0</v>
      </c>
      <c r="L2580" s="26">
        <v>1</v>
      </c>
      <c r="M2580">
        <v>8</v>
      </c>
      <c r="N2580">
        <v>0</v>
      </c>
      <c r="O2580">
        <v>0</v>
      </c>
      <c r="P2580" t="s">
        <v>52</v>
      </c>
      <c r="Q2580" t="s">
        <v>52</v>
      </c>
      <c r="R2580" t="s">
        <v>52</v>
      </c>
      <c r="S2580" t="s">
        <v>52</v>
      </c>
      <c r="T2580" t="s">
        <v>52</v>
      </c>
      <c r="U2580" t="s">
        <v>52</v>
      </c>
      <c r="V2580" t="s">
        <v>52</v>
      </c>
      <c r="W2580" t="s">
        <v>52</v>
      </c>
      <c r="X2580" s="18" t="s">
        <v>52</v>
      </c>
      <c r="Y2580" s="18" t="s">
        <v>52</v>
      </c>
      <c r="Z2580" s="18" t="s">
        <v>52</v>
      </c>
      <c r="AA2580" s="18" t="s">
        <v>52</v>
      </c>
      <c r="AB2580" t="s">
        <v>52</v>
      </c>
      <c r="AC2580" t="s">
        <v>52</v>
      </c>
      <c r="AD2580" t="s">
        <v>52</v>
      </c>
      <c r="AE2580" t="s">
        <v>52</v>
      </c>
      <c r="AF2580" s="18" t="s">
        <v>52</v>
      </c>
      <c r="AG2580" s="18" t="s">
        <v>52</v>
      </c>
      <c r="AH2580" s="18" t="s">
        <v>52</v>
      </c>
      <c r="AI2580" s="18" t="s">
        <v>52</v>
      </c>
      <c r="AJ2580">
        <v>23</v>
      </c>
      <c r="AK2580">
        <v>10</v>
      </c>
      <c r="AL2580">
        <v>20</v>
      </c>
      <c r="AM2580">
        <v>18</v>
      </c>
      <c r="AN2580" s="18">
        <v>0</v>
      </c>
      <c r="AO2580" s="18">
        <v>0.2</v>
      </c>
      <c r="AP2580" s="18">
        <v>0</v>
      </c>
      <c r="AQ2580" s="18">
        <v>0.0555555555555556</v>
      </c>
      <c r="AR2580" s="29">
        <v>0</v>
      </c>
      <c r="AS2580" s="29">
        <v>0</v>
      </c>
      <c r="AT2580" s="29">
        <v>8</v>
      </c>
      <c r="AU2580" s="24" t="str">
        <f t="shared" si="41"/>
        <v>库存为8</v>
      </c>
      <c r="AV2580" s="31" t="str">
        <f>IFERROR(时间!$B$4+AU2580,"上周无销量")</f>
        <v>上周无销量</v>
      </c>
    </row>
    <row r="2581" spans="1:48">
      <c r="A2581" s="16" t="s">
        <v>4399</v>
      </c>
      <c r="B2581" t="s">
        <v>4170</v>
      </c>
      <c r="C2581" t="s">
        <v>4389</v>
      </c>
      <c r="D2581" s="24">
        <v>0</v>
      </c>
      <c r="E2581" s="24">
        <v>1</v>
      </c>
      <c r="F2581" s="24">
        <v>2</v>
      </c>
      <c r="G2581" s="24">
        <v>0</v>
      </c>
      <c r="H2581" s="25">
        <v>22.98</v>
      </c>
      <c r="I2581">
        <v>0</v>
      </c>
      <c r="J2581" s="26">
        <v>0</v>
      </c>
      <c r="K2581" s="26">
        <v>0</v>
      </c>
      <c r="L2581" s="26">
        <v>1</v>
      </c>
      <c r="M2581">
        <v>1</v>
      </c>
      <c r="N2581">
        <v>0</v>
      </c>
      <c r="O2581">
        <v>0</v>
      </c>
      <c r="P2581" t="s">
        <v>52</v>
      </c>
      <c r="Q2581" t="s">
        <v>52</v>
      </c>
      <c r="R2581" t="s">
        <v>52</v>
      </c>
      <c r="S2581" t="s">
        <v>52</v>
      </c>
      <c r="T2581" t="s">
        <v>52</v>
      </c>
      <c r="U2581" t="s">
        <v>52</v>
      </c>
      <c r="V2581" t="s">
        <v>52</v>
      </c>
      <c r="W2581" t="s">
        <v>52</v>
      </c>
      <c r="X2581" s="18" t="s">
        <v>52</v>
      </c>
      <c r="Y2581" s="18" t="s">
        <v>52</v>
      </c>
      <c r="Z2581" s="18" t="s">
        <v>52</v>
      </c>
      <c r="AA2581" s="18" t="s">
        <v>52</v>
      </c>
      <c r="AB2581" t="s">
        <v>52</v>
      </c>
      <c r="AC2581" t="s">
        <v>52</v>
      </c>
      <c r="AD2581" t="s">
        <v>52</v>
      </c>
      <c r="AE2581" t="s">
        <v>52</v>
      </c>
      <c r="AF2581" s="18" t="s">
        <v>52</v>
      </c>
      <c r="AG2581" s="18" t="s">
        <v>52</v>
      </c>
      <c r="AH2581" s="18" t="s">
        <v>52</v>
      </c>
      <c r="AI2581" s="18" t="s">
        <v>52</v>
      </c>
      <c r="AJ2581">
        <v>18</v>
      </c>
      <c r="AK2581">
        <v>16</v>
      </c>
      <c r="AL2581">
        <v>22</v>
      </c>
      <c r="AM2581">
        <v>5</v>
      </c>
      <c r="AN2581" s="18">
        <v>0</v>
      </c>
      <c r="AO2581" s="18">
        <v>0.0625</v>
      </c>
      <c r="AP2581" s="18">
        <v>0.0909090909090909</v>
      </c>
      <c r="AQ2581" s="18">
        <v>0</v>
      </c>
      <c r="AR2581" s="29">
        <v>0</v>
      </c>
      <c r="AS2581" s="29">
        <v>0</v>
      </c>
      <c r="AT2581" s="29">
        <v>1</v>
      </c>
      <c r="AU2581" s="24" t="str">
        <f t="shared" si="41"/>
        <v>库存为1</v>
      </c>
      <c r="AV2581" s="31" t="str">
        <f>IFERROR(时间!$B$4+AU2581,"上周无销量")</f>
        <v>上周无销量</v>
      </c>
    </row>
    <row r="2582" spans="1:48">
      <c r="A2582" s="16" t="s">
        <v>4400</v>
      </c>
      <c r="B2582" t="s">
        <v>4172</v>
      </c>
      <c r="C2582" t="s">
        <v>4389</v>
      </c>
      <c r="D2582" s="24">
        <v>0</v>
      </c>
      <c r="E2582" s="24">
        <v>0</v>
      </c>
      <c r="F2582" s="24">
        <v>0</v>
      </c>
      <c r="G2582" s="24">
        <v>0</v>
      </c>
      <c r="H2582" s="25">
        <v>0</v>
      </c>
      <c r="I2582">
        <v>18</v>
      </c>
      <c r="J2582" s="26">
        <v>0</v>
      </c>
      <c r="K2582" s="26">
        <v>0</v>
      </c>
      <c r="L2582" s="26">
        <v>1</v>
      </c>
      <c r="M2582">
        <v>19</v>
      </c>
      <c r="N2582">
        <v>0</v>
      </c>
      <c r="O2582">
        <v>8</v>
      </c>
      <c r="P2582" t="s">
        <v>52</v>
      </c>
      <c r="Q2582" t="s">
        <v>52</v>
      </c>
      <c r="R2582" t="s">
        <v>52</v>
      </c>
      <c r="S2582" t="s">
        <v>52</v>
      </c>
      <c r="T2582" t="s">
        <v>52</v>
      </c>
      <c r="U2582" t="s">
        <v>52</v>
      </c>
      <c r="V2582" t="s">
        <v>52</v>
      </c>
      <c r="W2582" t="s">
        <v>52</v>
      </c>
      <c r="X2582" s="18" t="s">
        <v>52</v>
      </c>
      <c r="Y2582" s="18" t="s">
        <v>52</v>
      </c>
      <c r="Z2582" s="18" t="s">
        <v>52</v>
      </c>
      <c r="AA2582" s="18" t="s">
        <v>52</v>
      </c>
      <c r="AB2582" t="s">
        <v>52</v>
      </c>
      <c r="AC2582" t="s">
        <v>52</v>
      </c>
      <c r="AD2582" t="s">
        <v>52</v>
      </c>
      <c r="AE2582" t="s">
        <v>52</v>
      </c>
      <c r="AF2582" s="18" t="s">
        <v>52</v>
      </c>
      <c r="AG2582" s="18" t="s">
        <v>52</v>
      </c>
      <c r="AH2582" s="18" t="s">
        <v>52</v>
      </c>
      <c r="AI2582" s="18" t="s">
        <v>52</v>
      </c>
      <c r="AJ2582">
        <v>19</v>
      </c>
      <c r="AK2582">
        <v>17</v>
      </c>
      <c r="AL2582">
        <v>18</v>
      </c>
      <c r="AM2582">
        <v>12</v>
      </c>
      <c r="AN2582" s="18">
        <v>0</v>
      </c>
      <c r="AO2582" s="18">
        <v>0</v>
      </c>
      <c r="AP2582" s="18">
        <v>0</v>
      </c>
      <c r="AQ2582" s="18">
        <v>0</v>
      </c>
      <c r="AR2582" s="29">
        <v>0</v>
      </c>
      <c r="AS2582" s="29">
        <v>0</v>
      </c>
      <c r="AT2582" s="29">
        <v>19</v>
      </c>
      <c r="AU2582" s="24" t="str">
        <f t="shared" si="41"/>
        <v>库存为19</v>
      </c>
      <c r="AV2582" s="31" t="str">
        <f>IFERROR(时间!$B$4+AU2582,"上周无销量")</f>
        <v>上周无销量</v>
      </c>
    </row>
    <row r="2583" spans="1:48">
      <c r="A2583" s="16" t="s">
        <v>4401</v>
      </c>
      <c r="B2583" t="s">
        <v>4196</v>
      </c>
      <c r="C2583" t="s">
        <v>4389</v>
      </c>
      <c r="D2583" s="24">
        <v>1</v>
      </c>
      <c r="E2583" s="24">
        <v>0</v>
      </c>
      <c r="F2583" s="24">
        <v>0</v>
      </c>
      <c r="G2583" s="24">
        <v>0</v>
      </c>
      <c r="H2583" s="25">
        <v>22.98</v>
      </c>
      <c r="I2583">
        <v>6</v>
      </c>
      <c r="J2583" s="26">
        <v>0</v>
      </c>
      <c r="K2583" s="26">
        <v>0</v>
      </c>
      <c r="L2583" s="26">
        <v>0</v>
      </c>
      <c r="M2583">
        <v>6</v>
      </c>
      <c r="N2583">
        <v>0</v>
      </c>
      <c r="O2583">
        <v>7</v>
      </c>
      <c r="P2583" t="s">
        <v>52</v>
      </c>
      <c r="Q2583" t="s">
        <v>52</v>
      </c>
      <c r="R2583" t="s">
        <v>52</v>
      </c>
      <c r="S2583" t="s">
        <v>52</v>
      </c>
      <c r="T2583" t="s">
        <v>52</v>
      </c>
      <c r="U2583" t="s">
        <v>52</v>
      </c>
      <c r="V2583" t="s">
        <v>52</v>
      </c>
      <c r="W2583" t="s">
        <v>52</v>
      </c>
      <c r="X2583" s="18" t="s">
        <v>52</v>
      </c>
      <c r="Y2583" s="18" t="s">
        <v>52</v>
      </c>
      <c r="Z2583" s="18" t="s">
        <v>52</v>
      </c>
      <c r="AA2583" s="18" t="s">
        <v>52</v>
      </c>
      <c r="AB2583" t="s">
        <v>52</v>
      </c>
      <c r="AC2583" t="s">
        <v>52</v>
      </c>
      <c r="AD2583" t="s">
        <v>52</v>
      </c>
      <c r="AE2583" t="s">
        <v>52</v>
      </c>
      <c r="AF2583" s="18" t="s">
        <v>52</v>
      </c>
      <c r="AG2583" s="18" t="s">
        <v>52</v>
      </c>
      <c r="AH2583" s="18" t="s">
        <v>52</v>
      </c>
      <c r="AI2583" s="18" t="s">
        <v>52</v>
      </c>
      <c r="AJ2583">
        <v>3</v>
      </c>
      <c r="AK2583">
        <v>6</v>
      </c>
      <c r="AL2583">
        <v>11</v>
      </c>
      <c r="AM2583">
        <v>11</v>
      </c>
      <c r="AN2583" s="18">
        <v>0.333333333333333</v>
      </c>
      <c r="AO2583" s="18">
        <v>0</v>
      </c>
      <c r="AP2583" s="18">
        <v>0</v>
      </c>
      <c r="AQ2583" s="18">
        <v>0</v>
      </c>
      <c r="AR2583" s="29">
        <v>0.142857142857143</v>
      </c>
      <c r="AS2583" s="29">
        <v>8.57142857142857</v>
      </c>
      <c r="AT2583" s="29">
        <v>-2.57142857142857</v>
      </c>
      <c r="AU2583" s="24">
        <f t="shared" si="41"/>
        <v>42</v>
      </c>
      <c r="AV2583" s="31">
        <f>IFERROR(时间!$B$4+AU2583,"上周无销量")</f>
        <v>43360</v>
      </c>
    </row>
    <row r="2584" spans="1:48">
      <c r="A2584" s="16" t="s">
        <v>4402</v>
      </c>
      <c r="B2584" t="s">
        <v>4198</v>
      </c>
      <c r="C2584" t="s">
        <v>4389</v>
      </c>
      <c r="D2584" s="24">
        <v>3</v>
      </c>
      <c r="E2584" s="24">
        <v>1</v>
      </c>
      <c r="F2584" s="24">
        <v>3</v>
      </c>
      <c r="G2584" s="24">
        <v>3</v>
      </c>
      <c r="H2584" s="25">
        <v>22.98</v>
      </c>
      <c r="I2584">
        <v>0</v>
      </c>
      <c r="J2584" s="26">
        <v>0</v>
      </c>
      <c r="K2584" s="26">
        <v>0</v>
      </c>
      <c r="L2584" s="26">
        <v>0</v>
      </c>
      <c r="M2584">
        <v>0</v>
      </c>
      <c r="N2584">
        <v>0</v>
      </c>
      <c r="O2584">
        <v>0</v>
      </c>
      <c r="P2584" t="s">
        <v>52</v>
      </c>
      <c r="Q2584" t="s">
        <v>52</v>
      </c>
      <c r="R2584" t="s">
        <v>52</v>
      </c>
      <c r="S2584" t="s">
        <v>52</v>
      </c>
      <c r="T2584" t="s">
        <v>52</v>
      </c>
      <c r="U2584" t="s">
        <v>52</v>
      </c>
      <c r="V2584" t="s">
        <v>52</v>
      </c>
      <c r="W2584" t="s">
        <v>52</v>
      </c>
      <c r="X2584" s="18" t="s">
        <v>52</v>
      </c>
      <c r="Y2584" s="18" t="s">
        <v>52</v>
      </c>
      <c r="Z2584" s="18" t="s">
        <v>52</v>
      </c>
      <c r="AA2584" s="18" t="s">
        <v>52</v>
      </c>
      <c r="AB2584" t="s">
        <v>52</v>
      </c>
      <c r="AC2584" t="s">
        <v>52</v>
      </c>
      <c r="AD2584" t="s">
        <v>52</v>
      </c>
      <c r="AE2584" t="s">
        <v>52</v>
      </c>
      <c r="AF2584" s="18" t="s">
        <v>52</v>
      </c>
      <c r="AG2584" s="18" t="s">
        <v>52</v>
      </c>
      <c r="AH2584" s="18" t="s">
        <v>52</v>
      </c>
      <c r="AI2584" s="18" t="s">
        <v>52</v>
      </c>
      <c r="AJ2584">
        <v>5</v>
      </c>
      <c r="AK2584">
        <v>6</v>
      </c>
      <c r="AL2584">
        <v>14</v>
      </c>
      <c r="AM2584">
        <v>14</v>
      </c>
      <c r="AN2584" s="18">
        <v>0.6</v>
      </c>
      <c r="AO2584" s="18">
        <v>0.166666666666667</v>
      </c>
      <c r="AP2584" s="18">
        <v>0.214285714285714</v>
      </c>
      <c r="AQ2584" s="18">
        <v>0.214285714285714</v>
      </c>
      <c r="AR2584" s="29">
        <v>0.428571428571429</v>
      </c>
      <c r="AS2584" s="29">
        <v>25.7142857142857</v>
      </c>
      <c r="AT2584" s="29">
        <v>-25.7142857142857</v>
      </c>
      <c r="AU2584" s="24">
        <f t="shared" si="41"/>
        <v>0</v>
      </c>
      <c r="AV2584" s="31">
        <f>IFERROR(时间!$B$4+AU2584,"上周无销量")</f>
        <v>43318</v>
      </c>
    </row>
    <row r="2585" spans="1:48">
      <c r="A2585" s="16" t="s">
        <v>4403</v>
      </c>
      <c r="B2585" t="s">
        <v>4200</v>
      </c>
      <c r="C2585" t="s">
        <v>4389</v>
      </c>
      <c r="D2585" s="24">
        <v>1</v>
      </c>
      <c r="E2585" s="24">
        <v>2</v>
      </c>
      <c r="F2585" s="24">
        <v>2</v>
      </c>
      <c r="G2585" s="24">
        <v>0</v>
      </c>
      <c r="H2585" s="25">
        <v>22.98</v>
      </c>
      <c r="I2585">
        <v>12</v>
      </c>
      <c r="J2585" s="26">
        <v>0</v>
      </c>
      <c r="K2585" s="26">
        <v>0</v>
      </c>
      <c r="L2585" s="26">
        <v>0</v>
      </c>
      <c r="M2585">
        <v>12</v>
      </c>
      <c r="N2585">
        <v>0</v>
      </c>
      <c r="O2585">
        <v>0</v>
      </c>
      <c r="P2585" t="s">
        <v>52</v>
      </c>
      <c r="Q2585" t="s">
        <v>52</v>
      </c>
      <c r="R2585" t="s">
        <v>52</v>
      </c>
      <c r="S2585" t="s">
        <v>52</v>
      </c>
      <c r="T2585" t="s">
        <v>52</v>
      </c>
      <c r="U2585" t="s">
        <v>52</v>
      </c>
      <c r="V2585" t="s">
        <v>52</v>
      </c>
      <c r="W2585" t="s">
        <v>52</v>
      </c>
      <c r="X2585" s="18" t="s">
        <v>52</v>
      </c>
      <c r="Y2585" s="18" t="s">
        <v>52</v>
      </c>
      <c r="Z2585" s="18" t="s">
        <v>52</v>
      </c>
      <c r="AA2585" s="18" t="s">
        <v>52</v>
      </c>
      <c r="AB2585" t="s">
        <v>52</v>
      </c>
      <c r="AC2585" t="s">
        <v>52</v>
      </c>
      <c r="AD2585" t="s">
        <v>52</v>
      </c>
      <c r="AE2585" t="s">
        <v>52</v>
      </c>
      <c r="AF2585" s="18" t="s">
        <v>52</v>
      </c>
      <c r="AG2585" s="18" t="s">
        <v>52</v>
      </c>
      <c r="AH2585" s="18" t="s">
        <v>52</v>
      </c>
      <c r="AI2585" s="18" t="s">
        <v>52</v>
      </c>
      <c r="AJ2585">
        <v>3</v>
      </c>
      <c r="AK2585">
        <v>10</v>
      </c>
      <c r="AL2585">
        <v>7</v>
      </c>
      <c r="AM2585">
        <v>8</v>
      </c>
      <c r="AN2585" s="18">
        <v>0.333333333333333</v>
      </c>
      <c r="AO2585" s="18">
        <v>0.2</v>
      </c>
      <c r="AP2585" s="18">
        <v>0.285714285714286</v>
      </c>
      <c r="AQ2585" s="18">
        <v>0</v>
      </c>
      <c r="AR2585" s="29">
        <v>0.142857142857143</v>
      </c>
      <c r="AS2585" s="29">
        <v>8.57142857142857</v>
      </c>
      <c r="AT2585" s="29">
        <v>3.42857142857143</v>
      </c>
      <c r="AU2585" s="24">
        <f t="shared" si="41"/>
        <v>84</v>
      </c>
      <c r="AV2585" s="31">
        <f>IFERROR(时间!$B$4+AU2585,"上周无销量")</f>
        <v>43402</v>
      </c>
    </row>
    <row r="2586" spans="1:48">
      <c r="A2586" s="16" t="s">
        <v>4404</v>
      </c>
      <c r="B2586" t="s">
        <v>4202</v>
      </c>
      <c r="C2586" t="s">
        <v>4389</v>
      </c>
      <c r="D2586" s="24">
        <v>0</v>
      </c>
      <c r="E2586" s="24">
        <v>1</v>
      </c>
      <c r="F2586" s="24">
        <v>0</v>
      </c>
      <c r="G2586" s="24">
        <v>0</v>
      </c>
      <c r="H2586" s="25">
        <v>22.98</v>
      </c>
      <c r="I2586">
        <v>4</v>
      </c>
      <c r="J2586" s="26">
        <v>0</v>
      </c>
      <c r="K2586" s="26">
        <v>0</v>
      </c>
      <c r="L2586" s="26">
        <v>0</v>
      </c>
      <c r="M2586">
        <v>4</v>
      </c>
      <c r="N2586">
        <v>0</v>
      </c>
      <c r="O2586">
        <v>4</v>
      </c>
      <c r="P2586" t="s">
        <v>52</v>
      </c>
      <c r="Q2586" t="s">
        <v>52</v>
      </c>
      <c r="R2586" t="s">
        <v>52</v>
      </c>
      <c r="S2586" t="s">
        <v>52</v>
      </c>
      <c r="T2586" t="s">
        <v>52</v>
      </c>
      <c r="U2586" t="s">
        <v>52</v>
      </c>
      <c r="V2586" t="s">
        <v>52</v>
      </c>
      <c r="W2586" t="s">
        <v>52</v>
      </c>
      <c r="X2586" s="18" t="s">
        <v>52</v>
      </c>
      <c r="Y2586" s="18" t="s">
        <v>52</v>
      </c>
      <c r="Z2586" s="18" t="s">
        <v>52</v>
      </c>
      <c r="AA2586" s="18" t="s">
        <v>52</v>
      </c>
      <c r="AB2586" t="s">
        <v>52</v>
      </c>
      <c r="AC2586" t="s">
        <v>52</v>
      </c>
      <c r="AD2586" t="s">
        <v>52</v>
      </c>
      <c r="AE2586" t="s">
        <v>52</v>
      </c>
      <c r="AF2586" s="18" t="s">
        <v>52</v>
      </c>
      <c r="AG2586" s="18" t="s">
        <v>52</v>
      </c>
      <c r="AH2586" s="18" t="s">
        <v>52</v>
      </c>
      <c r="AI2586" s="18" t="s">
        <v>52</v>
      </c>
      <c r="AJ2586">
        <v>7</v>
      </c>
      <c r="AK2586">
        <v>5</v>
      </c>
      <c r="AL2586">
        <v>9</v>
      </c>
      <c r="AM2586">
        <v>6</v>
      </c>
      <c r="AN2586" s="18">
        <v>0</v>
      </c>
      <c r="AO2586" s="18">
        <v>0.2</v>
      </c>
      <c r="AP2586" s="18">
        <v>0</v>
      </c>
      <c r="AQ2586" s="18">
        <v>0</v>
      </c>
      <c r="AR2586" s="29">
        <v>0</v>
      </c>
      <c r="AS2586" s="29">
        <v>0</v>
      </c>
      <c r="AT2586" s="29">
        <v>4</v>
      </c>
      <c r="AU2586" s="24" t="str">
        <f t="shared" si="41"/>
        <v>库存为4</v>
      </c>
      <c r="AV2586" s="31" t="str">
        <f>IFERROR(时间!$B$4+AU2586,"上周无销量")</f>
        <v>上周无销量</v>
      </c>
    </row>
    <row r="2587" spans="1:48">
      <c r="A2587" s="16" t="s">
        <v>4405</v>
      </c>
      <c r="B2587" t="s">
        <v>4204</v>
      </c>
      <c r="C2587" t="s">
        <v>4389</v>
      </c>
      <c r="D2587" s="24">
        <v>0</v>
      </c>
      <c r="E2587" s="24">
        <v>0</v>
      </c>
      <c r="F2587" s="24">
        <v>2</v>
      </c>
      <c r="G2587" s="24">
        <v>0</v>
      </c>
      <c r="H2587" s="25">
        <v>22.98</v>
      </c>
      <c r="I2587">
        <v>7</v>
      </c>
      <c r="J2587" s="26">
        <v>0</v>
      </c>
      <c r="K2587" s="26">
        <v>0</v>
      </c>
      <c r="L2587" s="26">
        <v>0</v>
      </c>
      <c r="M2587">
        <v>7</v>
      </c>
      <c r="N2587">
        <v>0</v>
      </c>
      <c r="O2587">
        <v>5</v>
      </c>
      <c r="P2587" t="s">
        <v>52</v>
      </c>
      <c r="Q2587" t="s">
        <v>52</v>
      </c>
      <c r="R2587" t="s">
        <v>52</v>
      </c>
      <c r="S2587" t="s">
        <v>52</v>
      </c>
      <c r="T2587" t="s">
        <v>52</v>
      </c>
      <c r="U2587" t="s">
        <v>52</v>
      </c>
      <c r="V2587" t="s">
        <v>52</v>
      </c>
      <c r="W2587" t="s">
        <v>52</v>
      </c>
      <c r="X2587" s="18" t="s">
        <v>52</v>
      </c>
      <c r="Y2587" s="18" t="s">
        <v>52</v>
      </c>
      <c r="Z2587" s="18" t="s">
        <v>52</v>
      </c>
      <c r="AA2587" s="18" t="s">
        <v>52</v>
      </c>
      <c r="AB2587" t="s">
        <v>52</v>
      </c>
      <c r="AC2587" t="s">
        <v>52</v>
      </c>
      <c r="AD2587" t="s">
        <v>52</v>
      </c>
      <c r="AE2587" t="s">
        <v>52</v>
      </c>
      <c r="AF2587" s="18" t="s">
        <v>52</v>
      </c>
      <c r="AG2587" s="18" t="s">
        <v>52</v>
      </c>
      <c r="AH2587" s="18" t="s">
        <v>52</v>
      </c>
      <c r="AI2587" s="18" t="s">
        <v>52</v>
      </c>
      <c r="AJ2587">
        <v>6</v>
      </c>
      <c r="AK2587">
        <v>2</v>
      </c>
      <c r="AL2587">
        <v>7</v>
      </c>
      <c r="AM2587">
        <v>6</v>
      </c>
      <c r="AN2587" s="18">
        <v>0</v>
      </c>
      <c r="AO2587" s="18">
        <v>0</v>
      </c>
      <c r="AP2587" s="18">
        <v>0.285714285714286</v>
      </c>
      <c r="AQ2587" s="18">
        <v>0</v>
      </c>
      <c r="AR2587" s="29">
        <v>0</v>
      </c>
      <c r="AS2587" s="29">
        <v>0</v>
      </c>
      <c r="AT2587" s="29">
        <v>7</v>
      </c>
      <c r="AU2587" s="24" t="str">
        <f t="shared" si="41"/>
        <v>库存为7</v>
      </c>
      <c r="AV2587" s="31" t="str">
        <f>IFERROR(时间!$B$4+AU2587,"上周无销量")</f>
        <v>上周无销量</v>
      </c>
    </row>
    <row r="2588" spans="1:48">
      <c r="A2588" s="16" t="s">
        <v>4406</v>
      </c>
      <c r="B2588" t="s">
        <v>4206</v>
      </c>
      <c r="C2588" t="s">
        <v>4389</v>
      </c>
      <c r="D2588" s="24">
        <v>0</v>
      </c>
      <c r="E2588" s="24">
        <v>0</v>
      </c>
      <c r="F2588" s="24">
        <v>0</v>
      </c>
      <c r="G2588" s="24">
        <v>0</v>
      </c>
      <c r="H2588" s="25">
        <v>0</v>
      </c>
      <c r="I2588">
        <v>13</v>
      </c>
      <c r="J2588" s="26">
        <v>0</v>
      </c>
      <c r="K2588" s="26">
        <v>0</v>
      </c>
      <c r="L2588" s="26">
        <v>0</v>
      </c>
      <c r="M2588">
        <v>13</v>
      </c>
      <c r="N2588">
        <v>0</v>
      </c>
      <c r="O2588">
        <v>13</v>
      </c>
      <c r="P2588" t="s">
        <v>52</v>
      </c>
      <c r="Q2588" t="s">
        <v>52</v>
      </c>
      <c r="R2588" t="s">
        <v>52</v>
      </c>
      <c r="S2588" t="s">
        <v>52</v>
      </c>
      <c r="T2588" t="s">
        <v>52</v>
      </c>
      <c r="U2588" t="s">
        <v>52</v>
      </c>
      <c r="V2588" t="s">
        <v>52</v>
      </c>
      <c r="W2588" t="s">
        <v>52</v>
      </c>
      <c r="X2588" s="18" t="s">
        <v>52</v>
      </c>
      <c r="Y2588" s="18" t="s">
        <v>52</v>
      </c>
      <c r="Z2588" s="18" t="s">
        <v>52</v>
      </c>
      <c r="AA2588" s="18" t="s">
        <v>52</v>
      </c>
      <c r="AB2588" t="s">
        <v>52</v>
      </c>
      <c r="AC2588" t="s">
        <v>52</v>
      </c>
      <c r="AD2588" t="s">
        <v>52</v>
      </c>
      <c r="AE2588" t="s">
        <v>52</v>
      </c>
      <c r="AF2588" s="18" t="s">
        <v>52</v>
      </c>
      <c r="AG2588" s="18" t="s">
        <v>52</v>
      </c>
      <c r="AH2588" s="18" t="s">
        <v>52</v>
      </c>
      <c r="AI2588" s="18" t="s">
        <v>52</v>
      </c>
      <c r="AJ2588">
        <v>0</v>
      </c>
      <c r="AK2588">
        <v>3</v>
      </c>
      <c r="AL2588">
        <v>2</v>
      </c>
      <c r="AM2588">
        <v>4</v>
      </c>
      <c r="AN2588" s="18" t="s">
        <v>52</v>
      </c>
      <c r="AO2588" s="18">
        <v>0</v>
      </c>
      <c r="AP2588" s="18">
        <v>0</v>
      </c>
      <c r="AQ2588" s="18">
        <v>0</v>
      </c>
      <c r="AR2588" s="29">
        <v>0</v>
      </c>
      <c r="AS2588" s="29">
        <v>0</v>
      </c>
      <c r="AT2588" s="29">
        <v>13</v>
      </c>
      <c r="AU2588" s="24" t="str">
        <f t="shared" si="41"/>
        <v>库存为13</v>
      </c>
      <c r="AV2588" s="31" t="str">
        <f>IFERROR(时间!$B$4+AU2588,"上周无销量")</f>
        <v>上周无销量</v>
      </c>
    </row>
    <row r="2589" spans="1:48">
      <c r="A2589" s="16" t="s">
        <v>4407</v>
      </c>
      <c r="B2589" t="s">
        <v>4208</v>
      </c>
      <c r="C2589" t="s">
        <v>4389</v>
      </c>
      <c r="D2589" s="24">
        <v>1</v>
      </c>
      <c r="E2589" s="24">
        <v>0</v>
      </c>
      <c r="F2589" s="24">
        <v>0</v>
      </c>
      <c r="G2589" s="24">
        <v>2</v>
      </c>
      <c r="H2589" s="25">
        <v>22.98</v>
      </c>
      <c r="I2589">
        <v>16</v>
      </c>
      <c r="J2589" s="26">
        <v>0</v>
      </c>
      <c r="K2589" s="26">
        <v>0</v>
      </c>
      <c r="L2589" s="26">
        <v>0</v>
      </c>
      <c r="M2589">
        <v>16</v>
      </c>
      <c r="N2589">
        <v>0</v>
      </c>
      <c r="O2589">
        <v>6</v>
      </c>
      <c r="P2589" t="s">
        <v>52</v>
      </c>
      <c r="Q2589" t="s">
        <v>52</v>
      </c>
      <c r="R2589" t="s">
        <v>52</v>
      </c>
      <c r="S2589" t="s">
        <v>52</v>
      </c>
      <c r="T2589" t="s">
        <v>52</v>
      </c>
      <c r="U2589" t="s">
        <v>52</v>
      </c>
      <c r="V2589" t="s">
        <v>52</v>
      </c>
      <c r="W2589" t="s">
        <v>52</v>
      </c>
      <c r="X2589" s="18" t="s">
        <v>52</v>
      </c>
      <c r="Y2589" s="18" t="s">
        <v>52</v>
      </c>
      <c r="Z2589" s="18" t="s">
        <v>52</v>
      </c>
      <c r="AA2589" s="18" t="s">
        <v>52</v>
      </c>
      <c r="AB2589" t="s">
        <v>52</v>
      </c>
      <c r="AC2589" t="s">
        <v>52</v>
      </c>
      <c r="AD2589" t="s">
        <v>52</v>
      </c>
      <c r="AE2589" t="s">
        <v>52</v>
      </c>
      <c r="AF2589" s="18" t="s">
        <v>52</v>
      </c>
      <c r="AG2589" s="18" t="s">
        <v>52</v>
      </c>
      <c r="AH2589" s="18" t="s">
        <v>52</v>
      </c>
      <c r="AI2589" s="18" t="s">
        <v>52</v>
      </c>
      <c r="AJ2589">
        <v>3</v>
      </c>
      <c r="AK2589">
        <v>5</v>
      </c>
      <c r="AL2589">
        <v>9</v>
      </c>
      <c r="AM2589">
        <v>6</v>
      </c>
      <c r="AN2589" s="18">
        <v>0.333333333333333</v>
      </c>
      <c r="AO2589" s="18">
        <v>0</v>
      </c>
      <c r="AP2589" s="18">
        <v>0</v>
      </c>
      <c r="AQ2589" s="18">
        <v>0.333333333333333</v>
      </c>
      <c r="AR2589" s="29">
        <v>0.142857142857143</v>
      </c>
      <c r="AS2589" s="29">
        <v>8.57142857142857</v>
      </c>
      <c r="AT2589" s="29">
        <v>7.42857142857143</v>
      </c>
      <c r="AU2589" s="24">
        <f t="shared" si="41"/>
        <v>112</v>
      </c>
      <c r="AV2589" s="31">
        <f>IFERROR(时间!$B$4+AU2589,"上周无销量")</f>
        <v>43430</v>
      </c>
    </row>
    <row r="2590" spans="1:48">
      <c r="A2590" s="16" t="s">
        <v>4408</v>
      </c>
      <c r="B2590" t="s">
        <v>4210</v>
      </c>
      <c r="C2590" t="s">
        <v>4389</v>
      </c>
      <c r="D2590" s="24">
        <v>0</v>
      </c>
      <c r="E2590" s="24">
        <v>0</v>
      </c>
      <c r="F2590" s="24">
        <v>0</v>
      </c>
      <c r="G2590" s="24">
        <v>0</v>
      </c>
      <c r="H2590" s="25">
        <v>0</v>
      </c>
      <c r="I2590">
        <v>6</v>
      </c>
      <c r="J2590" s="26">
        <v>0</v>
      </c>
      <c r="K2590" s="26">
        <v>0</v>
      </c>
      <c r="L2590" s="26">
        <v>1</v>
      </c>
      <c r="M2590">
        <v>7</v>
      </c>
      <c r="N2590">
        <v>0</v>
      </c>
      <c r="O2590">
        <v>7</v>
      </c>
      <c r="P2590" t="s">
        <v>52</v>
      </c>
      <c r="Q2590" t="s">
        <v>52</v>
      </c>
      <c r="R2590" t="s">
        <v>52</v>
      </c>
      <c r="S2590" t="s">
        <v>52</v>
      </c>
      <c r="T2590" t="s">
        <v>52</v>
      </c>
      <c r="U2590" t="s">
        <v>52</v>
      </c>
      <c r="V2590" t="s">
        <v>52</v>
      </c>
      <c r="W2590" t="s">
        <v>52</v>
      </c>
      <c r="X2590" s="18" t="s">
        <v>52</v>
      </c>
      <c r="Y2590" s="18" t="s">
        <v>52</v>
      </c>
      <c r="Z2590" s="18" t="s">
        <v>52</v>
      </c>
      <c r="AA2590" s="18" t="s">
        <v>52</v>
      </c>
      <c r="AB2590" t="s">
        <v>52</v>
      </c>
      <c r="AC2590" t="s">
        <v>52</v>
      </c>
      <c r="AD2590" t="s">
        <v>52</v>
      </c>
      <c r="AE2590" t="s">
        <v>52</v>
      </c>
      <c r="AF2590" s="18" t="s">
        <v>52</v>
      </c>
      <c r="AG2590" s="18" t="s">
        <v>52</v>
      </c>
      <c r="AH2590" s="18" t="s">
        <v>52</v>
      </c>
      <c r="AI2590" s="18" t="s">
        <v>52</v>
      </c>
      <c r="AJ2590">
        <v>8</v>
      </c>
      <c r="AK2590">
        <v>4</v>
      </c>
      <c r="AL2590">
        <v>7</v>
      </c>
      <c r="AM2590">
        <v>10</v>
      </c>
      <c r="AN2590" s="18">
        <v>0</v>
      </c>
      <c r="AO2590" s="18">
        <v>0</v>
      </c>
      <c r="AP2590" s="18">
        <v>0</v>
      </c>
      <c r="AQ2590" s="18">
        <v>0</v>
      </c>
      <c r="AR2590" s="29">
        <v>0</v>
      </c>
      <c r="AS2590" s="29">
        <v>0</v>
      </c>
      <c r="AT2590" s="29">
        <v>7</v>
      </c>
      <c r="AU2590" s="24" t="str">
        <f t="shared" si="41"/>
        <v>库存为7</v>
      </c>
      <c r="AV2590" s="31" t="str">
        <f>IFERROR(时间!$B$4+AU2590,"上周无销量")</f>
        <v>上周无销量</v>
      </c>
    </row>
    <row r="2591" spans="1:48">
      <c r="A2591" s="16" t="s">
        <v>4409</v>
      </c>
      <c r="B2591" t="s">
        <v>4212</v>
      </c>
      <c r="C2591" t="s">
        <v>4389</v>
      </c>
      <c r="D2591" s="24">
        <v>0</v>
      </c>
      <c r="E2591" s="24">
        <v>1</v>
      </c>
      <c r="F2591" s="24">
        <v>2</v>
      </c>
      <c r="G2591" s="24">
        <v>1</v>
      </c>
      <c r="H2591" s="25">
        <v>22.98</v>
      </c>
      <c r="I2591">
        <v>4</v>
      </c>
      <c r="J2591" s="26">
        <v>0</v>
      </c>
      <c r="K2591" s="26">
        <v>0</v>
      </c>
      <c r="L2591" s="26">
        <v>0</v>
      </c>
      <c r="M2591">
        <v>4</v>
      </c>
      <c r="N2591">
        <v>0</v>
      </c>
      <c r="O2591">
        <v>4</v>
      </c>
      <c r="P2591" t="s">
        <v>52</v>
      </c>
      <c r="Q2591" t="s">
        <v>52</v>
      </c>
      <c r="R2591" t="s">
        <v>52</v>
      </c>
      <c r="S2591" t="s">
        <v>52</v>
      </c>
      <c r="T2591" t="s">
        <v>52</v>
      </c>
      <c r="U2591" t="s">
        <v>52</v>
      </c>
      <c r="V2591" t="s">
        <v>52</v>
      </c>
      <c r="W2591" t="s">
        <v>52</v>
      </c>
      <c r="X2591" s="18" t="s">
        <v>52</v>
      </c>
      <c r="Y2591" s="18" t="s">
        <v>52</v>
      </c>
      <c r="Z2591" s="18" t="s">
        <v>52</v>
      </c>
      <c r="AA2591" s="18" t="s">
        <v>52</v>
      </c>
      <c r="AB2591" t="s">
        <v>52</v>
      </c>
      <c r="AC2591" t="s">
        <v>52</v>
      </c>
      <c r="AD2591" t="s">
        <v>52</v>
      </c>
      <c r="AE2591" t="s">
        <v>52</v>
      </c>
      <c r="AF2591" s="18" t="s">
        <v>52</v>
      </c>
      <c r="AG2591" s="18" t="s">
        <v>52</v>
      </c>
      <c r="AH2591" s="18" t="s">
        <v>52</v>
      </c>
      <c r="AI2591" s="18" t="s">
        <v>52</v>
      </c>
      <c r="AJ2591">
        <v>10</v>
      </c>
      <c r="AK2591">
        <v>9</v>
      </c>
      <c r="AL2591">
        <v>15</v>
      </c>
      <c r="AM2591">
        <v>12</v>
      </c>
      <c r="AN2591" s="18">
        <v>0</v>
      </c>
      <c r="AO2591" s="18">
        <v>0.111111111111111</v>
      </c>
      <c r="AP2591" s="18">
        <v>0.133333333333333</v>
      </c>
      <c r="AQ2591" s="18">
        <v>0.0833333333333333</v>
      </c>
      <c r="AR2591" s="29">
        <v>0</v>
      </c>
      <c r="AS2591" s="29">
        <v>0</v>
      </c>
      <c r="AT2591" s="29">
        <v>4</v>
      </c>
      <c r="AU2591" s="24" t="str">
        <f t="shared" si="41"/>
        <v>库存为4</v>
      </c>
      <c r="AV2591" s="31" t="str">
        <f>IFERROR(时间!$B$4+AU2591,"上周无销量")</f>
        <v>上周无销量</v>
      </c>
    </row>
    <row r="2592" spans="1:48">
      <c r="A2592" s="16" t="s">
        <v>4410</v>
      </c>
      <c r="B2592" t="s">
        <v>4214</v>
      </c>
      <c r="C2592" t="s">
        <v>4389</v>
      </c>
      <c r="D2592" s="24">
        <v>0</v>
      </c>
      <c r="E2592" s="24">
        <v>0</v>
      </c>
      <c r="F2592" s="24">
        <v>0</v>
      </c>
      <c r="G2592" s="24">
        <v>0</v>
      </c>
      <c r="H2592" s="25">
        <v>0</v>
      </c>
      <c r="I2592">
        <v>21</v>
      </c>
      <c r="J2592" s="26">
        <v>0</v>
      </c>
      <c r="K2592" s="26">
        <v>0</v>
      </c>
      <c r="L2592" s="26">
        <v>0</v>
      </c>
      <c r="M2592">
        <v>21</v>
      </c>
      <c r="N2592">
        <v>0</v>
      </c>
      <c r="O2592">
        <v>11</v>
      </c>
      <c r="P2592" t="s">
        <v>52</v>
      </c>
      <c r="Q2592" t="s">
        <v>52</v>
      </c>
      <c r="R2592" t="s">
        <v>52</v>
      </c>
      <c r="S2592" t="s">
        <v>52</v>
      </c>
      <c r="T2592" t="s">
        <v>52</v>
      </c>
      <c r="U2592" t="s">
        <v>52</v>
      </c>
      <c r="V2592" t="s">
        <v>52</v>
      </c>
      <c r="W2592" t="s">
        <v>52</v>
      </c>
      <c r="X2592" s="18" t="s">
        <v>52</v>
      </c>
      <c r="Y2592" s="18" t="s">
        <v>52</v>
      </c>
      <c r="Z2592" s="18" t="s">
        <v>52</v>
      </c>
      <c r="AA2592" s="18" t="s">
        <v>52</v>
      </c>
      <c r="AB2592" t="s">
        <v>52</v>
      </c>
      <c r="AC2592" t="s">
        <v>52</v>
      </c>
      <c r="AD2592" t="s">
        <v>52</v>
      </c>
      <c r="AE2592" t="s">
        <v>52</v>
      </c>
      <c r="AF2592" s="18" t="s">
        <v>52</v>
      </c>
      <c r="AG2592" s="18" t="s">
        <v>52</v>
      </c>
      <c r="AH2592" s="18" t="s">
        <v>52</v>
      </c>
      <c r="AI2592" s="18" t="s">
        <v>52</v>
      </c>
      <c r="AJ2592">
        <v>3</v>
      </c>
      <c r="AK2592">
        <v>4</v>
      </c>
      <c r="AL2592">
        <v>4</v>
      </c>
      <c r="AM2592">
        <v>3</v>
      </c>
      <c r="AN2592" s="18">
        <v>0</v>
      </c>
      <c r="AO2592" s="18">
        <v>0</v>
      </c>
      <c r="AP2592" s="18">
        <v>0</v>
      </c>
      <c r="AQ2592" s="18">
        <v>0</v>
      </c>
      <c r="AR2592" s="29">
        <v>0</v>
      </c>
      <c r="AS2592" s="29">
        <v>0</v>
      </c>
      <c r="AT2592" s="29">
        <v>21</v>
      </c>
      <c r="AU2592" s="24" t="str">
        <f t="shared" si="41"/>
        <v>库存为21</v>
      </c>
      <c r="AV2592" s="31" t="str">
        <f>IFERROR(时间!$B$4+AU2592,"上周无销量")</f>
        <v>上周无销量</v>
      </c>
    </row>
    <row r="2593" spans="1:48">
      <c r="A2593" s="16" t="s">
        <v>4411</v>
      </c>
      <c r="B2593" t="s">
        <v>4412</v>
      </c>
      <c r="C2593" t="s">
        <v>4413</v>
      </c>
      <c r="D2593" s="24">
        <v>0</v>
      </c>
      <c r="E2593" s="24">
        <v>0</v>
      </c>
      <c r="F2593" s="24">
        <v>0</v>
      </c>
      <c r="G2593" s="24">
        <v>0</v>
      </c>
      <c r="H2593" s="25">
        <v>0</v>
      </c>
      <c r="I2593">
        <v>7</v>
      </c>
      <c r="J2593" s="26">
        <v>0</v>
      </c>
      <c r="K2593" s="26">
        <v>0</v>
      </c>
      <c r="L2593" s="26">
        <v>0</v>
      </c>
      <c r="M2593">
        <v>7</v>
      </c>
      <c r="N2593">
        <v>0</v>
      </c>
      <c r="O2593">
        <v>7</v>
      </c>
      <c r="P2593" t="s">
        <v>52</v>
      </c>
      <c r="Q2593" t="s">
        <v>52</v>
      </c>
      <c r="R2593" t="s">
        <v>52</v>
      </c>
      <c r="S2593" t="s">
        <v>52</v>
      </c>
      <c r="T2593" t="s">
        <v>52</v>
      </c>
      <c r="U2593" t="s">
        <v>52</v>
      </c>
      <c r="V2593" t="s">
        <v>52</v>
      </c>
      <c r="W2593" t="s">
        <v>52</v>
      </c>
      <c r="X2593" s="18" t="s">
        <v>52</v>
      </c>
      <c r="Y2593" s="18" t="s">
        <v>52</v>
      </c>
      <c r="Z2593" s="18" t="s">
        <v>52</v>
      </c>
      <c r="AA2593" s="18" t="s">
        <v>52</v>
      </c>
      <c r="AB2593" t="s">
        <v>52</v>
      </c>
      <c r="AC2593" t="s">
        <v>52</v>
      </c>
      <c r="AD2593" t="s">
        <v>52</v>
      </c>
      <c r="AE2593" t="s">
        <v>52</v>
      </c>
      <c r="AF2593" s="18" t="s">
        <v>52</v>
      </c>
      <c r="AG2593" s="18" t="s">
        <v>52</v>
      </c>
      <c r="AH2593" s="18" t="s">
        <v>52</v>
      </c>
      <c r="AI2593" s="18" t="s">
        <v>52</v>
      </c>
      <c r="AJ2593">
        <v>5</v>
      </c>
      <c r="AK2593">
        <v>2</v>
      </c>
      <c r="AL2593">
        <v>2</v>
      </c>
      <c r="AM2593">
        <v>7</v>
      </c>
      <c r="AN2593" s="18">
        <v>0</v>
      </c>
      <c r="AO2593" s="18">
        <v>0</v>
      </c>
      <c r="AP2593" s="18">
        <v>0</v>
      </c>
      <c r="AQ2593" s="18">
        <v>0</v>
      </c>
      <c r="AR2593" s="29">
        <v>0</v>
      </c>
      <c r="AS2593" s="29">
        <v>0</v>
      </c>
      <c r="AT2593" s="29">
        <v>7</v>
      </c>
      <c r="AU2593" s="24" t="str">
        <f t="shared" si="41"/>
        <v>库存为7</v>
      </c>
      <c r="AV2593" s="31" t="str">
        <f>IFERROR(时间!$B$4+AU2593,"上周无销量")</f>
        <v>上周无销量</v>
      </c>
    </row>
    <row r="2594" spans="1:48">
      <c r="A2594" s="16" t="s">
        <v>4414</v>
      </c>
      <c r="B2594" t="s">
        <v>4415</v>
      </c>
      <c r="C2594" t="s">
        <v>4413</v>
      </c>
      <c r="D2594" s="24">
        <v>0</v>
      </c>
      <c r="E2594" s="24">
        <v>0</v>
      </c>
      <c r="F2594" s="24">
        <v>0</v>
      </c>
      <c r="G2594" s="24">
        <v>0</v>
      </c>
      <c r="H2594" s="25">
        <v>0</v>
      </c>
      <c r="I2594">
        <v>9</v>
      </c>
      <c r="J2594" s="26">
        <v>0</v>
      </c>
      <c r="K2594" s="26">
        <v>0</v>
      </c>
      <c r="L2594" s="26">
        <v>0</v>
      </c>
      <c r="M2594">
        <v>9</v>
      </c>
      <c r="N2594">
        <v>0</v>
      </c>
      <c r="O2594">
        <v>9</v>
      </c>
      <c r="P2594" t="s">
        <v>52</v>
      </c>
      <c r="Q2594" t="s">
        <v>52</v>
      </c>
      <c r="R2594" t="s">
        <v>52</v>
      </c>
      <c r="S2594" t="s">
        <v>52</v>
      </c>
      <c r="T2594" t="s">
        <v>52</v>
      </c>
      <c r="U2594" t="s">
        <v>52</v>
      </c>
      <c r="V2594" t="s">
        <v>52</v>
      </c>
      <c r="W2594" t="s">
        <v>52</v>
      </c>
      <c r="X2594" s="18" t="s">
        <v>52</v>
      </c>
      <c r="Y2594" s="18" t="s">
        <v>52</v>
      </c>
      <c r="Z2594" s="18" t="s">
        <v>52</v>
      </c>
      <c r="AA2594" s="18" t="s">
        <v>52</v>
      </c>
      <c r="AB2594" t="s">
        <v>52</v>
      </c>
      <c r="AC2594" t="s">
        <v>52</v>
      </c>
      <c r="AD2594" t="s">
        <v>52</v>
      </c>
      <c r="AE2594" t="s">
        <v>52</v>
      </c>
      <c r="AF2594" s="18" t="s">
        <v>52</v>
      </c>
      <c r="AG2594" s="18" t="s">
        <v>52</v>
      </c>
      <c r="AH2594" s="18" t="s">
        <v>52</v>
      </c>
      <c r="AI2594" s="18" t="s">
        <v>52</v>
      </c>
      <c r="AJ2594">
        <v>1</v>
      </c>
      <c r="AK2594">
        <v>3</v>
      </c>
      <c r="AL2594">
        <v>3</v>
      </c>
      <c r="AM2594">
        <v>1</v>
      </c>
      <c r="AN2594" s="18">
        <v>0</v>
      </c>
      <c r="AO2594" s="18">
        <v>0</v>
      </c>
      <c r="AP2594" s="18">
        <v>0</v>
      </c>
      <c r="AQ2594" s="18">
        <v>0</v>
      </c>
      <c r="AR2594" s="29">
        <v>0</v>
      </c>
      <c r="AS2594" s="29">
        <v>0</v>
      </c>
      <c r="AT2594" s="29">
        <v>9</v>
      </c>
      <c r="AU2594" s="24" t="str">
        <f t="shared" si="41"/>
        <v>库存为9</v>
      </c>
      <c r="AV2594" s="31" t="str">
        <f>IFERROR(时间!$B$4+AU2594,"上周无销量")</f>
        <v>上周无销量</v>
      </c>
    </row>
    <row r="2595" spans="1:48">
      <c r="A2595" s="16" t="s">
        <v>4416</v>
      </c>
      <c r="B2595" t="s">
        <v>4417</v>
      </c>
      <c r="C2595" t="s">
        <v>4413</v>
      </c>
      <c r="D2595" s="24">
        <v>0</v>
      </c>
      <c r="E2595" s="24">
        <v>0</v>
      </c>
      <c r="F2595" s="24">
        <v>0</v>
      </c>
      <c r="G2595" s="24">
        <v>0</v>
      </c>
      <c r="H2595" s="25">
        <v>0</v>
      </c>
      <c r="I2595">
        <v>2</v>
      </c>
      <c r="J2595" s="26">
        <v>0</v>
      </c>
      <c r="K2595" s="26">
        <v>0</v>
      </c>
      <c r="L2595" s="26">
        <v>0</v>
      </c>
      <c r="M2595">
        <v>2</v>
      </c>
      <c r="N2595">
        <v>0</v>
      </c>
      <c r="O2595">
        <v>2</v>
      </c>
      <c r="P2595" t="s">
        <v>52</v>
      </c>
      <c r="Q2595" t="s">
        <v>52</v>
      </c>
      <c r="R2595" t="s">
        <v>52</v>
      </c>
      <c r="S2595" t="s">
        <v>52</v>
      </c>
      <c r="T2595" t="s">
        <v>52</v>
      </c>
      <c r="U2595" t="s">
        <v>52</v>
      </c>
      <c r="V2595" t="s">
        <v>52</v>
      </c>
      <c r="W2595" t="s">
        <v>52</v>
      </c>
      <c r="X2595" s="18" t="s">
        <v>52</v>
      </c>
      <c r="Y2595" s="18" t="s">
        <v>52</v>
      </c>
      <c r="Z2595" s="18" t="s">
        <v>52</v>
      </c>
      <c r="AA2595" s="18" t="s">
        <v>52</v>
      </c>
      <c r="AB2595" t="s">
        <v>52</v>
      </c>
      <c r="AC2595" t="s">
        <v>52</v>
      </c>
      <c r="AD2595" t="s">
        <v>52</v>
      </c>
      <c r="AE2595" t="s">
        <v>52</v>
      </c>
      <c r="AF2595" s="18" t="s">
        <v>52</v>
      </c>
      <c r="AG2595" s="18" t="s">
        <v>52</v>
      </c>
      <c r="AH2595" s="18" t="s">
        <v>52</v>
      </c>
      <c r="AI2595" s="18" t="s">
        <v>52</v>
      </c>
      <c r="AJ2595">
        <v>0</v>
      </c>
      <c r="AK2595">
        <v>4</v>
      </c>
      <c r="AL2595">
        <v>2</v>
      </c>
      <c r="AM2595">
        <v>1</v>
      </c>
      <c r="AN2595" s="18" t="s">
        <v>52</v>
      </c>
      <c r="AO2595" s="18">
        <v>0</v>
      </c>
      <c r="AP2595" s="18">
        <v>0</v>
      </c>
      <c r="AQ2595" s="18">
        <v>0</v>
      </c>
      <c r="AR2595" s="29">
        <v>0</v>
      </c>
      <c r="AS2595" s="29">
        <v>0</v>
      </c>
      <c r="AT2595" s="29">
        <v>2</v>
      </c>
      <c r="AU2595" s="24" t="str">
        <f t="shared" si="41"/>
        <v>库存为2</v>
      </c>
      <c r="AV2595" s="31" t="str">
        <f>IFERROR(时间!$B$4+AU2595,"上周无销量")</f>
        <v>上周无销量</v>
      </c>
    </row>
    <row r="2596" spans="1:48">
      <c r="A2596" s="16" t="s">
        <v>4418</v>
      </c>
      <c r="B2596" t="s">
        <v>4419</v>
      </c>
      <c r="C2596" t="s">
        <v>4413</v>
      </c>
      <c r="D2596" s="24">
        <v>0</v>
      </c>
      <c r="E2596" s="24">
        <v>0</v>
      </c>
      <c r="F2596" s="24">
        <v>0</v>
      </c>
      <c r="G2596" s="24">
        <v>0</v>
      </c>
      <c r="H2596" s="25">
        <v>0</v>
      </c>
      <c r="I2596">
        <v>10</v>
      </c>
      <c r="J2596" s="26">
        <v>0</v>
      </c>
      <c r="K2596" s="26">
        <v>0</v>
      </c>
      <c r="L2596" s="26">
        <v>0</v>
      </c>
      <c r="M2596">
        <v>10</v>
      </c>
      <c r="N2596">
        <v>0</v>
      </c>
      <c r="O2596">
        <v>10</v>
      </c>
      <c r="P2596" t="s">
        <v>52</v>
      </c>
      <c r="Q2596" t="s">
        <v>52</v>
      </c>
      <c r="R2596" t="s">
        <v>52</v>
      </c>
      <c r="S2596" t="s">
        <v>52</v>
      </c>
      <c r="T2596" t="s">
        <v>52</v>
      </c>
      <c r="U2596" t="s">
        <v>52</v>
      </c>
      <c r="V2596" t="s">
        <v>52</v>
      </c>
      <c r="W2596" t="s">
        <v>52</v>
      </c>
      <c r="X2596" s="18" t="s">
        <v>52</v>
      </c>
      <c r="Y2596" s="18" t="s">
        <v>52</v>
      </c>
      <c r="Z2596" s="18" t="s">
        <v>52</v>
      </c>
      <c r="AA2596" s="18" t="s">
        <v>52</v>
      </c>
      <c r="AB2596" t="s">
        <v>52</v>
      </c>
      <c r="AC2596" t="s">
        <v>52</v>
      </c>
      <c r="AD2596" t="s">
        <v>52</v>
      </c>
      <c r="AE2596" t="s">
        <v>52</v>
      </c>
      <c r="AF2596" s="18" t="s">
        <v>52</v>
      </c>
      <c r="AG2596" s="18" t="s">
        <v>52</v>
      </c>
      <c r="AH2596" s="18" t="s">
        <v>52</v>
      </c>
      <c r="AI2596" s="18" t="s">
        <v>52</v>
      </c>
      <c r="AJ2596">
        <v>0</v>
      </c>
      <c r="AK2596">
        <v>1</v>
      </c>
      <c r="AL2596">
        <v>2</v>
      </c>
      <c r="AM2596">
        <v>2</v>
      </c>
      <c r="AN2596" s="18" t="s">
        <v>52</v>
      </c>
      <c r="AO2596" s="18">
        <v>0</v>
      </c>
      <c r="AP2596" s="18">
        <v>0</v>
      </c>
      <c r="AQ2596" s="18">
        <v>0</v>
      </c>
      <c r="AR2596" s="29">
        <v>0</v>
      </c>
      <c r="AS2596" s="29">
        <v>0</v>
      </c>
      <c r="AT2596" s="29">
        <v>10</v>
      </c>
      <c r="AU2596" s="24" t="str">
        <f t="shared" si="41"/>
        <v>库存为10</v>
      </c>
      <c r="AV2596" s="31" t="str">
        <f>IFERROR(时间!$B$4+AU2596,"上周无销量")</f>
        <v>上周无销量</v>
      </c>
    </row>
    <row r="2597" spans="1:48">
      <c r="A2597" s="16" t="s">
        <v>4420</v>
      </c>
      <c r="B2597" t="s">
        <v>4421</v>
      </c>
      <c r="C2597" t="s">
        <v>4413</v>
      </c>
      <c r="D2597" s="24">
        <v>0</v>
      </c>
      <c r="E2597" s="24">
        <v>0</v>
      </c>
      <c r="F2597" s="24">
        <v>0</v>
      </c>
      <c r="G2597" s="24">
        <v>0</v>
      </c>
      <c r="H2597" s="25">
        <v>0</v>
      </c>
      <c r="I2597">
        <v>8</v>
      </c>
      <c r="J2597" s="26">
        <v>0</v>
      </c>
      <c r="K2597" s="26">
        <v>0</v>
      </c>
      <c r="L2597" s="26">
        <v>0</v>
      </c>
      <c r="M2597">
        <v>8</v>
      </c>
      <c r="N2597">
        <v>0</v>
      </c>
      <c r="O2597">
        <v>8</v>
      </c>
      <c r="P2597" t="s">
        <v>52</v>
      </c>
      <c r="Q2597" t="s">
        <v>52</v>
      </c>
      <c r="R2597" t="s">
        <v>52</v>
      </c>
      <c r="S2597" t="s">
        <v>52</v>
      </c>
      <c r="T2597" t="s">
        <v>52</v>
      </c>
      <c r="U2597" t="s">
        <v>52</v>
      </c>
      <c r="V2597" t="s">
        <v>52</v>
      </c>
      <c r="W2597" t="s">
        <v>52</v>
      </c>
      <c r="X2597" s="18" t="s">
        <v>52</v>
      </c>
      <c r="Y2597" s="18" t="s">
        <v>52</v>
      </c>
      <c r="Z2597" s="18" t="s">
        <v>52</v>
      </c>
      <c r="AA2597" s="18" t="s">
        <v>52</v>
      </c>
      <c r="AB2597" t="s">
        <v>52</v>
      </c>
      <c r="AC2597" t="s">
        <v>52</v>
      </c>
      <c r="AD2597" t="s">
        <v>52</v>
      </c>
      <c r="AE2597" t="s">
        <v>52</v>
      </c>
      <c r="AF2597" s="18" t="s">
        <v>52</v>
      </c>
      <c r="AG2597" s="18" t="s">
        <v>52</v>
      </c>
      <c r="AH2597" s="18" t="s">
        <v>52</v>
      </c>
      <c r="AI2597" s="18" t="s">
        <v>52</v>
      </c>
      <c r="AJ2597">
        <v>2</v>
      </c>
      <c r="AK2597">
        <v>0</v>
      </c>
      <c r="AL2597">
        <v>1</v>
      </c>
      <c r="AM2597">
        <v>4</v>
      </c>
      <c r="AN2597" s="18">
        <v>0</v>
      </c>
      <c r="AO2597" s="18" t="s">
        <v>52</v>
      </c>
      <c r="AP2597" s="18">
        <v>0</v>
      </c>
      <c r="AQ2597" s="18">
        <v>0</v>
      </c>
      <c r="AR2597" s="29">
        <v>0</v>
      </c>
      <c r="AS2597" s="29">
        <v>0</v>
      </c>
      <c r="AT2597" s="29">
        <v>8</v>
      </c>
      <c r="AU2597" s="24" t="str">
        <f t="shared" si="41"/>
        <v>库存为8</v>
      </c>
      <c r="AV2597" s="31" t="str">
        <f>IFERROR(时间!$B$4+AU2597,"上周无销量")</f>
        <v>上周无销量</v>
      </c>
    </row>
    <row r="2598" spans="1:48">
      <c r="A2598" s="16" t="s">
        <v>4422</v>
      </c>
      <c r="B2598" t="s">
        <v>4423</v>
      </c>
      <c r="C2598" t="s">
        <v>4413</v>
      </c>
      <c r="D2598" s="24">
        <v>0</v>
      </c>
      <c r="E2598" s="24">
        <v>0</v>
      </c>
      <c r="F2598" s="24">
        <v>0</v>
      </c>
      <c r="G2598" s="24">
        <v>0</v>
      </c>
      <c r="H2598" s="25">
        <v>0</v>
      </c>
      <c r="I2598">
        <v>9</v>
      </c>
      <c r="J2598" s="26">
        <v>0</v>
      </c>
      <c r="K2598" s="26">
        <v>0</v>
      </c>
      <c r="L2598" s="26">
        <v>0</v>
      </c>
      <c r="M2598">
        <v>9</v>
      </c>
      <c r="N2598">
        <v>0</v>
      </c>
      <c r="O2598">
        <v>7</v>
      </c>
      <c r="P2598" t="s">
        <v>52</v>
      </c>
      <c r="Q2598" t="s">
        <v>52</v>
      </c>
      <c r="R2598" t="s">
        <v>52</v>
      </c>
      <c r="S2598" t="s">
        <v>52</v>
      </c>
      <c r="T2598" t="s">
        <v>52</v>
      </c>
      <c r="U2598" t="s">
        <v>52</v>
      </c>
      <c r="V2598" t="s">
        <v>52</v>
      </c>
      <c r="W2598" t="s">
        <v>52</v>
      </c>
      <c r="X2598" s="18" t="s">
        <v>52</v>
      </c>
      <c r="Y2598" s="18" t="s">
        <v>52</v>
      </c>
      <c r="Z2598" s="18" t="s">
        <v>52</v>
      </c>
      <c r="AA2598" s="18" t="s">
        <v>52</v>
      </c>
      <c r="AB2598" t="s">
        <v>52</v>
      </c>
      <c r="AC2598" t="s">
        <v>52</v>
      </c>
      <c r="AD2598" t="s">
        <v>52</v>
      </c>
      <c r="AE2598" t="s">
        <v>52</v>
      </c>
      <c r="AF2598" s="18" t="s">
        <v>52</v>
      </c>
      <c r="AG2598" s="18" t="s">
        <v>52</v>
      </c>
      <c r="AH2598" s="18" t="s">
        <v>52</v>
      </c>
      <c r="AI2598" s="18" t="s">
        <v>52</v>
      </c>
      <c r="AJ2598">
        <v>1</v>
      </c>
      <c r="AK2598">
        <v>2</v>
      </c>
      <c r="AL2598">
        <v>1</v>
      </c>
      <c r="AM2598">
        <v>2</v>
      </c>
      <c r="AN2598" s="18">
        <v>0</v>
      </c>
      <c r="AO2598" s="18">
        <v>0</v>
      </c>
      <c r="AP2598" s="18">
        <v>0</v>
      </c>
      <c r="AQ2598" s="18">
        <v>0</v>
      </c>
      <c r="AR2598" s="29">
        <v>0</v>
      </c>
      <c r="AS2598" s="29">
        <v>0</v>
      </c>
      <c r="AT2598" s="29">
        <v>9</v>
      </c>
      <c r="AU2598" s="24" t="str">
        <f t="shared" si="41"/>
        <v>库存为9</v>
      </c>
      <c r="AV2598" s="31" t="str">
        <f>IFERROR(时间!$B$4+AU2598,"上周无销量")</f>
        <v>上周无销量</v>
      </c>
    </row>
    <row r="2599" spans="1:48">
      <c r="A2599" s="16" t="s">
        <v>4424</v>
      </c>
      <c r="B2599" t="s">
        <v>4425</v>
      </c>
      <c r="C2599" t="s">
        <v>4413</v>
      </c>
      <c r="D2599" s="24">
        <v>0</v>
      </c>
      <c r="E2599" s="24">
        <v>0</v>
      </c>
      <c r="F2599" s="24">
        <v>0</v>
      </c>
      <c r="G2599" s="24">
        <v>0</v>
      </c>
      <c r="H2599" s="25">
        <v>0</v>
      </c>
      <c r="I2599">
        <v>6</v>
      </c>
      <c r="J2599" s="26">
        <v>0</v>
      </c>
      <c r="K2599" s="26">
        <v>0</v>
      </c>
      <c r="L2599" s="26">
        <v>0</v>
      </c>
      <c r="M2599">
        <v>6</v>
      </c>
      <c r="N2599">
        <v>0</v>
      </c>
      <c r="O2599">
        <v>6</v>
      </c>
      <c r="P2599" t="s">
        <v>52</v>
      </c>
      <c r="Q2599" t="s">
        <v>52</v>
      </c>
      <c r="R2599" t="s">
        <v>52</v>
      </c>
      <c r="S2599" t="s">
        <v>52</v>
      </c>
      <c r="T2599" t="s">
        <v>52</v>
      </c>
      <c r="U2599" t="s">
        <v>52</v>
      </c>
      <c r="V2599" t="s">
        <v>52</v>
      </c>
      <c r="W2599" t="s">
        <v>52</v>
      </c>
      <c r="X2599" s="18" t="s">
        <v>52</v>
      </c>
      <c r="Y2599" s="18" t="s">
        <v>52</v>
      </c>
      <c r="Z2599" s="18" t="s">
        <v>52</v>
      </c>
      <c r="AA2599" s="18" t="s">
        <v>52</v>
      </c>
      <c r="AB2599" t="s">
        <v>52</v>
      </c>
      <c r="AC2599" t="s">
        <v>52</v>
      </c>
      <c r="AD2599" t="s">
        <v>52</v>
      </c>
      <c r="AE2599" t="s">
        <v>52</v>
      </c>
      <c r="AF2599" s="18" t="s">
        <v>52</v>
      </c>
      <c r="AG2599" s="18" t="s">
        <v>52</v>
      </c>
      <c r="AH2599" s="18" t="s">
        <v>52</v>
      </c>
      <c r="AI2599" s="18" t="s">
        <v>52</v>
      </c>
      <c r="AJ2599">
        <v>0</v>
      </c>
      <c r="AK2599">
        <v>4</v>
      </c>
      <c r="AL2599">
        <v>2</v>
      </c>
      <c r="AM2599">
        <v>5</v>
      </c>
      <c r="AN2599" s="18" t="s">
        <v>52</v>
      </c>
      <c r="AO2599" s="18">
        <v>0</v>
      </c>
      <c r="AP2599" s="18">
        <v>0</v>
      </c>
      <c r="AQ2599" s="18">
        <v>0</v>
      </c>
      <c r="AR2599" s="29">
        <v>0</v>
      </c>
      <c r="AS2599" s="29">
        <v>0</v>
      </c>
      <c r="AT2599" s="29">
        <v>6</v>
      </c>
      <c r="AU2599" s="24" t="str">
        <f t="shared" si="41"/>
        <v>库存为6</v>
      </c>
      <c r="AV2599" s="31" t="str">
        <f>IFERROR(时间!$B$4+AU2599,"上周无销量")</f>
        <v>上周无销量</v>
      </c>
    </row>
    <row r="2600" spans="1:48">
      <c r="A2600" s="16" t="s">
        <v>4426</v>
      </c>
      <c r="B2600" t="s">
        <v>4427</v>
      </c>
      <c r="C2600" t="s">
        <v>4413</v>
      </c>
      <c r="D2600" s="24">
        <v>0</v>
      </c>
      <c r="E2600" s="24">
        <v>0</v>
      </c>
      <c r="F2600" s="24">
        <v>0</v>
      </c>
      <c r="G2600" s="24">
        <v>0</v>
      </c>
      <c r="H2600" s="25">
        <v>0</v>
      </c>
      <c r="I2600">
        <v>3</v>
      </c>
      <c r="J2600" s="26">
        <v>0</v>
      </c>
      <c r="K2600" s="26">
        <v>0</v>
      </c>
      <c r="L2600" s="26">
        <v>0</v>
      </c>
      <c r="M2600">
        <v>3</v>
      </c>
      <c r="N2600">
        <v>0</v>
      </c>
      <c r="O2600">
        <v>3</v>
      </c>
      <c r="P2600" t="s">
        <v>52</v>
      </c>
      <c r="Q2600" t="s">
        <v>52</v>
      </c>
      <c r="R2600" t="s">
        <v>52</v>
      </c>
      <c r="S2600" t="s">
        <v>52</v>
      </c>
      <c r="T2600" t="s">
        <v>52</v>
      </c>
      <c r="U2600" t="s">
        <v>52</v>
      </c>
      <c r="V2600" t="s">
        <v>52</v>
      </c>
      <c r="W2600" t="s">
        <v>52</v>
      </c>
      <c r="X2600" s="18" t="s">
        <v>52</v>
      </c>
      <c r="Y2600" s="18" t="s">
        <v>52</v>
      </c>
      <c r="Z2600" s="18" t="s">
        <v>52</v>
      </c>
      <c r="AA2600" s="18" t="s">
        <v>52</v>
      </c>
      <c r="AB2600" t="s">
        <v>52</v>
      </c>
      <c r="AC2600" t="s">
        <v>52</v>
      </c>
      <c r="AD2600" t="s">
        <v>52</v>
      </c>
      <c r="AE2600" t="s">
        <v>52</v>
      </c>
      <c r="AF2600" s="18" t="s">
        <v>52</v>
      </c>
      <c r="AG2600" s="18" t="s">
        <v>52</v>
      </c>
      <c r="AH2600" s="18" t="s">
        <v>52</v>
      </c>
      <c r="AI2600" s="18" t="s">
        <v>52</v>
      </c>
      <c r="AJ2600">
        <v>0</v>
      </c>
      <c r="AK2600">
        <v>3</v>
      </c>
      <c r="AL2600">
        <v>4</v>
      </c>
      <c r="AM2600">
        <v>8</v>
      </c>
      <c r="AN2600" s="18" t="s">
        <v>52</v>
      </c>
      <c r="AO2600" s="18">
        <v>0</v>
      </c>
      <c r="AP2600" s="18">
        <v>0</v>
      </c>
      <c r="AQ2600" s="18">
        <v>0</v>
      </c>
      <c r="AR2600" s="29">
        <v>0</v>
      </c>
      <c r="AS2600" s="29">
        <v>0</v>
      </c>
      <c r="AT2600" s="29">
        <v>3</v>
      </c>
      <c r="AU2600" s="24" t="str">
        <f t="shared" si="41"/>
        <v>库存为3</v>
      </c>
      <c r="AV2600" s="31" t="str">
        <f>IFERROR(时间!$B$4+AU2600,"上周无销量")</f>
        <v>上周无销量</v>
      </c>
    </row>
    <row r="2601" spans="1:48">
      <c r="A2601" s="16" t="s">
        <v>4428</v>
      </c>
      <c r="B2601" t="s">
        <v>4429</v>
      </c>
      <c r="C2601" t="s">
        <v>4413</v>
      </c>
      <c r="D2601" s="24">
        <v>0</v>
      </c>
      <c r="E2601" s="24">
        <v>0</v>
      </c>
      <c r="F2601" s="24">
        <v>0</v>
      </c>
      <c r="G2601" s="24">
        <v>0</v>
      </c>
      <c r="H2601" s="25">
        <v>0</v>
      </c>
      <c r="I2601">
        <v>8</v>
      </c>
      <c r="J2601" s="26">
        <v>0</v>
      </c>
      <c r="K2601" s="26">
        <v>0</v>
      </c>
      <c r="L2601" s="26">
        <v>0</v>
      </c>
      <c r="M2601">
        <v>8</v>
      </c>
      <c r="N2601">
        <v>0</v>
      </c>
      <c r="O2601">
        <v>8</v>
      </c>
      <c r="P2601" t="s">
        <v>52</v>
      </c>
      <c r="Q2601" t="s">
        <v>52</v>
      </c>
      <c r="R2601" t="s">
        <v>52</v>
      </c>
      <c r="S2601" t="s">
        <v>52</v>
      </c>
      <c r="T2601" t="s">
        <v>52</v>
      </c>
      <c r="U2601" t="s">
        <v>52</v>
      </c>
      <c r="V2601" t="s">
        <v>52</v>
      </c>
      <c r="W2601" t="s">
        <v>52</v>
      </c>
      <c r="X2601" s="18" t="s">
        <v>52</v>
      </c>
      <c r="Y2601" s="18" t="s">
        <v>52</v>
      </c>
      <c r="Z2601" s="18" t="s">
        <v>52</v>
      </c>
      <c r="AA2601" s="18" t="s">
        <v>52</v>
      </c>
      <c r="AB2601" t="s">
        <v>52</v>
      </c>
      <c r="AC2601" t="s">
        <v>52</v>
      </c>
      <c r="AD2601" t="s">
        <v>52</v>
      </c>
      <c r="AE2601" t="s">
        <v>52</v>
      </c>
      <c r="AF2601" s="18" t="s">
        <v>52</v>
      </c>
      <c r="AG2601" s="18" t="s">
        <v>52</v>
      </c>
      <c r="AH2601" s="18" t="s">
        <v>52</v>
      </c>
      <c r="AI2601" s="18" t="s">
        <v>52</v>
      </c>
      <c r="AJ2601">
        <v>2</v>
      </c>
      <c r="AK2601">
        <v>3</v>
      </c>
      <c r="AL2601">
        <v>4</v>
      </c>
      <c r="AM2601">
        <v>2</v>
      </c>
      <c r="AN2601" s="18">
        <v>0</v>
      </c>
      <c r="AO2601" s="18">
        <v>0</v>
      </c>
      <c r="AP2601" s="18">
        <v>0</v>
      </c>
      <c r="AQ2601" s="18">
        <v>0</v>
      </c>
      <c r="AR2601" s="29">
        <v>0</v>
      </c>
      <c r="AS2601" s="29">
        <v>0</v>
      </c>
      <c r="AT2601" s="29">
        <v>8</v>
      </c>
      <c r="AU2601" s="24" t="str">
        <f t="shared" si="41"/>
        <v>库存为8</v>
      </c>
      <c r="AV2601" s="31" t="str">
        <f>IFERROR(时间!$B$4+AU2601,"上周无销量")</f>
        <v>上周无销量</v>
      </c>
    </row>
    <row r="2602" spans="1:48">
      <c r="A2602" s="16" t="s">
        <v>4430</v>
      </c>
      <c r="B2602" t="s">
        <v>4431</v>
      </c>
      <c r="C2602" t="s">
        <v>4413</v>
      </c>
      <c r="D2602" s="24">
        <v>0</v>
      </c>
      <c r="E2602" s="24">
        <v>0</v>
      </c>
      <c r="F2602" s="24">
        <v>0</v>
      </c>
      <c r="G2602" s="24">
        <v>0</v>
      </c>
      <c r="H2602" s="25">
        <v>0</v>
      </c>
      <c r="I2602">
        <v>7</v>
      </c>
      <c r="J2602" s="26">
        <v>0</v>
      </c>
      <c r="K2602" s="26">
        <v>0</v>
      </c>
      <c r="L2602" s="26">
        <v>0</v>
      </c>
      <c r="M2602">
        <v>7</v>
      </c>
      <c r="N2602">
        <v>0</v>
      </c>
      <c r="O2602">
        <v>7</v>
      </c>
      <c r="P2602" t="s">
        <v>52</v>
      </c>
      <c r="Q2602" t="s">
        <v>52</v>
      </c>
      <c r="R2602" t="s">
        <v>52</v>
      </c>
      <c r="S2602" t="s">
        <v>52</v>
      </c>
      <c r="T2602" t="s">
        <v>52</v>
      </c>
      <c r="U2602" t="s">
        <v>52</v>
      </c>
      <c r="V2602" t="s">
        <v>52</v>
      </c>
      <c r="W2602" t="s">
        <v>52</v>
      </c>
      <c r="X2602" s="18" t="s">
        <v>52</v>
      </c>
      <c r="Y2602" s="18" t="s">
        <v>52</v>
      </c>
      <c r="Z2602" s="18" t="s">
        <v>52</v>
      </c>
      <c r="AA2602" s="18" t="s">
        <v>52</v>
      </c>
      <c r="AB2602" t="s">
        <v>52</v>
      </c>
      <c r="AC2602" t="s">
        <v>52</v>
      </c>
      <c r="AD2602" t="s">
        <v>52</v>
      </c>
      <c r="AE2602" t="s">
        <v>52</v>
      </c>
      <c r="AF2602" s="18" t="s">
        <v>52</v>
      </c>
      <c r="AG2602" s="18" t="s">
        <v>52</v>
      </c>
      <c r="AH2602" s="18" t="s">
        <v>52</v>
      </c>
      <c r="AI2602" s="18" t="s">
        <v>52</v>
      </c>
      <c r="AJ2602">
        <v>1</v>
      </c>
      <c r="AK2602">
        <v>2</v>
      </c>
      <c r="AL2602">
        <v>1</v>
      </c>
      <c r="AM2602">
        <v>4</v>
      </c>
      <c r="AN2602" s="18">
        <v>0</v>
      </c>
      <c r="AO2602" s="18">
        <v>0</v>
      </c>
      <c r="AP2602" s="18">
        <v>0</v>
      </c>
      <c r="AQ2602" s="18">
        <v>0</v>
      </c>
      <c r="AR2602" s="29">
        <v>0</v>
      </c>
      <c r="AS2602" s="29">
        <v>0</v>
      </c>
      <c r="AT2602" s="29">
        <v>7</v>
      </c>
      <c r="AU2602" s="24" t="str">
        <f t="shared" si="41"/>
        <v>库存为7</v>
      </c>
      <c r="AV2602" s="31" t="str">
        <f>IFERROR(时间!$B$4+AU2602,"上周无销量")</f>
        <v>上周无销量</v>
      </c>
    </row>
    <row r="2603" spans="1:48">
      <c r="A2603" s="16" t="s">
        <v>4432</v>
      </c>
      <c r="B2603" t="s">
        <v>4433</v>
      </c>
      <c r="C2603" t="s">
        <v>4413</v>
      </c>
      <c r="D2603" s="24">
        <v>0</v>
      </c>
      <c r="E2603" s="24">
        <v>0</v>
      </c>
      <c r="F2603" s="24">
        <v>0</v>
      </c>
      <c r="G2603" s="24">
        <v>0</v>
      </c>
      <c r="H2603" s="25">
        <v>0</v>
      </c>
      <c r="I2603">
        <v>9</v>
      </c>
      <c r="J2603" s="26">
        <v>0</v>
      </c>
      <c r="K2603" s="26">
        <v>0</v>
      </c>
      <c r="L2603" s="26">
        <v>0</v>
      </c>
      <c r="M2603">
        <v>9</v>
      </c>
      <c r="N2603">
        <v>0</v>
      </c>
      <c r="O2603">
        <v>9</v>
      </c>
      <c r="P2603">
        <v>1262</v>
      </c>
      <c r="Q2603">
        <v>528</v>
      </c>
      <c r="R2603">
        <v>663</v>
      </c>
      <c r="S2603">
        <v>1272</v>
      </c>
      <c r="T2603">
        <v>2</v>
      </c>
      <c r="U2603">
        <v>1</v>
      </c>
      <c r="V2603">
        <v>0</v>
      </c>
      <c r="W2603">
        <v>1</v>
      </c>
      <c r="X2603" s="18">
        <v>0.00158478605388273</v>
      </c>
      <c r="Y2603" s="18">
        <v>0.00189393939393939</v>
      </c>
      <c r="Z2603" s="18">
        <v>0</v>
      </c>
      <c r="AA2603" s="18">
        <v>0.000786163522012579</v>
      </c>
      <c r="AB2603">
        <v>1.58</v>
      </c>
      <c r="AC2603">
        <v>0.29</v>
      </c>
      <c r="AD2603">
        <v>0</v>
      </c>
      <c r="AE2603">
        <v>0.28</v>
      </c>
      <c r="AF2603" s="18" t="s">
        <v>4434</v>
      </c>
      <c r="AG2603" s="18" t="s">
        <v>4435</v>
      </c>
      <c r="AH2603" s="18" t="s">
        <v>52</v>
      </c>
      <c r="AI2603" s="18" t="s">
        <v>4311</v>
      </c>
      <c r="AJ2603">
        <v>0</v>
      </c>
      <c r="AK2603">
        <v>6</v>
      </c>
      <c r="AL2603">
        <v>1</v>
      </c>
      <c r="AM2603">
        <v>4</v>
      </c>
      <c r="AN2603" s="18" t="s">
        <v>52</v>
      </c>
      <c r="AO2603" s="18">
        <v>0</v>
      </c>
      <c r="AP2603" s="18">
        <v>0</v>
      </c>
      <c r="AQ2603" s="18">
        <v>0</v>
      </c>
      <c r="AR2603" s="29">
        <v>0</v>
      </c>
      <c r="AS2603" s="29">
        <v>0</v>
      </c>
      <c r="AT2603" s="29">
        <v>9</v>
      </c>
      <c r="AU2603" s="24" t="str">
        <f t="shared" si="41"/>
        <v>库存为9</v>
      </c>
      <c r="AV2603" s="31" t="str">
        <f>IFERROR(时间!$B$4+AU2603,"上周无销量")</f>
        <v>上周无销量</v>
      </c>
    </row>
    <row r="2604" spans="1:48">
      <c r="A2604" s="16" t="s">
        <v>4436</v>
      </c>
      <c r="B2604" t="s">
        <v>4437</v>
      </c>
      <c r="C2604" t="s">
        <v>4413</v>
      </c>
      <c r="D2604" s="24">
        <v>0</v>
      </c>
      <c r="E2604" s="24">
        <v>0</v>
      </c>
      <c r="F2604" s="24">
        <v>0</v>
      </c>
      <c r="G2604" s="24">
        <v>0</v>
      </c>
      <c r="H2604" s="25">
        <v>0</v>
      </c>
      <c r="I2604">
        <v>6</v>
      </c>
      <c r="J2604" s="26">
        <v>0</v>
      </c>
      <c r="K2604" s="26">
        <v>0</v>
      </c>
      <c r="L2604" s="26">
        <v>0</v>
      </c>
      <c r="M2604">
        <v>6</v>
      </c>
      <c r="N2604">
        <v>0</v>
      </c>
      <c r="O2604">
        <v>6</v>
      </c>
      <c r="P2604" t="s">
        <v>52</v>
      </c>
      <c r="Q2604" t="s">
        <v>52</v>
      </c>
      <c r="R2604" t="s">
        <v>52</v>
      </c>
      <c r="S2604" t="s">
        <v>52</v>
      </c>
      <c r="T2604" t="s">
        <v>52</v>
      </c>
      <c r="U2604" t="s">
        <v>52</v>
      </c>
      <c r="V2604" t="s">
        <v>52</v>
      </c>
      <c r="W2604" t="s">
        <v>52</v>
      </c>
      <c r="X2604" s="18" t="s">
        <v>52</v>
      </c>
      <c r="Y2604" s="18" t="s">
        <v>52</v>
      </c>
      <c r="Z2604" s="18" t="s">
        <v>52</v>
      </c>
      <c r="AA2604" s="18" t="s">
        <v>52</v>
      </c>
      <c r="AB2604" t="s">
        <v>52</v>
      </c>
      <c r="AC2604" t="s">
        <v>52</v>
      </c>
      <c r="AD2604" t="s">
        <v>52</v>
      </c>
      <c r="AE2604" t="s">
        <v>52</v>
      </c>
      <c r="AF2604" s="18" t="s">
        <v>52</v>
      </c>
      <c r="AG2604" s="18" t="s">
        <v>52</v>
      </c>
      <c r="AH2604" s="18" t="s">
        <v>52</v>
      </c>
      <c r="AI2604" s="18" t="s">
        <v>52</v>
      </c>
      <c r="AJ2604">
        <v>0</v>
      </c>
      <c r="AK2604">
        <v>3</v>
      </c>
      <c r="AL2604">
        <v>3</v>
      </c>
      <c r="AM2604">
        <v>3</v>
      </c>
      <c r="AN2604" s="18" t="s">
        <v>52</v>
      </c>
      <c r="AO2604" s="18">
        <v>0</v>
      </c>
      <c r="AP2604" s="18">
        <v>0</v>
      </c>
      <c r="AQ2604" s="18">
        <v>0</v>
      </c>
      <c r="AR2604" s="29">
        <v>0</v>
      </c>
      <c r="AS2604" s="29">
        <v>0</v>
      </c>
      <c r="AT2604" s="29">
        <v>6</v>
      </c>
      <c r="AU2604" s="24" t="str">
        <f t="shared" si="41"/>
        <v>库存为6</v>
      </c>
      <c r="AV2604" s="31" t="str">
        <f>IFERROR(时间!$B$4+AU2604,"上周无销量")</f>
        <v>上周无销量</v>
      </c>
    </row>
    <row r="2605" spans="1:48">
      <c r="A2605" s="16" t="s">
        <v>4438</v>
      </c>
      <c r="B2605" t="s">
        <v>4439</v>
      </c>
      <c r="C2605" t="s">
        <v>4413</v>
      </c>
      <c r="D2605" s="24">
        <v>0</v>
      </c>
      <c r="E2605" s="24">
        <v>0</v>
      </c>
      <c r="F2605" s="24">
        <v>0</v>
      </c>
      <c r="G2605" s="24">
        <v>0</v>
      </c>
      <c r="H2605" s="25">
        <v>0</v>
      </c>
      <c r="I2605">
        <v>3</v>
      </c>
      <c r="J2605" s="26">
        <v>0</v>
      </c>
      <c r="K2605" s="26">
        <v>0</v>
      </c>
      <c r="L2605" s="26">
        <v>0</v>
      </c>
      <c r="M2605">
        <v>3</v>
      </c>
      <c r="N2605">
        <v>0</v>
      </c>
      <c r="O2605">
        <v>3</v>
      </c>
      <c r="P2605" t="s">
        <v>52</v>
      </c>
      <c r="Q2605" t="s">
        <v>52</v>
      </c>
      <c r="R2605" t="s">
        <v>52</v>
      </c>
      <c r="S2605" t="s">
        <v>52</v>
      </c>
      <c r="T2605" t="s">
        <v>52</v>
      </c>
      <c r="U2605" t="s">
        <v>52</v>
      </c>
      <c r="V2605" t="s">
        <v>52</v>
      </c>
      <c r="W2605" t="s">
        <v>52</v>
      </c>
      <c r="X2605" s="18" t="s">
        <v>52</v>
      </c>
      <c r="Y2605" s="18" t="s">
        <v>52</v>
      </c>
      <c r="Z2605" s="18" t="s">
        <v>52</v>
      </c>
      <c r="AA2605" s="18" t="s">
        <v>52</v>
      </c>
      <c r="AB2605" t="s">
        <v>52</v>
      </c>
      <c r="AC2605" t="s">
        <v>52</v>
      </c>
      <c r="AD2605" t="s">
        <v>52</v>
      </c>
      <c r="AE2605" t="s">
        <v>52</v>
      </c>
      <c r="AF2605" s="18" t="s">
        <v>52</v>
      </c>
      <c r="AG2605" s="18" t="s">
        <v>52</v>
      </c>
      <c r="AH2605" s="18" t="s">
        <v>52</v>
      </c>
      <c r="AI2605" s="18" t="s">
        <v>52</v>
      </c>
      <c r="AJ2605">
        <v>0</v>
      </c>
      <c r="AK2605">
        <v>0</v>
      </c>
      <c r="AL2605">
        <v>0</v>
      </c>
      <c r="AM2605">
        <v>3</v>
      </c>
      <c r="AN2605" s="18" t="s">
        <v>52</v>
      </c>
      <c r="AO2605" s="18" t="s">
        <v>52</v>
      </c>
      <c r="AP2605" s="18" t="s">
        <v>52</v>
      </c>
      <c r="AQ2605" s="18">
        <v>0</v>
      </c>
      <c r="AR2605" s="29">
        <v>0</v>
      </c>
      <c r="AS2605" s="29">
        <v>0</v>
      </c>
      <c r="AT2605" s="29">
        <v>3</v>
      </c>
      <c r="AU2605" s="24" t="str">
        <f t="shared" si="41"/>
        <v>库存为3</v>
      </c>
      <c r="AV2605" s="31" t="str">
        <f>IFERROR(时间!$B$4+AU2605,"上周无销量")</f>
        <v>上周无销量</v>
      </c>
    </row>
    <row r="2606" spans="1:48">
      <c r="A2606" s="16" t="s">
        <v>4440</v>
      </c>
      <c r="B2606" t="s">
        <v>4441</v>
      </c>
      <c r="C2606" t="s">
        <v>4413</v>
      </c>
      <c r="D2606" s="24">
        <v>0</v>
      </c>
      <c r="E2606" s="24">
        <v>0</v>
      </c>
      <c r="F2606" s="24">
        <v>0</v>
      </c>
      <c r="G2606" s="24">
        <v>0</v>
      </c>
      <c r="H2606" s="25">
        <v>0</v>
      </c>
      <c r="I2606">
        <v>7</v>
      </c>
      <c r="J2606" s="26">
        <v>0</v>
      </c>
      <c r="K2606" s="26">
        <v>0</v>
      </c>
      <c r="L2606" s="26">
        <v>0</v>
      </c>
      <c r="M2606">
        <v>7</v>
      </c>
      <c r="N2606">
        <v>0</v>
      </c>
      <c r="O2606">
        <v>7</v>
      </c>
      <c r="P2606" t="s">
        <v>52</v>
      </c>
      <c r="Q2606" t="s">
        <v>52</v>
      </c>
      <c r="R2606" t="s">
        <v>52</v>
      </c>
      <c r="S2606" t="s">
        <v>52</v>
      </c>
      <c r="T2606" t="s">
        <v>52</v>
      </c>
      <c r="U2606" t="s">
        <v>52</v>
      </c>
      <c r="V2606" t="s">
        <v>52</v>
      </c>
      <c r="W2606" t="s">
        <v>52</v>
      </c>
      <c r="X2606" s="18" t="s">
        <v>52</v>
      </c>
      <c r="Y2606" s="18" t="s">
        <v>52</v>
      </c>
      <c r="Z2606" s="18" t="s">
        <v>52</v>
      </c>
      <c r="AA2606" s="18" t="s">
        <v>52</v>
      </c>
      <c r="AB2606" t="s">
        <v>52</v>
      </c>
      <c r="AC2606" t="s">
        <v>52</v>
      </c>
      <c r="AD2606" t="s">
        <v>52</v>
      </c>
      <c r="AE2606" t="s">
        <v>52</v>
      </c>
      <c r="AF2606" s="18" t="s">
        <v>52</v>
      </c>
      <c r="AG2606" s="18" t="s">
        <v>52</v>
      </c>
      <c r="AH2606" s="18" t="s">
        <v>52</v>
      </c>
      <c r="AI2606" s="18" t="s">
        <v>52</v>
      </c>
      <c r="AJ2606">
        <v>0</v>
      </c>
      <c r="AK2606">
        <v>3</v>
      </c>
      <c r="AL2606">
        <v>2</v>
      </c>
      <c r="AM2606">
        <v>3</v>
      </c>
      <c r="AN2606" s="18" t="s">
        <v>52</v>
      </c>
      <c r="AO2606" s="18">
        <v>0</v>
      </c>
      <c r="AP2606" s="18">
        <v>0</v>
      </c>
      <c r="AQ2606" s="18">
        <v>0</v>
      </c>
      <c r="AR2606" s="29">
        <v>0</v>
      </c>
      <c r="AS2606" s="29">
        <v>0</v>
      </c>
      <c r="AT2606" s="29">
        <v>7</v>
      </c>
      <c r="AU2606" s="24" t="str">
        <f t="shared" si="41"/>
        <v>库存为7</v>
      </c>
      <c r="AV2606" s="31" t="str">
        <f>IFERROR(时间!$B$4+AU2606,"上周无销量")</f>
        <v>上周无销量</v>
      </c>
    </row>
    <row r="2607" spans="1:48">
      <c r="A2607" s="16" t="s">
        <v>4442</v>
      </c>
      <c r="B2607" t="s">
        <v>4443</v>
      </c>
      <c r="C2607" t="s">
        <v>4413</v>
      </c>
      <c r="D2607" s="24">
        <v>0</v>
      </c>
      <c r="E2607" s="24">
        <v>0</v>
      </c>
      <c r="F2607" s="24">
        <v>0</v>
      </c>
      <c r="G2607" s="24">
        <v>0</v>
      </c>
      <c r="H2607" s="25">
        <v>0</v>
      </c>
      <c r="I2607">
        <v>9</v>
      </c>
      <c r="J2607" s="26">
        <v>0</v>
      </c>
      <c r="K2607" s="26">
        <v>0</v>
      </c>
      <c r="L2607" s="26">
        <v>0</v>
      </c>
      <c r="M2607">
        <v>9</v>
      </c>
      <c r="N2607">
        <v>0</v>
      </c>
      <c r="O2607">
        <v>9</v>
      </c>
      <c r="P2607" t="s">
        <v>52</v>
      </c>
      <c r="Q2607" t="s">
        <v>52</v>
      </c>
      <c r="R2607" t="s">
        <v>52</v>
      </c>
      <c r="S2607" t="s">
        <v>52</v>
      </c>
      <c r="T2607" t="s">
        <v>52</v>
      </c>
      <c r="U2607" t="s">
        <v>52</v>
      </c>
      <c r="V2607" t="s">
        <v>52</v>
      </c>
      <c r="W2607" t="s">
        <v>52</v>
      </c>
      <c r="X2607" s="18" t="s">
        <v>52</v>
      </c>
      <c r="Y2607" s="18" t="s">
        <v>52</v>
      </c>
      <c r="Z2607" s="18" t="s">
        <v>52</v>
      </c>
      <c r="AA2607" s="18" t="s">
        <v>52</v>
      </c>
      <c r="AB2607" t="s">
        <v>52</v>
      </c>
      <c r="AC2607" t="s">
        <v>52</v>
      </c>
      <c r="AD2607" t="s">
        <v>52</v>
      </c>
      <c r="AE2607" t="s">
        <v>52</v>
      </c>
      <c r="AF2607" s="18" t="s">
        <v>52</v>
      </c>
      <c r="AG2607" s="18" t="s">
        <v>52</v>
      </c>
      <c r="AH2607" s="18" t="s">
        <v>52</v>
      </c>
      <c r="AI2607" s="18" t="s">
        <v>52</v>
      </c>
      <c r="AJ2607">
        <v>0</v>
      </c>
      <c r="AK2607">
        <v>4</v>
      </c>
      <c r="AL2607">
        <v>2</v>
      </c>
      <c r="AM2607">
        <v>2</v>
      </c>
      <c r="AN2607" s="18" t="s">
        <v>52</v>
      </c>
      <c r="AO2607" s="18">
        <v>0</v>
      </c>
      <c r="AP2607" s="18">
        <v>0</v>
      </c>
      <c r="AQ2607" s="18">
        <v>0</v>
      </c>
      <c r="AR2607" s="29">
        <v>0</v>
      </c>
      <c r="AS2607" s="29">
        <v>0</v>
      </c>
      <c r="AT2607" s="29">
        <v>9</v>
      </c>
      <c r="AU2607" s="24" t="str">
        <f t="shared" si="41"/>
        <v>库存为9</v>
      </c>
      <c r="AV2607" s="31" t="str">
        <f>IFERROR(时间!$B$4+AU2607,"上周无销量")</f>
        <v>上周无销量</v>
      </c>
    </row>
    <row r="2608" spans="1:48">
      <c r="A2608" s="16" t="s">
        <v>4444</v>
      </c>
      <c r="B2608" t="s">
        <v>4445</v>
      </c>
      <c r="C2608" t="s">
        <v>4413</v>
      </c>
      <c r="D2608" s="24">
        <v>0</v>
      </c>
      <c r="E2608" s="24">
        <v>0</v>
      </c>
      <c r="F2608" s="24">
        <v>0</v>
      </c>
      <c r="G2608" s="24">
        <v>0</v>
      </c>
      <c r="H2608" s="25">
        <v>0</v>
      </c>
      <c r="I2608">
        <v>9</v>
      </c>
      <c r="J2608" s="26">
        <v>0</v>
      </c>
      <c r="K2608" s="26">
        <v>0</v>
      </c>
      <c r="L2608" s="26">
        <v>0</v>
      </c>
      <c r="M2608">
        <v>9</v>
      </c>
      <c r="N2608">
        <v>0</v>
      </c>
      <c r="O2608">
        <v>8</v>
      </c>
      <c r="P2608" t="s">
        <v>52</v>
      </c>
      <c r="Q2608" t="s">
        <v>52</v>
      </c>
      <c r="R2608" t="s">
        <v>52</v>
      </c>
      <c r="S2608" t="s">
        <v>52</v>
      </c>
      <c r="T2608" t="s">
        <v>52</v>
      </c>
      <c r="U2608" t="s">
        <v>52</v>
      </c>
      <c r="V2608" t="s">
        <v>52</v>
      </c>
      <c r="W2608" t="s">
        <v>52</v>
      </c>
      <c r="X2608" s="18" t="s">
        <v>52</v>
      </c>
      <c r="Y2608" s="18" t="s">
        <v>52</v>
      </c>
      <c r="Z2608" s="18" t="s">
        <v>52</v>
      </c>
      <c r="AA2608" s="18" t="s">
        <v>52</v>
      </c>
      <c r="AB2608" t="s">
        <v>52</v>
      </c>
      <c r="AC2608" t="s">
        <v>52</v>
      </c>
      <c r="AD2608" t="s">
        <v>52</v>
      </c>
      <c r="AE2608" t="s">
        <v>52</v>
      </c>
      <c r="AF2608" s="18" t="s">
        <v>52</v>
      </c>
      <c r="AG2608" s="18" t="s">
        <v>52</v>
      </c>
      <c r="AH2608" s="18" t="s">
        <v>52</v>
      </c>
      <c r="AI2608" s="18" t="s">
        <v>52</v>
      </c>
      <c r="AJ2608">
        <v>3</v>
      </c>
      <c r="AK2608">
        <v>2</v>
      </c>
      <c r="AL2608">
        <v>3</v>
      </c>
      <c r="AM2608">
        <v>1</v>
      </c>
      <c r="AN2608" s="18">
        <v>0</v>
      </c>
      <c r="AO2608" s="18">
        <v>0</v>
      </c>
      <c r="AP2608" s="18">
        <v>0</v>
      </c>
      <c r="AQ2608" s="18">
        <v>0</v>
      </c>
      <c r="AR2608" s="29">
        <v>0</v>
      </c>
      <c r="AS2608" s="29">
        <v>0</v>
      </c>
      <c r="AT2608" s="29">
        <v>9</v>
      </c>
      <c r="AU2608" s="24" t="str">
        <f t="shared" si="41"/>
        <v>库存为9</v>
      </c>
      <c r="AV2608" s="31" t="str">
        <f>IFERROR(时间!$B$4+AU2608,"上周无销量")</f>
        <v>上周无销量</v>
      </c>
    </row>
    <row r="2609" spans="1:48">
      <c r="A2609" s="16" t="s">
        <v>4446</v>
      </c>
      <c r="B2609" t="s">
        <v>4447</v>
      </c>
      <c r="C2609" t="s">
        <v>4413</v>
      </c>
      <c r="D2609" s="24">
        <v>0</v>
      </c>
      <c r="E2609" s="24">
        <v>0</v>
      </c>
      <c r="F2609" s="24">
        <v>0</v>
      </c>
      <c r="G2609" s="24">
        <v>0</v>
      </c>
      <c r="H2609" s="25">
        <v>0</v>
      </c>
      <c r="I2609">
        <v>7</v>
      </c>
      <c r="J2609" s="26">
        <v>0</v>
      </c>
      <c r="K2609" s="26">
        <v>0</v>
      </c>
      <c r="L2609" s="26">
        <v>0</v>
      </c>
      <c r="M2609">
        <v>7</v>
      </c>
      <c r="N2609">
        <v>0</v>
      </c>
      <c r="O2609">
        <v>7</v>
      </c>
      <c r="P2609" t="s">
        <v>52</v>
      </c>
      <c r="Q2609" t="s">
        <v>52</v>
      </c>
      <c r="R2609" t="s">
        <v>52</v>
      </c>
      <c r="S2609" t="s">
        <v>52</v>
      </c>
      <c r="T2609" t="s">
        <v>52</v>
      </c>
      <c r="U2609" t="s">
        <v>52</v>
      </c>
      <c r="V2609" t="s">
        <v>52</v>
      </c>
      <c r="W2609" t="s">
        <v>52</v>
      </c>
      <c r="X2609" s="18" t="s">
        <v>52</v>
      </c>
      <c r="Y2609" s="18" t="s">
        <v>52</v>
      </c>
      <c r="Z2609" s="18" t="s">
        <v>52</v>
      </c>
      <c r="AA2609" s="18" t="s">
        <v>52</v>
      </c>
      <c r="AB2609" t="s">
        <v>52</v>
      </c>
      <c r="AC2609" t="s">
        <v>52</v>
      </c>
      <c r="AD2609" t="s">
        <v>52</v>
      </c>
      <c r="AE2609" t="s">
        <v>52</v>
      </c>
      <c r="AF2609" s="18" t="s">
        <v>52</v>
      </c>
      <c r="AG2609" s="18" t="s">
        <v>52</v>
      </c>
      <c r="AH2609" s="18" t="s">
        <v>52</v>
      </c>
      <c r="AI2609" s="18" t="s">
        <v>52</v>
      </c>
      <c r="AJ2609">
        <v>1</v>
      </c>
      <c r="AK2609">
        <v>0</v>
      </c>
      <c r="AL2609">
        <v>1</v>
      </c>
      <c r="AM2609">
        <v>3</v>
      </c>
      <c r="AN2609" s="18">
        <v>0</v>
      </c>
      <c r="AO2609" s="18" t="s">
        <v>52</v>
      </c>
      <c r="AP2609" s="18">
        <v>0</v>
      </c>
      <c r="AQ2609" s="18">
        <v>0</v>
      </c>
      <c r="AR2609" s="29">
        <v>0</v>
      </c>
      <c r="AS2609" s="29">
        <v>0</v>
      </c>
      <c r="AT2609" s="29">
        <v>7</v>
      </c>
      <c r="AU2609" s="24" t="str">
        <f t="shared" si="41"/>
        <v>库存为7</v>
      </c>
      <c r="AV2609" s="31" t="str">
        <f>IFERROR(时间!$B$4+AU2609,"上周无销量")</f>
        <v>上周无销量</v>
      </c>
    </row>
    <row r="2610" spans="1:48">
      <c r="A2610" s="16" t="s">
        <v>4448</v>
      </c>
      <c r="B2610" t="s">
        <v>4449</v>
      </c>
      <c r="C2610" t="s">
        <v>4413</v>
      </c>
      <c r="D2610" s="24">
        <v>0</v>
      </c>
      <c r="E2610" s="24">
        <v>0</v>
      </c>
      <c r="F2610" s="24">
        <v>0</v>
      </c>
      <c r="G2610" s="24">
        <v>0</v>
      </c>
      <c r="H2610" s="25">
        <v>0</v>
      </c>
      <c r="I2610">
        <v>3</v>
      </c>
      <c r="J2610" s="26">
        <v>0</v>
      </c>
      <c r="K2610" s="26">
        <v>0</v>
      </c>
      <c r="L2610" s="26">
        <v>0</v>
      </c>
      <c r="M2610">
        <v>3</v>
      </c>
      <c r="N2610">
        <v>0</v>
      </c>
      <c r="O2610">
        <v>3</v>
      </c>
      <c r="P2610" t="s">
        <v>52</v>
      </c>
      <c r="Q2610" t="s">
        <v>52</v>
      </c>
      <c r="R2610" t="s">
        <v>52</v>
      </c>
      <c r="S2610" t="s">
        <v>52</v>
      </c>
      <c r="T2610" t="s">
        <v>52</v>
      </c>
      <c r="U2610" t="s">
        <v>52</v>
      </c>
      <c r="V2610" t="s">
        <v>52</v>
      </c>
      <c r="W2610" t="s">
        <v>52</v>
      </c>
      <c r="X2610" s="18" t="s">
        <v>52</v>
      </c>
      <c r="Y2610" s="18" t="s">
        <v>52</v>
      </c>
      <c r="Z2610" s="18" t="s">
        <v>52</v>
      </c>
      <c r="AA2610" s="18" t="s">
        <v>52</v>
      </c>
      <c r="AB2610" t="s">
        <v>52</v>
      </c>
      <c r="AC2610" t="s">
        <v>52</v>
      </c>
      <c r="AD2610" t="s">
        <v>52</v>
      </c>
      <c r="AE2610" t="s">
        <v>52</v>
      </c>
      <c r="AF2610" s="18" t="s">
        <v>52</v>
      </c>
      <c r="AG2610" s="18" t="s">
        <v>52</v>
      </c>
      <c r="AH2610" s="18" t="s">
        <v>52</v>
      </c>
      <c r="AI2610" s="18" t="s">
        <v>52</v>
      </c>
      <c r="AJ2610">
        <v>1</v>
      </c>
      <c r="AK2610">
        <v>2</v>
      </c>
      <c r="AL2610">
        <v>1</v>
      </c>
      <c r="AM2610">
        <v>4</v>
      </c>
      <c r="AN2610" s="18">
        <v>0</v>
      </c>
      <c r="AO2610" s="18">
        <v>0</v>
      </c>
      <c r="AP2610" s="18">
        <v>0</v>
      </c>
      <c r="AQ2610" s="18">
        <v>0</v>
      </c>
      <c r="AR2610" s="29">
        <v>0</v>
      </c>
      <c r="AS2610" s="29">
        <v>0</v>
      </c>
      <c r="AT2610" s="29">
        <v>3</v>
      </c>
      <c r="AU2610" s="24" t="str">
        <f t="shared" si="41"/>
        <v>库存为3</v>
      </c>
      <c r="AV2610" s="31" t="str">
        <f>IFERROR(时间!$B$4+AU2610,"上周无销量")</f>
        <v>上周无销量</v>
      </c>
    </row>
    <row r="2611" spans="1:48">
      <c r="A2611" s="16" t="s">
        <v>4450</v>
      </c>
      <c r="B2611" t="s">
        <v>4451</v>
      </c>
      <c r="C2611" t="s">
        <v>4413</v>
      </c>
      <c r="D2611" s="24">
        <v>0</v>
      </c>
      <c r="E2611" s="24">
        <v>0</v>
      </c>
      <c r="F2611" s="24">
        <v>0</v>
      </c>
      <c r="G2611" s="24">
        <v>0</v>
      </c>
      <c r="H2611" s="25">
        <v>0</v>
      </c>
      <c r="I2611">
        <v>9</v>
      </c>
      <c r="J2611" s="26">
        <v>0</v>
      </c>
      <c r="K2611" s="26">
        <v>0</v>
      </c>
      <c r="L2611" s="26">
        <v>0</v>
      </c>
      <c r="M2611">
        <v>9</v>
      </c>
      <c r="N2611">
        <v>0</v>
      </c>
      <c r="O2611">
        <v>8</v>
      </c>
      <c r="P2611" t="s">
        <v>52</v>
      </c>
      <c r="Q2611" t="s">
        <v>52</v>
      </c>
      <c r="R2611" t="s">
        <v>52</v>
      </c>
      <c r="S2611" t="s">
        <v>52</v>
      </c>
      <c r="T2611" t="s">
        <v>52</v>
      </c>
      <c r="U2611" t="s">
        <v>52</v>
      </c>
      <c r="V2611" t="s">
        <v>52</v>
      </c>
      <c r="W2611" t="s">
        <v>52</v>
      </c>
      <c r="X2611" s="18" t="s">
        <v>52</v>
      </c>
      <c r="Y2611" s="18" t="s">
        <v>52</v>
      </c>
      <c r="Z2611" s="18" t="s">
        <v>52</v>
      </c>
      <c r="AA2611" s="18" t="s">
        <v>52</v>
      </c>
      <c r="AB2611" t="s">
        <v>52</v>
      </c>
      <c r="AC2611" t="s">
        <v>52</v>
      </c>
      <c r="AD2611" t="s">
        <v>52</v>
      </c>
      <c r="AE2611" t="s">
        <v>52</v>
      </c>
      <c r="AF2611" s="18" t="s">
        <v>52</v>
      </c>
      <c r="AG2611" s="18" t="s">
        <v>52</v>
      </c>
      <c r="AH2611" s="18" t="s">
        <v>52</v>
      </c>
      <c r="AI2611" s="18" t="s">
        <v>52</v>
      </c>
      <c r="AJ2611">
        <v>1</v>
      </c>
      <c r="AK2611">
        <v>1</v>
      </c>
      <c r="AL2611">
        <v>1</v>
      </c>
      <c r="AM2611">
        <v>2</v>
      </c>
      <c r="AN2611" s="18">
        <v>0</v>
      </c>
      <c r="AO2611" s="18">
        <v>0</v>
      </c>
      <c r="AP2611" s="18">
        <v>0</v>
      </c>
      <c r="AQ2611" s="18">
        <v>0</v>
      </c>
      <c r="AR2611" s="29">
        <v>0</v>
      </c>
      <c r="AS2611" s="29">
        <v>0</v>
      </c>
      <c r="AT2611" s="29">
        <v>9</v>
      </c>
      <c r="AU2611" s="24" t="str">
        <f t="shared" si="41"/>
        <v>库存为9</v>
      </c>
      <c r="AV2611" s="31" t="str">
        <f>IFERROR(时间!$B$4+AU2611,"上周无销量")</f>
        <v>上周无销量</v>
      </c>
    </row>
    <row r="2612" spans="1:48">
      <c r="A2612" s="16" t="s">
        <v>4452</v>
      </c>
      <c r="B2612" t="s">
        <v>4453</v>
      </c>
      <c r="C2612" t="s">
        <v>4413</v>
      </c>
      <c r="D2612" s="24">
        <v>0</v>
      </c>
      <c r="E2612" s="24">
        <v>0</v>
      </c>
      <c r="F2612" s="24">
        <v>0</v>
      </c>
      <c r="G2612" s="24">
        <v>0</v>
      </c>
      <c r="H2612" s="25">
        <v>0</v>
      </c>
      <c r="I2612">
        <v>9</v>
      </c>
      <c r="J2612" s="26">
        <v>0</v>
      </c>
      <c r="K2612" s="26">
        <v>0</v>
      </c>
      <c r="L2612" s="26">
        <v>0</v>
      </c>
      <c r="M2612">
        <v>9</v>
      </c>
      <c r="N2612">
        <v>0</v>
      </c>
      <c r="O2612">
        <v>9</v>
      </c>
      <c r="P2612">
        <v>463</v>
      </c>
      <c r="Q2612">
        <v>2499</v>
      </c>
      <c r="R2612">
        <v>3606</v>
      </c>
      <c r="S2612">
        <v>3543</v>
      </c>
      <c r="T2612">
        <v>2</v>
      </c>
      <c r="U2612">
        <v>2</v>
      </c>
      <c r="V2612">
        <v>0</v>
      </c>
      <c r="W2612">
        <v>4</v>
      </c>
      <c r="X2612" s="18">
        <v>0.00431965442764579</v>
      </c>
      <c r="Y2612" s="18">
        <v>0.000800320128051221</v>
      </c>
      <c r="Z2612" s="18">
        <v>0</v>
      </c>
      <c r="AA2612" s="18">
        <v>0.00112898673440587</v>
      </c>
      <c r="AB2612">
        <v>0.12</v>
      </c>
      <c r="AC2612">
        <v>0.97</v>
      </c>
      <c r="AD2612">
        <v>0</v>
      </c>
      <c r="AE2612">
        <v>1.55</v>
      </c>
      <c r="AF2612" s="18" t="s">
        <v>4454</v>
      </c>
      <c r="AG2612" s="18" t="s">
        <v>2203</v>
      </c>
      <c r="AH2612" s="18" t="s">
        <v>52</v>
      </c>
      <c r="AI2612" s="18" t="s">
        <v>4455</v>
      </c>
      <c r="AJ2612">
        <v>5</v>
      </c>
      <c r="AK2612">
        <v>3</v>
      </c>
      <c r="AL2612">
        <v>1</v>
      </c>
      <c r="AM2612">
        <v>5</v>
      </c>
      <c r="AN2612" s="18">
        <v>0</v>
      </c>
      <c r="AO2612" s="18">
        <v>0</v>
      </c>
      <c r="AP2612" s="18">
        <v>0</v>
      </c>
      <c r="AQ2612" s="18">
        <v>0</v>
      </c>
      <c r="AR2612" s="29">
        <v>0</v>
      </c>
      <c r="AS2612" s="29">
        <v>0</v>
      </c>
      <c r="AT2612" s="29">
        <v>9</v>
      </c>
      <c r="AU2612" s="24" t="str">
        <f t="shared" si="41"/>
        <v>库存为9</v>
      </c>
      <c r="AV2612" s="31" t="str">
        <f>IFERROR(时间!$B$4+AU2612,"上周无销量")</f>
        <v>上周无销量</v>
      </c>
    </row>
    <row r="2613" spans="1:48">
      <c r="A2613" s="16" t="s">
        <v>4456</v>
      </c>
      <c r="B2613" t="s">
        <v>4457</v>
      </c>
      <c r="C2613" t="s">
        <v>4413</v>
      </c>
      <c r="D2613" s="24">
        <v>0</v>
      </c>
      <c r="E2613" s="24">
        <v>0</v>
      </c>
      <c r="F2613" s="24">
        <v>0</v>
      </c>
      <c r="G2613" s="24">
        <v>0</v>
      </c>
      <c r="H2613" s="25">
        <v>0</v>
      </c>
      <c r="I2613">
        <v>0</v>
      </c>
      <c r="J2613" s="26">
        <v>0</v>
      </c>
      <c r="K2613" s="26">
        <v>0</v>
      </c>
      <c r="L2613" s="26">
        <v>0</v>
      </c>
      <c r="M2613">
        <v>0</v>
      </c>
      <c r="N2613">
        <v>0</v>
      </c>
      <c r="O2613">
        <v>0</v>
      </c>
      <c r="P2613" t="s">
        <v>52</v>
      </c>
      <c r="Q2613" t="s">
        <v>52</v>
      </c>
      <c r="R2613" t="s">
        <v>52</v>
      </c>
      <c r="S2613" t="s">
        <v>52</v>
      </c>
      <c r="T2613" t="s">
        <v>52</v>
      </c>
      <c r="U2613" t="s">
        <v>52</v>
      </c>
      <c r="V2613" t="s">
        <v>52</v>
      </c>
      <c r="W2613" t="s">
        <v>52</v>
      </c>
      <c r="X2613" s="18" t="s">
        <v>52</v>
      </c>
      <c r="Y2613" s="18" t="s">
        <v>52</v>
      </c>
      <c r="Z2613" s="18" t="s">
        <v>52</v>
      </c>
      <c r="AA2613" s="18" t="s">
        <v>52</v>
      </c>
      <c r="AB2613" t="s">
        <v>52</v>
      </c>
      <c r="AC2613" t="s">
        <v>52</v>
      </c>
      <c r="AD2613" t="s">
        <v>52</v>
      </c>
      <c r="AE2613" t="s">
        <v>52</v>
      </c>
      <c r="AF2613" s="18" t="s">
        <v>52</v>
      </c>
      <c r="AG2613" s="18" t="s">
        <v>52</v>
      </c>
      <c r="AH2613" s="18" t="s">
        <v>52</v>
      </c>
      <c r="AI2613" s="18" t="s">
        <v>52</v>
      </c>
      <c r="AJ2613">
        <v>0</v>
      </c>
      <c r="AK2613">
        <v>0</v>
      </c>
      <c r="AL2613">
        <v>0</v>
      </c>
      <c r="AM2613">
        <v>0</v>
      </c>
      <c r="AN2613" s="18" t="s">
        <v>52</v>
      </c>
      <c r="AO2613" s="18" t="s">
        <v>52</v>
      </c>
      <c r="AP2613" s="18" t="s">
        <v>52</v>
      </c>
      <c r="AQ2613" s="18" t="s">
        <v>52</v>
      </c>
      <c r="AR2613" s="29">
        <v>0</v>
      </c>
      <c r="AS2613" s="29">
        <v>0</v>
      </c>
      <c r="AT2613" s="29">
        <v>0</v>
      </c>
      <c r="AU2613" s="24" t="str">
        <f t="shared" si="41"/>
        <v>库存为0</v>
      </c>
      <c r="AV2613" s="31" t="str">
        <f>IFERROR(时间!$B$4+AU2613,"上周无销量")</f>
        <v>上周无销量</v>
      </c>
    </row>
    <row r="2614" spans="1:48">
      <c r="A2614" s="16" t="s">
        <v>4458</v>
      </c>
      <c r="B2614" t="s">
        <v>4459</v>
      </c>
      <c r="C2614" t="s">
        <v>4413</v>
      </c>
      <c r="D2614" s="24">
        <v>0</v>
      </c>
      <c r="E2614" s="24">
        <v>0</v>
      </c>
      <c r="F2614" s="24">
        <v>0</v>
      </c>
      <c r="G2614" s="24">
        <v>0</v>
      </c>
      <c r="H2614" s="25">
        <v>0</v>
      </c>
      <c r="I2614">
        <v>0</v>
      </c>
      <c r="J2614" s="26">
        <v>0</v>
      </c>
      <c r="K2614" s="26">
        <v>0</v>
      </c>
      <c r="L2614" s="26">
        <v>0</v>
      </c>
      <c r="M2614">
        <v>0</v>
      </c>
      <c r="N2614">
        <v>0</v>
      </c>
      <c r="O2614">
        <v>0</v>
      </c>
      <c r="P2614" t="s">
        <v>52</v>
      </c>
      <c r="Q2614" t="s">
        <v>52</v>
      </c>
      <c r="R2614" t="s">
        <v>52</v>
      </c>
      <c r="S2614" t="s">
        <v>52</v>
      </c>
      <c r="T2614" t="s">
        <v>52</v>
      </c>
      <c r="U2614" t="s">
        <v>52</v>
      </c>
      <c r="V2614" t="s">
        <v>52</v>
      </c>
      <c r="W2614" t="s">
        <v>52</v>
      </c>
      <c r="X2614" s="18" t="s">
        <v>52</v>
      </c>
      <c r="Y2614" s="18" t="s">
        <v>52</v>
      </c>
      <c r="Z2614" s="18" t="s">
        <v>52</v>
      </c>
      <c r="AA2614" s="18" t="s">
        <v>52</v>
      </c>
      <c r="AB2614" t="s">
        <v>52</v>
      </c>
      <c r="AC2614" t="s">
        <v>52</v>
      </c>
      <c r="AD2614" t="s">
        <v>52</v>
      </c>
      <c r="AE2614" t="s">
        <v>52</v>
      </c>
      <c r="AF2614" s="18" t="s">
        <v>52</v>
      </c>
      <c r="AG2614" s="18" t="s">
        <v>52</v>
      </c>
      <c r="AH2614" s="18" t="s">
        <v>52</v>
      </c>
      <c r="AI2614" s="18" t="s">
        <v>52</v>
      </c>
      <c r="AJ2614">
        <v>0</v>
      </c>
      <c r="AK2614">
        <v>0</v>
      </c>
      <c r="AL2614">
        <v>0</v>
      </c>
      <c r="AM2614">
        <v>0</v>
      </c>
      <c r="AN2614" s="18" t="s">
        <v>52</v>
      </c>
      <c r="AO2614" s="18" t="s">
        <v>52</v>
      </c>
      <c r="AP2614" s="18" t="s">
        <v>52</v>
      </c>
      <c r="AQ2614" s="18" t="s">
        <v>52</v>
      </c>
      <c r="AR2614" s="29">
        <v>0</v>
      </c>
      <c r="AS2614" s="29">
        <v>0</v>
      </c>
      <c r="AT2614" s="29">
        <v>0</v>
      </c>
      <c r="AU2614" s="24" t="str">
        <f t="shared" si="41"/>
        <v>库存为0</v>
      </c>
      <c r="AV2614" s="31" t="str">
        <f>IFERROR(时间!$B$4+AU2614,"上周无销量")</f>
        <v>上周无销量</v>
      </c>
    </row>
    <row r="2615" spans="1:48">
      <c r="A2615" s="16" t="s">
        <v>4460</v>
      </c>
      <c r="B2615" t="s">
        <v>4461</v>
      </c>
      <c r="C2615" t="s">
        <v>4413</v>
      </c>
      <c r="D2615" s="24">
        <v>0</v>
      </c>
      <c r="E2615" s="24">
        <v>0</v>
      </c>
      <c r="F2615" s="24">
        <v>0</v>
      </c>
      <c r="G2615" s="24">
        <v>0</v>
      </c>
      <c r="H2615" s="25">
        <v>0</v>
      </c>
      <c r="I2615">
        <v>6</v>
      </c>
      <c r="J2615" s="26">
        <v>0</v>
      </c>
      <c r="K2615" s="26">
        <v>0</v>
      </c>
      <c r="L2615" s="26">
        <v>0</v>
      </c>
      <c r="M2615">
        <v>6</v>
      </c>
      <c r="N2615">
        <v>0</v>
      </c>
      <c r="O2615">
        <v>6</v>
      </c>
      <c r="P2615" t="s">
        <v>52</v>
      </c>
      <c r="Q2615" t="s">
        <v>52</v>
      </c>
      <c r="R2615" t="s">
        <v>52</v>
      </c>
      <c r="S2615" t="s">
        <v>52</v>
      </c>
      <c r="T2615" t="s">
        <v>52</v>
      </c>
      <c r="U2615" t="s">
        <v>52</v>
      </c>
      <c r="V2615" t="s">
        <v>52</v>
      </c>
      <c r="W2615" t="s">
        <v>52</v>
      </c>
      <c r="X2615" s="18" t="s">
        <v>52</v>
      </c>
      <c r="Y2615" s="18" t="s">
        <v>52</v>
      </c>
      <c r="Z2615" s="18" t="s">
        <v>52</v>
      </c>
      <c r="AA2615" s="18" t="s">
        <v>52</v>
      </c>
      <c r="AB2615" t="s">
        <v>52</v>
      </c>
      <c r="AC2615" t="s">
        <v>52</v>
      </c>
      <c r="AD2615" t="s">
        <v>52</v>
      </c>
      <c r="AE2615" t="s">
        <v>52</v>
      </c>
      <c r="AF2615" s="18" t="s">
        <v>52</v>
      </c>
      <c r="AG2615" s="18" t="s">
        <v>52</v>
      </c>
      <c r="AH2615" s="18" t="s">
        <v>52</v>
      </c>
      <c r="AI2615" s="18" t="s">
        <v>52</v>
      </c>
      <c r="AJ2615">
        <v>1</v>
      </c>
      <c r="AK2615">
        <v>8</v>
      </c>
      <c r="AL2615">
        <v>2</v>
      </c>
      <c r="AM2615">
        <v>4</v>
      </c>
      <c r="AN2615" s="18">
        <v>0</v>
      </c>
      <c r="AO2615" s="18">
        <v>0</v>
      </c>
      <c r="AP2615" s="18">
        <v>0</v>
      </c>
      <c r="AQ2615" s="18">
        <v>0</v>
      </c>
      <c r="AR2615" s="29">
        <v>0</v>
      </c>
      <c r="AS2615" s="29">
        <v>0</v>
      </c>
      <c r="AT2615" s="29">
        <v>6</v>
      </c>
      <c r="AU2615" s="24" t="str">
        <f t="shared" si="41"/>
        <v>库存为6</v>
      </c>
      <c r="AV2615" s="31" t="str">
        <f>IFERROR(时间!$B$4+AU2615,"上周无销量")</f>
        <v>上周无销量</v>
      </c>
    </row>
    <row r="2616" spans="1:48">
      <c r="A2616" s="16" t="s">
        <v>4462</v>
      </c>
      <c r="B2616" t="s">
        <v>4463</v>
      </c>
      <c r="C2616" t="s">
        <v>4413</v>
      </c>
      <c r="D2616" s="24">
        <v>0</v>
      </c>
      <c r="E2616" s="24">
        <v>0</v>
      </c>
      <c r="F2616" s="24">
        <v>0</v>
      </c>
      <c r="G2616" s="24">
        <v>0</v>
      </c>
      <c r="H2616" s="25">
        <v>0</v>
      </c>
      <c r="I2616">
        <v>8</v>
      </c>
      <c r="J2616" s="26">
        <v>0</v>
      </c>
      <c r="K2616" s="26">
        <v>0</v>
      </c>
      <c r="L2616" s="26">
        <v>0</v>
      </c>
      <c r="M2616">
        <v>8</v>
      </c>
      <c r="N2616">
        <v>0</v>
      </c>
      <c r="O2616">
        <v>8</v>
      </c>
      <c r="P2616" t="s">
        <v>52</v>
      </c>
      <c r="Q2616" t="s">
        <v>52</v>
      </c>
      <c r="R2616" t="s">
        <v>52</v>
      </c>
      <c r="S2616" t="s">
        <v>52</v>
      </c>
      <c r="T2616" t="s">
        <v>52</v>
      </c>
      <c r="U2616" t="s">
        <v>52</v>
      </c>
      <c r="V2616" t="s">
        <v>52</v>
      </c>
      <c r="W2616" t="s">
        <v>52</v>
      </c>
      <c r="X2616" s="18" t="s">
        <v>52</v>
      </c>
      <c r="Y2616" s="18" t="s">
        <v>52</v>
      </c>
      <c r="Z2616" s="18" t="s">
        <v>52</v>
      </c>
      <c r="AA2616" s="18" t="s">
        <v>52</v>
      </c>
      <c r="AB2616" t="s">
        <v>52</v>
      </c>
      <c r="AC2616" t="s">
        <v>52</v>
      </c>
      <c r="AD2616" t="s">
        <v>52</v>
      </c>
      <c r="AE2616" t="s">
        <v>52</v>
      </c>
      <c r="AF2616" s="18" t="s">
        <v>52</v>
      </c>
      <c r="AG2616" s="18" t="s">
        <v>52</v>
      </c>
      <c r="AH2616" s="18" t="s">
        <v>52</v>
      </c>
      <c r="AI2616" s="18" t="s">
        <v>52</v>
      </c>
      <c r="AJ2616">
        <v>1</v>
      </c>
      <c r="AK2616">
        <v>4</v>
      </c>
      <c r="AL2616">
        <v>2</v>
      </c>
      <c r="AM2616">
        <v>1</v>
      </c>
      <c r="AN2616" s="18">
        <v>0</v>
      </c>
      <c r="AO2616" s="18">
        <v>0</v>
      </c>
      <c r="AP2616" s="18">
        <v>0</v>
      </c>
      <c r="AQ2616" s="18">
        <v>0</v>
      </c>
      <c r="AR2616" s="29">
        <v>0</v>
      </c>
      <c r="AS2616" s="29">
        <v>0</v>
      </c>
      <c r="AT2616" s="29">
        <v>8</v>
      </c>
      <c r="AU2616" s="24" t="str">
        <f t="shared" si="41"/>
        <v>库存为8</v>
      </c>
      <c r="AV2616" s="31" t="str">
        <f>IFERROR(时间!$B$4+AU2616,"上周无销量")</f>
        <v>上周无销量</v>
      </c>
    </row>
    <row r="2617" spans="1:48">
      <c r="A2617" s="16" t="s">
        <v>4464</v>
      </c>
      <c r="B2617" t="s">
        <v>4465</v>
      </c>
      <c r="C2617" t="s">
        <v>4413</v>
      </c>
      <c r="D2617" s="24">
        <v>0</v>
      </c>
      <c r="E2617" s="24">
        <v>0</v>
      </c>
      <c r="F2617" s="24">
        <v>0</v>
      </c>
      <c r="G2617" s="24">
        <v>0</v>
      </c>
      <c r="H2617" s="25">
        <v>0</v>
      </c>
      <c r="I2617">
        <v>7</v>
      </c>
      <c r="J2617" s="26">
        <v>0</v>
      </c>
      <c r="K2617" s="26">
        <v>0</v>
      </c>
      <c r="L2617" s="26">
        <v>0</v>
      </c>
      <c r="M2617">
        <v>7</v>
      </c>
      <c r="N2617">
        <v>0</v>
      </c>
      <c r="O2617">
        <v>7</v>
      </c>
      <c r="P2617" t="s">
        <v>52</v>
      </c>
      <c r="Q2617" t="s">
        <v>52</v>
      </c>
      <c r="R2617" t="s">
        <v>52</v>
      </c>
      <c r="S2617" t="s">
        <v>52</v>
      </c>
      <c r="T2617" t="s">
        <v>52</v>
      </c>
      <c r="U2617" t="s">
        <v>52</v>
      </c>
      <c r="V2617" t="s">
        <v>52</v>
      </c>
      <c r="W2617" t="s">
        <v>52</v>
      </c>
      <c r="X2617" s="18" t="s">
        <v>52</v>
      </c>
      <c r="Y2617" s="18" t="s">
        <v>52</v>
      </c>
      <c r="Z2617" s="18" t="s">
        <v>52</v>
      </c>
      <c r="AA2617" s="18" t="s">
        <v>52</v>
      </c>
      <c r="AB2617" t="s">
        <v>52</v>
      </c>
      <c r="AC2617" t="s">
        <v>52</v>
      </c>
      <c r="AD2617" t="s">
        <v>52</v>
      </c>
      <c r="AE2617" t="s">
        <v>52</v>
      </c>
      <c r="AF2617" s="18" t="s">
        <v>52</v>
      </c>
      <c r="AG2617" s="18" t="s">
        <v>52</v>
      </c>
      <c r="AH2617" s="18" t="s">
        <v>52</v>
      </c>
      <c r="AI2617" s="18" t="s">
        <v>52</v>
      </c>
      <c r="AJ2617">
        <v>1</v>
      </c>
      <c r="AK2617">
        <v>1</v>
      </c>
      <c r="AL2617">
        <v>2</v>
      </c>
      <c r="AM2617">
        <v>3</v>
      </c>
      <c r="AN2617" s="18">
        <v>0</v>
      </c>
      <c r="AO2617" s="18">
        <v>0</v>
      </c>
      <c r="AP2617" s="18">
        <v>0</v>
      </c>
      <c r="AQ2617" s="18">
        <v>0</v>
      </c>
      <c r="AR2617" s="29">
        <v>0</v>
      </c>
      <c r="AS2617" s="29">
        <v>0</v>
      </c>
      <c r="AT2617" s="29">
        <v>7</v>
      </c>
      <c r="AU2617" s="24" t="str">
        <f t="shared" si="41"/>
        <v>库存为7</v>
      </c>
      <c r="AV2617" s="31" t="str">
        <f>IFERROR(时间!$B$4+AU2617,"上周无销量")</f>
        <v>上周无销量</v>
      </c>
    </row>
    <row r="2618" spans="1:48">
      <c r="A2618" s="16" t="s">
        <v>4466</v>
      </c>
      <c r="B2618" t="s">
        <v>4467</v>
      </c>
      <c r="C2618" t="s">
        <v>4413</v>
      </c>
      <c r="D2618" s="24">
        <v>0</v>
      </c>
      <c r="E2618" s="24">
        <v>0</v>
      </c>
      <c r="F2618" s="24">
        <v>0</v>
      </c>
      <c r="G2618" s="24">
        <v>0</v>
      </c>
      <c r="H2618" s="25">
        <v>0</v>
      </c>
      <c r="I2618">
        <v>2</v>
      </c>
      <c r="J2618" s="26">
        <v>0</v>
      </c>
      <c r="K2618" s="26">
        <v>0</v>
      </c>
      <c r="L2618" s="26">
        <v>0</v>
      </c>
      <c r="M2618">
        <v>2</v>
      </c>
      <c r="N2618">
        <v>0</v>
      </c>
      <c r="O2618">
        <v>2</v>
      </c>
      <c r="P2618" t="s">
        <v>52</v>
      </c>
      <c r="Q2618" t="s">
        <v>52</v>
      </c>
      <c r="R2618" t="s">
        <v>52</v>
      </c>
      <c r="S2618" t="s">
        <v>52</v>
      </c>
      <c r="T2618" t="s">
        <v>52</v>
      </c>
      <c r="U2618" t="s">
        <v>52</v>
      </c>
      <c r="V2618" t="s">
        <v>52</v>
      </c>
      <c r="W2618" t="s">
        <v>52</v>
      </c>
      <c r="X2618" s="18" t="s">
        <v>52</v>
      </c>
      <c r="Y2618" s="18" t="s">
        <v>52</v>
      </c>
      <c r="Z2618" s="18" t="s">
        <v>52</v>
      </c>
      <c r="AA2618" s="18" t="s">
        <v>52</v>
      </c>
      <c r="AB2618" t="s">
        <v>52</v>
      </c>
      <c r="AC2618" t="s">
        <v>52</v>
      </c>
      <c r="AD2618" t="s">
        <v>52</v>
      </c>
      <c r="AE2618" t="s">
        <v>52</v>
      </c>
      <c r="AF2618" s="18" t="s">
        <v>52</v>
      </c>
      <c r="AG2618" s="18" t="s">
        <v>52</v>
      </c>
      <c r="AH2618" s="18" t="s">
        <v>52</v>
      </c>
      <c r="AI2618" s="18" t="s">
        <v>52</v>
      </c>
      <c r="AJ2618">
        <v>0</v>
      </c>
      <c r="AK2618">
        <v>0</v>
      </c>
      <c r="AL2618">
        <v>0</v>
      </c>
      <c r="AM2618">
        <v>2</v>
      </c>
      <c r="AN2618" s="18" t="s">
        <v>52</v>
      </c>
      <c r="AO2618" s="18" t="s">
        <v>52</v>
      </c>
      <c r="AP2618" s="18" t="s">
        <v>52</v>
      </c>
      <c r="AQ2618" s="18">
        <v>0</v>
      </c>
      <c r="AR2618" s="29">
        <v>0</v>
      </c>
      <c r="AS2618" s="29">
        <v>0</v>
      </c>
      <c r="AT2618" s="29">
        <v>2</v>
      </c>
      <c r="AU2618" s="24" t="str">
        <f t="shared" si="41"/>
        <v>库存为2</v>
      </c>
      <c r="AV2618" s="31" t="str">
        <f>IFERROR(时间!$B$4+AU2618,"上周无销量")</f>
        <v>上周无销量</v>
      </c>
    </row>
    <row r="2619" spans="1:48">
      <c r="A2619" s="16" t="s">
        <v>4468</v>
      </c>
      <c r="B2619" t="s">
        <v>4469</v>
      </c>
      <c r="C2619" t="s">
        <v>4413</v>
      </c>
      <c r="D2619" s="24">
        <v>0</v>
      </c>
      <c r="E2619" s="24">
        <v>0</v>
      </c>
      <c r="F2619" s="24">
        <v>0</v>
      </c>
      <c r="G2619" s="24">
        <v>0</v>
      </c>
      <c r="H2619" s="25">
        <v>0</v>
      </c>
      <c r="I2619">
        <v>9</v>
      </c>
      <c r="J2619" s="26">
        <v>0</v>
      </c>
      <c r="K2619" s="26">
        <v>0</v>
      </c>
      <c r="L2619" s="26">
        <v>0</v>
      </c>
      <c r="M2619">
        <v>9</v>
      </c>
      <c r="N2619">
        <v>0</v>
      </c>
      <c r="O2619">
        <v>9</v>
      </c>
      <c r="P2619" t="s">
        <v>52</v>
      </c>
      <c r="Q2619" t="s">
        <v>52</v>
      </c>
      <c r="R2619" t="s">
        <v>52</v>
      </c>
      <c r="S2619" t="s">
        <v>52</v>
      </c>
      <c r="T2619" t="s">
        <v>52</v>
      </c>
      <c r="U2619" t="s">
        <v>52</v>
      </c>
      <c r="V2619" t="s">
        <v>52</v>
      </c>
      <c r="W2619" t="s">
        <v>52</v>
      </c>
      <c r="X2619" s="18" t="s">
        <v>52</v>
      </c>
      <c r="Y2619" s="18" t="s">
        <v>52</v>
      </c>
      <c r="Z2619" s="18" t="s">
        <v>52</v>
      </c>
      <c r="AA2619" s="18" t="s">
        <v>52</v>
      </c>
      <c r="AB2619" t="s">
        <v>52</v>
      </c>
      <c r="AC2619" t="s">
        <v>52</v>
      </c>
      <c r="AD2619" t="s">
        <v>52</v>
      </c>
      <c r="AE2619" t="s">
        <v>52</v>
      </c>
      <c r="AF2619" s="18" t="s">
        <v>52</v>
      </c>
      <c r="AG2619" s="18" t="s">
        <v>52</v>
      </c>
      <c r="AH2619" s="18" t="s">
        <v>52</v>
      </c>
      <c r="AI2619" s="18" t="s">
        <v>52</v>
      </c>
      <c r="AJ2619">
        <v>3</v>
      </c>
      <c r="AK2619">
        <v>1</v>
      </c>
      <c r="AL2619">
        <v>0</v>
      </c>
      <c r="AM2619">
        <v>3</v>
      </c>
      <c r="AN2619" s="18">
        <v>0</v>
      </c>
      <c r="AO2619" s="18">
        <v>0</v>
      </c>
      <c r="AP2619" s="18" t="s">
        <v>52</v>
      </c>
      <c r="AQ2619" s="18">
        <v>0</v>
      </c>
      <c r="AR2619" s="29">
        <v>0</v>
      </c>
      <c r="AS2619" s="29">
        <v>0</v>
      </c>
      <c r="AT2619" s="29">
        <v>9</v>
      </c>
      <c r="AU2619" s="24" t="str">
        <f t="shared" si="41"/>
        <v>库存为9</v>
      </c>
      <c r="AV2619" s="31" t="str">
        <f>IFERROR(时间!$B$4+AU2619,"上周无销量")</f>
        <v>上周无销量</v>
      </c>
    </row>
    <row r="2620" spans="1:48">
      <c r="A2620" s="16" t="s">
        <v>4470</v>
      </c>
      <c r="B2620" t="s">
        <v>4471</v>
      </c>
      <c r="C2620" t="s">
        <v>4413</v>
      </c>
      <c r="D2620" s="24">
        <v>0</v>
      </c>
      <c r="E2620" s="24">
        <v>0</v>
      </c>
      <c r="F2620" s="24">
        <v>0</v>
      </c>
      <c r="G2620" s="24">
        <v>0</v>
      </c>
      <c r="H2620" s="25">
        <v>0</v>
      </c>
      <c r="I2620">
        <v>9</v>
      </c>
      <c r="J2620" s="26">
        <v>0</v>
      </c>
      <c r="K2620" s="26">
        <v>0</v>
      </c>
      <c r="L2620" s="26">
        <v>0</v>
      </c>
      <c r="M2620">
        <v>9</v>
      </c>
      <c r="N2620">
        <v>0</v>
      </c>
      <c r="O2620">
        <v>9</v>
      </c>
      <c r="P2620">
        <v>126</v>
      </c>
      <c r="Q2620">
        <v>477</v>
      </c>
      <c r="R2620">
        <v>2157</v>
      </c>
      <c r="S2620">
        <v>2618</v>
      </c>
      <c r="T2620">
        <v>1</v>
      </c>
      <c r="U2620">
        <v>1</v>
      </c>
      <c r="V2620">
        <v>0</v>
      </c>
      <c r="W2620">
        <v>1</v>
      </c>
      <c r="X2620" s="18">
        <v>0.00793650793650794</v>
      </c>
      <c r="Y2620" s="18">
        <v>0.00209643605870021</v>
      </c>
      <c r="Z2620" s="18">
        <v>0</v>
      </c>
      <c r="AA2620" s="18">
        <v>0.000381970970206264</v>
      </c>
      <c r="AB2620">
        <v>0.78</v>
      </c>
      <c r="AC2620">
        <v>0.33</v>
      </c>
      <c r="AD2620">
        <v>0</v>
      </c>
      <c r="AE2620">
        <v>0.71</v>
      </c>
      <c r="AF2620" s="18" t="s">
        <v>4472</v>
      </c>
      <c r="AG2620" s="18" t="s">
        <v>4473</v>
      </c>
      <c r="AH2620" s="18" t="s">
        <v>52</v>
      </c>
      <c r="AI2620" s="18" t="s">
        <v>4474</v>
      </c>
      <c r="AJ2620">
        <v>0</v>
      </c>
      <c r="AK2620">
        <v>0</v>
      </c>
      <c r="AL2620">
        <v>0</v>
      </c>
      <c r="AM2620">
        <v>2</v>
      </c>
      <c r="AN2620" s="18" t="s">
        <v>52</v>
      </c>
      <c r="AO2620" s="18" t="s">
        <v>52</v>
      </c>
      <c r="AP2620" s="18" t="s">
        <v>52</v>
      </c>
      <c r="AQ2620" s="18">
        <v>0</v>
      </c>
      <c r="AR2620" s="29">
        <v>0</v>
      </c>
      <c r="AS2620" s="29">
        <v>0</v>
      </c>
      <c r="AT2620" s="29">
        <v>9</v>
      </c>
      <c r="AU2620" s="24" t="str">
        <f t="shared" si="41"/>
        <v>库存为9</v>
      </c>
      <c r="AV2620" s="31" t="str">
        <f>IFERROR(时间!$B$4+AU2620,"上周无销量")</f>
        <v>上周无销量</v>
      </c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74497" operator="between" text="库存为">
      <formula>NOT(ISERROR(SEARCH("库存为",AV2)))</formula>
    </cfRule>
    <cfRule type="cellIs" dxfId="1" priority="74498" operator="greaterThan">
      <formula>120</formula>
    </cfRule>
    <cfRule type="cellIs" dxfId="2" priority="74499" operator="lessThan">
      <formula>20</formula>
    </cfRule>
  </conditionalFormatting>
  <conditionalFormatting sqref="AU6">
    <cfRule type="cellIs" dxfId="2" priority="7845" operator="lessThan">
      <formula>20</formula>
    </cfRule>
    <cfRule type="cellIs" dxfId="1" priority="5230" operator="greaterThan">
      <formula>120</formula>
    </cfRule>
    <cfRule type="containsText" dxfId="0" priority="2615" operator="between" text="库存为">
      <formula>NOT(ISERROR(SEARCH("库存为",AU6)))</formula>
    </cfRule>
  </conditionalFormatting>
  <conditionalFormatting sqref="AU7">
    <cfRule type="cellIs" dxfId="2" priority="7844" operator="lessThan">
      <formula>20</formula>
    </cfRule>
    <cfRule type="cellIs" dxfId="1" priority="5229" operator="greaterThan">
      <formula>120</formula>
    </cfRule>
    <cfRule type="containsText" dxfId="0" priority="2614" operator="between" text="库存为">
      <formula>NOT(ISERROR(SEARCH("库存为",AU7)))</formula>
    </cfRule>
  </conditionalFormatting>
  <conditionalFormatting sqref="AU8">
    <cfRule type="cellIs" dxfId="2" priority="7843" operator="lessThan">
      <formula>20</formula>
    </cfRule>
    <cfRule type="cellIs" dxfId="1" priority="5228" operator="greaterThan">
      <formula>120</formula>
    </cfRule>
    <cfRule type="containsText" dxfId="0" priority="2613" operator="between" text="库存为">
      <formula>NOT(ISERROR(SEARCH("库存为",AU8)))</formula>
    </cfRule>
  </conditionalFormatting>
  <conditionalFormatting sqref="AU9">
    <cfRule type="cellIs" dxfId="2" priority="7842" operator="lessThan">
      <formula>20</formula>
    </cfRule>
    <cfRule type="cellIs" dxfId="1" priority="5227" operator="greaterThan">
      <formula>120</formula>
    </cfRule>
    <cfRule type="containsText" dxfId="0" priority="2612" operator="between" text="库存为">
      <formula>NOT(ISERROR(SEARCH("库存为",AU9)))</formula>
    </cfRule>
  </conditionalFormatting>
  <conditionalFormatting sqref="AU10">
    <cfRule type="cellIs" dxfId="2" priority="7841" operator="lessThan">
      <formula>20</formula>
    </cfRule>
    <cfRule type="cellIs" dxfId="1" priority="5226" operator="greaterThan">
      <formula>120</formula>
    </cfRule>
    <cfRule type="containsText" dxfId="0" priority="2611" operator="between" text="库存为">
      <formula>NOT(ISERROR(SEARCH("库存为",AU10)))</formula>
    </cfRule>
  </conditionalFormatting>
  <conditionalFormatting sqref="AU11">
    <cfRule type="cellIs" dxfId="2" priority="7840" operator="lessThan">
      <formula>20</formula>
    </cfRule>
    <cfRule type="cellIs" dxfId="1" priority="5225" operator="greaterThan">
      <formula>120</formula>
    </cfRule>
    <cfRule type="containsText" dxfId="0" priority="2610" operator="between" text="库存为">
      <formula>NOT(ISERROR(SEARCH("库存为",AU11)))</formula>
    </cfRule>
  </conditionalFormatting>
  <conditionalFormatting sqref="AU12">
    <cfRule type="cellIs" dxfId="2" priority="7839" operator="lessThan">
      <formula>20</formula>
    </cfRule>
    <cfRule type="cellIs" dxfId="1" priority="5224" operator="greaterThan">
      <formula>120</formula>
    </cfRule>
    <cfRule type="containsText" dxfId="0" priority="2609" operator="between" text="库存为">
      <formula>NOT(ISERROR(SEARCH("库存为",AU12)))</formula>
    </cfRule>
  </conditionalFormatting>
  <conditionalFormatting sqref="AU13">
    <cfRule type="cellIs" dxfId="2" priority="7838" operator="lessThan">
      <formula>20</formula>
    </cfRule>
    <cfRule type="cellIs" dxfId="1" priority="5223" operator="greaterThan">
      <formula>120</formula>
    </cfRule>
    <cfRule type="containsText" dxfId="0" priority="2608" operator="between" text="库存为">
      <formula>NOT(ISERROR(SEARCH("库存为",AU13)))</formula>
    </cfRule>
  </conditionalFormatting>
  <conditionalFormatting sqref="AU14">
    <cfRule type="cellIs" dxfId="2" priority="7837" operator="lessThan">
      <formula>20</formula>
    </cfRule>
    <cfRule type="cellIs" dxfId="1" priority="5222" operator="greaterThan">
      <formula>120</formula>
    </cfRule>
    <cfRule type="containsText" dxfId="0" priority="2607" operator="between" text="库存为">
      <formula>NOT(ISERROR(SEARCH("库存为",AU14)))</formula>
    </cfRule>
  </conditionalFormatting>
  <conditionalFormatting sqref="AU15">
    <cfRule type="cellIs" dxfId="2" priority="7836" operator="lessThan">
      <formula>20</formula>
    </cfRule>
    <cfRule type="cellIs" dxfId="1" priority="5221" operator="greaterThan">
      <formula>120</formula>
    </cfRule>
    <cfRule type="containsText" dxfId="0" priority="2606" operator="between" text="库存为">
      <formula>NOT(ISERROR(SEARCH("库存为",AU15)))</formula>
    </cfRule>
  </conditionalFormatting>
  <conditionalFormatting sqref="AU16">
    <cfRule type="cellIs" dxfId="2" priority="7835" operator="lessThan">
      <formula>20</formula>
    </cfRule>
    <cfRule type="cellIs" dxfId="1" priority="5220" operator="greaterThan">
      <formula>120</formula>
    </cfRule>
    <cfRule type="containsText" dxfId="0" priority="2605" operator="between" text="库存为">
      <formula>NOT(ISERROR(SEARCH("库存为",AU16)))</formula>
    </cfRule>
  </conditionalFormatting>
  <conditionalFormatting sqref="AU17">
    <cfRule type="cellIs" dxfId="2" priority="7834" operator="lessThan">
      <formula>20</formula>
    </cfRule>
    <cfRule type="cellIs" dxfId="1" priority="5219" operator="greaterThan">
      <formula>120</formula>
    </cfRule>
    <cfRule type="containsText" dxfId="0" priority="2604" operator="between" text="库存为">
      <formula>NOT(ISERROR(SEARCH("库存为",AU17)))</formula>
    </cfRule>
  </conditionalFormatting>
  <conditionalFormatting sqref="AU18">
    <cfRule type="cellIs" dxfId="2" priority="7833" operator="lessThan">
      <formula>20</formula>
    </cfRule>
    <cfRule type="cellIs" dxfId="1" priority="5218" operator="greaterThan">
      <formula>120</formula>
    </cfRule>
    <cfRule type="containsText" dxfId="0" priority="2603" operator="between" text="库存为">
      <formula>NOT(ISERROR(SEARCH("库存为",AU18)))</formula>
    </cfRule>
  </conditionalFormatting>
  <conditionalFormatting sqref="AU19">
    <cfRule type="cellIs" dxfId="2" priority="7832" operator="lessThan">
      <formula>20</formula>
    </cfRule>
    <cfRule type="cellIs" dxfId="1" priority="5217" operator="greaterThan">
      <formula>120</formula>
    </cfRule>
    <cfRule type="containsText" dxfId="0" priority="2602" operator="between" text="库存为">
      <formula>NOT(ISERROR(SEARCH("库存为",AU19)))</formula>
    </cfRule>
  </conditionalFormatting>
  <conditionalFormatting sqref="AU20">
    <cfRule type="cellIs" dxfId="2" priority="7831" operator="lessThan">
      <formula>20</formula>
    </cfRule>
    <cfRule type="cellIs" dxfId="1" priority="5216" operator="greaterThan">
      <formula>120</formula>
    </cfRule>
    <cfRule type="containsText" dxfId="0" priority="2601" operator="between" text="库存为">
      <formula>NOT(ISERROR(SEARCH("库存为",AU20)))</formula>
    </cfRule>
  </conditionalFormatting>
  <conditionalFormatting sqref="AU21">
    <cfRule type="cellIs" dxfId="2" priority="7830" operator="lessThan">
      <formula>20</formula>
    </cfRule>
    <cfRule type="cellIs" dxfId="1" priority="5215" operator="greaterThan">
      <formula>120</formula>
    </cfRule>
    <cfRule type="containsText" dxfId="0" priority="2600" operator="between" text="库存为">
      <formula>NOT(ISERROR(SEARCH("库存为",AU21)))</formula>
    </cfRule>
  </conditionalFormatting>
  <conditionalFormatting sqref="AU22">
    <cfRule type="cellIs" dxfId="2" priority="7829" operator="lessThan">
      <formula>20</formula>
    </cfRule>
    <cfRule type="cellIs" dxfId="1" priority="5214" operator="greaterThan">
      <formula>120</formula>
    </cfRule>
    <cfRule type="containsText" dxfId="0" priority="2599" operator="between" text="库存为">
      <formula>NOT(ISERROR(SEARCH("库存为",AU22)))</formula>
    </cfRule>
  </conditionalFormatting>
  <conditionalFormatting sqref="AU23">
    <cfRule type="cellIs" dxfId="2" priority="7828" operator="lessThan">
      <formula>20</formula>
    </cfRule>
    <cfRule type="cellIs" dxfId="1" priority="5213" operator="greaterThan">
      <formula>120</formula>
    </cfRule>
    <cfRule type="containsText" dxfId="0" priority="2598" operator="between" text="库存为">
      <formula>NOT(ISERROR(SEARCH("库存为",AU23)))</formula>
    </cfRule>
  </conditionalFormatting>
  <conditionalFormatting sqref="AU24">
    <cfRule type="cellIs" dxfId="2" priority="7827" operator="lessThan">
      <formula>20</formula>
    </cfRule>
    <cfRule type="cellIs" dxfId="1" priority="5212" operator="greaterThan">
      <formula>120</formula>
    </cfRule>
    <cfRule type="containsText" dxfId="0" priority="2597" operator="between" text="库存为">
      <formula>NOT(ISERROR(SEARCH("库存为",AU24)))</formula>
    </cfRule>
  </conditionalFormatting>
  <conditionalFormatting sqref="AU25">
    <cfRule type="cellIs" dxfId="2" priority="7826" operator="lessThan">
      <formula>20</formula>
    </cfRule>
    <cfRule type="cellIs" dxfId="1" priority="5211" operator="greaterThan">
      <formula>120</formula>
    </cfRule>
    <cfRule type="containsText" dxfId="0" priority="2596" operator="between" text="库存为">
      <formula>NOT(ISERROR(SEARCH("库存为",AU25)))</formula>
    </cfRule>
  </conditionalFormatting>
  <conditionalFormatting sqref="AU26">
    <cfRule type="cellIs" dxfId="2" priority="7825" operator="lessThan">
      <formula>20</formula>
    </cfRule>
    <cfRule type="cellIs" dxfId="1" priority="5210" operator="greaterThan">
      <formula>120</formula>
    </cfRule>
    <cfRule type="containsText" dxfId="0" priority="2595" operator="between" text="库存为">
      <formula>NOT(ISERROR(SEARCH("库存为",AU26)))</formula>
    </cfRule>
  </conditionalFormatting>
  <conditionalFormatting sqref="AU27">
    <cfRule type="cellIs" dxfId="2" priority="7824" operator="lessThan">
      <formula>20</formula>
    </cfRule>
    <cfRule type="cellIs" dxfId="1" priority="5209" operator="greaterThan">
      <formula>120</formula>
    </cfRule>
    <cfRule type="containsText" dxfId="0" priority="2594" operator="between" text="库存为">
      <formula>NOT(ISERROR(SEARCH("库存为",AU27)))</formula>
    </cfRule>
  </conditionalFormatting>
  <conditionalFormatting sqref="AU28">
    <cfRule type="cellIs" dxfId="2" priority="7823" operator="lessThan">
      <formula>20</formula>
    </cfRule>
    <cfRule type="cellIs" dxfId="1" priority="5208" operator="greaterThan">
      <formula>120</formula>
    </cfRule>
    <cfRule type="containsText" dxfId="0" priority="2593" operator="between" text="库存为">
      <formula>NOT(ISERROR(SEARCH("库存为",AU28)))</formula>
    </cfRule>
  </conditionalFormatting>
  <conditionalFormatting sqref="AU29">
    <cfRule type="cellIs" dxfId="2" priority="7822" operator="lessThan">
      <formula>20</formula>
    </cfRule>
    <cfRule type="cellIs" dxfId="1" priority="5207" operator="greaterThan">
      <formula>120</formula>
    </cfRule>
    <cfRule type="containsText" dxfId="0" priority="2592" operator="between" text="库存为">
      <formula>NOT(ISERROR(SEARCH("库存为",AU29)))</formula>
    </cfRule>
  </conditionalFormatting>
  <conditionalFormatting sqref="AU30">
    <cfRule type="cellIs" dxfId="2" priority="7821" operator="lessThan">
      <formula>20</formula>
    </cfRule>
    <cfRule type="cellIs" dxfId="1" priority="5206" operator="greaterThan">
      <formula>120</formula>
    </cfRule>
    <cfRule type="containsText" dxfId="0" priority="2591" operator="between" text="库存为">
      <formula>NOT(ISERROR(SEARCH("库存为",AU30)))</formula>
    </cfRule>
  </conditionalFormatting>
  <conditionalFormatting sqref="AU31">
    <cfRule type="cellIs" dxfId="2" priority="7820" operator="lessThan">
      <formula>20</formula>
    </cfRule>
    <cfRule type="cellIs" dxfId="1" priority="5205" operator="greaterThan">
      <formula>120</formula>
    </cfRule>
    <cfRule type="containsText" dxfId="0" priority="2590" operator="between" text="库存为">
      <formula>NOT(ISERROR(SEARCH("库存为",AU31)))</formula>
    </cfRule>
  </conditionalFormatting>
  <conditionalFormatting sqref="AU32">
    <cfRule type="cellIs" dxfId="2" priority="7819" operator="lessThan">
      <formula>20</formula>
    </cfRule>
    <cfRule type="cellIs" dxfId="1" priority="5204" operator="greaterThan">
      <formula>120</formula>
    </cfRule>
    <cfRule type="containsText" dxfId="0" priority="2589" operator="between" text="库存为">
      <formula>NOT(ISERROR(SEARCH("库存为",AU32)))</formula>
    </cfRule>
  </conditionalFormatting>
  <conditionalFormatting sqref="AU33">
    <cfRule type="cellIs" dxfId="2" priority="7818" operator="lessThan">
      <formula>20</formula>
    </cfRule>
    <cfRule type="cellIs" dxfId="1" priority="5203" operator="greaterThan">
      <formula>120</formula>
    </cfRule>
    <cfRule type="containsText" dxfId="0" priority="2588" operator="between" text="库存为">
      <formula>NOT(ISERROR(SEARCH("库存为",AU33)))</formula>
    </cfRule>
  </conditionalFormatting>
  <conditionalFormatting sqref="AU34">
    <cfRule type="cellIs" dxfId="2" priority="7817" operator="lessThan">
      <formula>20</formula>
    </cfRule>
    <cfRule type="cellIs" dxfId="1" priority="5202" operator="greaterThan">
      <formula>120</formula>
    </cfRule>
    <cfRule type="containsText" dxfId="0" priority="2587" operator="between" text="库存为">
      <formula>NOT(ISERROR(SEARCH("库存为",AU34)))</formula>
    </cfRule>
  </conditionalFormatting>
  <conditionalFormatting sqref="AU35">
    <cfRule type="cellIs" dxfId="2" priority="7816" operator="lessThan">
      <formula>20</formula>
    </cfRule>
    <cfRule type="cellIs" dxfId="1" priority="5201" operator="greaterThan">
      <formula>120</formula>
    </cfRule>
    <cfRule type="containsText" dxfId="0" priority="2586" operator="between" text="库存为">
      <formula>NOT(ISERROR(SEARCH("库存为",AU35)))</formula>
    </cfRule>
  </conditionalFormatting>
  <conditionalFormatting sqref="AU36">
    <cfRule type="cellIs" dxfId="2" priority="7815" operator="lessThan">
      <formula>20</formula>
    </cfRule>
    <cfRule type="cellIs" dxfId="1" priority="5200" operator="greaterThan">
      <formula>120</formula>
    </cfRule>
    <cfRule type="containsText" dxfId="0" priority="2585" operator="between" text="库存为">
      <formula>NOT(ISERROR(SEARCH("库存为",AU36)))</formula>
    </cfRule>
  </conditionalFormatting>
  <conditionalFormatting sqref="AU37">
    <cfRule type="cellIs" dxfId="2" priority="7814" operator="lessThan">
      <formula>20</formula>
    </cfRule>
    <cfRule type="cellIs" dxfId="1" priority="5199" operator="greaterThan">
      <formula>120</formula>
    </cfRule>
    <cfRule type="containsText" dxfId="0" priority="2584" operator="between" text="库存为">
      <formula>NOT(ISERROR(SEARCH("库存为",AU37)))</formula>
    </cfRule>
  </conditionalFormatting>
  <conditionalFormatting sqref="AU38">
    <cfRule type="cellIs" dxfId="2" priority="7813" operator="lessThan">
      <formula>20</formula>
    </cfRule>
    <cfRule type="cellIs" dxfId="1" priority="5198" operator="greaterThan">
      <formula>120</formula>
    </cfRule>
    <cfRule type="containsText" dxfId="0" priority="2583" operator="between" text="库存为">
      <formula>NOT(ISERROR(SEARCH("库存为",AU38)))</formula>
    </cfRule>
  </conditionalFormatting>
  <conditionalFormatting sqref="AU39">
    <cfRule type="cellIs" dxfId="2" priority="7812" operator="lessThan">
      <formula>20</formula>
    </cfRule>
    <cfRule type="cellIs" dxfId="1" priority="5197" operator="greaterThan">
      <formula>120</formula>
    </cfRule>
    <cfRule type="containsText" dxfId="0" priority="2582" operator="between" text="库存为">
      <formula>NOT(ISERROR(SEARCH("库存为",AU39)))</formula>
    </cfRule>
  </conditionalFormatting>
  <conditionalFormatting sqref="AU40">
    <cfRule type="cellIs" dxfId="2" priority="7811" operator="lessThan">
      <formula>20</formula>
    </cfRule>
    <cfRule type="cellIs" dxfId="1" priority="5196" operator="greaterThan">
      <formula>120</formula>
    </cfRule>
    <cfRule type="containsText" dxfId="0" priority="2581" operator="between" text="库存为">
      <formula>NOT(ISERROR(SEARCH("库存为",AU40)))</formula>
    </cfRule>
  </conditionalFormatting>
  <conditionalFormatting sqref="AU41">
    <cfRule type="cellIs" dxfId="2" priority="7810" operator="lessThan">
      <formula>20</formula>
    </cfRule>
    <cfRule type="cellIs" dxfId="1" priority="5195" operator="greaterThan">
      <formula>120</formula>
    </cfRule>
    <cfRule type="containsText" dxfId="0" priority="2580" operator="between" text="库存为">
      <formula>NOT(ISERROR(SEARCH("库存为",AU41)))</formula>
    </cfRule>
  </conditionalFormatting>
  <conditionalFormatting sqref="AU42">
    <cfRule type="cellIs" dxfId="2" priority="7809" operator="lessThan">
      <formula>20</formula>
    </cfRule>
    <cfRule type="cellIs" dxfId="1" priority="5194" operator="greaterThan">
      <formula>120</formula>
    </cfRule>
    <cfRule type="containsText" dxfId="0" priority="2579" operator="between" text="库存为">
      <formula>NOT(ISERROR(SEARCH("库存为",AU42)))</formula>
    </cfRule>
  </conditionalFormatting>
  <conditionalFormatting sqref="AU43">
    <cfRule type="cellIs" dxfId="2" priority="7808" operator="lessThan">
      <formula>20</formula>
    </cfRule>
    <cfRule type="cellIs" dxfId="1" priority="5193" operator="greaterThan">
      <formula>120</formula>
    </cfRule>
    <cfRule type="containsText" dxfId="0" priority="2578" operator="between" text="库存为">
      <formula>NOT(ISERROR(SEARCH("库存为",AU43)))</formula>
    </cfRule>
  </conditionalFormatting>
  <conditionalFormatting sqref="AU44">
    <cfRule type="cellIs" dxfId="2" priority="7807" operator="lessThan">
      <formula>20</formula>
    </cfRule>
    <cfRule type="cellIs" dxfId="1" priority="5192" operator="greaterThan">
      <formula>120</formula>
    </cfRule>
    <cfRule type="containsText" dxfId="0" priority="2577" operator="between" text="库存为">
      <formula>NOT(ISERROR(SEARCH("库存为",AU44)))</formula>
    </cfRule>
  </conditionalFormatting>
  <conditionalFormatting sqref="AU45">
    <cfRule type="cellIs" dxfId="2" priority="7806" operator="lessThan">
      <formula>20</formula>
    </cfRule>
    <cfRule type="cellIs" dxfId="1" priority="5191" operator="greaterThan">
      <formula>120</formula>
    </cfRule>
    <cfRule type="containsText" dxfId="0" priority="2576" operator="between" text="库存为">
      <formula>NOT(ISERROR(SEARCH("库存为",AU45)))</formula>
    </cfRule>
  </conditionalFormatting>
  <conditionalFormatting sqref="AU46">
    <cfRule type="cellIs" dxfId="2" priority="7805" operator="lessThan">
      <formula>20</formula>
    </cfRule>
    <cfRule type="cellIs" dxfId="1" priority="5190" operator="greaterThan">
      <formula>120</formula>
    </cfRule>
    <cfRule type="containsText" dxfId="0" priority="2575" operator="between" text="库存为">
      <formula>NOT(ISERROR(SEARCH("库存为",AU46)))</formula>
    </cfRule>
  </conditionalFormatting>
  <conditionalFormatting sqref="AU47">
    <cfRule type="cellIs" dxfId="2" priority="7804" operator="lessThan">
      <formula>20</formula>
    </cfRule>
    <cfRule type="cellIs" dxfId="1" priority="5189" operator="greaterThan">
      <formula>120</formula>
    </cfRule>
    <cfRule type="containsText" dxfId="0" priority="2574" operator="between" text="库存为">
      <formula>NOT(ISERROR(SEARCH("库存为",AU47)))</formula>
    </cfRule>
  </conditionalFormatting>
  <conditionalFormatting sqref="AU48">
    <cfRule type="cellIs" dxfId="2" priority="7803" operator="lessThan">
      <formula>20</formula>
    </cfRule>
    <cfRule type="cellIs" dxfId="1" priority="5188" operator="greaterThan">
      <formula>120</formula>
    </cfRule>
    <cfRule type="containsText" dxfId="0" priority="2573" operator="between" text="库存为">
      <formula>NOT(ISERROR(SEARCH("库存为",AU48)))</formula>
    </cfRule>
  </conditionalFormatting>
  <conditionalFormatting sqref="AU49">
    <cfRule type="cellIs" dxfId="2" priority="7802" operator="lessThan">
      <formula>20</formula>
    </cfRule>
    <cfRule type="cellIs" dxfId="1" priority="5187" operator="greaterThan">
      <formula>120</formula>
    </cfRule>
    <cfRule type="containsText" dxfId="0" priority="2572" operator="between" text="库存为">
      <formula>NOT(ISERROR(SEARCH("库存为",AU49)))</formula>
    </cfRule>
  </conditionalFormatting>
  <conditionalFormatting sqref="AU50">
    <cfRule type="cellIs" dxfId="2" priority="7801" operator="lessThan">
      <formula>20</formula>
    </cfRule>
    <cfRule type="cellIs" dxfId="1" priority="5186" operator="greaterThan">
      <formula>120</formula>
    </cfRule>
    <cfRule type="containsText" dxfId="0" priority="2571" operator="between" text="库存为">
      <formula>NOT(ISERROR(SEARCH("库存为",AU50)))</formula>
    </cfRule>
  </conditionalFormatting>
  <conditionalFormatting sqref="AU51">
    <cfRule type="cellIs" dxfId="2" priority="7800" operator="lessThan">
      <formula>20</formula>
    </cfRule>
    <cfRule type="cellIs" dxfId="1" priority="5185" operator="greaterThan">
      <formula>120</formula>
    </cfRule>
    <cfRule type="containsText" dxfId="0" priority="2570" operator="between" text="库存为">
      <formula>NOT(ISERROR(SEARCH("库存为",AU51)))</formula>
    </cfRule>
  </conditionalFormatting>
  <conditionalFormatting sqref="AU52">
    <cfRule type="cellIs" dxfId="2" priority="7799" operator="lessThan">
      <formula>20</formula>
    </cfRule>
    <cfRule type="cellIs" dxfId="1" priority="5184" operator="greaterThan">
      <formula>120</formula>
    </cfRule>
    <cfRule type="containsText" dxfId="0" priority="2569" operator="between" text="库存为">
      <formula>NOT(ISERROR(SEARCH("库存为",AU52)))</formula>
    </cfRule>
  </conditionalFormatting>
  <conditionalFormatting sqref="AU53">
    <cfRule type="cellIs" dxfId="2" priority="7798" operator="lessThan">
      <formula>20</formula>
    </cfRule>
    <cfRule type="cellIs" dxfId="1" priority="5183" operator="greaterThan">
      <formula>120</formula>
    </cfRule>
    <cfRule type="containsText" dxfId="0" priority="2568" operator="between" text="库存为">
      <formula>NOT(ISERROR(SEARCH("库存为",AU53)))</formula>
    </cfRule>
  </conditionalFormatting>
  <conditionalFormatting sqref="AU54">
    <cfRule type="cellIs" dxfId="2" priority="7797" operator="lessThan">
      <formula>20</formula>
    </cfRule>
    <cfRule type="cellIs" dxfId="1" priority="5182" operator="greaterThan">
      <formula>120</formula>
    </cfRule>
    <cfRule type="containsText" dxfId="0" priority="2567" operator="between" text="库存为">
      <formula>NOT(ISERROR(SEARCH("库存为",AU54)))</formula>
    </cfRule>
  </conditionalFormatting>
  <conditionalFormatting sqref="AU55">
    <cfRule type="cellIs" dxfId="2" priority="7796" operator="lessThan">
      <formula>20</formula>
    </cfRule>
    <cfRule type="cellIs" dxfId="1" priority="5181" operator="greaterThan">
      <formula>120</formula>
    </cfRule>
    <cfRule type="containsText" dxfId="0" priority="2566" operator="between" text="库存为">
      <formula>NOT(ISERROR(SEARCH("库存为",AU55)))</formula>
    </cfRule>
  </conditionalFormatting>
  <conditionalFormatting sqref="AU56">
    <cfRule type="cellIs" dxfId="2" priority="7795" operator="lessThan">
      <formula>20</formula>
    </cfRule>
    <cfRule type="cellIs" dxfId="1" priority="5180" operator="greaterThan">
      <formula>120</formula>
    </cfRule>
    <cfRule type="containsText" dxfId="0" priority="2565" operator="between" text="库存为">
      <formula>NOT(ISERROR(SEARCH("库存为",AU56)))</formula>
    </cfRule>
  </conditionalFormatting>
  <conditionalFormatting sqref="AU57">
    <cfRule type="cellIs" dxfId="2" priority="7794" operator="lessThan">
      <formula>20</formula>
    </cfRule>
    <cfRule type="cellIs" dxfId="1" priority="5179" operator="greaterThan">
      <formula>120</formula>
    </cfRule>
    <cfRule type="containsText" dxfId="0" priority="2564" operator="between" text="库存为">
      <formula>NOT(ISERROR(SEARCH("库存为",AU57)))</formula>
    </cfRule>
  </conditionalFormatting>
  <conditionalFormatting sqref="AU58">
    <cfRule type="cellIs" dxfId="2" priority="7793" operator="lessThan">
      <formula>20</formula>
    </cfRule>
    <cfRule type="cellIs" dxfId="1" priority="5178" operator="greaterThan">
      <formula>120</formula>
    </cfRule>
    <cfRule type="containsText" dxfId="0" priority="2563" operator="between" text="库存为">
      <formula>NOT(ISERROR(SEARCH("库存为",AU58)))</formula>
    </cfRule>
  </conditionalFormatting>
  <conditionalFormatting sqref="AU59">
    <cfRule type="cellIs" dxfId="2" priority="7792" operator="lessThan">
      <formula>20</formula>
    </cfRule>
    <cfRule type="cellIs" dxfId="1" priority="5177" operator="greaterThan">
      <formula>120</formula>
    </cfRule>
    <cfRule type="containsText" dxfId="0" priority="2562" operator="between" text="库存为">
      <formula>NOT(ISERROR(SEARCH("库存为",AU59)))</formula>
    </cfRule>
  </conditionalFormatting>
  <conditionalFormatting sqref="AU60">
    <cfRule type="cellIs" dxfId="2" priority="7791" operator="lessThan">
      <formula>20</formula>
    </cfRule>
    <cfRule type="cellIs" dxfId="1" priority="5176" operator="greaterThan">
      <formula>120</formula>
    </cfRule>
    <cfRule type="containsText" dxfId="0" priority="2561" operator="between" text="库存为">
      <formula>NOT(ISERROR(SEARCH("库存为",AU60)))</formula>
    </cfRule>
  </conditionalFormatting>
  <conditionalFormatting sqref="AU61">
    <cfRule type="cellIs" dxfId="2" priority="7790" operator="lessThan">
      <formula>20</formula>
    </cfRule>
    <cfRule type="cellIs" dxfId="1" priority="5175" operator="greaterThan">
      <formula>120</formula>
    </cfRule>
    <cfRule type="containsText" dxfId="0" priority="2560" operator="between" text="库存为">
      <formula>NOT(ISERROR(SEARCH("库存为",AU61)))</formula>
    </cfRule>
  </conditionalFormatting>
  <conditionalFormatting sqref="AU62">
    <cfRule type="cellIs" dxfId="2" priority="7789" operator="lessThan">
      <formula>20</formula>
    </cfRule>
    <cfRule type="cellIs" dxfId="1" priority="5174" operator="greaterThan">
      <formula>120</formula>
    </cfRule>
    <cfRule type="containsText" dxfId="0" priority="2559" operator="between" text="库存为">
      <formula>NOT(ISERROR(SEARCH("库存为",AU62)))</formula>
    </cfRule>
  </conditionalFormatting>
  <conditionalFormatting sqref="AU63">
    <cfRule type="cellIs" dxfId="2" priority="7788" operator="lessThan">
      <formula>20</formula>
    </cfRule>
    <cfRule type="cellIs" dxfId="1" priority="5173" operator="greaterThan">
      <formula>120</formula>
    </cfRule>
    <cfRule type="containsText" dxfId="0" priority="2558" operator="between" text="库存为">
      <formula>NOT(ISERROR(SEARCH("库存为",AU63)))</formula>
    </cfRule>
  </conditionalFormatting>
  <conditionalFormatting sqref="AU64">
    <cfRule type="cellIs" dxfId="2" priority="7787" operator="lessThan">
      <formula>20</formula>
    </cfRule>
    <cfRule type="cellIs" dxfId="1" priority="5172" operator="greaterThan">
      <formula>120</formula>
    </cfRule>
    <cfRule type="containsText" dxfId="0" priority="2557" operator="between" text="库存为">
      <formula>NOT(ISERROR(SEARCH("库存为",AU64)))</formula>
    </cfRule>
  </conditionalFormatting>
  <conditionalFormatting sqref="AU65">
    <cfRule type="cellIs" dxfId="2" priority="7786" operator="lessThan">
      <formula>20</formula>
    </cfRule>
    <cfRule type="cellIs" dxfId="1" priority="5171" operator="greaterThan">
      <formula>120</formula>
    </cfRule>
    <cfRule type="containsText" dxfId="0" priority="2556" operator="between" text="库存为">
      <formula>NOT(ISERROR(SEARCH("库存为",AU65)))</formula>
    </cfRule>
  </conditionalFormatting>
  <conditionalFormatting sqref="AU66">
    <cfRule type="cellIs" dxfId="2" priority="7785" operator="lessThan">
      <formula>20</formula>
    </cfRule>
    <cfRule type="cellIs" dxfId="1" priority="5170" operator="greaterThan">
      <formula>120</formula>
    </cfRule>
    <cfRule type="containsText" dxfId="0" priority="2555" operator="between" text="库存为">
      <formula>NOT(ISERROR(SEARCH("库存为",AU66)))</formula>
    </cfRule>
  </conditionalFormatting>
  <conditionalFormatting sqref="AU67">
    <cfRule type="cellIs" dxfId="2" priority="7784" operator="lessThan">
      <formula>20</formula>
    </cfRule>
    <cfRule type="cellIs" dxfId="1" priority="5169" operator="greaterThan">
      <formula>120</formula>
    </cfRule>
    <cfRule type="containsText" dxfId="0" priority="2554" operator="between" text="库存为">
      <formula>NOT(ISERROR(SEARCH("库存为",AU67)))</formula>
    </cfRule>
  </conditionalFormatting>
  <conditionalFormatting sqref="AU68">
    <cfRule type="cellIs" dxfId="2" priority="7783" operator="lessThan">
      <formula>20</formula>
    </cfRule>
    <cfRule type="cellIs" dxfId="1" priority="5168" operator="greaterThan">
      <formula>120</formula>
    </cfRule>
    <cfRule type="containsText" dxfId="0" priority="2553" operator="between" text="库存为">
      <formula>NOT(ISERROR(SEARCH("库存为",AU68)))</formula>
    </cfRule>
  </conditionalFormatting>
  <conditionalFormatting sqref="AU69">
    <cfRule type="cellIs" dxfId="2" priority="7782" operator="lessThan">
      <formula>20</formula>
    </cfRule>
    <cfRule type="cellIs" dxfId="1" priority="5167" operator="greaterThan">
      <formula>120</formula>
    </cfRule>
    <cfRule type="containsText" dxfId="0" priority="2552" operator="between" text="库存为">
      <formula>NOT(ISERROR(SEARCH("库存为",AU69)))</formula>
    </cfRule>
  </conditionalFormatting>
  <conditionalFormatting sqref="AU70">
    <cfRule type="cellIs" dxfId="2" priority="7781" operator="lessThan">
      <formula>20</formula>
    </cfRule>
    <cfRule type="cellIs" dxfId="1" priority="5166" operator="greaterThan">
      <formula>120</formula>
    </cfRule>
    <cfRule type="containsText" dxfId="0" priority="2551" operator="between" text="库存为">
      <formula>NOT(ISERROR(SEARCH("库存为",AU70)))</formula>
    </cfRule>
  </conditionalFormatting>
  <conditionalFormatting sqref="AU71">
    <cfRule type="cellIs" dxfId="2" priority="7780" operator="lessThan">
      <formula>20</formula>
    </cfRule>
    <cfRule type="cellIs" dxfId="1" priority="5165" operator="greaterThan">
      <formula>120</formula>
    </cfRule>
    <cfRule type="containsText" dxfId="0" priority="2550" operator="between" text="库存为">
      <formula>NOT(ISERROR(SEARCH("库存为",AU71)))</formula>
    </cfRule>
  </conditionalFormatting>
  <conditionalFormatting sqref="AU72">
    <cfRule type="cellIs" dxfId="2" priority="7779" operator="lessThan">
      <formula>20</formula>
    </cfRule>
    <cfRule type="cellIs" dxfId="1" priority="5164" operator="greaterThan">
      <formula>120</formula>
    </cfRule>
    <cfRule type="containsText" dxfId="0" priority="2549" operator="between" text="库存为">
      <formula>NOT(ISERROR(SEARCH("库存为",AU72)))</formula>
    </cfRule>
  </conditionalFormatting>
  <conditionalFormatting sqref="AU73">
    <cfRule type="cellIs" dxfId="2" priority="7778" operator="lessThan">
      <formula>20</formula>
    </cfRule>
    <cfRule type="cellIs" dxfId="1" priority="5163" operator="greaterThan">
      <formula>120</formula>
    </cfRule>
    <cfRule type="containsText" dxfId="0" priority="2548" operator="between" text="库存为">
      <formula>NOT(ISERROR(SEARCH("库存为",AU73)))</formula>
    </cfRule>
  </conditionalFormatting>
  <conditionalFormatting sqref="AU74">
    <cfRule type="cellIs" dxfId="2" priority="7777" operator="lessThan">
      <formula>20</formula>
    </cfRule>
    <cfRule type="cellIs" dxfId="1" priority="5162" operator="greaterThan">
      <formula>120</formula>
    </cfRule>
    <cfRule type="containsText" dxfId="0" priority="2547" operator="between" text="库存为">
      <formula>NOT(ISERROR(SEARCH("库存为",AU74)))</formula>
    </cfRule>
  </conditionalFormatting>
  <conditionalFormatting sqref="AU75">
    <cfRule type="cellIs" dxfId="2" priority="7776" operator="lessThan">
      <formula>20</formula>
    </cfRule>
    <cfRule type="cellIs" dxfId="1" priority="5161" operator="greaterThan">
      <formula>120</formula>
    </cfRule>
    <cfRule type="containsText" dxfId="0" priority="2546" operator="between" text="库存为">
      <formula>NOT(ISERROR(SEARCH("库存为",AU75)))</formula>
    </cfRule>
  </conditionalFormatting>
  <conditionalFormatting sqref="AU76">
    <cfRule type="cellIs" dxfId="2" priority="7775" operator="lessThan">
      <formula>20</formula>
    </cfRule>
    <cfRule type="cellIs" dxfId="1" priority="5160" operator="greaterThan">
      <formula>120</formula>
    </cfRule>
    <cfRule type="containsText" dxfId="0" priority="2545" operator="between" text="库存为">
      <formula>NOT(ISERROR(SEARCH("库存为",AU76)))</formula>
    </cfRule>
  </conditionalFormatting>
  <conditionalFormatting sqref="AU77">
    <cfRule type="cellIs" dxfId="2" priority="7774" operator="lessThan">
      <formula>20</formula>
    </cfRule>
    <cfRule type="cellIs" dxfId="1" priority="5159" operator="greaterThan">
      <formula>120</formula>
    </cfRule>
    <cfRule type="containsText" dxfId="0" priority="2544" operator="between" text="库存为">
      <formula>NOT(ISERROR(SEARCH("库存为",AU77)))</formula>
    </cfRule>
  </conditionalFormatting>
  <conditionalFormatting sqref="AU78">
    <cfRule type="cellIs" dxfId="2" priority="7773" operator="lessThan">
      <formula>20</formula>
    </cfRule>
    <cfRule type="cellIs" dxfId="1" priority="5158" operator="greaterThan">
      <formula>120</formula>
    </cfRule>
    <cfRule type="containsText" dxfId="0" priority="2543" operator="between" text="库存为">
      <formula>NOT(ISERROR(SEARCH("库存为",AU78)))</formula>
    </cfRule>
  </conditionalFormatting>
  <conditionalFormatting sqref="AU79">
    <cfRule type="cellIs" dxfId="2" priority="7772" operator="lessThan">
      <formula>20</formula>
    </cfRule>
    <cfRule type="cellIs" dxfId="1" priority="5157" operator="greaterThan">
      <formula>120</formula>
    </cfRule>
    <cfRule type="containsText" dxfId="0" priority="2542" operator="between" text="库存为">
      <formula>NOT(ISERROR(SEARCH("库存为",AU79)))</formula>
    </cfRule>
  </conditionalFormatting>
  <conditionalFormatting sqref="AU80">
    <cfRule type="cellIs" dxfId="2" priority="7771" operator="lessThan">
      <formula>20</formula>
    </cfRule>
    <cfRule type="cellIs" dxfId="1" priority="5156" operator="greaterThan">
      <formula>120</formula>
    </cfRule>
    <cfRule type="containsText" dxfId="0" priority="2541" operator="between" text="库存为">
      <formula>NOT(ISERROR(SEARCH("库存为",AU80)))</formula>
    </cfRule>
  </conditionalFormatting>
  <conditionalFormatting sqref="AU81">
    <cfRule type="cellIs" dxfId="2" priority="7770" operator="lessThan">
      <formula>20</formula>
    </cfRule>
    <cfRule type="cellIs" dxfId="1" priority="5155" operator="greaterThan">
      <formula>120</formula>
    </cfRule>
    <cfRule type="containsText" dxfId="0" priority="2540" operator="between" text="库存为">
      <formula>NOT(ISERROR(SEARCH("库存为",AU81)))</formula>
    </cfRule>
  </conditionalFormatting>
  <conditionalFormatting sqref="AU82">
    <cfRule type="cellIs" dxfId="2" priority="7769" operator="lessThan">
      <formula>20</formula>
    </cfRule>
    <cfRule type="cellIs" dxfId="1" priority="5154" operator="greaterThan">
      <formula>120</formula>
    </cfRule>
    <cfRule type="containsText" dxfId="0" priority="2539" operator="between" text="库存为">
      <formula>NOT(ISERROR(SEARCH("库存为",AU82)))</formula>
    </cfRule>
  </conditionalFormatting>
  <conditionalFormatting sqref="AU83">
    <cfRule type="cellIs" dxfId="2" priority="7768" operator="lessThan">
      <formula>20</formula>
    </cfRule>
    <cfRule type="cellIs" dxfId="1" priority="5153" operator="greaterThan">
      <formula>120</formula>
    </cfRule>
    <cfRule type="containsText" dxfId="0" priority="2538" operator="between" text="库存为">
      <formula>NOT(ISERROR(SEARCH("库存为",AU83)))</formula>
    </cfRule>
  </conditionalFormatting>
  <conditionalFormatting sqref="AU84">
    <cfRule type="cellIs" dxfId="2" priority="7767" operator="lessThan">
      <formula>20</formula>
    </cfRule>
    <cfRule type="cellIs" dxfId="1" priority="5152" operator="greaterThan">
      <formula>120</formula>
    </cfRule>
    <cfRule type="containsText" dxfId="0" priority="2537" operator="between" text="库存为">
      <formula>NOT(ISERROR(SEARCH("库存为",AU84)))</formula>
    </cfRule>
  </conditionalFormatting>
  <conditionalFormatting sqref="AU85">
    <cfRule type="cellIs" dxfId="2" priority="7766" operator="lessThan">
      <formula>20</formula>
    </cfRule>
    <cfRule type="cellIs" dxfId="1" priority="5151" operator="greaterThan">
      <formula>120</formula>
    </cfRule>
    <cfRule type="containsText" dxfId="0" priority="2536" operator="between" text="库存为">
      <formula>NOT(ISERROR(SEARCH("库存为",AU85)))</formula>
    </cfRule>
  </conditionalFormatting>
  <conditionalFormatting sqref="AU86">
    <cfRule type="cellIs" dxfId="2" priority="7765" operator="lessThan">
      <formula>20</formula>
    </cfRule>
    <cfRule type="cellIs" dxfId="1" priority="5150" operator="greaterThan">
      <formula>120</formula>
    </cfRule>
    <cfRule type="containsText" dxfId="0" priority="2535" operator="between" text="库存为">
      <formula>NOT(ISERROR(SEARCH("库存为",AU86)))</formula>
    </cfRule>
  </conditionalFormatting>
  <conditionalFormatting sqref="AU87">
    <cfRule type="cellIs" dxfId="2" priority="7764" operator="lessThan">
      <formula>20</formula>
    </cfRule>
    <cfRule type="cellIs" dxfId="1" priority="5149" operator="greaterThan">
      <formula>120</formula>
    </cfRule>
    <cfRule type="containsText" dxfId="0" priority="2534" operator="between" text="库存为">
      <formula>NOT(ISERROR(SEARCH("库存为",AU87)))</formula>
    </cfRule>
  </conditionalFormatting>
  <conditionalFormatting sqref="AU88">
    <cfRule type="cellIs" dxfId="2" priority="7763" operator="lessThan">
      <formula>20</formula>
    </cfRule>
    <cfRule type="cellIs" dxfId="1" priority="5148" operator="greaterThan">
      <formula>120</formula>
    </cfRule>
    <cfRule type="containsText" dxfId="0" priority="2533" operator="between" text="库存为">
      <formula>NOT(ISERROR(SEARCH("库存为",AU88)))</formula>
    </cfRule>
  </conditionalFormatting>
  <conditionalFormatting sqref="AU89">
    <cfRule type="cellIs" dxfId="2" priority="7762" operator="lessThan">
      <formula>20</formula>
    </cfRule>
    <cfRule type="cellIs" dxfId="1" priority="5147" operator="greaterThan">
      <formula>120</formula>
    </cfRule>
    <cfRule type="containsText" dxfId="0" priority="2532" operator="between" text="库存为">
      <formula>NOT(ISERROR(SEARCH("库存为",AU89)))</formula>
    </cfRule>
  </conditionalFormatting>
  <conditionalFormatting sqref="AU90">
    <cfRule type="cellIs" dxfId="2" priority="7761" operator="lessThan">
      <formula>20</formula>
    </cfRule>
    <cfRule type="cellIs" dxfId="1" priority="5146" operator="greaterThan">
      <formula>120</formula>
    </cfRule>
    <cfRule type="containsText" dxfId="0" priority="2531" operator="between" text="库存为">
      <formula>NOT(ISERROR(SEARCH("库存为",AU90)))</formula>
    </cfRule>
  </conditionalFormatting>
  <conditionalFormatting sqref="AU91">
    <cfRule type="cellIs" dxfId="2" priority="7760" operator="lessThan">
      <formula>20</formula>
    </cfRule>
    <cfRule type="cellIs" dxfId="1" priority="5145" operator="greaterThan">
      <formula>120</formula>
    </cfRule>
    <cfRule type="containsText" dxfId="0" priority="2530" operator="between" text="库存为">
      <formula>NOT(ISERROR(SEARCH("库存为",AU91)))</formula>
    </cfRule>
  </conditionalFormatting>
  <conditionalFormatting sqref="AU92">
    <cfRule type="cellIs" dxfId="2" priority="7759" operator="lessThan">
      <formula>20</formula>
    </cfRule>
    <cfRule type="cellIs" dxfId="1" priority="5144" operator="greaterThan">
      <formula>120</formula>
    </cfRule>
    <cfRule type="containsText" dxfId="0" priority="2529" operator="between" text="库存为">
      <formula>NOT(ISERROR(SEARCH("库存为",AU92)))</formula>
    </cfRule>
  </conditionalFormatting>
  <conditionalFormatting sqref="AU93">
    <cfRule type="cellIs" dxfId="2" priority="7758" operator="lessThan">
      <formula>20</formula>
    </cfRule>
    <cfRule type="cellIs" dxfId="1" priority="5143" operator="greaterThan">
      <formula>120</formula>
    </cfRule>
    <cfRule type="containsText" dxfId="0" priority="2528" operator="between" text="库存为">
      <formula>NOT(ISERROR(SEARCH("库存为",AU93)))</formula>
    </cfRule>
  </conditionalFormatting>
  <conditionalFormatting sqref="AU94">
    <cfRule type="cellIs" dxfId="2" priority="7757" operator="lessThan">
      <formula>20</formula>
    </cfRule>
    <cfRule type="cellIs" dxfId="1" priority="5142" operator="greaterThan">
      <formula>120</formula>
    </cfRule>
    <cfRule type="containsText" dxfId="0" priority="2527" operator="between" text="库存为">
      <formula>NOT(ISERROR(SEARCH("库存为",AU94)))</formula>
    </cfRule>
  </conditionalFormatting>
  <conditionalFormatting sqref="AU95">
    <cfRule type="cellIs" dxfId="2" priority="7756" operator="lessThan">
      <formula>20</formula>
    </cfRule>
    <cfRule type="cellIs" dxfId="1" priority="5141" operator="greaterThan">
      <formula>120</formula>
    </cfRule>
    <cfRule type="containsText" dxfId="0" priority="2526" operator="between" text="库存为">
      <formula>NOT(ISERROR(SEARCH("库存为",AU95)))</formula>
    </cfRule>
  </conditionalFormatting>
  <conditionalFormatting sqref="AU96">
    <cfRule type="cellIs" dxfId="2" priority="7755" operator="lessThan">
      <formula>20</formula>
    </cfRule>
    <cfRule type="cellIs" dxfId="1" priority="5140" operator="greaterThan">
      <formula>120</formula>
    </cfRule>
    <cfRule type="containsText" dxfId="0" priority="2525" operator="between" text="库存为">
      <formula>NOT(ISERROR(SEARCH("库存为",AU96)))</formula>
    </cfRule>
  </conditionalFormatting>
  <conditionalFormatting sqref="AU97">
    <cfRule type="cellIs" dxfId="2" priority="7754" operator="lessThan">
      <formula>20</formula>
    </cfRule>
    <cfRule type="cellIs" dxfId="1" priority="5139" operator="greaterThan">
      <formula>120</formula>
    </cfRule>
    <cfRule type="containsText" dxfId="0" priority="2524" operator="between" text="库存为">
      <formula>NOT(ISERROR(SEARCH("库存为",AU97)))</formula>
    </cfRule>
  </conditionalFormatting>
  <conditionalFormatting sqref="AU98">
    <cfRule type="cellIs" dxfId="2" priority="7753" operator="lessThan">
      <formula>20</formula>
    </cfRule>
    <cfRule type="cellIs" dxfId="1" priority="5138" operator="greaterThan">
      <formula>120</formula>
    </cfRule>
    <cfRule type="containsText" dxfId="0" priority="2523" operator="between" text="库存为">
      <formula>NOT(ISERROR(SEARCH("库存为",AU98)))</formula>
    </cfRule>
  </conditionalFormatting>
  <conditionalFormatting sqref="AU99">
    <cfRule type="cellIs" dxfId="2" priority="7752" operator="lessThan">
      <formula>20</formula>
    </cfRule>
    <cfRule type="cellIs" dxfId="1" priority="5137" operator="greaterThan">
      <formula>120</formula>
    </cfRule>
    <cfRule type="containsText" dxfId="0" priority="2522" operator="between" text="库存为">
      <formula>NOT(ISERROR(SEARCH("库存为",AU99)))</formula>
    </cfRule>
  </conditionalFormatting>
  <conditionalFormatting sqref="AU100">
    <cfRule type="cellIs" dxfId="2" priority="7751" operator="lessThan">
      <formula>20</formula>
    </cfRule>
    <cfRule type="cellIs" dxfId="1" priority="5136" operator="greaterThan">
      <formula>120</formula>
    </cfRule>
    <cfRule type="containsText" dxfId="0" priority="2521" operator="between" text="库存为">
      <formula>NOT(ISERROR(SEARCH("库存为",AU100)))</formula>
    </cfRule>
  </conditionalFormatting>
  <conditionalFormatting sqref="AU101">
    <cfRule type="cellIs" dxfId="2" priority="7750" operator="lessThan">
      <formula>20</formula>
    </cfRule>
    <cfRule type="cellIs" dxfId="1" priority="5135" operator="greaterThan">
      <formula>120</formula>
    </cfRule>
    <cfRule type="containsText" dxfId="0" priority="2520" operator="between" text="库存为">
      <formula>NOT(ISERROR(SEARCH("库存为",AU101)))</formula>
    </cfRule>
  </conditionalFormatting>
  <conditionalFormatting sqref="AU102">
    <cfRule type="cellIs" dxfId="2" priority="7749" operator="lessThan">
      <formula>20</formula>
    </cfRule>
    <cfRule type="cellIs" dxfId="1" priority="5134" operator="greaterThan">
      <formula>120</formula>
    </cfRule>
    <cfRule type="containsText" dxfId="0" priority="2519" operator="between" text="库存为">
      <formula>NOT(ISERROR(SEARCH("库存为",AU102)))</formula>
    </cfRule>
  </conditionalFormatting>
  <conditionalFormatting sqref="AU103">
    <cfRule type="cellIs" dxfId="2" priority="7748" operator="lessThan">
      <formula>20</formula>
    </cfRule>
    <cfRule type="cellIs" dxfId="1" priority="5133" operator="greaterThan">
      <formula>120</formula>
    </cfRule>
    <cfRule type="containsText" dxfId="0" priority="2518" operator="between" text="库存为">
      <formula>NOT(ISERROR(SEARCH("库存为",AU103)))</formula>
    </cfRule>
  </conditionalFormatting>
  <conditionalFormatting sqref="AU104">
    <cfRule type="cellIs" dxfId="2" priority="7747" operator="lessThan">
      <formula>20</formula>
    </cfRule>
    <cfRule type="cellIs" dxfId="1" priority="5132" operator="greaterThan">
      <formula>120</formula>
    </cfRule>
    <cfRule type="containsText" dxfId="0" priority="2517" operator="between" text="库存为">
      <formula>NOT(ISERROR(SEARCH("库存为",AU104)))</formula>
    </cfRule>
  </conditionalFormatting>
  <conditionalFormatting sqref="AU105">
    <cfRule type="cellIs" dxfId="2" priority="7746" operator="lessThan">
      <formula>20</formula>
    </cfRule>
    <cfRule type="cellIs" dxfId="1" priority="5131" operator="greaterThan">
      <formula>120</formula>
    </cfRule>
    <cfRule type="containsText" dxfId="0" priority="2516" operator="between" text="库存为">
      <formula>NOT(ISERROR(SEARCH("库存为",AU105)))</formula>
    </cfRule>
  </conditionalFormatting>
  <conditionalFormatting sqref="AU106">
    <cfRule type="cellIs" dxfId="2" priority="7745" operator="lessThan">
      <formula>20</formula>
    </cfRule>
    <cfRule type="cellIs" dxfId="1" priority="5130" operator="greaterThan">
      <formula>120</formula>
    </cfRule>
    <cfRule type="containsText" dxfId="0" priority="2515" operator="between" text="库存为">
      <formula>NOT(ISERROR(SEARCH("库存为",AU106)))</formula>
    </cfRule>
  </conditionalFormatting>
  <conditionalFormatting sqref="AU107">
    <cfRule type="cellIs" dxfId="2" priority="7744" operator="lessThan">
      <formula>20</formula>
    </cfRule>
    <cfRule type="cellIs" dxfId="1" priority="5129" operator="greaterThan">
      <formula>120</formula>
    </cfRule>
    <cfRule type="containsText" dxfId="0" priority="2514" operator="between" text="库存为">
      <formula>NOT(ISERROR(SEARCH("库存为",AU107)))</formula>
    </cfRule>
  </conditionalFormatting>
  <conditionalFormatting sqref="AU108">
    <cfRule type="cellIs" dxfId="2" priority="7743" operator="lessThan">
      <formula>20</formula>
    </cfRule>
    <cfRule type="cellIs" dxfId="1" priority="5128" operator="greaterThan">
      <formula>120</formula>
    </cfRule>
    <cfRule type="containsText" dxfId="0" priority="2513" operator="between" text="库存为">
      <formula>NOT(ISERROR(SEARCH("库存为",AU108)))</formula>
    </cfRule>
  </conditionalFormatting>
  <conditionalFormatting sqref="AU109">
    <cfRule type="cellIs" dxfId="2" priority="7742" operator="lessThan">
      <formula>20</formula>
    </cfRule>
    <cfRule type="cellIs" dxfId="1" priority="5127" operator="greaterThan">
      <formula>120</formula>
    </cfRule>
    <cfRule type="containsText" dxfId="0" priority="2512" operator="between" text="库存为">
      <formula>NOT(ISERROR(SEARCH("库存为",AU109)))</formula>
    </cfRule>
  </conditionalFormatting>
  <conditionalFormatting sqref="AU110">
    <cfRule type="cellIs" dxfId="2" priority="7741" operator="lessThan">
      <formula>20</formula>
    </cfRule>
    <cfRule type="cellIs" dxfId="1" priority="5126" operator="greaterThan">
      <formula>120</formula>
    </cfRule>
    <cfRule type="containsText" dxfId="0" priority="2511" operator="between" text="库存为">
      <formula>NOT(ISERROR(SEARCH("库存为",AU110)))</formula>
    </cfRule>
  </conditionalFormatting>
  <conditionalFormatting sqref="AU111">
    <cfRule type="cellIs" dxfId="2" priority="7740" operator="lessThan">
      <formula>20</formula>
    </cfRule>
    <cfRule type="cellIs" dxfId="1" priority="5125" operator="greaterThan">
      <formula>120</formula>
    </cfRule>
    <cfRule type="containsText" dxfId="0" priority="2510" operator="between" text="库存为">
      <formula>NOT(ISERROR(SEARCH("库存为",AU111)))</formula>
    </cfRule>
  </conditionalFormatting>
  <conditionalFormatting sqref="AU112">
    <cfRule type="cellIs" dxfId="2" priority="7739" operator="lessThan">
      <formula>20</formula>
    </cfRule>
    <cfRule type="cellIs" dxfId="1" priority="5124" operator="greaterThan">
      <formula>120</formula>
    </cfRule>
    <cfRule type="containsText" dxfId="0" priority="2509" operator="between" text="库存为">
      <formula>NOT(ISERROR(SEARCH("库存为",AU112)))</formula>
    </cfRule>
  </conditionalFormatting>
  <conditionalFormatting sqref="AU113">
    <cfRule type="cellIs" dxfId="2" priority="7738" operator="lessThan">
      <formula>20</formula>
    </cfRule>
    <cfRule type="cellIs" dxfId="1" priority="5123" operator="greaterThan">
      <formula>120</formula>
    </cfRule>
    <cfRule type="containsText" dxfId="0" priority="2508" operator="between" text="库存为">
      <formula>NOT(ISERROR(SEARCH("库存为",AU113)))</formula>
    </cfRule>
  </conditionalFormatting>
  <conditionalFormatting sqref="AU114">
    <cfRule type="cellIs" dxfId="2" priority="7737" operator="lessThan">
      <formula>20</formula>
    </cfRule>
    <cfRule type="cellIs" dxfId="1" priority="5122" operator="greaterThan">
      <formula>120</formula>
    </cfRule>
    <cfRule type="containsText" dxfId="0" priority="2507" operator="between" text="库存为">
      <formula>NOT(ISERROR(SEARCH("库存为",AU114)))</formula>
    </cfRule>
  </conditionalFormatting>
  <conditionalFormatting sqref="AU115">
    <cfRule type="cellIs" dxfId="2" priority="7736" operator="lessThan">
      <formula>20</formula>
    </cfRule>
    <cfRule type="cellIs" dxfId="1" priority="5121" operator="greaterThan">
      <formula>120</formula>
    </cfRule>
    <cfRule type="containsText" dxfId="0" priority="2506" operator="between" text="库存为">
      <formula>NOT(ISERROR(SEARCH("库存为",AU115)))</formula>
    </cfRule>
  </conditionalFormatting>
  <conditionalFormatting sqref="AU116">
    <cfRule type="cellIs" dxfId="2" priority="7735" operator="lessThan">
      <formula>20</formula>
    </cfRule>
    <cfRule type="cellIs" dxfId="1" priority="5120" operator="greaterThan">
      <formula>120</formula>
    </cfRule>
    <cfRule type="containsText" dxfId="0" priority="2505" operator="between" text="库存为">
      <formula>NOT(ISERROR(SEARCH("库存为",AU116)))</formula>
    </cfRule>
  </conditionalFormatting>
  <conditionalFormatting sqref="AU117">
    <cfRule type="cellIs" dxfId="2" priority="7734" operator="lessThan">
      <formula>20</formula>
    </cfRule>
    <cfRule type="cellIs" dxfId="1" priority="5119" operator="greaterThan">
      <formula>120</formula>
    </cfRule>
    <cfRule type="containsText" dxfId="0" priority="2504" operator="between" text="库存为">
      <formula>NOT(ISERROR(SEARCH("库存为",AU117)))</formula>
    </cfRule>
  </conditionalFormatting>
  <conditionalFormatting sqref="AU118">
    <cfRule type="cellIs" dxfId="2" priority="7733" operator="lessThan">
      <formula>20</formula>
    </cfRule>
    <cfRule type="cellIs" dxfId="1" priority="5118" operator="greaterThan">
      <formula>120</formula>
    </cfRule>
    <cfRule type="containsText" dxfId="0" priority="2503" operator="between" text="库存为">
      <formula>NOT(ISERROR(SEARCH("库存为",AU118)))</formula>
    </cfRule>
  </conditionalFormatting>
  <conditionalFormatting sqref="AU119">
    <cfRule type="cellIs" dxfId="2" priority="7732" operator="lessThan">
      <formula>20</formula>
    </cfRule>
    <cfRule type="cellIs" dxfId="1" priority="5117" operator="greaterThan">
      <formula>120</formula>
    </cfRule>
    <cfRule type="containsText" dxfId="0" priority="2502" operator="between" text="库存为">
      <formula>NOT(ISERROR(SEARCH("库存为",AU119)))</formula>
    </cfRule>
  </conditionalFormatting>
  <conditionalFormatting sqref="AU120">
    <cfRule type="cellIs" dxfId="2" priority="7731" operator="lessThan">
      <formula>20</formula>
    </cfRule>
    <cfRule type="cellIs" dxfId="1" priority="5116" operator="greaterThan">
      <formula>120</formula>
    </cfRule>
    <cfRule type="containsText" dxfId="0" priority="2501" operator="between" text="库存为">
      <formula>NOT(ISERROR(SEARCH("库存为",AU120)))</formula>
    </cfRule>
  </conditionalFormatting>
  <conditionalFormatting sqref="AU121">
    <cfRule type="cellIs" dxfId="2" priority="7730" operator="lessThan">
      <formula>20</formula>
    </cfRule>
    <cfRule type="cellIs" dxfId="1" priority="5115" operator="greaterThan">
      <formula>120</formula>
    </cfRule>
    <cfRule type="containsText" dxfId="0" priority="2500" operator="between" text="库存为">
      <formula>NOT(ISERROR(SEARCH("库存为",AU121)))</formula>
    </cfRule>
  </conditionalFormatting>
  <conditionalFormatting sqref="AU122">
    <cfRule type="cellIs" dxfId="2" priority="7729" operator="lessThan">
      <formula>20</formula>
    </cfRule>
    <cfRule type="cellIs" dxfId="1" priority="5114" operator="greaterThan">
      <formula>120</formula>
    </cfRule>
    <cfRule type="containsText" dxfId="0" priority="2499" operator="between" text="库存为">
      <formula>NOT(ISERROR(SEARCH("库存为",AU122)))</formula>
    </cfRule>
  </conditionalFormatting>
  <conditionalFormatting sqref="AU123">
    <cfRule type="cellIs" dxfId="2" priority="7728" operator="lessThan">
      <formula>20</formula>
    </cfRule>
    <cfRule type="cellIs" dxfId="1" priority="5113" operator="greaterThan">
      <formula>120</formula>
    </cfRule>
    <cfRule type="containsText" dxfId="0" priority="2498" operator="between" text="库存为">
      <formula>NOT(ISERROR(SEARCH("库存为",AU123)))</formula>
    </cfRule>
  </conditionalFormatting>
  <conditionalFormatting sqref="AU124">
    <cfRule type="cellIs" dxfId="2" priority="7727" operator="lessThan">
      <formula>20</formula>
    </cfRule>
    <cfRule type="cellIs" dxfId="1" priority="5112" operator="greaterThan">
      <formula>120</formula>
    </cfRule>
    <cfRule type="containsText" dxfId="0" priority="2497" operator="between" text="库存为">
      <formula>NOT(ISERROR(SEARCH("库存为",AU124)))</formula>
    </cfRule>
  </conditionalFormatting>
  <conditionalFormatting sqref="AU125">
    <cfRule type="cellIs" dxfId="2" priority="7726" operator="lessThan">
      <formula>20</formula>
    </cfRule>
    <cfRule type="cellIs" dxfId="1" priority="5111" operator="greaterThan">
      <formula>120</formula>
    </cfRule>
    <cfRule type="containsText" dxfId="0" priority="2496" operator="between" text="库存为">
      <formula>NOT(ISERROR(SEARCH("库存为",AU125)))</formula>
    </cfRule>
  </conditionalFormatting>
  <conditionalFormatting sqref="AU126">
    <cfRule type="cellIs" dxfId="2" priority="7725" operator="lessThan">
      <formula>20</formula>
    </cfRule>
    <cfRule type="cellIs" dxfId="1" priority="5110" operator="greaterThan">
      <formula>120</formula>
    </cfRule>
    <cfRule type="containsText" dxfId="0" priority="2495" operator="between" text="库存为">
      <formula>NOT(ISERROR(SEARCH("库存为",AU126)))</formula>
    </cfRule>
  </conditionalFormatting>
  <conditionalFormatting sqref="AU127">
    <cfRule type="cellIs" dxfId="2" priority="7724" operator="lessThan">
      <formula>20</formula>
    </cfRule>
    <cfRule type="cellIs" dxfId="1" priority="5109" operator="greaterThan">
      <formula>120</formula>
    </cfRule>
    <cfRule type="containsText" dxfId="0" priority="2494" operator="between" text="库存为">
      <formula>NOT(ISERROR(SEARCH("库存为",AU127)))</formula>
    </cfRule>
  </conditionalFormatting>
  <conditionalFormatting sqref="AU128">
    <cfRule type="cellIs" dxfId="2" priority="7723" operator="lessThan">
      <formula>20</formula>
    </cfRule>
    <cfRule type="cellIs" dxfId="1" priority="5108" operator="greaterThan">
      <formula>120</formula>
    </cfRule>
    <cfRule type="containsText" dxfId="0" priority="2493" operator="between" text="库存为">
      <formula>NOT(ISERROR(SEARCH("库存为",AU128)))</formula>
    </cfRule>
  </conditionalFormatting>
  <conditionalFormatting sqref="AU129">
    <cfRule type="cellIs" dxfId="2" priority="7722" operator="lessThan">
      <formula>20</formula>
    </cfRule>
    <cfRule type="cellIs" dxfId="1" priority="5107" operator="greaterThan">
      <formula>120</formula>
    </cfRule>
    <cfRule type="containsText" dxfId="0" priority="2492" operator="between" text="库存为">
      <formula>NOT(ISERROR(SEARCH("库存为",AU129)))</formula>
    </cfRule>
  </conditionalFormatting>
  <conditionalFormatting sqref="AU130">
    <cfRule type="cellIs" dxfId="2" priority="7721" operator="lessThan">
      <formula>20</formula>
    </cfRule>
    <cfRule type="cellIs" dxfId="1" priority="5106" operator="greaterThan">
      <formula>120</formula>
    </cfRule>
    <cfRule type="containsText" dxfId="0" priority="2491" operator="between" text="库存为">
      <formula>NOT(ISERROR(SEARCH("库存为",AU130)))</formula>
    </cfRule>
  </conditionalFormatting>
  <conditionalFormatting sqref="AU131">
    <cfRule type="cellIs" dxfId="2" priority="7720" operator="lessThan">
      <formula>20</formula>
    </cfRule>
    <cfRule type="cellIs" dxfId="1" priority="5105" operator="greaterThan">
      <formula>120</formula>
    </cfRule>
    <cfRule type="containsText" dxfId="0" priority="2490" operator="between" text="库存为">
      <formula>NOT(ISERROR(SEARCH("库存为",AU131)))</formula>
    </cfRule>
  </conditionalFormatting>
  <conditionalFormatting sqref="AU132">
    <cfRule type="cellIs" dxfId="2" priority="7719" operator="lessThan">
      <formula>20</formula>
    </cfRule>
    <cfRule type="cellIs" dxfId="1" priority="5104" operator="greaterThan">
      <formula>120</formula>
    </cfRule>
    <cfRule type="containsText" dxfId="0" priority="2489" operator="between" text="库存为">
      <formula>NOT(ISERROR(SEARCH("库存为",AU132)))</formula>
    </cfRule>
  </conditionalFormatting>
  <conditionalFormatting sqref="AU133">
    <cfRule type="cellIs" dxfId="2" priority="7718" operator="lessThan">
      <formula>20</formula>
    </cfRule>
    <cfRule type="cellIs" dxfId="1" priority="5103" operator="greaterThan">
      <formula>120</formula>
    </cfRule>
    <cfRule type="containsText" dxfId="0" priority="2488" operator="between" text="库存为">
      <formula>NOT(ISERROR(SEARCH("库存为",AU133)))</formula>
    </cfRule>
  </conditionalFormatting>
  <conditionalFormatting sqref="AU134">
    <cfRule type="cellIs" dxfId="2" priority="7717" operator="lessThan">
      <formula>20</formula>
    </cfRule>
    <cfRule type="cellIs" dxfId="1" priority="5102" operator="greaterThan">
      <formula>120</formula>
    </cfRule>
    <cfRule type="containsText" dxfId="0" priority="2487" operator="between" text="库存为">
      <formula>NOT(ISERROR(SEARCH("库存为",AU134)))</formula>
    </cfRule>
  </conditionalFormatting>
  <conditionalFormatting sqref="AU135">
    <cfRule type="cellIs" dxfId="2" priority="7716" operator="lessThan">
      <formula>20</formula>
    </cfRule>
    <cfRule type="cellIs" dxfId="1" priority="5101" operator="greaterThan">
      <formula>120</formula>
    </cfRule>
    <cfRule type="containsText" dxfId="0" priority="2486" operator="between" text="库存为">
      <formula>NOT(ISERROR(SEARCH("库存为",AU135)))</formula>
    </cfRule>
  </conditionalFormatting>
  <conditionalFormatting sqref="AU136">
    <cfRule type="cellIs" dxfId="2" priority="7715" operator="lessThan">
      <formula>20</formula>
    </cfRule>
    <cfRule type="cellIs" dxfId="1" priority="5100" operator="greaterThan">
      <formula>120</formula>
    </cfRule>
    <cfRule type="containsText" dxfId="0" priority="2485" operator="between" text="库存为">
      <formula>NOT(ISERROR(SEARCH("库存为",AU136)))</formula>
    </cfRule>
  </conditionalFormatting>
  <conditionalFormatting sqref="AU137">
    <cfRule type="cellIs" dxfId="2" priority="7714" operator="lessThan">
      <formula>20</formula>
    </cfRule>
    <cfRule type="cellIs" dxfId="1" priority="5099" operator="greaterThan">
      <formula>120</formula>
    </cfRule>
    <cfRule type="containsText" dxfId="0" priority="2484" operator="between" text="库存为">
      <formula>NOT(ISERROR(SEARCH("库存为",AU137)))</formula>
    </cfRule>
  </conditionalFormatting>
  <conditionalFormatting sqref="AU138">
    <cfRule type="cellIs" dxfId="2" priority="7713" operator="lessThan">
      <formula>20</formula>
    </cfRule>
    <cfRule type="cellIs" dxfId="1" priority="5098" operator="greaterThan">
      <formula>120</formula>
    </cfRule>
    <cfRule type="containsText" dxfId="0" priority="2483" operator="between" text="库存为">
      <formula>NOT(ISERROR(SEARCH("库存为",AU138)))</formula>
    </cfRule>
  </conditionalFormatting>
  <conditionalFormatting sqref="AU139">
    <cfRule type="cellIs" dxfId="2" priority="7712" operator="lessThan">
      <formula>20</formula>
    </cfRule>
    <cfRule type="cellIs" dxfId="1" priority="5097" operator="greaterThan">
      <formula>120</formula>
    </cfRule>
    <cfRule type="containsText" dxfId="0" priority="2482" operator="between" text="库存为">
      <formula>NOT(ISERROR(SEARCH("库存为",AU139)))</formula>
    </cfRule>
  </conditionalFormatting>
  <conditionalFormatting sqref="AU140">
    <cfRule type="cellIs" dxfId="2" priority="7711" operator="lessThan">
      <formula>20</formula>
    </cfRule>
    <cfRule type="cellIs" dxfId="1" priority="5096" operator="greaterThan">
      <formula>120</formula>
    </cfRule>
    <cfRule type="containsText" dxfId="0" priority="2481" operator="between" text="库存为">
      <formula>NOT(ISERROR(SEARCH("库存为",AU140)))</formula>
    </cfRule>
  </conditionalFormatting>
  <conditionalFormatting sqref="AU141">
    <cfRule type="cellIs" dxfId="2" priority="7710" operator="lessThan">
      <formula>20</formula>
    </cfRule>
    <cfRule type="cellIs" dxfId="1" priority="5095" operator="greaterThan">
      <formula>120</formula>
    </cfRule>
    <cfRule type="containsText" dxfId="0" priority="2480" operator="between" text="库存为">
      <formula>NOT(ISERROR(SEARCH("库存为",AU141)))</formula>
    </cfRule>
  </conditionalFormatting>
  <conditionalFormatting sqref="AU142">
    <cfRule type="cellIs" dxfId="2" priority="7709" operator="lessThan">
      <formula>20</formula>
    </cfRule>
    <cfRule type="cellIs" dxfId="1" priority="5094" operator="greaterThan">
      <formula>120</formula>
    </cfRule>
    <cfRule type="containsText" dxfId="0" priority="2479" operator="between" text="库存为">
      <formula>NOT(ISERROR(SEARCH("库存为",AU142)))</formula>
    </cfRule>
  </conditionalFormatting>
  <conditionalFormatting sqref="AU143">
    <cfRule type="cellIs" dxfId="2" priority="7708" operator="lessThan">
      <formula>20</formula>
    </cfRule>
    <cfRule type="cellIs" dxfId="1" priority="5093" operator="greaterThan">
      <formula>120</formula>
    </cfRule>
    <cfRule type="containsText" dxfId="0" priority="2478" operator="between" text="库存为">
      <formula>NOT(ISERROR(SEARCH("库存为",AU143)))</formula>
    </cfRule>
  </conditionalFormatting>
  <conditionalFormatting sqref="AU144">
    <cfRule type="cellIs" dxfId="2" priority="7707" operator="lessThan">
      <formula>20</formula>
    </cfRule>
    <cfRule type="cellIs" dxfId="1" priority="5092" operator="greaterThan">
      <formula>120</formula>
    </cfRule>
    <cfRule type="containsText" dxfId="0" priority="2477" operator="between" text="库存为">
      <formula>NOT(ISERROR(SEARCH("库存为",AU144)))</formula>
    </cfRule>
  </conditionalFormatting>
  <conditionalFormatting sqref="AU145">
    <cfRule type="cellIs" dxfId="2" priority="7706" operator="lessThan">
      <formula>20</formula>
    </cfRule>
    <cfRule type="cellIs" dxfId="1" priority="5091" operator="greaterThan">
      <formula>120</formula>
    </cfRule>
    <cfRule type="containsText" dxfId="0" priority="2476" operator="between" text="库存为">
      <formula>NOT(ISERROR(SEARCH("库存为",AU145)))</formula>
    </cfRule>
  </conditionalFormatting>
  <conditionalFormatting sqref="AU146">
    <cfRule type="cellIs" dxfId="2" priority="7705" operator="lessThan">
      <formula>20</formula>
    </cfRule>
    <cfRule type="cellIs" dxfId="1" priority="5090" operator="greaterThan">
      <formula>120</formula>
    </cfRule>
    <cfRule type="containsText" dxfId="0" priority="2475" operator="between" text="库存为">
      <formula>NOT(ISERROR(SEARCH("库存为",AU146)))</formula>
    </cfRule>
  </conditionalFormatting>
  <conditionalFormatting sqref="AU147">
    <cfRule type="cellIs" dxfId="2" priority="7704" operator="lessThan">
      <formula>20</formula>
    </cfRule>
    <cfRule type="cellIs" dxfId="1" priority="5089" operator="greaterThan">
      <formula>120</formula>
    </cfRule>
    <cfRule type="containsText" dxfId="0" priority="2474" operator="between" text="库存为">
      <formula>NOT(ISERROR(SEARCH("库存为",AU147)))</formula>
    </cfRule>
  </conditionalFormatting>
  <conditionalFormatting sqref="AU148">
    <cfRule type="cellIs" dxfId="2" priority="7703" operator="lessThan">
      <formula>20</formula>
    </cfRule>
    <cfRule type="cellIs" dxfId="1" priority="5088" operator="greaterThan">
      <formula>120</formula>
    </cfRule>
    <cfRule type="containsText" dxfId="0" priority="2473" operator="between" text="库存为">
      <formula>NOT(ISERROR(SEARCH("库存为",AU148)))</formula>
    </cfRule>
  </conditionalFormatting>
  <conditionalFormatting sqref="AU149">
    <cfRule type="cellIs" dxfId="2" priority="7702" operator="lessThan">
      <formula>20</formula>
    </cfRule>
    <cfRule type="cellIs" dxfId="1" priority="5087" operator="greaterThan">
      <formula>120</formula>
    </cfRule>
    <cfRule type="containsText" dxfId="0" priority="2472" operator="between" text="库存为">
      <formula>NOT(ISERROR(SEARCH("库存为",AU149)))</formula>
    </cfRule>
  </conditionalFormatting>
  <conditionalFormatting sqref="AU150">
    <cfRule type="cellIs" dxfId="2" priority="7701" operator="lessThan">
      <formula>20</formula>
    </cfRule>
    <cfRule type="cellIs" dxfId="1" priority="5086" operator="greaterThan">
      <formula>120</formula>
    </cfRule>
    <cfRule type="containsText" dxfId="0" priority="2471" operator="between" text="库存为">
      <formula>NOT(ISERROR(SEARCH("库存为",AU150)))</formula>
    </cfRule>
  </conditionalFormatting>
  <conditionalFormatting sqref="AU151">
    <cfRule type="cellIs" dxfId="2" priority="7700" operator="lessThan">
      <formula>20</formula>
    </cfRule>
    <cfRule type="cellIs" dxfId="1" priority="5085" operator="greaterThan">
      <formula>120</formula>
    </cfRule>
    <cfRule type="containsText" dxfId="0" priority="2470" operator="between" text="库存为">
      <formula>NOT(ISERROR(SEARCH("库存为",AU151)))</formula>
    </cfRule>
  </conditionalFormatting>
  <conditionalFormatting sqref="AU152">
    <cfRule type="cellIs" dxfId="2" priority="7699" operator="lessThan">
      <formula>20</formula>
    </cfRule>
    <cfRule type="cellIs" dxfId="1" priority="5084" operator="greaterThan">
      <formula>120</formula>
    </cfRule>
    <cfRule type="containsText" dxfId="0" priority="2469" operator="between" text="库存为">
      <formula>NOT(ISERROR(SEARCH("库存为",AU152)))</formula>
    </cfRule>
  </conditionalFormatting>
  <conditionalFormatting sqref="AU153">
    <cfRule type="cellIs" dxfId="2" priority="7698" operator="lessThan">
      <formula>20</formula>
    </cfRule>
    <cfRule type="cellIs" dxfId="1" priority="5083" operator="greaterThan">
      <formula>120</formula>
    </cfRule>
    <cfRule type="containsText" dxfId="0" priority="2468" operator="between" text="库存为">
      <formula>NOT(ISERROR(SEARCH("库存为",AU153)))</formula>
    </cfRule>
  </conditionalFormatting>
  <conditionalFormatting sqref="AU154">
    <cfRule type="cellIs" dxfId="2" priority="7697" operator="lessThan">
      <formula>20</formula>
    </cfRule>
    <cfRule type="cellIs" dxfId="1" priority="5082" operator="greaterThan">
      <formula>120</formula>
    </cfRule>
    <cfRule type="containsText" dxfId="0" priority="2467" operator="between" text="库存为">
      <formula>NOT(ISERROR(SEARCH("库存为",AU154)))</formula>
    </cfRule>
  </conditionalFormatting>
  <conditionalFormatting sqref="AU155">
    <cfRule type="cellIs" dxfId="2" priority="7696" operator="lessThan">
      <formula>20</formula>
    </cfRule>
    <cfRule type="cellIs" dxfId="1" priority="5081" operator="greaterThan">
      <formula>120</formula>
    </cfRule>
    <cfRule type="containsText" dxfId="0" priority="2466" operator="between" text="库存为">
      <formula>NOT(ISERROR(SEARCH("库存为",AU155)))</formula>
    </cfRule>
  </conditionalFormatting>
  <conditionalFormatting sqref="AU156">
    <cfRule type="cellIs" dxfId="2" priority="7695" operator="lessThan">
      <formula>20</formula>
    </cfRule>
    <cfRule type="cellIs" dxfId="1" priority="5080" operator="greaterThan">
      <formula>120</formula>
    </cfRule>
    <cfRule type="containsText" dxfId="0" priority="2465" operator="between" text="库存为">
      <formula>NOT(ISERROR(SEARCH("库存为",AU156)))</formula>
    </cfRule>
  </conditionalFormatting>
  <conditionalFormatting sqref="AU157">
    <cfRule type="cellIs" dxfId="2" priority="7694" operator="lessThan">
      <formula>20</formula>
    </cfRule>
    <cfRule type="cellIs" dxfId="1" priority="5079" operator="greaterThan">
      <formula>120</formula>
    </cfRule>
    <cfRule type="containsText" dxfId="0" priority="2464" operator="between" text="库存为">
      <formula>NOT(ISERROR(SEARCH("库存为",AU157)))</formula>
    </cfRule>
  </conditionalFormatting>
  <conditionalFormatting sqref="AU158">
    <cfRule type="cellIs" dxfId="2" priority="7693" operator="lessThan">
      <formula>20</formula>
    </cfRule>
    <cfRule type="cellIs" dxfId="1" priority="5078" operator="greaterThan">
      <formula>120</formula>
    </cfRule>
    <cfRule type="containsText" dxfId="0" priority="2463" operator="between" text="库存为">
      <formula>NOT(ISERROR(SEARCH("库存为",AU158)))</formula>
    </cfRule>
  </conditionalFormatting>
  <conditionalFormatting sqref="AU159">
    <cfRule type="cellIs" dxfId="2" priority="7692" operator="lessThan">
      <formula>20</formula>
    </cfRule>
    <cfRule type="cellIs" dxfId="1" priority="5077" operator="greaterThan">
      <formula>120</formula>
    </cfRule>
    <cfRule type="containsText" dxfId="0" priority="2462" operator="between" text="库存为">
      <formula>NOT(ISERROR(SEARCH("库存为",AU159)))</formula>
    </cfRule>
  </conditionalFormatting>
  <conditionalFormatting sqref="AU160">
    <cfRule type="cellIs" dxfId="2" priority="7691" operator="lessThan">
      <formula>20</formula>
    </cfRule>
    <cfRule type="cellIs" dxfId="1" priority="5076" operator="greaterThan">
      <formula>120</formula>
    </cfRule>
    <cfRule type="containsText" dxfId="0" priority="2461" operator="between" text="库存为">
      <formula>NOT(ISERROR(SEARCH("库存为",AU160)))</formula>
    </cfRule>
  </conditionalFormatting>
  <conditionalFormatting sqref="AU161">
    <cfRule type="cellIs" dxfId="2" priority="7690" operator="lessThan">
      <formula>20</formula>
    </cfRule>
    <cfRule type="cellIs" dxfId="1" priority="5075" operator="greaterThan">
      <formula>120</formula>
    </cfRule>
    <cfRule type="containsText" dxfId="0" priority="2460" operator="between" text="库存为">
      <formula>NOT(ISERROR(SEARCH("库存为",AU161)))</formula>
    </cfRule>
  </conditionalFormatting>
  <conditionalFormatting sqref="AU162">
    <cfRule type="cellIs" dxfId="2" priority="7689" operator="lessThan">
      <formula>20</formula>
    </cfRule>
    <cfRule type="cellIs" dxfId="1" priority="5074" operator="greaterThan">
      <formula>120</formula>
    </cfRule>
    <cfRule type="containsText" dxfId="0" priority="2459" operator="between" text="库存为">
      <formula>NOT(ISERROR(SEARCH("库存为",AU162)))</formula>
    </cfRule>
  </conditionalFormatting>
  <conditionalFormatting sqref="AU163">
    <cfRule type="cellIs" dxfId="2" priority="7688" operator="lessThan">
      <formula>20</formula>
    </cfRule>
    <cfRule type="cellIs" dxfId="1" priority="5073" operator="greaterThan">
      <formula>120</formula>
    </cfRule>
    <cfRule type="containsText" dxfId="0" priority="2458" operator="between" text="库存为">
      <formula>NOT(ISERROR(SEARCH("库存为",AU163)))</formula>
    </cfRule>
  </conditionalFormatting>
  <conditionalFormatting sqref="AU164">
    <cfRule type="cellIs" dxfId="2" priority="7687" operator="lessThan">
      <formula>20</formula>
    </cfRule>
    <cfRule type="cellIs" dxfId="1" priority="5072" operator="greaterThan">
      <formula>120</formula>
    </cfRule>
    <cfRule type="containsText" dxfId="0" priority="2457" operator="between" text="库存为">
      <formula>NOT(ISERROR(SEARCH("库存为",AU164)))</formula>
    </cfRule>
  </conditionalFormatting>
  <conditionalFormatting sqref="AU165">
    <cfRule type="cellIs" dxfId="2" priority="7686" operator="lessThan">
      <formula>20</formula>
    </cfRule>
    <cfRule type="cellIs" dxfId="1" priority="5071" operator="greaterThan">
      <formula>120</formula>
    </cfRule>
    <cfRule type="containsText" dxfId="0" priority="2456" operator="between" text="库存为">
      <formula>NOT(ISERROR(SEARCH("库存为",AU165)))</formula>
    </cfRule>
  </conditionalFormatting>
  <conditionalFormatting sqref="AU166">
    <cfRule type="cellIs" dxfId="2" priority="7685" operator="lessThan">
      <formula>20</formula>
    </cfRule>
    <cfRule type="cellIs" dxfId="1" priority="5070" operator="greaterThan">
      <formula>120</formula>
    </cfRule>
    <cfRule type="containsText" dxfId="0" priority="2455" operator="between" text="库存为">
      <formula>NOT(ISERROR(SEARCH("库存为",AU166)))</formula>
    </cfRule>
  </conditionalFormatting>
  <conditionalFormatting sqref="AU167">
    <cfRule type="cellIs" dxfId="2" priority="7684" operator="lessThan">
      <formula>20</formula>
    </cfRule>
    <cfRule type="cellIs" dxfId="1" priority="5069" operator="greaterThan">
      <formula>120</formula>
    </cfRule>
    <cfRule type="containsText" dxfId="0" priority="2454" operator="between" text="库存为">
      <formula>NOT(ISERROR(SEARCH("库存为",AU167)))</formula>
    </cfRule>
  </conditionalFormatting>
  <conditionalFormatting sqref="AU168">
    <cfRule type="cellIs" dxfId="2" priority="7683" operator="lessThan">
      <formula>20</formula>
    </cfRule>
    <cfRule type="cellIs" dxfId="1" priority="5068" operator="greaterThan">
      <formula>120</formula>
    </cfRule>
    <cfRule type="containsText" dxfId="0" priority="2453" operator="between" text="库存为">
      <formula>NOT(ISERROR(SEARCH("库存为",AU168)))</formula>
    </cfRule>
  </conditionalFormatting>
  <conditionalFormatting sqref="AU169">
    <cfRule type="cellIs" dxfId="2" priority="7682" operator="lessThan">
      <formula>20</formula>
    </cfRule>
    <cfRule type="cellIs" dxfId="1" priority="5067" operator="greaterThan">
      <formula>120</formula>
    </cfRule>
    <cfRule type="containsText" dxfId="0" priority="2452" operator="between" text="库存为">
      <formula>NOT(ISERROR(SEARCH("库存为",AU169)))</formula>
    </cfRule>
  </conditionalFormatting>
  <conditionalFormatting sqref="AU170">
    <cfRule type="cellIs" dxfId="2" priority="7681" operator="lessThan">
      <formula>20</formula>
    </cfRule>
    <cfRule type="cellIs" dxfId="1" priority="5066" operator="greaterThan">
      <formula>120</formula>
    </cfRule>
    <cfRule type="containsText" dxfId="0" priority="2451" operator="between" text="库存为">
      <formula>NOT(ISERROR(SEARCH("库存为",AU170)))</formula>
    </cfRule>
  </conditionalFormatting>
  <conditionalFormatting sqref="AU171">
    <cfRule type="cellIs" dxfId="2" priority="7680" operator="lessThan">
      <formula>20</formula>
    </cfRule>
    <cfRule type="cellIs" dxfId="1" priority="5065" operator="greaterThan">
      <formula>120</formula>
    </cfRule>
    <cfRule type="containsText" dxfId="0" priority="2450" operator="between" text="库存为">
      <formula>NOT(ISERROR(SEARCH("库存为",AU171)))</formula>
    </cfRule>
  </conditionalFormatting>
  <conditionalFormatting sqref="AU172">
    <cfRule type="cellIs" dxfId="2" priority="7679" operator="lessThan">
      <formula>20</formula>
    </cfRule>
    <cfRule type="cellIs" dxfId="1" priority="5064" operator="greaterThan">
      <formula>120</formula>
    </cfRule>
    <cfRule type="containsText" dxfId="0" priority="2449" operator="between" text="库存为">
      <formula>NOT(ISERROR(SEARCH("库存为",AU172)))</formula>
    </cfRule>
  </conditionalFormatting>
  <conditionalFormatting sqref="AU173">
    <cfRule type="cellIs" dxfId="2" priority="7678" operator="lessThan">
      <formula>20</formula>
    </cfRule>
    <cfRule type="cellIs" dxfId="1" priority="5063" operator="greaterThan">
      <formula>120</formula>
    </cfRule>
    <cfRule type="containsText" dxfId="0" priority="2448" operator="between" text="库存为">
      <formula>NOT(ISERROR(SEARCH("库存为",AU173)))</formula>
    </cfRule>
  </conditionalFormatting>
  <conditionalFormatting sqref="AU174">
    <cfRule type="cellIs" dxfId="2" priority="7677" operator="lessThan">
      <formula>20</formula>
    </cfRule>
    <cfRule type="cellIs" dxfId="1" priority="5062" operator="greaterThan">
      <formula>120</formula>
    </cfRule>
    <cfRule type="containsText" dxfId="0" priority="2447" operator="between" text="库存为">
      <formula>NOT(ISERROR(SEARCH("库存为",AU174)))</formula>
    </cfRule>
  </conditionalFormatting>
  <conditionalFormatting sqref="AU175">
    <cfRule type="cellIs" dxfId="2" priority="7676" operator="lessThan">
      <formula>20</formula>
    </cfRule>
    <cfRule type="cellIs" dxfId="1" priority="5061" operator="greaterThan">
      <formula>120</formula>
    </cfRule>
    <cfRule type="containsText" dxfId="0" priority="2446" operator="between" text="库存为">
      <formula>NOT(ISERROR(SEARCH("库存为",AU175)))</formula>
    </cfRule>
  </conditionalFormatting>
  <conditionalFormatting sqref="AU176">
    <cfRule type="cellIs" dxfId="2" priority="7675" operator="lessThan">
      <formula>20</formula>
    </cfRule>
    <cfRule type="cellIs" dxfId="1" priority="5060" operator="greaterThan">
      <formula>120</formula>
    </cfRule>
    <cfRule type="containsText" dxfId="0" priority="2445" operator="between" text="库存为">
      <formula>NOT(ISERROR(SEARCH("库存为",AU176)))</formula>
    </cfRule>
  </conditionalFormatting>
  <conditionalFormatting sqref="AU177">
    <cfRule type="cellIs" dxfId="2" priority="7674" operator="lessThan">
      <formula>20</formula>
    </cfRule>
    <cfRule type="cellIs" dxfId="1" priority="5059" operator="greaterThan">
      <formula>120</formula>
    </cfRule>
    <cfRule type="containsText" dxfId="0" priority="2444" operator="between" text="库存为">
      <formula>NOT(ISERROR(SEARCH("库存为",AU177)))</formula>
    </cfRule>
  </conditionalFormatting>
  <conditionalFormatting sqref="AU178">
    <cfRule type="cellIs" dxfId="2" priority="7673" operator="lessThan">
      <formula>20</formula>
    </cfRule>
    <cfRule type="cellIs" dxfId="1" priority="5058" operator="greaterThan">
      <formula>120</formula>
    </cfRule>
    <cfRule type="containsText" dxfId="0" priority="2443" operator="between" text="库存为">
      <formula>NOT(ISERROR(SEARCH("库存为",AU178)))</formula>
    </cfRule>
  </conditionalFormatting>
  <conditionalFormatting sqref="AU179">
    <cfRule type="cellIs" dxfId="2" priority="7672" operator="lessThan">
      <formula>20</formula>
    </cfRule>
    <cfRule type="cellIs" dxfId="1" priority="5057" operator="greaterThan">
      <formula>120</formula>
    </cfRule>
    <cfRule type="containsText" dxfId="0" priority="2442" operator="between" text="库存为">
      <formula>NOT(ISERROR(SEARCH("库存为",AU179)))</formula>
    </cfRule>
  </conditionalFormatting>
  <conditionalFormatting sqref="AU180">
    <cfRule type="cellIs" dxfId="2" priority="7671" operator="lessThan">
      <formula>20</formula>
    </cfRule>
    <cfRule type="cellIs" dxfId="1" priority="5056" operator="greaterThan">
      <formula>120</formula>
    </cfRule>
    <cfRule type="containsText" dxfId="0" priority="2441" operator="between" text="库存为">
      <formula>NOT(ISERROR(SEARCH("库存为",AU180)))</formula>
    </cfRule>
  </conditionalFormatting>
  <conditionalFormatting sqref="AU181">
    <cfRule type="cellIs" dxfId="2" priority="7670" operator="lessThan">
      <formula>20</formula>
    </cfRule>
    <cfRule type="cellIs" dxfId="1" priority="5055" operator="greaterThan">
      <formula>120</formula>
    </cfRule>
    <cfRule type="containsText" dxfId="0" priority="2440" operator="between" text="库存为">
      <formula>NOT(ISERROR(SEARCH("库存为",AU181)))</formula>
    </cfRule>
  </conditionalFormatting>
  <conditionalFormatting sqref="AU182">
    <cfRule type="cellIs" dxfId="2" priority="7669" operator="lessThan">
      <formula>20</formula>
    </cfRule>
    <cfRule type="cellIs" dxfId="1" priority="5054" operator="greaterThan">
      <formula>120</formula>
    </cfRule>
    <cfRule type="containsText" dxfId="0" priority="2439" operator="between" text="库存为">
      <formula>NOT(ISERROR(SEARCH("库存为",AU182)))</formula>
    </cfRule>
  </conditionalFormatting>
  <conditionalFormatting sqref="AU183">
    <cfRule type="cellIs" dxfId="2" priority="7668" operator="lessThan">
      <formula>20</formula>
    </cfRule>
    <cfRule type="cellIs" dxfId="1" priority="5053" operator="greaterThan">
      <formula>120</formula>
    </cfRule>
    <cfRule type="containsText" dxfId="0" priority="2438" operator="between" text="库存为">
      <formula>NOT(ISERROR(SEARCH("库存为",AU183)))</formula>
    </cfRule>
  </conditionalFormatting>
  <conditionalFormatting sqref="AU184">
    <cfRule type="cellIs" dxfId="2" priority="7667" operator="lessThan">
      <formula>20</formula>
    </cfRule>
    <cfRule type="cellIs" dxfId="1" priority="5052" operator="greaterThan">
      <formula>120</formula>
    </cfRule>
    <cfRule type="containsText" dxfId="0" priority="2437" operator="between" text="库存为">
      <formula>NOT(ISERROR(SEARCH("库存为",AU184)))</formula>
    </cfRule>
  </conditionalFormatting>
  <conditionalFormatting sqref="AU185">
    <cfRule type="cellIs" dxfId="2" priority="7666" operator="lessThan">
      <formula>20</formula>
    </cfRule>
    <cfRule type="cellIs" dxfId="1" priority="5051" operator="greaterThan">
      <formula>120</formula>
    </cfRule>
    <cfRule type="containsText" dxfId="0" priority="2436" operator="between" text="库存为">
      <formula>NOT(ISERROR(SEARCH("库存为",AU185)))</formula>
    </cfRule>
  </conditionalFormatting>
  <conditionalFormatting sqref="AU186">
    <cfRule type="cellIs" dxfId="2" priority="7665" operator="lessThan">
      <formula>20</formula>
    </cfRule>
    <cfRule type="cellIs" dxfId="1" priority="5050" operator="greaterThan">
      <formula>120</formula>
    </cfRule>
    <cfRule type="containsText" dxfId="0" priority="2435" operator="between" text="库存为">
      <formula>NOT(ISERROR(SEARCH("库存为",AU186)))</formula>
    </cfRule>
  </conditionalFormatting>
  <conditionalFormatting sqref="AU187">
    <cfRule type="cellIs" dxfId="2" priority="7664" operator="lessThan">
      <formula>20</formula>
    </cfRule>
    <cfRule type="cellIs" dxfId="1" priority="5049" operator="greaterThan">
      <formula>120</formula>
    </cfRule>
    <cfRule type="containsText" dxfId="0" priority="2434" operator="between" text="库存为">
      <formula>NOT(ISERROR(SEARCH("库存为",AU187)))</formula>
    </cfRule>
  </conditionalFormatting>
  <conditionalFormatting sqref="AU188">
    <cfRule type="cellIs" dxfId="2" priority="7663" operator="lessThan">
      <formula>20</formula>
    </cfRule>
    <cfRule type="cellIs" dxfId="1" priority="5048" operator="greaterThan">
      <formula>120</formula>
    </cfRule>
    <cfRule type="containsText" dxfId="0" priority="2433" operator="between" text="库存为">
      <formula>NOT(ISERROR(SEARCH("库存为",AU188)))</formula>
    </cfRule>
  </conditionalFormatting>
  <conditionalFormatting sqref="AU189">
    <cfRule type="cellIs" dxfId="2" priority="7662" operator="lessThan">
      <formula>20</formula>
    </cfRule>
    <cfRule type="cellIs" dxfId="1" priority="5047" operator="greaterThan">
      <formula>120</formula>
    </cfRule>
    <cfRule type="containsText" dxfId="0" priority="2432" operator="between" text="库存为">
      <formula>NOT(ISERROR(SEARCH("库存为",AU189)))</formula>
    </cfRule>
  </conditionalFormatting>
  <conditionalFormatting sqref="AU190">
    <cfRule type="cellIs" dxfId="2" priority="7661" operator="lessThan">
      <formula>20</formula>
    </cfRule>
    <cfRule type="cellIs" dxfId="1" priority="5046" operator="greaterThan">
      <formula>120</formula>
    </cfRule>
    <cfRule type="containsText" dxfId="0" priority="2431" operator="between" text="库存为">
      <formula>NOT(ISERROR(SEARCH("库存为",AU190)))</formula>
    </cfRule>
  </conditionalFormatting>
  <conditionalFormatting sqref="AU191">
    <cfRule type="cellIs" dxfId="2" priority="7660" operator="lessThan">
      <formula>20</formula>
    </cfRule>
    <cfRule type="cellIs" dxfId="1" priority="5045" operator="greaterThan">
      <formula>120</formula>
    </cfRule>
    <cfRule type="containsText" dxfId="0" priority="2430" operator="between" text="库存为">
      <formula>NOT(ISERROR(SEARCH("库存为",AU191)))</formula>
    </cfRule>
  </conditionalFormatting>
  <conditionalFormatting sqref="AU192">
    <cfRule type="cellIs" dxfId="2" priority="7659" operator="lessThan">
      <formula>20</formula>
    </cfRule>
    <cfRule type="cellIs" dxfId="1" priority="5044" operator="greaterThan">
      <formula>120</formula>
    </cfRule>
    <cfRule type="containsText" dxfId="0" priority="2429" operator="between" text="库存为">
      <formula>NOT(ISERROR(SEARCH("库存为",AU192)))</formula>
    </cfRule>
  </conditionalFormatting>
  <conditionalFormatting sqref="AU193">
    <cfRule type="cellIs" dxfId="2" priority="7658" operator="lessThan">
      <formula>20</formula>
    </cfRule>
    <cfRule type="cellIs" dxfId="1" priority="5043" operator="greaterThan">
      <formula>120</formula>
    </cfRule>
    <cfRule type="containsText" dxfId="0" priority="2428" operator="between" text="库存为">
      <formula>NOT(ISERROR(SEARCH("库存为",AU193)))</formula>
    </cfRule>
  </conditionalFormatting>
  <conditionalFormatting sqref="AU194">
    <cfRule type="cellIs" dxfId="2" priority="7657" operator="lessThan">
      <formula>20</formula>
    </cfRule>
    <cfRule type="cellIs" dxfId="1" priority="5042" operator="greaterThan">
      <formula>120</formula>
    </cfRule>
    <cfRule type="containsText" dxfId="0" priority="2427" operator="between" text="库存为">
      <formula>NOT(ISERROR(SEARCH("库存为",AU194)))</formula>
    </cfRule>
  </conditionalFormatting>
  <conditionalFormatting sqref="AU195">
    <cfRule type="cellIs" dxfId="2" priority="7656" operator="lessThan">
      <formula>20</formula>
    </cfRule>
    <cfRule type="cellIs" dxfId="1" priority="5041" operator="greaterThan">
      <formula>120</formula>
    </cfRule>
    <cfRule type="containsText" dxfId="0" priority="2426" operator="between" text="库存为">
      <formula>NOT(ISERROR(SEARCH("库存为",AU195)))</formula>
    </cfRule>
  </conditionalFormatting>
  <conditionalFormatting sqref="AU196">
    <cfRule type="cellIs" dxfId="2" priority="7655" operator="lessThan">
      <formula>20</formula>
    </cfRule>
    <cfRule type="cellIs" dxfId="1" priority="5040" operator="greaterThan">
      <formula>120</formula>
    </cfRule>
    <cfRule type="containsText" dxfId="0" priority="2425" operator="between" text="库存为">
      <formula>NOT(ISERROR(SEARCH("库存为",AU196)))</formula>
    </cfRule>
  </conditionalFormatting>
  <conditionalFormatting sqref="AU197">
    <cfRule type="cellIs" dxfId="2" priority="7654" operator="lessThan">
      <formula>20</formula>
    </cfRule>
    <cfRule type="cellIs" dxfId="1" priority="5039" operator="greaterThan">
      <formula>120</formula>
    </cfRule>
    <cfRule type="containsText" dxfId="0" priority="2424" operator="between" text="库存为">
      <formula>NOT(ISERROR(SEARCH("库存为",AU197)))</formula>
    </cfRule>
  </conditionalFormatting>
  <conditionalFormatting sqref="AU198">
    <cfRule type="cellIs" dxfId="2" priority="7653" operator="lessThan">
      <formula>20</formula>
    </cfRule>
    <cfRule type="cellIs" dxfId="1" priority="5038" operator="greaterThan">
      <formula>120</formula>
    </cfRule>
    <cfRule type="containsText" dxfId="0" priority="2423" operator="between" text="库存为">
      <formula>NOT(ISERROR(SEARCH("库存为",AU198)))</formula>
    </cfRule>
  </conditionalFormatting>
  <conditionalFormatting sqref="AU199">
    <cfRule type="cellIs" dxfId="2" priority="7652" operator="lessThan">
      <formula>20</formula>
    </cfRule>
    <cfRule type="cellIs" dxfId="1" priority="5037" operator="greaterThan">
      <formula>120</formula>
    </cfRule>
    <cfRule type="containsText" dxfId="0" priority="2422" operator="between" text="库存为">
      <formula>NOT(ISERROR(SEARCH("库存为",AU199)))</formula>
    </cfRule>
  </conditionalFormatting>
  <conditionalFormatting sqref="AU200">
    <cfRule type="cellIs" dxfId="2" priority="7651" operator="lessThan">
      <formula>20</formula>
    </cfRule>
    <cfRule type="cellIs" dxfId="1" priority="5036" operator="greaterThan">
      <formula>120</formula>
    </cfRule>
    <cfRule type="containsText" dxfId="0" priority="2421" operator="between" text="库存为">
      <formula>NOT(ISERROR(SEARCH("库存为",AU200)))</formula>
    </cfRule>
  </conditionalFormatting>
  <conditionalFormatting sqref="AU201">
    <cfRule type="cellIs" dxfId="2" priority="7650" operator="lessThan">
      <formula>20</formula>
    </cfRule>
    <cfRule type="cellIs" dxfId="1" priority="5035" operator="greaterThan">
      <formula>120</formula>
    </cfRule>
    <cfRule type="containsText" dxfId="0" priority="2420" operator="between" text="库存为">
      <formula>NOT(ISERROR(SEARCH("库存为",AU201)))</formula>
    </cfRule>
  </conditionalFormatting>
  <conditionalFormatting sqref="AU202">
    <cfRule type="cellIs" dxfId="2" priority="7649" operator="lessThan">
      <formula>20</formula>
    </cfRule>
    <cfRule type="cellIs" dxfId="1" priority="5034" operator="greaterThan">
      <formula>120</formula>
    </cfRule>
    <cfRule type="containsText" dxfId="0" priority="2419" operator="between" text="库存为">
      <formula>NOT(ISERROR(SEARCH("库存为",AU202)))</formula>
    </cfRule>
  </conditionalFormatting>
  <conditionalFormatting sqref="AU203">
    <cfRule type="cellIs" dxfId="2" priority="7648" operator="lessThan">
      <formula>20</formula>
    </cfRule>
    <cfRule type="cellIs" dxfId="1" priority="5033" operator="greaterThan">
      <formula>120</formula>
    </cfRule>
    <cfRule type="containsText" dxfId="0" priority="2418" operator="between" text="库存为">
      <formula>NOT(ISERROR(SEARCH("库存为",AU203)))</formula>
    </cfRule>
  </conditionalFormatting>
  <conditionalFormatting sqref="AU204">
    <cfRule type="cellIs" dxfId="2" priority="7647" operator="lessThan">
      <formula>20</formula>
    </cfRule>
    <cfRule type="cellIs" dxfId="1" priority="5032" operator="greaterThan">
      <formula>120</formula>
    </cfRule>
    <cfRule type="containsText" dxfId="0" priority="2417" operator="between" text="库存为">
      <formula>NOT(ISERROR(SEARCH("库存为",AU204)))</formula>
    </cfRule>
  </conditionalFormatting>
  <conditionalFormatting sqref="AU205">
    <cfRule type="cellIs" dxfId="2" priority="7646" operator="lessThan">
      <formula>20</formula>
    </cfRule>
    <cfRule type="cellIs" dxfId="1" priority="5031" operator="greaterThan">
      <formula>120</formula>
    </cfRule>
    <cfRule type="containsText" dxfId="0" priority="2416" operator="between" text="库存为">
      <formula>NOT(ISERROR(SEARCH("库存为",AU205)))</formula>
    </cfRule>
  </conditionalFormatting>
  <conditionalFormatting sqref="AU206">
    <cfRule type="cellIs" dxfId="2" priority="7645" operator="lessThan">
      <formula>20</formula>
    </cfRule>
    <cfRule type="cellIs" dxfId="1" priority="5030" operator="greaterThan">
      <formula>120</formula>
    </cfRule>
    <cfRule type="containsText" dxfId="0" priority="2415" operator="between" text="库存为">
      <formula>NOT(ISERROR(SEARCH("库存为",AU206)))</formula>
    </cfRule>
  </conditionalFormatting>
  <conditionalFormatting sqref="AU207">
    <cfRule type="cellIs" dxfId="2" priority="7644" operator="lessThan">
      <formula>20</formula>
    </cfRule>
    <cfRule type="cellIs" dxfId="1" priority="5029" operator="greaterThan">
      <formula>120</formula>
    </cfRule>
    <cfRule type="containsText" dxfId="0" priority="2414" operator="between" text="库存为">
      <formula>NOT(ISERROR(SEARCH("库存为",AU207)))</formula>
    </cfRule>
  </conditionalFormatting>
  <conditionalFormatting sqref="AU208">
    <cfRule type="cellIs" dxfId="2" priority="7643" operator="lessThan">
      <formula>20</formula>
    </cfRule>
    <cfRule type="cellIs" dxfId="1" priority="5028" operator="greaterThan">
      <formula>120</formula>
    </cfRule>
    <cfRule type="containsText" dxfId="0" priority="2413" operator="between" text="库存为">
      <formula>NOT(ISERROR(SEARCH("库存为",AU208)))</formula>
    </cfRule>
  </conditionalFormatting>
  <conditionalFormatting sqref="AU209">
    <cfRule type="cellIs" dxfId="2" priority="7642" operator="lessThan">
      <formula>20</formula>
    </cfRule>
    <cfRule type="cellIs" dxfId="1" priority="5027" operator="greaterThan">
      <formula>120</formula>
    </cfRule>
    <cfRule type="containsText" dxfId="0" priority="2412" operator="between" text="库存为">
      <formula>NOT(ISERROR(SEARCH("库存为",AU209)))</formula>
    </cfRule>
  </conditionalFormatting>
  <conditionalFormatting sqref="AU210">
    <cfRule type="cellIs" dxfId="2" priority="7641" operator="lessThan">
      <formula>20</formula>
    </cfRule>
    <cfRule type="cellIs" dxfId="1" priority="5026" operator="greaterThan">
      <formula>120</formula>
    </cfRule>
    <cfRule type="containsText" dxfId="0" priority="2411" operator="between" text="库存为">
      <formula>NOT(ISERROR(SEARCH("库存为",AU210)))</formula>
    </cfRule>
  </conditionalFormatting>
  <conditionalFormatting sqref="AU211">
    <cfRule type="cellIs" dxfId="2" priority="7640" operator="lessThan">
      <formula>20</formula>
    </cfRule>
    <cfRule type="cellIs" dxfId="1" priority="5025" operator="greaterThan">
      <formula>120</formula>
    </cfRule>
    <cfRule type="containsText" dxfId="0" priority="2410" operator="between" text="库存为">
      <formula>NOT(ISERROR(SEARCH("库存为",AU211)))</formula>
    </cfRule>
  </conditionalFormatting>
  <conditionalFormatting sqref="AU212">
    <cfRule type="cellIs" dxfId="2" priority="7639" operator="lessThan">
      <formula>20</formula>
    </cfRule>
    <cfRule type="cellIs" dxfId="1" priority="5024" operator="greaterThan">
      <formula>120</formula>
    </cfRule>
    <cfRule type="containsText" dxfId="0" priority="2409" operator="between" text="库存为">
      <formula>NOT(ISERROR(SEARCH("库存为",AU212)))</formula>
    </cfRule>
  </conditionalFormatting>
  <conditionalFormatting sqref="AU213">
    <cfRule type="cellIs" dxfId="2" priority="7638" operator="lessThan">
      <formula>20</formula>
    </cfRule>
    <cfRule type="cellIs" dxfId="1" priority="5023" operator="greaterThan">
      <formula>120</formula>
    </cfRule>
    <cfRule type="containsText" dxfId="0" priority="2408" operator="between" text="库存为">
      <formula>NOT(ISERROR(SEARCH("库存为",AU213)))</formula>
    </cfRule>
  </conditionalFormatting>
  <conditionalFormatting sqref="AU214">
    <cfRule type="cellIs" dxfId="2" priority="7637" operator="lessThan">
      <formula>20</formula>
    </cfRule>
    <cfRule type="cellIs" dxfId="1" priority="5022" operator="greaterThan">
      <formula>120</formula>
    </cfRule>
    <cfRule type="containsText" dxfId="0" priority="2407" operator="between" text="库存为">
      <formula>NOT(ISERROR(SEARCH("库存为",AU214)))</formula>
    </cfRule>
  </conditionalFormatting>
  <conditionalFormatting sqref="AU215">
    <cfRule type="cellIs" dxfId="2" priority="7636" operator="lessThan">
      <formula>20</formula>
    </cfRule>
    <cfRule type="cellIs" dxfId="1" priority="5021" operator="greaterThan">
      <formula>120</formula>
    </cfRule>
    <cfRule type="containsText" dxfId="0" priority="2406" operator="between" text="库存为">
      <formula>NOT(ISERROR(SEARCH("库存为",AU215)))</formula>
    </cfRule>
  </conditionalFormatting>
  <conditionalFormatting sqref="AU216">
    <cfRule type="cellIs" dxfId="2" priority="7635" operator="lessThan">
      <formula>20</formula>
    </cfRule>
    <cfRule type="cellIs" dxfId="1" priority="5020" operator="greaterThan">
      <formula>120</formula>
    </cfRule>
    <cfRule type="containsText" dxfId="0" priority="2405" operator="between" text="库存为">
      <formula>NOT(ISERROR(SEARCH("库存为",AU216)))</formula>
    </cfRule>
  </conditionalFormatting>
  <conditionalFormatting sqref="AU217">
    <cfRule type="cellIs" dxfId="2" priority="7634" operator="lessThan">
      <formula>20</formula>
    </cfRule>
    <cfRule type="cellIs" dxfId="1" priority="5019" operator="greaterThan">
      <formula>120</formula>
    </cfRule>
    <cfRule type="containsText" dxfId="0" priority="2404" operator="between" text="库存为">
      <formula>NOT(ISERROR(SEARCH("库存为",AU217)))</formula>
    </cfRule>
  </conditionalFormatting>
  <conditionalFormatting sqref="AU218">
    <cfRule type="cellIs" dxfId="2" priority="7633" operator="lessThan">
      <formula>20</formula>
    </cfRule>
    <cfRule type="cellIs" dxfId="1" priority="5018" operator="greaterThan">
      <formula>120</formula>
    </cfRule>
    <cfRule type="containsText" dxfId="0" priority="2403" operator="between" text="库存为">
      <formula>NOT(ISERROR(SEARCH("库存为",AU218)))</formula>
    </cfRule>
  </conditionalFormatting>
  <conditionalFormatting sqref="AU219">
    <cfRule type="cellIs" dxfId="2" priority="7632" operator="lessThan">
      <formula>20</formula>
    </cfRule>
    <cfRule type="cellIs" dxfId="1" priority="5017" operator="greaterThan">
      <formula>120</formula>
    </cfRule>
    <cfRule type="containsText" dxfId="0" priority="2402" operator="between" text="库存为">
      <formula>NOT(ISERROR(SEARCH("库存为",AU219)))</formula>
    </cfRule>
  </conditionalFormatting>
  <conditionalFormatting sqref="AU220">
    <cfRule type="cellIs" dxfId="2" priority="7631" operator="lessThan">
      <formula>20</formula>
    </cfRule>
    <cfRule type="cellIs" dxfId="1" priority="5016" operator="greaterThan">
      <formula>120</formula>
    </cfRule>
    <cfRule type="containsText" dxfId="0" priority="2401" operator="between" text="库存为">
      <formula>NOT(ISERROR(SEARCH("库存为",AU220)))</formula>
    </cfRule>
  </conditionalFormatting>
  <conditionalFormatting sqref="AU221">
    <cfRule type="cellIs" dxfId="2" priority="7630" operator="lessThan">
      <formula>20</formula>
    </cfRule>
    <cfRule type="cellIs" dxfId="1" priority="5015" operator="greaterThan">
      <formula>120</formula>
    </cfRule>
    <cfRule type="containsText" dxfId="0" priority="2400" operator="between" text="库存为">
      <formula>NOT(ISERROR(SEARCH("库存为",AU221)))</formula>
    </cfRule>
  </conditionalFormatting>
  <conditionalFormatting sqref="AU222">
    <cfRule type="cellIs" dxfId="2" priority="7629" operator="lessThan">
      <formula>20</formula>
    </cfRule>
    <cfRule type="cellIs" dxfId="1" priority="5014" operator="greaterThan">
      <formula>120</formula>
    </cfRule>
    <cfRule type="containsText" dxfId="0" priority="2399" operator="between" text="库存为">
      <formula>NOT(ISERROR(SEARCH("库存为",AU222)))</formula>
    </cfRule>
  </conditionalFormatting>
  <conditionalFormatting sqref="AU223">
    <cfRule type="cellIs" dxfId="2" priority="7628" operator="lessThan">
      <formula>20</formula>
    </cfRule>
    <cfRule type="cellIs" dxfId="1" priority="5013" operator="greaterThan">
      <formula>120</formula>
    </cfRule>
    <cfRule type="containsText" dxfId="0" priority="2398" operator="between" text="库存为">
      <formula>NOT(ISERROR(SEARCH("库存为",AU223)))</formula>
    </cfRule>
  </conditionalFormatting>
  <conditionalFormatting sqref="AU224">
    <cfRule type="cellIs" dxfId="2" priority="7627" operator="lessThan">
      <formula>20</formula>
    </cfRule>
    <cfRule type="cellIs" dxfId="1" priority="5012" operator="greaterThan">
      <formula>120</formula>
    </cfRule>
    <cfRule type="containsText" dxfId="0" priority="2397" operator="between" text="库存为">
      <formula>NOT(ISERROR(SEARCH("库存为",AU224)))</formula>
    </cfRule>
  </conditionalFormatting>
  <conditionalFormatting sqref="AU225">
    <cfRule type="cellIs" dxfId="2" priority="7626" operator="lessThan">
      <formula>20</formula>
    </cfRule>
    <cfRule type="cellIs" dxfId="1" priority="5011" operator="greaterThan">
      <formula>120</formula>
    </cfRule>
    <cfRule type="containsText" dxfId="0" priority="2396" operator="between" text="库存为">
      <formula>NOT(ISERROR(SEARCH("库存为",AU225)))</formula>
    </cfRule>
  </conditionalFormatting>
  <conditionalFormatting sqref="AU226">
    <cfRule type="cellIs" dxfId="2" priority="7625" operator="lessThan">
      <formula>20</formula>
    </cfRule>
    <cfRule type="cellIs" dxfId="1" priority="5010" operator="greaterThan">
      <formula>120</formula>
    </cfRule>
    <cfRule type="containsText" dxfId="0" priority="2395" operator="between" text="库存为">
      <formula>NOT(ISERROR(SEARCH("库存为",AU226)))</formula>
    </cfRule>
  </conditionalFormatting>
  <conditionalFormatting sqref="AU227">
    <cfRule type="cellIs" dxfId="2" priority="7624" operator="lessThan">
      <formula>20</formula>
    </cfRule>
    <cfRule type="cellIs" dxfId="1" priority="5009" operator="greaterThan">
      <formula>120</formula>
    </cfRule>
    <cfRule type="containsText" dxfId="0" priority="2394" operator="between" text="库存为">
      <formula>NOT(ISERROR(SEARCH("库存为",AU227)))</formula>
    </cfRule>
  </conditionalFormatting>
  <conditionalFormatting sqref="AU228">
    <cfRule type="cellIs" dxfId="2" priority="7623" operator="lessThan">
      <formula>20</formula>
    </cfRule>
    <cfRule type="cellIs" dxfId="1" priority="5008" operator="greaterThan">
      <formula>120</formula>
    </cfRule>
    <cfRule type="containsText" dxfId="0" priority="2393" operator="between" text="库存为">
      <formula>NOT(ISERROR(SEARCH("库存为",AU228)))</formula>
    </cfRule>
  </conditionalFormatting>
  <conditionalFormatting sqref="AU229">
    <cfRule type="cellIs" dxfId="2" priority="7622" operator="lessThan">
      <formula>20</formula>
    </cfRule>
    <cfRule type="cellIs" dxfId="1" priority="5007" operator="greaterThan">
      <formula>120</formula>
    </cfRule>
    <cfRule type="containsText" dxfId="0" priority="2392" operator="between" text="库存为">
      <formula>NOT(ISERROR(SEARCH("库存为",AU229)))</formula>
    </cfRule>
  </conditionalFormatting>
  <conditionalFormatting sqref="AU230">
    <cfRule type="cellIs" dxfId="2" priority="7621" operator="lessThan">
      <formula>20</formula>
    </cfRule>
    <cfRule type="cellIs" dxfId="1" priority="5006" operator="greaterThan">
      <formula>120</formula>
    </cfRule>
    <cfRule type="containsText" dxfId="0" priority="2391" operator="between" text="库存为">
      <formula>NOT(ISERROR(SEARCH("库存为",AU230)))</formula>
    </cfRule>
  </conditionalFormatting>
  <conditionalFormatting sqref="AU231">
    <cfRule type="cellIs" dxfId="2" priority="7620" operator="lessThan">
      <formula>20</formula>
    </cfRule>
    <cfRule type="cellIs" dxfId="1" priority="5005" operator="greaterThan">
      <formula>120</formula>
    </cfRule>
    <cfRule type="containsText" dxfId="0" priority="2390" operator="between" text="库存为">
      <formula>NOT(ISERROR(SEARCH("库存为",AU231)))</formula>
    </cfRule>
  </conditionalFormatting>
  <conditionalFormatting sqref="AU232">
    <cfRule type="cellIs" dxfId="2" priority="7619" operator="lessThan">
      <formula>20</formula>
    </cfRule>
    <cfRule type="cellIs" dxfId="1" priority="5004" operator="greaterThan">
      <formula>120</formula>
    </cfRule>
    <cfRule type="containsText" dxfId="0" priority="2389" operator="between" text="库存为">
      <formula>NOT(ISERROR(SEARCH("库存为",AU232)))</formula>
    </cfRule>
  </conditionalFormatting>
  <conditionalFormatting sqref="AU233">
    <cfRule type="cellIs" dxfId="2" priority="7618" operator="lessThan">
      <formula>20</formula>
    </cfRule>
    <cfRule type="cellIs" dxfId="1" priority="5003" operator="greaterThan">
      <formula>120</formula>
    </cfRule>
    <cfRule type="containsText" dxfId="0" priority="2388" operator="between" text="库存为">
      <formula>NOT(ISERROR(SEARCH("库存为",AU233)))</formula>
    </cfRule>
  </conditionalFormatting>
  <conditionalFormatting sqref="AU234">
    <cfRule type="cellIs" dxfId="2" priority="7617" operator="lessThan">
      <formula>20</formula>
    </cfRule>
    <cfRule type="cellIs" dxfId="1" priority="5002" operator="greaterThan">
      <formula>120</formula>
    </cfRule>
    <cfRule type="containsText" dxfId="0" priority="2387" operator="between" text="库存为">
      <formula>NOT(ISERROR(SEARCH("库存为",AU234)))</formula>
    </cfRule>
  </conditionalFormatting>
  <conditionalFormatting sqref="AU235">
    <cfRule type="cellIs" dxfId="2" priority="7616" operator="lessThan">
      <formula>20</formula>
    </cfRule>
    <cfRule type="cellIs" dxfId="1" priority="5001" operator="greaterThan">
      <formula>120</formula>
    </cfRule>
    <cfRule type="containsText" dxfId="0" priority="2386" operator="between" text="库存为">
      <formula>NOT(ISERROR(SEARCH("库存为",AU235)))</formula>
    </cfRule>
  </conditionalFormatting>
  <conditionalFormatting sqref="AU236">
    <cfRule type="cellIs" dxfId="2" priority="7615" operator="lessThan">
      <formula>20</formula>
    </cfRule>
    <cfRule type="cellIs" dxfId="1" priority="5000" operator="greaterThan">
      <formula>120</formula>
    </cfRule>
    <cfRule type="containsText" dxfId="0" priority="2385" operator="between" text="库存为">
      <formula>NOT(ISERROR(SEARCH("库存为",AU236)))</formula>
    </cfRule>
  </conditionalFormatting>
  <conditionalFormatting sqref="AU237">
    <cfRule type="cellIs" dxfId="2" priority="7614" operator="lessThan">
      <formula>20</formula>
    </cfRule>
    <cfRule type="cellIs" dxfId="1" priority="4999" operator="greaterThan">
      <formula>120</formula>
    </cfRule>
    <cfRule type="containsText" dxfId="0" priority="2384" operator="between" text="库存为">
      <formula>NOT(ISERROR(SEARCH("库存为",AU237)))</formula>
    </cfRule>
  </conditionalFormatting>
  <conditionalFormatting sqref="AU238">
    <cfRule type="cellIs" dxfId="2" priority="7613" operator="lessThan">
      <formula>20</formula>
    </cfRule>
    <cfRule type="cellIs" dxfId="1" priority="4998" operator="greaterThan">
      <formula>120</formula>
    </cfRule>
    <cfRule type="containsText" dxfId="0" priority="2383" operator="between" text="库存为">
      <formula>NOT(ISERROR(SEARCH("库存为",AU238)))</formula>
    </cfRule>
  </conditionalFormatting>
  <conditionalFormatting sqref="AU239">
    <cfRule type="cellIs" dxfId="2" priority="7612" operator="lessThan">
      <formula>20</formula>
    </cfRule>
    <cfRule type="cellIs" dxfId="1" priority="4997" operator="greaterThan">
      <formula>120</formula>
    </cfRule>
    <cfRule type="containsText" dxfId="0" priority="2382" operator="between" text="库存为">
      <formula>NOT(ISERROR(SEARCH("库存为",AU239)))</formula>
    </cfRule>
  </conditionalFormatting>
  <conditionalFormatting sqref="AU240">
    <cfRule type="cellIs" dxfId="2" priority="7611" operator="lessThan">
      <formula>20</formula>
    </cfRule>
    <cfRule type="cellIs" dxfId="1" priority="4996" operator="greaterThan">
      <formula>120</formula>
    </cfRule>
    <cfRule type="containsText" dxfId="0" priority="2381" operator="between" text="库存为">
      <formula>NOT(ISERROR(SEARCH("库存为",AU240)))</formula>
    </cfRule>
  </conditionalFormatting>
  <conditionalFormatting sqref="AU241">
    <cfRule type="cellIs" dxfId="2" priority="7610" operator="lessThan">
      <formula>20</formula>
    </cfRule>
    <cfRule type="cellIs" dxfId="1" priority="4995" operator="greaterThan">
      <formula>120</formula>
    </cfRule>
    <cfRule type="containsText" dxfId="0" priority="2380" operator="between" text="库存为">
      <formula>NOT(ISERROR(SEARCH("库存为",AU241)))</formula>
    </cfRule>
  </conditionalFormatting>
  <conditionalFormatting sqref="AU242">
    <cfRule type="cellIs" dxfId="2" priority="7609" operator="lessThan">
      <formula>20</formula>
    </cfRule>
    <cfRule type="cellIs" dxfId="1" priority="4994" operator="greaterThan">
      <formula>120</formula>
    </cfRule>
    <cfRule type="containsText" dxfId="0" priority="2379" operator="between" text="库存为">
      <formula>NOT(ISERROR(SEARCH("库存为",AU242)))</formula>
    </cfRule>
  </conditionalFormatting>
  <conditionalFormatting sqref="AU243">
    <cfRule type="cellIs" dxfId="2" priority="7608" operator="lessThan">
      <formula>20</formula>
    </cfRule>
    <cfRule type="cellIs" dxfId="1" priority="4993" operator="greaterThan">
      <formula>120</formula>
    </cfRule>
    <cfRule type="containsText" dxfId="0" priority="2378" operator="between" text="库存为">
      <formula>NOT(ISERROR(SEARCH("库存为",AU243)))</formula>
    </cfRule>
  </conditionalFormatting>
  <conditionalFormatting sqref="AU244">
    <cfRule type="cellIs" dxfId="2" priority="7607" operator="lessThan">
      <formula>20</formula>
    </cfRule>
    <cfRule type="cellIs" dxfId="1" priority="4992" operator="greaterThan">
      <formula>120</formula>
    </cfRule>
    <cfRule type="containsText" dxfId="0" priority="2377" operator="between" text="库存为">
      <formula>NOT(ISERROR(SEARCH("库存为",AU244)))</formula>
    </cfRule>
  </conditionalFormatting>
  <conditionalFormatting sqref="AU245">
    <cfRule type="cellIs" dxfId="2" priority="7606" operator="lessThan">
      <formula>20</formula>
    </cfRule>
    <cfRule type="cellIs" dxfId="1" priority="4991" operator="greaterThan">
      <formula>120</formula>
    </cfRule>
    <cfRule type="containsText" dxfId="0" priority="2376" operator="between" text="库存为">
      <formula>NOT(ISERROR(SEARCH("库存为",AU245)))</formula>
    </cfRule>
  </conditionalFormatting>
  <conditionalFormatting sqref="AU246">
    <cfRule type="cellIs" dxfId="2" priority="7605" operator="lessThan">
      <formula>20</formula>
    </cfRule>
    <cfRule type="cellIs" dxfId="1" priority="4990" operator="greaterThan">
      <formula>120</formula>
    </cfRule>
    <cfRule type="containsText" dxfId="0" priority="2375" operator="between" text="库存为">
      <formula>NOT(ISERROR(SEARCH("库存为",AU246)))</formula>
    </cfRule>
  </conditionalFormatting>
  <conditionalFormatting sqref="AU247">
    <cfRule type="cellIs" dxfId="2" priority="7604" operator="lessThan">
      <formula>20</formula>
    </cfRule>
    <cfRule type="cellIs" dxfId="1" priority="4989" operator="greaterThan">
      <formula>120</formula>
    </cfRule>
    <cfRule type="containsText" dxfId="0" priority="2374" operator="between" text="库存为">
      <formula>NOT(ISERROR(SEARCH("库存为",AU247)))</formula>
    </cfRule>
  </conditionalFormatting>
  <conditionalFormatting sqref="AU248">
    <cfRule type="cellIs" dxfId="2" priority="7603" operator="lessThan">
      <formula>20</formula>
    </cfRule>
    <cfRule type="cellIs" dxfId="1" priority="4988" operator="greaterThan">
      <formula>120</formula>
    </cfRule>
    <cfRule type="containsText" dxfId="0" priority="2373" operator="between" text="库存为">
      <formula>NOT(ISERROR(SEARCH("库存为",AU248)))</formula>
    </cfRule>
  </conditionalFormatting>
  <conditionalFormatting sqref="AU249">
    <cfRule type="cellIs" dxfId="2" priority="7602" operator="lessThan">
      <formula>20</formula>
    </cfRule>
    <cfRule type="cellIs" dxfId="1" priority="4987" operator="greaterThan">
      <formula>120</formula>
    </cfRule>
    <cfRule type="containsText" dxfId="0" priority="2372" operator="between" text="库存为">
      <formula>NOT(ISERROR(SEARCH("库存为",AU249)))</formula>
    </cfRule>
  </conditionalFormatting>
  <conditionalFormatting sqref="AU250">
    <cfRule type="cellIs" dxfId="2" priority="7601" operator="lessThan">
      <formula>20</formula>
    </cfRule>
    <cfRule type="cellIs" dxfId="1" priority="4986" operator="greaterThan">
      <formula>120</formula>
    </cfRule>
    <cfRule type="containsText" dxfId="0" priority="2371" operator="between" text="库存为">
      <formula>NOT(ISERROR(SEARCH("库存为",AU250)))</formula>
    </cfRule>
  </conditionalFormatting>
  <conditionalFormatting sqref="AU251">
    <cfRule type="cellIs" dxfId="2" priority="7600" operator="lessThan">
      <formula>20</formula>
    </cfRule>
    <cfRule type="cellIs" dxfId="1" priority="4985" operator="greaterThan">
      <formula>120</formula>
    </cfRule>
    <cfRule type="containsText" dxfId="0" priority="2370" operator="between" text="库存为">
      <formula>NOT(ISERROR(SEARCH("库存为",AU251)))</formula>
    </cfRule>
  </conditionalFormatting>
  <conditionalFormatting sqref="AU252">
    <cfRule type="cellIs" dxfId="2" priority="7599" operator="lessThan">
      <formula>20</formula>
    </cfRule>
    <cfRule type="cellIs" dxfId="1" priority="4984" operator="greaterThan">
      <formula>120</formula>
    </cfRule>
    <cfRule type="containsText" dxfId="0" priority="2369" operator="between" text="库存为">
      <formula>NOT(ISERROR(SEARCH("库存为",AU252)))</formula>
    </cfRule>
  </conditionalFormatting>
  <conditionalFormatting sqref="AU253">
    <cfRule type="cellIs" dxfId="2" priority="7598" operator="lessThan">
      <formula>20</formula>
    </cfRule>
    <cfRule type="cellIs" dxfId="1" priority="4983" operator="greaterThan">
      <formula>120</formula>
    </cfRule>
    <cfRule type="containsText" dxfId="0" priority="2368" operator="between" text="库存为">
      <formula>NOT(ISERROR(SEARCH("库存为",AU253)))</formula>
    </cfRule>
  </conditionalFormatting>
  <conditionalFormatting sqref="AU254">
    <cfRule type="cellIs" dxfId="2" priority="7597" operator="lessThan">
      <formula>20</formula>
    </cfRule>
    <cfRule type="cellIs" dxfId="1" priority="4982" operator="greaterThan">
      <formula>120</formula>
    </cfRule>
    <cfRule type="containsText" dxfId="0" priority="2367" operator="between" text="库存为">
      <formula>NOT(ISERROR(SEARCH("库存为",AU254)))</formula>
    </cfRule>
  </conditionalFormatting>
  <conditionalFormatting sqref="AU255">
    <cfRule type="cellIs" dxfId="2" priority="7596" operator="lessThan">
      <formula>20</formula>
    </cfRule>
    <cfRule type="cellIs" dxfId="1" priority="4981" operator="greaterThan">
      <formula>120</formula>
    </cfRule>
    <cfRule type="containsText" dxfId="0" priority="2366" operator="between" text="库存为">
      <formula>NOT(ISERROR(SEARCH("库存为",AU255)))</formula>
    </cfRule>
  </conditionalFormatting>
  <conditionalFormatting sqref="AU256">
    <cfRule type="cellIs" dxfId="2" priority="7595" operator="lessThan">
      <formula>20</formula>
    </cfRule>
    <cfRule type="cellIs" dxfId="1" priority="4980" operator="greaterThan">
      <formula>120</formula>
    </cfRule>
    <cfRule type="containsText" dxfId="0" priority="2365" operator="between" text="库存为">
      <formula>NOT(ISERROR(SEARCH("库存为",AU256)))</formula>
    </cfRule>
  </conditionalFormatting>
  <conditionalFormatting sqref="AU257">
    <cfRule type="cellIs" dxfId="2" priority="7594" operator="lessThan">
      <formula>20</formula>
    </cfRule>
    <cfRule type="cellIs" dxfId="1" priority="4979" operator="greaterThan">
      <formula>120</formula>
    </cfRule>
    <cfRule type="containsText" dxfId="0" priority="2364" operator="between" text="库存为">
      <formula>NOT(ISERROR(SEARCH("库存为",AU257)))</formula>
    </cfRule>
  </conditionalFormatting>
  <conditionalFormatting sqref="AU258">
    <cfRule type="cellIs" dxfId="2" priority="7593" operator="lessThan">
      <formula>20</formula>
    </cfRule>
    <cfRule type="cellIs" dxfId="1" priority="4978" operator="greaterThan">
      <formula>120</formula>
    </cfRule>
    <cfRule type="containsText" dxfId="0" priority="2363" operator="between" text="库存为">
      <formula>NOT(ISERROR(SEARCH("库存为",AU258)))</formula>
    </cfRule>
  </conditionalFormatting>
  <conditionalFormatting sqref="AU259">
    <cfRule type="cellIs" dxfId="2" priority="7592" operator="lessThan">
      <formula>20</formula>
    </cfRule>
    <cfRule type="cellIs" dxfId="1" priority="4977" operator="greaterThan">
      <formula>120</formula>
    </cfRule>
    <cfRule type="containsText" dxfId="0" priority="2362" operator="between" text="库存为">
      <formula>NOT(ISERROR(SEARCH("库存为",AU259)))</formula>
    </cfRule>
  </conditionalFormatting>
  <conditionalFormatting sqref="AU260">
    <cfRule type="cellIs" dxfId="2" priority="7591" operator="lessThan">
      <formula>20</formula>
    </cfRule>
    <cfRule type="cellIs" dxfId="1" priority="4976" operator="greaterThan">
      <formula>120</formula>
    </cfRule>
    <cfRule type="containsText" dxfId="0" priority="2361" operator="between" text="库存为">
      <formula>NOT(ISERROR(SEARCH("库存为",AU260)))</formula>
    </cfRule>
  </conditionalFormatting>
  <conditionalFormatting sqref="AU261">
    <cfRule type="cellIs" dxfId="2" priority="7590" operator="lessThan">
      <formula>20</formula>
    </cfRule>
    <cfRule type="cellIs" dxfId="1" priority="4975" operator="greaterThan">
      <formula>120</formula>
    </cfRule>
    <cfRule type="containsText" dxfId="0" priority="2360" operator="between" text="库存为">
      <formula>NOT(ISERROR(SEARCH("库存为",AU261)))</formula>
    </cfRule>
  </conditionalFormatting>
  <conditionalFormatting sqref="AU262">
    <cfRule type="cellIs" dxfId="2" priority="7589" operator="lessThan">
      <formula>20</formula>
    </cfRule>
    <cfRule type="cellIs" dxfId="1" priority="4974" operator="greaterThan">
      <formula>120</formula>
    </cfRule>
    <cfRule type="containsText" dxfId="0" priority="2359" operator="between" text="库存为">
      <formula>NOT(ISERROR(SEARCH("库存为",AU262)))</formula>
    </cfRule>
  </conditionalFormatting>
  <conditionalFormatting sqref="AU263">
    <cfRule type="cellIs" dxfId="2" priority="7588" operator="lessThan">
      <formula>20</formula>
    </cfRule>
    <cfRule type="cellIs" dxfId="1" priority="4973" operator="greaterThan">
      <formula>120</formula>
    </cfRule>
    <cfRule type="containsText" dxfId="0" priority="2358" operator="between" text="库存为">
      <formula>NOT(ISERROR(SEARCH("库存为",AU263)))</formula>
    </cfRule>
  </conditionalFormatting>
  <conditionalFormatting sqref="AU264">
    <cfRule type="cellIs" dxfId="2" priority="7587" operator="lessThan">
      <formula>20</formula>
    </cfRule>
    <cfRule type="cellIs" dxfId="1" priority="4972" operator="greaterThan">
      <formula>120</formula>
    </cfRule>
    <cfRule type="containsText" dxfId="0" priority="2357" operator="between" text="库存为">
      <formula>NOT(ISERROR(SEARCH("库存为",AU264)))</formula>
    </cfRule>
  </conditionalFormatting>
  <conditionalFormatting sqref="AU265">
    <cfRule type="cellIs" dxfId="2" priority="7586" operator="lessThan">
      <formula>20</formula>
    </cfRule>
    <cfRule type="cellIs" dxfId="1" priority="4971" operator="greaterThan">
      <formula>120</formula>
    </cfRule>
    <cfRule type="containsText" dxfId="0" priority="2356" operator="between" text="库存为">
      <formula>NOT(ISERROR(SEARCH("库存为",AU265)))</formula>
    </cfRule>
  </conditionalFormatting>
  <conditionalFormatting sqref="AU266">
    <cfRule type="cellIs" dxfId="2" priority="7585" operator="lessThan">
      <formula>20</formula>
    </cfRule>
    <cfRule type="cellIs" dxfId="1" priority="4970" operator="greaterThan">
      <formula>120</formula>
    </cfRule>
    <cfRule type="containsText" dxfId="0" priority="2355" operator="between" text="库存为">
      <formula>NOT(ISERROR(SEARCH("库存为",AU266)))</formula>
    </cfRule>
  </conditionalFormatting>
  <conditionalFormatting sqref="AU267">
    <cfRule type="cellIs" dxfId="2" priority="7584" operator="lessThan">
      <formula>20</formula>
    </cfRule>
    <cfRule type="cellIs" dxfId="1" priority="4969" operator="greaterThan">
      <formula>120</formula>
    </cfRule>
    <cfRule type="containsText" dxfId="0" priority="2354" operator="between" text="库存为">
      <formula>NOT(ISERROR(SEARCH("库存为",AU267)))</formula>
    </cfRule>
  </conditionalFormatting>
  <conditionalFormatting sqref="AU268">
    <cfRule type="cellIs" dxfId="2" priority="7583" operator="lessThan">
      <formula>20</formula>
    </cfRule>
    <cfRule type="cellIs" dxfId="1" priority="4968" operator="greaterThan">
      <formula>120</formula>
    </cfRule>
    <cfRule type="containsText" dxfId="0" priority="2353" operator="between" text="库存为">
      <formula>NOT(ISERROR(SEARCH("库存为",AU268)))</formula>
    </cfRule>
  </conditionalFormatting>
  <conditionalFormatting sqref="AU269">
    <cfRule type="cellIs" dxfId="2" priority="7582" operator="lessThan">
      <formula>20</formula>
    </cfRule>
    <cfRule type="cellIs" dxfId="1" priority="4967" operator="greaterThan">
      <formula>120</formula>
    </cfRule>
    <cfRule type="containsText" dxfId="0" priority="2352" operator="between" text="库存为">
      <formula>NOT(ISERROR(SEARCH("库存为",AU269)))</formula>
    </cfRule>
  </conditionalFormatting>
  <conditionalFormatting sqref="AU270">
    <cfRule type="cellIs" dxfId="2" priority="7581" operator="lessThan">
      <formula>20</formula>
    </cfRule>
    <cfRule type="cellIs" dxfId="1" priority="4966" operator="greaterThan">
      <formula>120</formula>
    </cfRule>
    <cfRule type="containsText" dxfId="0" priority="2351" operator="between" text="库存为">
      <formula>NOT(ISERROR(SEARCH("库存为",AU270)))</formula>
    </cfRule>
  </conditionalFormatting>
  <conditionalFormatting sqref="AU271">
    <cfRule type="cellIs" dxfId="2" priority="7580" operator="lessThan">
      <formula>20</formula>
    </cfRule>
    <cfRule type="cellIs" dxfId="1" priority="4965" operator="greaterThan">
      <formula>120</formula>
    </cfRule>
    <cfRule type="containsText" dxfId="0" priority="2350" operator="between" text="库存为">
      <formula>NOT(ISERROR(SEARCH("库存为",AU271)))</formula>
    </cfRule>
  </conditionalFormatting>
  <conditionalFormatting sqref="AU272">
    <cfRule type="cellIs" dxfId="2" priority="7579" operator="lessThan">
      <formula>20</formula>
    </cfRule>
    <cfRule type="cellIs" dxfId="1" priority="4964" operator="greaterThan">
      <formula>120</formula>
    </cfRule>
    <cfRule type="containsText" dxfId="0" priority="2349" operator="between" text="库存为">
      <formula>NOT(ISERROR(SEARCH("库存为",AU272)))</formula>
    </cfRule>
  </conditionalFormatting>
  <conditionalFormatting sqref="AU273">
    <cfRule type="cellIs" dxfId="2" priority="7578" operator="lessThan">
      <formula>20</formula>
    </cfRule>
    <cfRule type="cellIs" dxfId="1" priority="4963" operator="greaterThan">
      <formula>120</formula>
    </cfRule>
    <cfRule type="containsText" dxfId="0" priority="2348" operator="between" text="库存为">
      <formula>NOT(ISERROR(SEARCH("库存为",AU273)))</formula>
    </cfRule>
  </conditionalFormatting>
  <conditionalFormatting sqref="AU274">
    <cfRule type="cellIs" dxfId="2" priority="7577" operator="lessThan">
      <formula>20</formula>
    </cfRule>
    <cfRule type="cellIs" dxfId="1" priority="4962" operator="greaterThan">
      <formula>120</formula>
    </cfRule>
    <cfRule type="containsText" dxfId="0" priority="2347" operator="between" text="库存为">
      <formula>NOT(ISERROR(SEARCH("库存为",AU274)))</formula>
    </cfRule>
  </conditionalFormatting>
  <conditionalFormatting sqref="AU275">
    <cfRule type="cellIs" dxfId="2" priority="7576" operator="lessThan">
      <formula>20</formula>
    </cfRule>
    <cfRule type="cellIs" dxfId="1" priority="4961" operator="greaterThan">
      <formula>120</formula>
    </cfRule>
    <cfRule type="containsText" dxfId="0" priority="2346" operator="between" text="库存为">
      <formula>NOT(ISERROR(SEARCH("库存为",AU275)))</formula>
    </cfRule>
  </conditionalFormatting>
  <conditionalFormatting sqref="AU276">
    <cfRule type="cellIs" dxfId="2" priority="7575" operator="lessThan">
      <formula>20</formula>
    </cfRule>
    <cfRule type="cellIs" dxfId="1" priority="4960" operator="greaterThan">
      <formula>120</formula>
    </cfRule>
    <cfRule type="containsText" dxfId="0" priority="2345" operator="between" text="库存为">
      <formula>NOT(ISERROR(SEARCH("库存为",AU276)))</formula>
    </cfRule>
  </conditionalFormatting>
  <conditionalFormatting sqref="AU277">
    <cfRule type="cellIs" dxfId="2" priority="7574" operator="lessThan">
      <formula>20</formula>
    </cfRule>
    <cfRule type="cellIs" dxfId="1" priority="4959" operator="greaterThan">
      <formula>120</formula>
    </cfRule>
    <cfRule type="containsText" dxfId="0" priority="2344" operator="between" text="库存为">
      <formula>NOT(ISERROR(SEARCH("库存为",AU277)))</formula>
    </cfRule>
  </conditionalFormatting>
  <conditionalFormatting sqref="AU278">
    <cfRule type="cellIs" dxfId="2" priority="7573" operator="lessThan">
      <formula>20</formula>
    </cfRule>
    <cfRule type="cellIs" dxfId="1" priority="4958" operator="greaterThan">
      <formula>120</formula>
    </cfRule>
    <cfRule type="containsText" dxfId="0" priority="2343" operator="between" text="库存为">
      <formula>NOT(ISERROR(SEARCH("库存为",AU278)))</formula>
    </cfRule>
  </conditionalFormatting>
  <conditionalFormatting sqref="AU279">
    <cfRule type="cellIs" dxfId="2" priority="7572" operator="lessThan">
      <formula>20</formula>
    </cfRule>
    <cfRule type="cellIs" dxfId="1" priority="4957" operator="greaterThan">
      <formula>120</formula>
    </cfRule>
    <cfRule type="containsText" dxfId="0" priority="2342" operator="between" text="库存为">
      <formula>NOT(ISERROR(SEARCH("库存为",AU279)))</formula>
    </cfRule>
  </conditionalFormatting>
  <conditionalFormatting sqref="AU280">
    <cfRule type="cellIs" dxfId="2" priority="7571" operator="lessThan">
      <formula>20</formula>
    </cfRule>
    <cfRule type="cellIs" dxfId="1" priority="4956" operator="greaterThan">
      <formula>120</formula>
    </cfRule>
    <cfRule type="containsText" dxfId="0" priority="2341" operator="between" text="库存为">
      <formula>NOT(ISERROR(SEARCH("库存为",AU280)))</formula>
    </cfRule>
  </conditionalFormatting>
  <conditionalFormatting sqref="AU281">
    <cfRule type="cellIs" dxfId="2" priority="7570" operator="lessThan">
      <formula>20</formula>
    </cfRule>
    <cfRule type="cellIs" dxfId="1" priority="4955" operator="greaterThan">
      <formula>120</formula>
    </cfRule>
    <cfRule type="containsText" dxfId="0" priority="2340" operator="between" text="库存为">
      <formula>NOT(ISERROR(SEARCH("库存为",AU281)))</formula>
    </cfRule>
  </conditionalFormatting>
  <conditionalFormatting sqref="AU282">
    <cfRule type="cellIs" dxfId="2" priority="7569" operator="lessThan">
      <formula>20</formula>
    </cfRule>
    <cfRule type="cellIs" dxfId="1" priority="4954" operator="greaterThan">
      <formula>120</formula>
    </cfRule>
    <cfRule type="containsText" dxfId="0" priority="2339" operator="between" text="库存为">
      <formula>NOT(ISERROR(SEARCH("库存为",AU282)))</formula>
    </cfRule>
  </conditionalFormatting>
  <conditionalFormatting sqref="AU283">
    <cfRule type="cellIs" dxfId="2" priority="7568" operator="lessThan">
      <formula>20</formula>
    </cfRule>
    <cfRule type="cellIs" dxfId="1" priority="4953" operator="greaterThan">
      <formula>120</formula>
    </cfRule>
    <cfRule type="containsText" dxfId="0" priority="2338" operator="between" text="库存为">
      <formula>NOT(ISERROR(SEARCH("库存为",AU283)))</formula>
    </cfRule>
  </conditionalFormatting>
  <conditionalFormatting sqref="AU284">
    <cfRule type="cellIs" dxfId="2" priority="7567" operator="lessThan">
      <formula>20</formula>
    </cfRule>
    <cfRule type="cellIs" dxfId="1" priority="4952" operator="greaterThan">
      <formula>120</formula>
    </cfRule>
    <cfRule type="containsText" dxfId="0" priority="2337" operator="between" text="库存为">
      <formula>NOT(ISERROR(SEARCH("库存为",AU284)))</formula>
    </cfRule>
  </conditionalFormatting>
  <conditionalFormatting sqref="AU285">
    <cfRule type="cellIs" dxfId="2" priority="7566" operator="lessThan">
      <formula>20</formula>
    </cfRule>
    <cfRule type="cellIs" dxfId="1" priority="4951" operator="greaterThan">
      <formula>120</formula>
    </cfRule>
    <cfRule type="containsText" dxfId="0" priority="2336" operator="between" text="库存为">
      <formula>NOT(ISERROR(SEARCH("库存为",AU285)))</formula>
    </cfRule>
  </conditionalFormatting>
  <conditionalFormatting sqref="AU286">
    <cfRule type="cellIs" dxfId="2" priority="7565" operator="lessThan">
      <formula>20</formula>
    </cfRule>
    <cfRule type="cellIs" dxfId="1" priority="4950" operator="greaterThan">
      <formula>120</formula>
    </cfRule>
    <cfRule type="containsText" dxfId="0" priority="2335" operator="between" text="库存为">
      <formula>NOT(ISERROR(SEARCH("库存为",AU286)))</formula>
    </cfRule>
  </conditionalFormatting>
  <conditionalFormatting sqref="AU287">
    <cfRule type="cellIs" dxfId="2" priority="7564" operator="lessThan">
      <formula>20</formula>
    </cfRule>
    <cfRule type="cellIs" dxfId="1" priority="4949" operator="greaterThan">
      <formula>120</formula>
    </cfRule>
    <cfRule type="containsText" dxfId="0" priority="2334" operator="between" text="库存为">
      <formula>NOT(ISERROR(SEARCH("库存为",AU287)))</formula>
    </cfRule>
  </conditionalFormatting>
  <conditionalFormatting sqref="AU288">
    <cfRule type="cellIs" dxfId="2" priority="7563" operator="lessThan">
      <formula>20</formula>
    </cfRule>
    <cfRule type="cellIs" dxfId="1" priority="4948" operator="greaterThan">
      <formula>120</formula>
    </cfRule>
    <cfRule type="containsText" dxfId="0" priority="2333" operator="between" text="库存为">
      <formula>NOT(ISERROR(SEARCH("库存为",AU288)))</formula>
    </cfRule>
  </conditionalFormatting>
  <conditionalFormatting sqref="AU289">
    <cfRule type="cellIs" dxfId="2" priority="7562" operator="lessThan">
      <formula>20</formula>
    </cfRule>
    <cfRule type="cellIs" dxfId="1" priority="4947" operator="greaterThan">
      <formula>120</formula>
    </cfRule>
    <cfRule type="containsText" dxfId="0" priority="2332" operator="between" text="库存为">
      <formula>NOT(ISERROR(SEARCH("库存为",AU289)))</formula>
    </cfRule>
  </conditionalFormatting>
  <conditionalFormatting sqref="AU290">
    <cfRule type="cellIs" dxfId="2" priority="7561" operator="lessThan">
      <formula>20</formula>
    </cfRule>
    <cfRule type="cellIs" dxfId="1" priority="4946" operator="greaterThan">
      <formula>120</formula>
    </cfRule>
    <cfRule type="containsText" dxfId="0" priority="2331" operator="between" text="库存为">
      <formula>NOT(ISERROR(SEARCH("库存为",AU290)))</formula>
    </cfRule>
  </conditionalFormatting>
  <conditionalFormatting sqref="AU291">
    <cfRule type="cellIs" dxfId="2" priority="7560" operator="lessThan">
      <formula>20</formula>
    </cfRule>
    <cfRule type="cellIs" dxfId="1" priority="4945" operator="greaterThan">
      <formula>120</formula>
    </cfRule>
    <cfRule type="containsText" dxfId="0" priority="2330" operator="between" text="库存为">
      <formula>NOT(ISERROR(SEARCH("库存为",AU291)))</formula>
    </cfRule>
  </conditionalFormatting>
  <conditionalFormatting sqref="AU292">
    <cfRule type="cellIs" dxfId="2" priority="7559" operator="lessThan">
      <formula>20</formula>
    </cfRule>
    <cfRule type="cellIs" dxfId="1" priority="4944" operator="greaterThan">
      <formula>120</formula>
    </cfRule>
    <cfRule type="containsText" dxfId="0" priority="2329" operator="between" text="库存为">
      <formula>NOT(ISERROR(SEARCH("库存为",AU292)))</formula>
    </cfRule>
  </conditionalFormatting>
  <conditionalFormatting sqref="AU293">
    <cfRule type="cellIs" dxfId="2" priority="7558" operator="lessThan">
      <formula>20</formula>
    </cfRule>
    <cfRule type="cellIs" dxfId="1" priority="4943" operator="greaterThan">
      <formula>120</formula>
    </cfRule>
    <cfRule type="containsText" dxfId="0" priority="2328" operator="between" text="库存为">
      <formula>NOT(ISERROR(SEARCH("库存为",AU293)))</formula>
    </cfRule>
  </conditionalFormatting>
  <conditionalFormatting sqref="AU294">
    <cfRule type="cellIs" dxfId="2" priority="7557" operator="lessThan">
      <formula>20</formula>
    </cfRule>
    <cfRule type="cellIs" dxfId="1" priority="4942" operator="greaterThan">
      <formula>120</formula>
    </cfRule>
    <cfRule type="containsText" dxfId="0" priority="2327" operator="between" text="库存为">
      <formula>NOT(ISERROR(SEARCH("库存为",AU294)))</formula>
    </cfRule>
  </conditionalFormatting>
  <conditionalFormatting sqref="AU295">
    <cfRule type="cellIs" dxfId="2" priority="7556" operator="lessThan">
      <formula>20</formula>
    </cfRule>
    <cfRule type="cellIs" dxfId="1" priority="4941" operator="greaterThan">
      <formula>120</formula>
    </cfRule>
    <cfRule type="containsText" dxfId="0" priority="2326" operator="between" text="库存为">
      <formula>NOT(ISERROR(SEARCH("库存为",AU295)))</formula>
    </cfRule>
  </conditionalFormatting>
  <conditionalFormatting sqref="AU296">
    <cfRule type="cellIs" dxfId="2" priority="7555" operator="lessThan">
      <formula>20</formula>
    </cfRule>
    <cfRule type="cellIs" dxfId="1" priority="4940" operator="greaterThan">
      <formula>120</formula>
    </cfRule>
    <cfRule type="containsText" dxfId="0" priority="2325" operator="between" text="库存为">
      <formula>NOT(ISERROR(SEARCH("库存为",AU296)))</formula>
    </cfRule>
  </conditionalFormatting>
  <conditionalFormatting sqref="AU297">
    <cfRule type="cellIs" dxfId="2" priority="7554" operator="lessThan">
      <formula>20</formula>
    </cfRule>
    <cfRule type="cellIs" dxfId="1" priority="4939" operator="greaterThan">
      <formula>120</formula>
    </cfRule>
    <cfRule type="containsText" dxfId="0" priority="2324" operator="between" text="库存为">
      <formula>NOT(ISERROR(SEARCH("库存为",AU297)))</formula>
    </cfRule>
  </conditionalFormatting>
  <conditionalFormatting sqref="AU298">
    <cfRule type="cellIs" dxfId="2" priority="7553" operator="lessThan">
      <formula>20</formula>
    </cfRule>
    <cfRule type="cellIs" dxfId="1" priority="4938" operator="greaterThan">
      <formula>120</formula>
    </cfRule>
    <cfRule type="containsText" dxfId="0" priority="2323" operator="between" text="库存为">
      <formula>NOT(ISERROR(SEARCH("库存为",AU298)))</formula>
    </cfRule>
  </conditionalFormatting>
  <conditionalFormatting sqref="AU299">
    <cfRule type="cellIs" dxfId="2" priority="7552" operator="lessThan">
      <formula>20</formula>
    </cfRule>
    <cfRule type="cellIs" dxfId="1" priority="4937" operator="greaterThan">
      <formula>120</formula>
    </cfRule>
    <cfRule type="containsText" dxfId="0" priority="2322" operator="between" text="库存为">
      <formula>NOT(ISERROR(SEARCH("库存为",AU299)))</formula>
    </cfRule>
  </conditionalFormatting>
  <conditionalFormatting sqref="AU300">
    <cfRule type="cellIs" dxfId="2" priority="7551" operator="lessThan">
      <formula>20</formula>
    </cfRule>
    <cfRule type="cellIs" dxfId="1" priority="4936" operator="greaterThan">
      <formula>120</formula>
    </cfRule>
    <cfRule type="containsText" dxfId="0" priority="2321" operator="between" text="库存为">
      <formula>NOT(ISERROR(SEARCH("库存为",AU300)))</formula>
    </cfRule>
  </conditionalFormatting>
  <conditionalFormatting sqref="AU301">
    <cfRule type="cellIs" dxfId="2" priority="7550" operator="lessThan">
      <formula>20</formula>
    </cfRule>
    <cfRule type="cellIs" dxfId="1" priority="4935" operator="greaterThan">
      <formula>120</formula>
    </cfRule>
    <cfRule type="containsText" dxfId="0" priority="2320" operator="between" text="库存为">
      <formula>NOT(ISERROR(SEARCH("库存为",AU301)))</formula>
    </cfRule>
  </conditionalFormatting>
  <conditionalFormatting sqref="AU302">
    <cfRule type="cellIs" dxfId="2" priority="7549" operator="lessThan">
      <formula>20</formula>
    </cfRule>
    <cfRule type="cellIs" dxfId="1" priority="4934" operator="greaterThan">
      <formula>120</formula>
    </cfRule>
    <cfRule type="containsText" dxfId="0" priority="2319" operator="between" text="库存为">
      <formula>NOT(ISERROR(SEARCH("库存为",AU302)))</formula>
    </cfRule>
  </conditionalFormatting>
  <conditionalFormatting sqref="AU303">
    <cfRule type="cellIs" dxfId="2" priority="7548" operator="lessThan">
      <formula>20</formula>
    </cfRule>
    <cfRule type="cellIs" dxfId="1" priority="4933" operator="greaterThan">
      <formula>120</formula>
    </cfRule>
    <cfRule type="containsText" dxfId="0" priority="2318" operator="between" text="库存为">
      <formula>NOT(ISERROR(SEARCH("库存为",AU303)))</formula>
    </cfRule>
  </conditionalFormatting>
  <conditionalFormatting sqref="AU304">
    <cfRule type="cellIs" dxfId="2" priority="7547" operator="lessThan">
      <formula>20</formula>
    </cfRule>
    <cfRule type="cellIs" dxfId="1" priority="4932" operator="greaterThan">
      <formula>120</formula>
    </cfRule>
    <cfRule type="containsText" dxfId="0" priority="2317" operator="between" text="库存为">
      <formula>NOT(ISERROR(SEARCH("库存为",AU304)))</formula>
    </cfRule>
  </conditionalFormatting>
  <conditionalFormatting sqref="AU305">
    <cfRule type="cellIs" dxfId="2" priority="7546" operator="lessThan">
      <formula>20</formula>
    </cfRule>
    <cfRule type="cellIs" dxfId="1" priority="4931" operator="greaterThan">
      <formula>120</formula>
    </cfRule>
    <cfRule type="containsText" dxfId="0" priority="2316" operator="between" text="库存为">
      <formula>NOT(ISERROR(SEARCH("库存为",AU305)))</formula>
    </cfRule>
  </conditionalFormatting>
  <conditionalFormatting sqref="AU306">
    <cfRule type="cellIs" dxfId="2" priority="7545" operator="lessThan">
      <formula>20</formula>
    </cfRule>
    <cfRule type="cellIs" dxfId="1" priority="4930" operator="greaterThan">
      <formula>120</formula>
    </cfRule>
    <cfRule type="containsText" dxfId="0" priority="2315" operator="between" text="库存为">
      <formula>NOT(ISERROR(SEARCH("库存为",AU306)))</formula>
    </cfRule>
  </conditionalFormatting>
  <conditionalFormatting sqref="AU307">
    <cfRule type="cellIs" dxfId="2" priority="7544" operator="lessThan">
      <formula>20</formula>
    </cfRule>
    <cfRule type="cellIs" dxfId="1" priority="4929" operator="greaterThan">
      <formula>120</formula>
    </cfRule>
    <cfRule type="containsText" dxfId="0" priority="2314" operator="between" text="库存为">
      <formula>NOT(ISERROR(SEARCH("库存为",AU307)))</formula>
    </cfRule>
  </conditionalFormatting>
  <conditionalFormatting sqref="AU308">
    <cfRule type="cellIs" dxfId="2" priority="7543" operator="lessThan">
      <formula>20</formula>
    </cfRule>
    <cfRule type="cellIs" dxfId="1" priority="4928" operator="greaterThan">
      <formula>120</formula>
    </cfRule>
    <cfRule type="containsText" dxfId="0" priority="2313" operator="between" text="库存为">
      <formula>NOT(ISERROR(SEARCH("库存为",AU308)))</formula>
    </cfRule>
  </conditionalFormatting>
  <conditionalFormatting sqref="AU309">
    <cfRule type="cellIs" dxfId="2" priority="7542" operator="lessThan">
      <formula>20</formula>
    </cfRule>
    <cfRule type="cellIs" dxfId="1" priority="4927" operator="greaterThan">
      <formula>120</formula>
    </cfRule>
    <cfRule type="containsText" dxfId="0" priority="2312" operator="between" text="库存为">
      <formula>NOT(ISERROR(SEARCH("库存为",AU309)))</formula>
    </cfRule>
  </conditionalFormatting>
  <conditionalFormatting sqref="AU310">
    <cfRule type="cellIs" dxfId="2" priority="7541" operator="lessThan">
      <formula>20</formula>
    </cfRule>
    <cfRule type="cellIs" dxfId="1" priority="4926" operator="greaterThan">
      <formula>120</formula>
    </cfRule>
    <cfRule type="containsText" dxfId="0" priority="2311" operator="between" text="库存为">
      <formula>NOT(ISERROR(SEARCH("库存为",AU310)))</formula>
    </cfRule>
  </conditionalFormatting>
  <conditionalFormatting sqref="AU311">
    <cfRule type="cellIs" dxfId="2" priority="7540" operator="lessThan">
      <formula>20</formula>
    </cfRule>
    <cfRule type="cellIs" dxfId="1" priority="4925" operator="greaterThan">
      <formula>120</formula>
    </cfRule>
    <cfRule type="containsText" dxfId="0" priority="2310" operator="between" text="库存为">
      <formula>NOT(ISERROR(SEARCH("库存为",AU311)))</formula>
    </cfRule>
  </conditionalFormatting>
  <conditionalFormatting sqref="AU312">
    <cfRule type="cellIs" dxfId="2" priority="7539" operator="lessThan">
      <formula>20</formula>
    </cfRule>
    <cfRule type="cellIs" dxfId="1" priority="4924" operator="greaterThan">
      <formula>120</formula>
    </cfRule>
    <cfRule type="containsText" dxfId="0" priority="2309" operator="between" text="库存为">
      <formula>NOT(ISERROR(SEARCH("库存为",AU312)))</formula>
    </cfRule>
  </conditionalFormatting>
  <conditionalFormatting sqref="AU313">
    <cfRule type="cellIs" dxfId="2" priority="7538" operator="lessThan">
      <formula>20</formula>
    </cfRule>
    <cfRule type="cellIs" dxfId="1" priority="4923" operator="greaterThan">
      <formula>120</formula>
    </cfRule>
    <cfRule type="containsText" dxfId="0" priority="2308" operator="between" text="库存为">
      <formula>NOT(ISERROR(SEARCH("库存为",AU313)))</formula>
    </cfRule>
  </conditionalFormatting>
  <conditionalFormatting sqref="AU314">
    <cfRule type="cellIs" dxfId="2" priority="7537" operator="lessThan">
      <formula>20</formula>
    </cfRule>
    <cfRule type="cellIs" dxfId="1" priority="4922" operator="greaterThan">
      <formula>120</formula>
    </cfRule>
    <cfRule type="containsText" dxfId="0" priority="2307" operator="between" text="库存为">
      <formula>NOT(ISERROR(SEARCH("库存为",AU314)))</formula>
    </cfRule>
  </conditionalFormatting>
  <conditionalFormatting sqref="AU315">
    <cfRule type="cellIs" dxfId="2" priority="7536" operator="lessThan">
      <formula>20</formula>
    </cfRule>
    <cfRule type="cellIs" dxfId="1" priority="4921" operator="greaterThan">
      <formula>120</formula>
    </cfRule>
    <cfRule type="containsText" dxfId="0" priority="2306" operator="between" text="库存为">
      <formula>NOT(ISERROR(SEARCH("库存为",AU315)))</formula>
    </cfRule>
  </conditionalFormatting>
  <conditionalFormatting sqref="AU316">
    <cfRule type="cellIs" dxfId="2" priority="7535" operator="lessThan">
      <formula>20</formula>
    </cfRule>
    <cfRule type="cellIs" dxfId="1" priority="4920" operator="greaterThan">
      <formula>120</formula>
    </cfRule>
    <cfRule type="containsText" dxfId="0" priority="2305" operator="between" text="库存为">
      <formula>NOT(ISERROR(SEARCH("库存为",AU316)))</formula>
    </cfRule>
  </conditionalFormatting>
  <conditionalFormatting sqref="AU317">
    <cfRule type="cellIs" dxfId="2" priority="7534" operator="lessThan">
      <formula>20</formula>
    </cfRule>
    <cfRule type="cellIs" dxfId="1" priority="4919" operator="greaterThan">
      <formula>120</formula>
    </cfRule>
    <cfRule type="containsText" dxfId="0" priority="2304" operator="between" text="库存为">
      <formula>NOT(ISERROR(SEARCH("库存为",AU317)))</formula>
    </cfRule>
  </conditionalFormatting>
  <conditionalFormatting sqref="AU318">
    <cfRule type="cellIs" dxfId="2" priority="7533" operator="lessThan">
      <formula>20</formula>
    </cfRule>
    <cfRule type="cellIs" dxfId="1" priority="4918" operator="greaterThan">
      <formula>120</formula>
    </cfRule>
    <cfRule type="containsText" dxfId="0" priority="2303" operator="between" text="库存为">
      <formula>NOT(ISERROR(SEARCH("库存为",AU318)))</formula>
    </cfRule>
  </conditionalFormatting>
  <conditionalFormatting sqref="AU319">
    <cfRule type="cellIs" dxfId="2" priority="7532" operator="lessThan">
      <formula>20</formula>
    </cfRule>
    <cfRule type="cellIs" dxfId="1" priority="4917" operator="greaterThan">
      <formula>120</formula>
    </cfRule>
    <cfRule type="containsText" dxfId="0" priority="2302" operator="between" text="库存为">
      <formula>NOT(ISERROR(SEARCH("库存为",AU319)))</formula>
    </cfRule>
  </conditionalFormatting>
  <conditionalFormatting sqref="AU320">
    <cfRule type="cellIs" dxfId="2" priority="7531" operator="lessThan">
      <formula>20</formula>
    </cfRule>
    <cfRule type="cellIs" dxfId="1" priority="4916" operator="greaterThan">
      <formula>120</formula>
    </cfRule>
    <cfRule type="containsText" dxfId="0" priority="2301" operator="between" text="库存为">
      <formula>NOT(ISERROR(SEARCH("库存为",AU320)))</formula>
    </cfRule>
  </conditionalFormatting>
  <conditionalFormatting sqref="AU321">
    <cfRule type="cellIs" dxfId="2" priority="7530" operator="lessThan">
      <formula>20</formula>
    </cfRule>
    <cfRule type="cellIs" dxfId="1" priority="4915" operator="greaterThan">
      <formula>120</formula>
    </cfRule>
    <cfRule type="containsText" dxfId="0" priority="2300" operator="between" text="库存为">
      <formula>NOT(ISERROR(SEARCH("库存为",AU321)))</formula>
    </cfRule>
  </conditionalFormatting>
  <conditionalFormatting sqref="AU322">
    <cfRule type="cellIs" dxfId="2" priority="7529" operator="lessThan">
      <formula>20</formula>
    </cfRule>
    <cfRule type="cellIs" dxfId="1" priority="4914" operator="greaterThan">
      <formula>120</formula>
    </cfRule>
    <cfRule type="containsText" dxfId="0" priority="2299" operator="between" text="库存为">
      <formula>NOT(ISERROR(SEARCH("库存为",AU322)))</formula>
    </cfRule>
  </conditionalFormatting>
  <conditionalFormatting sqref="AU323">
    <cfRule type="cellIs" dxfId="2" priority="7528" operator="lessThan">
      <formula>20</formula>
    </cfRule>
    <cfRule type="cellIs" dxfId="1" priority="4913" operator="greaterThan">
      <formula>120</formula>
    </cfRule>
    <cfRule type="containsText" dxfId="0" priority="2298" operator="between" text="库存为">
      <formula>NOT(ISERROR(SEARCH("库存为",AU323)))</formula>
    </cfRule>
  </conditionalFormatting>
  <conditionalFormatting sqref="AU324">
    <cfRule type="cellIs" dxfId="2" priority="7527" operator="lessThan">
      <formula>20</formula>
    </cfRule>
    <cfRule type="cellIs" dxfId="1" priority="4912" operator="greaterThan">
      <formula>120</formula>
    </cfRule>
    <cfRule type="containsText" dxfId="0" priority="2297" operator="between" text="库存为">
      <formula>NOT(ISERROR(SEARCH("库存为",AU324)))</formula>
    </cfRule>
  </conditionalFormatting>
  <conditionalFormatting sqref="AU325">
    <cfRule type="cellIs" dxfId="2" priority="7526" operator="lessThan">
      <formula>20</formula>
    </cfRule>
    <cfRule type="cellIs" dxfId="1" priority="4911" operator="greaterThan">
      <formula>120</formula>
    </cfRule>
    <cfRule type="containsText" dxfId="0" priority="2296" operator="between" text="库存为">
      <formula>NOT(ISERROR(SEARCH("库存为",AU325)))</formula>
    </cfRule>
  </conditionalFormatting>
  <conditionalFormatting sqref="AU326">
    <cfRule type="cellIs" dxfId="2" priority="7525" operator="lessThan">
      <formula>20</formula>
    </cfRule>
    <cfRule type="cellIs" dxfId="1" priority="4910" operator="greaterThan">
      <formula>120</formula>
    </cfRule>
    <cfRule type="containsText" dxfId="0" priority="2295" operator="between" text="库存为">
      <formula>NOT(ISERROR(SEARCH("库存为",AU326)))</formula>
    </cfRule>
  </conditionalFormatting>
  <conditionalFormatting sqref="AU327">
    <cfRule type="cellIs" dxfId="2" priority="7524" operator="lessThan">
      <formula>20</formula>
    </cfRule>
    <cfRule type="cellIs" dxfId="1" priority="4909" operator="greaterThan">
      <formula>120</formula>
    </cfRule>
    <cfRule type="containsText" dxfId="0" priority="2294" operator="between" text="库存为">
      <formula>NOT(ISERROR(SEARCH("库存为",AU327)))</formula>
    </cfRule>
  </conditionalFormatting>
  <conditionalFormatting sqref="AU328">
    <cfRule type="cellIs" dxfId="2" priority="7523" operator="lessThan">
      <formula>20</formula>
    </cfRule>
    <cfRule type="cellIs" dxfId="1" priority="4908" operator="greaterThan">
      <formula>120</formula>
    </cfRule>
    <cfRule type="containsText" dxfId="0" priority="2293" operator="between" text="库存为">
      <formula>NOT(ISERROR(SEARCH("库存为",AU328)))</formula>
    </cfRule>
  </conditionalFormatting>
  <conditionalFormatting sqref="AU329">
    <cfRule type="cellIs" dxfId="2" priority="7522" operator="lessThan">
      <formula>20</formula>
    </cfRule>
    <cfRule type="cellIs" dxfId="1" priority="4907" operator="greaterThan">
      <formula>120</formula>
    </cfRule>
    <cfRule type="containsText" dxfId="0" priority="2292" operator="between" text="库存为">
      <formula>NOT(ISERROR(SEARCH("库存为",AU329)))</formula>
    </cfRule>
  </conditionalFormatting>
  <conditionalFormatting sqref="AU330">
    <cfRule type="cellIs" dxfId="2" priority="7521" operator="lessThan">
      <formula>20</formula>
    </cfRule>
    <cfRule type="cellIs" dxfId="1" priority="4906" operator="greaterThan">
      <formula>120</formula>
    </cfRule>
    <cfRule type="containsText" dxfId="0" priority="2291" operator="between" text="库存为">
      <formula>NOT(ISERROR(SEARCH("库存为",AU330)))</formula>
    </cfRule>
  </conditionalFormatting>
  <conditionalFormatting sqref="AU331">
    <cfRule type="cellIs" dxfId="2" priority="7520" operator="lessThan">
      <formula>20</formula>
    </cfRule>
    <cfRule type="cellIs" dxfId="1" priority="4905" operator="greaterThan">
      <formula>120</formula>
    </cfRule>
    <cfRule type="containsText" dxfId="0" priority="2290" operator="between" text="库存为">
      <formula>NOT(ISERROR(SEARCH("库存为",AU331)))</formula>
    </cfRule>
  </conditionalFormatting>
  <conditionalFormatting sqref="AU332">
    <cfRule type="cellIs" dxfId="2" priority="7519" operator="lessThan">
      <formula>20</formula>
    </cfRule>
    <cfRule type="cellIs" dxfId="1" priority="4904" operator="greaterThan">
      <formula>120</formula>
    </cfRule>
    <cfRule type="containsText" dxfId="0" priority="2289" operator="between" text="库存为">
      <formula>NOT(ISERROR(SEARCH("库存为",AU332)))</formula>
    </cfRule>
  </conditionalFormatting>
  <conditionalFormatting sqref="AU333">
    <cfRule type="cellIs" dxfId="2" priority="7518" operator="lessThan">
      <formula>20</formula>
    </cfRule>
    <cfRule type="cellIs" dxfId="1" priority="4903" operator="greaterThan">
      <formula>120</formula>
    </cfRule>
    <cfRule type="containsText" dxfId="0" priority="2288" operator="between" text="库存为">
      <formula>NOT(ISERROR(SEARCH("库存为",AU333)))</formula>
    </cfRule>
  </conditionalFormatting>
  <conditionalFormatting sqref="AU334">
    <cfRule type="cellIs" dxfId="2" priority="7517" operator="lessThan">
      <formula>20</formula>
    </cfRule>
    <cfRule type="cellIs" dxfId="1" priority="4902" operator="greaterThan">
      <formula>120</formula>
    </cfRule>
    <cfRule type="containsText" dxfId="0" priority="2287" operator="between" text="库存为">
      <formula>NOT(ISERROR(SEARCH("库存为",AU334)))</formula>
    </cfRule>
  </conditionalFormatting>
  <conditionalFormatting sqref="AU335">
    <cfRule type="cellIs" dxfId="2" priority="7516" operator="lessThan">
      <formula>20</formula>
    </cfRule>
    <cfRule type="cellIs" dxfId="1" priority="4901" operator="greaterThan">
      <formula>120</formula>
    </cfRule>
    <cfRule type="containsText" dxfId="0" priority="2286" operator="between" text="库存为">
      <formula>NOT(ISERROR(SEARCH("库存为",AU335)))</formula>
    </cfRule>
  </conditionalFormatting>
  <conditionalFormatting sqref="AU336">
    <cfRule type="cellIs" dxfId="2" priority="7515" operator="lessThan">
      <formula>20</formula>
    </cfRule>
    <cfRule type="cellIs" dxfId="1" priority="4900" operator="greaterThan">
      <formula>120</formula>
    </cfRule>
    <cfRule type="containsText" dxfId="0" priority="2285" operator="between" text="库存为">
      <formula>NOT(ISERROR(SEARCH("库存为",AU336)))</formula>
    </cfRule>
  </conditionalFormatting>
  <conditionalFormatting sqref="AU337">
    <cfRule type="cellIs" dxfId="2" priority="7514" operator="lessThan">
      <formula>20</formula>
    </cfRule>
    <cfRule type="cellIs" dxfId="1" priority="4899" operator="greaterThan">
      <formula>120</formula>
    </cfRule>
    <cfRule type="containsText" dxfId="0" priority="2284" operator="between" text="库存为">
      <formula>NOT(ISERROR(SEARCH("库存为",AU337)))</formula>
    </cfRule>
  </conditionalFormatting>
  <conditionalFormatting sqref="AU338">
    <cfRule type="cellIs" dxfId="2" priority="7513" operator="lessThan">
      <formula>20</formula>
    </cfRule>
    <cfRule type="cellIs" dxfId="1" priority="4898" operator="greaterThan">
      <formula>120</formula>
    </cfRule>
    <cfRule type="containsText" dxfId="0" priority="2283" operator="between" text="库存为">
      <formula>NOT(ISERROR(SEARCH("库存为",AU338)))</formula>
    </cfRule>
  </conditionalFormatting>
  <conditionalFormatting sqref="AU339">
    <cfRule type="cellIs" dxfId="2" priority="7512" operator="lessThan">
      <formula>20</formula>
    </cfRule>
    <cfRule type="cellIs" dxfId="1" priority="4897" operator="greaterThan">
      <formula>120</formula>
    </cfRule>
    <cfRule type="containsText" dxfId="0" priority="2282" operator="between" text="库存为">
      <formula>NOT(ISERROR(SEARCH("库存为",AU339)))</formula>
    </cfRule>
  </conditionalFormatting>
  <conditionalFormatting sqref="AU340">
    <cfRule type="cellIs" dxfId="2" priority="7511" operator="lessThan">
      <formula>20</formula>
    </cfRule>
    <cfRule type="cellIs" dxfId="1" priority="4896" operator="greaterThan">
      <formula>120</formula>
    </cfRule>
    <cfRule type="containsText" dxfId="0" priority="2281" operator="between" text="库存为">
      <formula>NOT(ISERROR(SEARCH("库存为",AU340)))</formula>
    </cfRule>
  </conditionalFormatting>
  <conditionalFormatting sqref="AU341">
    <cfRule type="cellIs" dxfId="2" priority="7510" operator="lessThan">
      <formula>20</formula>
    </cfRule>
    <cfRule type="cellIs" dxfId="1" priority="4895" operator="greaterThan">
      <formula>120</formula>
    </cfRule>
    <cfRule type="containsText" dxfId="0" priority="2280" operator="between" text="库存为">
      <formula>NOT(ISERROR(SEARCH("库存为",AU341)))</formula>
    </cfRule>
  </conditionalFormatting>
  <conditionalFormatting sqref="AU342">
    <cfRule type="cellIs" dxfId="2" priority="7509" operator="lessThan">
      <formula>20</formula>
    </cfRule>
    <cfRule type="cellIs" dxfId="1" priority="4894" operator="greaterThan">
      <formula>120</formula>
    </cfRule>
    <cfRule type="containsText" dxfId="0" priority="2279" operator="between" text="库存为">
      <formula>NOT(ISERROR(SEARCH("库存为",AU342)))</formula>
    </cfRule>
  </conditionalFormatting>
  <conditionalFormatting sqref="AU343">
    <cfRule type="cellIs" dxfId="2" priority="7508" operator="lessThan">
      <formula>20</formula>
    </cfRule>
    <cfRule type="cellIs" dxfId="1" priority="4893" operator="greaterThan">
      <formula>120</formula>
    </cfRule>
    <cfRule type="containsText" dxfId="0" priority="2278" operator="between" text="库存为">
      <formula>NOT(ISERROR(SEARCH("库存为",AU343)))</formula>
    </cfRule>
  </conditionalFormatting>
  <conditionalFormatting sqref="AU344">
    <cfRule type="cellIs" dxfId="2" priority="7507" operator="lessThan">
      <formula>20</formula>
    </cfRule>
    <cfRule type="cellIs" dxfId="1" priority="4892" operator="greaterThan">
      <formula>120</formula>
    </cfRule>
    <cfRule type="containsText" dxfId="0" priority="2277" operator="between" text="库存为">
      <formula>NOT(ISERROR(SEARCH("库存为",AU344)))</formula>
    </cfRule>
  </conditionalFormatting>
  <conditionalFormatting sqref="AU345">
    <cfRule type="cellIs" dxfId="2" priority="7506" operator="lessThan">
      <formula>20</formula>
    </cfRule>
    <cfRule type="cellIs" dxfId="1" priority="4891" operator="greaterThan">
      <formula>120</formula>
    </cfRule>
    <cfRule type="containsText" dxfId="0" priority="2276" operator="between" text="库存为">
      <formula>NOT(ISERROR(SEARCH("库存为",AU345)))</formula>
    </cfRule>
  </conditionalFormatting>
  <conditionalFormatting sqref="AU346">
    <cfRule type="cellIs" dxfId="2" priority="7505" operator="lessThan">
      <formula>20</formula>
    </cfRule>
    <cfRule type="cellIs" dxfId="1" priority="4890" operator="greaterThan">
      <formula>120</formula>
    </cfRule>
    <cfRule type="containsText" dxfId="0" priority="2275" operator="between" text="库存为">
      <formula>NOT(ISERROR(SEARCH("库存为",AU346)))</formula>
    </cfRule>
  </conditionalFormatting>
  <conditionalFormatting sqref="AU347">
    <cfRule type="cellIs" dxfId="2" priority="7504" operator="lessThan">
      <formula>20</formula>
    </cfRule>
    <cfRule type="cellIs" dxfId="1" priority="4889" operator="greaterThan">
      <formula>120</formula>
    </cfRule>
    <cfRule type="containsText" dxfId="0" priority="2274" operator="between" text="库存为">
      <formula>NOT(ISERROR(SEARCH("库存为",AU347)))</formula>
    </cfRule>
  </conditionalFormatting>
  <conditionalFormatting sqref="AU348">
    <cfRule type="cellIs" dxfId="2" priority="7503" operator="lessThan">
      <formula>20</formula>
    </cfRule>
    <cfRule type="cellIs" dxfId="1" priority="4888" operator="greaterThan">
      <formula>120</formula>
    </cfRule>
    <cfRule type="containsText" dxfId="0" priority="2273" operator="between" text="库存为">
      <formula>NOT(ISERROR(SEARCH("库存为",AU348)))</formula>
    </cfRule>
  </conditionalFormatting>
  <conditionalFormatting sqref="AU349">
    <cfRule type="cellIs" dxfId="2" priority="7502" operator="lessThan">
      <formula>20</formula>
    </cfRule>
    <cfRule type="cellIs" dxfId="1" priority="4887" operator="greaterThan">
      <formula>120</formula>
    </cfRule>
    <cfRule type="containsText" dxfId="0" priority="2272" operator="between" text="库存为">
      <formula>NOT(ISERROR(SEARCH("库存为",AU349)))</formula>
    </cfRule>
  </conditionalFormatting>
  <conditionalFormatting sqref="AU350">
    <cfRule type="cellIs" dxfId="2" priority="7501" operator="lessThan">
      <formula>20</formula>
    </cfRule>
    <cfRule type="cellIs" dxfId="1" priority="4886" operator="greaterThan">
      <formula>120</formula>
    </cfRule>
    <cfRule type="containsText" dxfId="0" priority="2271" operator="between" text="库存为">
      <formula>NOT(ISERROR(SEARCH("库存为",AU350)))</formula>
    </cfRule>
  </conditionalFormatting>
  <conditionalFormatting sqref="AU351">
    <cfRule type="cellIs" dxfId="2" priority="7500" operator="lessThan">
      <formula>20</formula>
    </cfRule>
    <cfRule type="cellIs" dxfId="1" priority="4885" operator="greaterThan">
      <formula>120</formula>
    </cfRule>
    <cfRule type="containsText" dxfId="0" priority="2270" operator="between" text="库存为">
      <formula>NOT(ISERROR(SEARCH("库存为",AU351)))</formula>
    </cfRule>
  </conditionalFormatting>
  <conditionalFormatting sqref="AU352">
    <cfRule type="cellIs" dxfId="2" priority="7499" operator="lessThan">
      <formula>20</formula>
    </cfRule>
    <cfRule type="cellIs" dxfId="1" priority="4884" operator="greaterThan">
      <formula>120</formula>
    </cfRule>
    <cfRule type="containsText" dxfId="0" priority="2269" operator="between" text="库存为">
      <formula>NOT(ISERROR(SEARCH("库存为",AU352)))</formula>
    </cfRule>
  </conditionalFormatting>
  <conditionalFormatting sqref="AU353">
    <cfRule type="cellIs" dxfId="2" priority="7498" operator="lessThan">
      <formula>20</formula>
    </cfRule>
    <cfRule type="cellIs" dxfId="1" priority="4883" operator="greaterThan">
      <formula>120</formula>
    </cfRule>
    <cfRule type="containsText" dxfId="0" priority="2268" operator="between" text="库存为">
      <formula>NOT(ISERROR(SEARCH("库存为",AU353)))</formula>
    </cfRule>
  </conditionalFormatting>
  <conditionalFormatting sqref="AU354">
    <cfRule type="cellIs" dxfId="2" priority="7497" operator="lessThan">
      <formula>20</formula>
    </cfRule>
    <cfRule type="cellIs" dxfId="1" priority="4882" operator="greaterThan">
      <formula>120</formula>
    </cfRule>
    <cfRule type="containsText" dxfId="0" priority="2267" operator="between" text="库存为">
      <formula>NOT(ISERROR(SEARCH("库存为",AU354)))</formula>
    </cfRule>
  </conditionalFormatting>
  <conditionalFormatting sqref="AU355">
    <cfRule type="cellIs" dxfId="2" priority="7496" operator="lessThan">
      <formula>20</formula>
    </cfRule>
    <cfRule type="cellIs" dxfId="1" priority="4881" operator="greaterThan">
      <formula>120</formula>
    </cfRule>
    <cfRule type="containsText" dxfId="0" priority="2266" operator="between" text="库存为">
      <formula>NOT(ISERROR(SEARCH("库存为",AU355)))</formula>
    </cfRule>
  </conditionalFormatting>
  <conditionalFormatting sqref="AU356">
    <cfRule type="cellIs" dxfId="2" priority="7495" operator="lessThan">
      <formula>20</formula>
    </cfRule>
    <cfRule type="cellIs" dxfId="1" priority="4880" operator="greaterThan">
      <formula>120</formula>
    </cfRule>
    <cfRule type="containsText" dxfId="0" priority="2265" operator="between" text="库存为">
      <formula>NOT(ISERROR(SEARCH("库存为",AU356)))</formula>
    </cfRule>
  </conditionalFormatting>
  <conditionalFormatting sqref="AU357">
    <cfRule type="cellIs" dxfId="2" priority="7494" operator="lessThan">
      <formula>20</formula>
    </cfRule>
    <cfRule type="cellIs" dxfId="1" priority="4879" operator="greaterThan">
      <formula>120</formula>
    </cfRule>
    <cfRule type="containsText" dxfId="0" priority="2264" operator="between" text="库存为">
      <formula>NOT(ISERROR(SEARCH("库存为",AU357)))</formula>
    </cfRule>
  </conditionalFormatting>
  <conditionalFormatting sqref="AU358">
    <cfRule type="cellIs" dxfId="2" priority="7493" operator="lessThan">
      <formula>20</formula>
    </cfRule>
    <cfRule type="cellIs" dxfId="1" priority="4878" operator="greaterThan">
      <formula>120</formula>
    </cfRule>
    <cfRule type="containsText" dxfId="0" priority="2263" operator="between" text="库存为">
      <formula>NOT(ISERROR(SEARCH("库存为",AU358)))</formula>
    </cfRule>
  </conditionalFormatting>
  <conditionalFormatting sqref="AU359">
    <cfRule type="cellIs" dxfId="2" priority="7492" operator="lessThan">
      <formula>20</formula>
    </cfRule>
    <cfRule type="cellIs" dxfId="1" priority="4877" operator="greaterThan">
      <formula>120</formula>
    </cfRule>
    <cfRule type="containsText" dxfId="0" priority="2262" operator="between" text="库存为">
      <formula>NOT(ISERROR(SEARCH("库存为",AU359)))</formula>
    </cfRule>
  </conditionalFormatting>
  <conditionalFormatting sqref="AU360">
    <cfRule type="cellIs" dxfId="2" priority="7491" operator="lessThan">
      <formula>20</formula>
    </cfRule>
    <cfRule type="cellIs" dxfId="1" priority="4876" operator="greaterThan">
      <formula>120</formula>
    </cfRule>
    <cfRule type="containsText" dxfId="0" priority="2261" operator="between" text="库存为">
      <formula>NOT(ISERROR(SEARCH("库存为",AU360)))</formula>
    </cfRule>
  </conditionalFormatting>
  <conditionalFormatting sqref="AU361">
    <cfRule type="cellIs" dxfId="2" priority="7490" operator="lessThan">
      <formula>20</formula>
    </cfRule>
    <cfRule type="cellIs" dxfId="1" priority="4875" operator="greaterThan">
      <formula>120</formula>
    </cfRule>
    <cfRule type="containsText" dxfId="0" priority="2260" operator="between" text="库存为">
      <formula>NOT(ISERROR(SEARCH("库存为",AU361)))</formula>
    </cfRule>
  </conditionalFormatting>
  <conditionalFormatting sqref="AU362">
    <cfRule type="cellIs" dxfId="2" priority="7489" operator="lessThan">
      <formula>20</formula>
    </cfRule>
    <cfRule type="cellIs" dxfId="1" priority="4874" operator="greaterThan">
      <formula>120</formula>
    </cfRule>
    <cfRule type="containsText" dxfId="0" priority="2259" operator="between" text="库存为">
      <formula>NOT(ISERROR(SEARCH("库存为",AU362)))</formula>
    </cfRule>
  </conditionalFormatting>
  <conditionalFormatting sqref="AU363">
    <cfRule type="cellIs" dxfId="2" priority="7488" operator="lessThan">
      <formula>20</formula>
    </cfRule>
    <cfRule type="cellIs" dxfId="1" priority="4873" operator="greaterThan">
      <formula>120</formula>
    </cfRule>
    <cfRule type="containsText" dxfId="0" priority="2258" operator="between" text="库存为">
      <formula>NOT(ISERROR(SEARCH("库存为",AU363)))</formula>
    </cfRule>
  </conditionalFormatting>
  <conditionalFormatting sqref="AU364">
    <cfRule type="cellIs" dxfId="2" priority="7487" operator="lessThan">
      <formula>20</formula>
    </cfRule>
    <cfRule type="cellIs" dxfId="1" priority="4872" operator="greaterThan">
      <formula>120</formula>
    </cfRule>
    <cfRule type="containsText" dxfId="0" priority="2257" operator="between" text="库存为">
      <formula>NOT(ISERROR(SEARCH("库存为",AU364)))</formula>
    </cfRule>
  </conditionalFormatting>
  <conditionalFormatting sqref="AU365">
    <cfRule type="cellIs" dxfId="2" priority="7486" operator="lessThan">
      <formula>20</formula>
    </cfRule>
    <cfRule type="cellIs" dxfId="1" priority="4871" operator="greaterThan">
      <formula>120</formula>
    </cfRule>
    <cfRule type="containsText" dxfId="0" priority="2256" operator="between" text="库存为">
      <formula>NOT(ISERROR(SEARCH("库存为",AU365)))</formula>
    </cfRule>
  </conditionalFormatting>
  <conditionalFormatting sqref="AU366">
    <cfRule type="cellIs" dxfId="2" priority="7485" operator="lessThan">
      <formula>20</formula>
    </cfRule>
    <cfRule type="cellIs" dxfId="1" priority="4870" operator="greaterThan">
      <formula>120</formula>
    </cfRule>
    <cfRule type="containsText" dxfId="0" priority="2255" operator="between" text="库存为">
      <formula>NOT(ISERROR(SEARCH("库存为",AU366)))</formula>
    </cfRule>
  </conditionalFormatting>
  <conditionalFormatting sqref="AU367">
    <cfRule type="cellIs" dxfId="2" priority="7484" operator="lessThan">
      <formula>20</formula>
    </cfRule>
    <cfRule type="cellIs" dxfId="1" priority="4869" operator="greaterThan">
      <formula>120</formula>
    </cfRule>
    <cfRule type="containsText" dxfId="0" priority="2254" operator="between" text="库存为">
      <formula>NOT(ISERROR(SEARCH("库存为",AU367)))</formula>
    </cfRule>
  </conditionalFormatting>
  <conditionalFormatting sqref="AU368">
    <cfRule type="cellIs" dxfId="2" priority="7483" operator="lessThan">
      <formula>20</formula>
    </cfRule>
    <cfRule type="cellIs" dxfId="1" priority="4868" operator="greaterThan">
      <formula>120</formula>
    </cfRule>
    <cfRule type="containsText" dxfId="0" priority="2253" operator="between" text="库存为">
      <formula>NOT(ISERROR(SEARCH("库存为",AU368)))</formula>
    </cfRule>
  </conditionalFormatting>
  <conditionalFormatting sqref="AU369">
    <cfRule type="cellIs" dxfId="2" priority="7482" operator="lessThan">
      <formula>20</formula>
    </cfRule>
    <cfRule type="cellIs" dxfId="1" priority="4867" operator="greaterThan">
      <formula>120</formula>
    </cfRule>
    <cfRule type="containsText" dxfId="0" priority="2252" operator="between" text="库存为">
      <formula>NOT(ISERROR(SEARCH("库存为",AU369)))</formula>
    </cfRule>
  </conditionalFormatting>
  <conditionalFormatting sqref="AU370">
    <cfRule type="cellIs" dxfId="2" priority="7481" operator="lessThan">
      <formula>20</formula>
    </cfRule>
    <cfRule type="cellIs" dxfId="1" priority="4866" operator="greaterThan">
      <formula>120</formula>
    </cfRule>
    <cfRule type="containsText" dxfId="0" priority="2251" operator="between" text="库存为">
      <formula>NOT(ISERROR(SEARCH("库存为",AU370)))</formula>
    </cfRule>
  </conditionalFormatting>
  <conditionalFormatting sqref="AU371">
    <cfRule type="cellIs" dxfId="2" priority="7480" operator="lessThan">
      <formula>20</formula>
    </cfRule>
    <cfRule type="cellIs" dxfId="1" priority="4865" operator="greaterThan">
      <formula>120</formula>
    </cfRule>
    <cfRule type="containsText" dxfId="0" priority="2250" operator="between" text="库存为">
      <formula>NOT(ISERROR(SEARCH("库存为",AU371)))</formula>
    </cfRule>
  </conditionalFormatting>
  <conditionalFormatting sqref="AU372">
    <cfRule type="cellIs" dxfId="2" priority="7479" operator="lessThan">
      <formula>20</formula>
    </cfRule>
    <cfRule type="cellIs" dxfId="1" priority="4864" operator="greaterThan">
      <formula>120</formula>
    </cfRule>
    <cfRule type="containsText" dxfId="0" priority="2249" operator="between" text="库存为">
      <formula>NOT(ISERROR(SEARCH("库存为",AU372)))</formula>
    </cfRule>
  </conditionalFormatting>
  <conditionalFormatting sqref="AU373">
    <cfRule type="cellIs" dxfId="2" priority="7478" operator="lessThan">
      <formula>20</formula>
    </cfRule>
    <cfRule type="cellIs" dxfId="1" priority="4863" operator="greaterThan">
      <formula>120</formula>
    </cfRule>
    <cfRule type="containsText" dxfId="0" priority="2248" operator="between" text="库存为">
      <formula>NOT(ISERROR(SEARCH("库存为",AU373)))</formula>
    </cfRule>
  </conditionalFormatting>
  <conditionalFormatting sqref="AU374">
    <cfRule type="cellIs" dxfId="2" priority="7477" operator="lessThan">
      <formula>20</formula>
    </cfRule>
    <cfRule type="cellIs" dxfId="1" priority="4862" operator="greaterThan">
      <formula>120</formula>
    </cfRule>
    <cfRule type="containsText" dxfId="0" priority="2247" operator="between" text="库存为">
      <formula>NOT(ISERROR(SEARCH("库存为",AU374)))</formula>
    </cfRule>
  </conditionalFormatting>
  <conditionalFormatting sqref="AU375">
    <cfRule type="cellIs" dxfId="2" priority="7476" operator="lessThan">
      <formula>20</formula>
    </cfRule>
    <cfRule type="cellIs" dxfId="1" priority="4861" operator="greaterThan">
      <formula>120</formula>
    </cfRule>
    <cfRule type="containsText" dxfId="0" priority="2246" operator="between" text="库存为">
      <formula>NOT(ISERROR(SEARCH("库存为",AU375)))</formula>
    </cfRule>
  </conditionalFormatting>
  <conditionalFormatting sqref="AU376">
    <cfRule type="cellIs" dxfId="2" priority="7475" operator="lessThan">
      <formula>20</formula>
    </cfRule>
    <cfRule type="cellIs" dxfId="1" priority="4860" operator="greaterThan">
      <formula>120</formula>
    </cfRule>
    <cfRule type="containsText" dxfId="0" priority="2245" operator="between" text="库存为">
      <formula>NOT(ISERROR(SEARCH("库存为",AU376)))</formula>
    </cfRule>
  </conditionalFormatting>
  <conditionalFormatting sqref="AU377">
    <cfRule type="cellIs" dxfId="2" priority="7474" operator="lessThan">
      <formula>20</formula>
    </cfRule>
    <cfRule type="cellIs" dxfId="1" priority="4859" operator="greaterThan">
      <formula>120</formula>
    </cfRule>
    <cfRule type="containsText" dxfId="0" priority="2244" operator="between" text="库存为">
      <formula>NOT(ISERROR(SEARCH("库存为",AU377)))</formula>
    </cfRule>
  </conditionalFormatting>
  <conditionalFormatting sqref="AU378">
    <cfRule type="cellIs" dxfId="2" priority="7473" operator="lessThan">
      <formula>20</formula>
    </cfRule>
    <cfRule type="cellIs" dxfId="1" priority="4858" operator="greaterThan">
      <formula>120</formula>
    </cfRule>
    <cfRule type="containsText" dxfId="0" priority="2243" operator="between" text="库存为">
      <formula>NOT(ISERROR(SEARCH("库存为",AU378)))</formula>
    </cfRule>
  </conditionalFormatting>
  <conditionalFormatting sqref="AU379">
    <cfRule type="cellIs" dxfId="2" priority="7472" operator="lessThan">
      <formula>20</formula>
    </cfRule>
    <cfRule type="cellIs" dxfId="1" priority="4857" operator="greaterThan">
      <formula>120</formula>
    </cfRule>
    <cfRule type="containsText" dxfId="0" priority="2242" operator="between" text="库存为">
      <formula>NOT(ISERROR(SEARCH("库存为",AU379)))</formula>
    </cfRule>
  </conditionalFormatting>
  <conditionalFormatting sqref="AU380">
    <cfRule type="cellIs" dxfId="2" priority="7471" operator="lessThan">
      <formula>20</formula>
    </cfRule>
    <cfRule type="cellIs" dxfId="1" priority="4856" operator="greaterThan">
      <formula>120</formula>
    </cfRule>
    <cfRule type="containsText" dxfId="0" priority="2241" operator="between" text="库存为">
      <formula>NOT(ISERROR(SEARCH("库存为",AU380)))</formula>
    </cfRule>
  </conditionalFormatting>
  <conditionalFormatting sqref="AU381">
    <cfRule type="cellIs" dxfId="2" priority="7470" operator="lessThan">
      <formula>20</formula>
    </cfRule>
    <cfRule type="cellIs" dxfId="1" priority="4855" operator="greaterThan">
      <formula>120</formula>
    </cfRule>
    <cfRule type="containsText" dxfId="0" priority="2240" operator="between" text="库存为">
      <formula>NOT(ISERROR(SEARCH("库存为",AU381)))</formula>
    </cfRule>
  </conditionalFormatting>
  <conditionalFormatting sqref="AU382">
    <cfRule type="cellIs" dxfId="2" priority="7469" operator="lessThan">
      <formula>20</formula>
    </cfRule>
    <cfRule type="cellIs" dxfId="1" priority="4854" operator="greaterThan">
      <formula>120</formula>
    </cfRule>
    <cfRule type="containsText" dxfId="0" priority="2239" operator="between" text="库存为">
      <formula>NOT(ISERROR(SEARCH("库存为",AU382)))</formula>
    </cfRule>
  </conditionalFormatting>
  <conditionalFormatting sqref="AU383">
    <cfRule type="cellIs" dxfId="2" priority="7468" operator="lessThan">
      <formula>20</formula>
    </cfRule>
    <cfRule type="cellIs" dxfId="1" priority="4853" operator="greaterThan">
      <formula>120</formula>
    </cfRule>
    <cfRule type="containsText" dxfId="0" priority="2238" operator="between" text="库存为">
      <formula>NOT(ISERROR(SEARCH("库存为",AU383)))</formula>
    </cfRule>
  </conditionalFormatting>
  <conditionalFormatting sqref="AU384">
    <cfRule type="cellIs" dxfId="2" priority="7467" operator="lessThan">
      <formula>20</formula>
    </cfRule>
    <cfRule type="cellIs" dxfId="1" priority="4852" operator="greaterThan">
      <formula>120</formula>
    </cfRule>
    <cfRule type="containsText" dxfId="0" priority="2237" operator="between" text="库存为">
      <formula>NOT(ISERROR(SEARCH("库存为",AU384)))</formula>
    </cfRule>
  </conditionalFormatting>
  <conditionalFormatting sqref="AU385">
    <cfRule type="cellIs" dxfId="2" priority="7466" operator="lessThan">
      <formula>20</formula>
    </cfRule>
    <cfRule type="cellIs" dxfId="1" priority="4851" operator="greaterThan">
      <formula>120</formula>
    </cfRule>
    <cfRule type="containsText" dxfId="0" priority="2236" operator="between" text="库存为">
      <formula>NOT(ISERROR(SEARCH("库存为",AU385)))</formula>
    </cfRule>
  </conditionalFormatting>
  <conditionalFormatting sqref="AU386">
    <cfRule type="cellIs" dxfId="2" priority="7465" operator="lessThan">
      <formula>20</formula>
    </cfRule>
    <cfRule type="cellIs" dxfId="1" priority="4850" operator="greaterThan">
      <formula>120</formula>
    </cfRule>
    <cfRule type="containsText" dxfId="0" priority="2235" operator="between" text="库存为">
      <formula>NOT(ISERROR(SEARCH("库存为",AU386)))</formula>
    </cfRule>
  </conditionalFormatting>
  <conditionalFormatting sqref="AU387">
    <cfRule type="cellIs" dxfId="2" priority="7464" operator="lessThan">
      <formula>20</formula>
    </cfRule>
    <cfRule type="cellIs" dxfId="1" priority="4849" operator="greaterThan">
      <formula>120</formula>
    </cfRule>
    <cfRule type="containsText" dxfId="0" priority="2234" operator="between" text="库存为">
      <formula>NOT(ISERROR(SEARCH("库存为",AU387)))</formula>
    </cfRule>
  </conditionalFormatting>
  <conditionalFormatting sqref="AU388">
    <cfRule type="cellIs" dxfId="2" priority="7463" operator="lessThan">
      <formula>20</formula>
    </cfRule>
    <cfRule type="cellIs" dxfId="1" priority="4848" operator="greaterThan">
      <formula>120</formula>
    </cfRule>
    <cfRule type="containsText" dxfId="0" priority="2233" operator="between" text="库存为">
      <formula>NOT(ISERROR(SEARCH("库存为",AU388)))</formula>
    </cfRule>
  </conditionalFormatting>
  <conditionalFormatting sqref="AU389">
    <cfRule type="cellIs" dxfId="2" priority="7462" operator="lessThan">
      <formula>20</formula>
    </cfRule>
    <cfRule type="cellIs" dxfId="1" priority="4847" operator="greaterThan">
      <formula>120</formula>
    </cfRule>
    <cfRule type="containsText" dxfId="0" priority="2232" operator="between" text="库存为">
      <formula>NOT(ISERROR(SEARCH("库存为",AU389)))</formula>
    </cfRule>
  </conditionalFormatting>
  <conditionalFormatting sqref="AU390">
    <cfRule type="cellIs" dxfId="2" priority="7461" operator="lessThan">
      <formula>20</formula>
    </cfRule>
    <cfRule type="cellIs" dxfId="1" priority="4846" operator="greaterThan">
      <formula>120</formula>
    </cfRule>
    <cfRule type="containsText" dxfId="0" priority="2231" operator="between" text="库存为">
      <formula>NOT(ISERROR(SEARCH("库存为",AU390)))</formula>
    </cfRule>
  </conditionalFormatting>
  <conditionalFormatting sqref="AU391">
    <cfRule type="cellIs" dxfId="2" priority="7460" operator="lessThan">
      <formula>20</formula>
    </cfRule>
    <cfRule type="cellIs" dxfId="1" priority="4845" operator="greaterThan">
      <formula>120</formula>
    </cfRule>
    <cfRule type="containsText" dxfId="0" priority="2230" operator="between" text="库存为">
      <formula>NOT(ISERROR(SEARCH("库存为",AU391)))</formula>
    </cfRule>
  </conditionalFormatting>
  <conditionalFormatting sqref="AU392">
    <cfRule type="cellIs" dxfId="2" priority="7459" operator="lessThan">
      <formula>20</formula>
    </cfRule>
    <cfRule type="cellIs" dxfId="1" priority="4844" operator="greaterThan">
      <formula>120</formula>
    </cfRule>
    <cfRule type="containsText" dxfId="0" priority="2229" operator="between" text="库存为">
      <formula>NOT(ISERROR(SEARCH("库存为",AU392)))</formula>
    </cfRule>
  </conditionalFormatting>
  <conditionalFormatting sqref="AU393">
    <cfRule type="cellIs" dxfId="2" priority="7458" operator="lessThan">
      <formula>20</formula>
    </cfRule>
    <cfRule type="cellIs" dxfId="1" priority="4843" operator="greaterThan">
      <formula>120</formula>
    </cfRule>
    <cfRule type="containsText" dxfId="0" priority="2228" operator="between" text="库存为">
      <formula>NOT(ISERROR(SEARCH("库存为",AU393)))</formula>
    </cfRule>
  </conditionalFormatting>
  <conditionalFormatting sqref="AU394">
    <cfRule type="cellIs" dxfId="2" priority="7457" operator="lessThan">
      <formula>20</formula>
    </cfRule>
    <cfRule type="cellIs" dxfId="1" priority="4842" operator="greaterThan">
      <formula>120</formula>
    </cfRule>
    <cfRule type="containsText" dxfId="0" priority="2227" operator="between" text="库存为">
      <formula>NOT(ISERROR(SEARCH("库存为",AU394)))</formula>
    </cfRule>
  </conditionalFormatting>
  <conditionalFormatting sqref="AU395">
    <cfRule type="cellIs" dxfId="2" priority="7456" operator="lessThan">
      <formula>20</formula>
    </cfRule>
    <cfRule type="cellIs" dxfId="1" priority="4841" operator="greaterThan">
      <formula>120</formula>
    </cfRule>
    <cfRule type="containsText" dxfId="0" priority="2226" operator="between" text="库存为">
      <formula>NOT(ISERROR(SEARCH("库存为",AU395)))</formula>
    </cfRule>
  </conditionalFormatting>
  <conditionalFormatting sqref="AU396">
    <cfRule type="cellIs" dxfId="2" priority="7455" operator="lessThan">
      <formula>20</formula>
    </cfRule>
    <cfRule type="cellIs" dxfId="1" priority="4840" operator="greaterThan">
      <formula>120</formula>
    </cfRule>
    <cfRule type="containsText" dxfId="0" priority="2225" operator="between" text="库存为">
      <formula>NOT(ISERROR(SEARCH("库存为",AU396)))</formula>
    </cfRule>
  </conditionalFormatting>
  <conditionalFormatting sqref="AU397">
    <cfRule type="cellIs" dxfId="2" priority="7454" operator="lessThan">
      <formula>20</formula>
    </cfRule>
    <cfRule type="cellIs" dxfId="1" priority="4839" operator="greaterThan">
      <formula>120</formula>
    </cfRule>
    <cfRule type="containsText" dxfId="0" priority="2224" operator="between" text="库存为">
      <formula>NOT(ISERROR(SEARCH("库存为",AU397)))</formula>
    </cfRule>
  </conditionalFormatting>
  <conditionalFormatting sqref="AU398">
    <cfRule type="cellIs" dxfId="2" priority="7453" operator="lessThan">
      <formula>20</formula>
    </cfRule>
    <cfRule type="cellIs" dxfId="1" priority="4838" operator="greaterThan">
      <formula>120</formula>
    </cfRule>
    <cfRule type="containsText" dxfId="0" priority="2223" operator="between" text="库存为">
      <formula>NOT(ISERROR(SEARCH("库存为",AU398)))</formula>
    </cfRule>
  </conditionalFormatting>
  <conditionalFormatting sqref="AU399">
    <cfRule type="cellIs" dxfId="2" priority="7452" operator="lessThan">
      <formula>20</formula>
    </cfRule>
    <cfRule type="cellIs" dxfId="1" priority="4837" operator="greaterThan">
      <formula>120</formula>
    </cfRule>
    <cfRule type="containsText" dxfId="0" priority="2222" operator="between" text="库存为">
      <formula>NOT(ISERROR(SEARCH("库存为",AU399)))</formula>
    </cfRule>
  </conditionalFormatting>
  <conditionalFormatting sqref="AU400">
    <cfRule type="cellIs" dxfId="2" priority="7451" operator="lessThan">
      <formula>20</formula>
    </cfRule>
    <cfRule type="cellIs" dxfId="1" priority="4836" operator="greaterThan">
      <formula>120</formula>
    </cfRule>
    <cfRule type="containsText" dxfId="0" priority="2221" operator="between" text="库存为">
      <formula>NOT(ISERROR(SEARCH("库存为",AU400)))</formula>
    </cfRule>
  </conditionalFormatting>
  <conditionalFormatting sqref="AU401">
    <cfRule type="cellIs" dxfId="2" priority="7450" operator="lessThan">
      <formula>20</formula>
    </cfRule>
    <cfRule type="cellIs" dxfId="1" priority="4835" operator="greaterThan">
      <formula>120</formula>
    </cfRule>
    <cfRule type="containsText" dxfId="0" priority="2220" operator="between" text="库存为">
      <formula>NOT(ISERROR(SEARCH("库存为",AU401)))</formula>
    </cfRule>
  </conditionalFormatting>
  <conditionalFormatting sqref="AU402">
    <cfRule type="cellIs" dxfId="2" priority="7449" operator="lessThan">
      <formula>20</formula>
    </cfRule>
    <cfRule type="cellIs" dxfId="1" priority="4834" operator="greaterThan">
      <formula>120</formula>
    </cfRule>
    <cfRule type="containsText" dxfId="0" priority="2219" operator="between" text="库存为">
      <formula>NOT(ISERROR(SEARCH("库存为",AU402)))</formula>
    </cfRule>
  </conditionalFormatting>
  <conditionalFormatting sqref="AU403">
    <cfRule type="cellIs" dxfId="2" priority="7448" operator="lessThan">
      <formula>20</formula>
    </cfRule>
    <cfRule type="cellIs" dxfId="1" priority="4833" operator="greaterThan">
      <formula>120</formula>
    </cfRule>
    <cfRule type="containsText" dxfId="0" priority="2218" operator="between" text="库存为">
      <formula>NOT(ISERROR(SEARCH("库存为",AU403)))</formula>
    </cfRule>
  </conditionalFormatting>
  <conditionalFormatting sqref="AU404">
    <cfRule type="cellIs" dxfId="2" priority="7447" operator="lessThan">
      <formula>20</formula>
    </cfRule>
    <cfRule type="cellIs" dxfId="1" priority="4832" operator="greaterThan">
      <formula>120</formula>
    </cfRule>
    <cfRule type="containsText" dxfId="0" priority="2217" operator="between" text="库存为">
      <formula>NOT(ISERROR(SEARCH("库存为",AU404)))</formula>
    </cfRule>
  </conditionalFormatting>
  <conditionalFormatting sqref="AU405">
    <cfRule type="cellIs" dxfId="2" priority="7446" operator="lessThan">
      <formula>20</formula>
    </cfRule>
    <cfRule type="cellIs" dxfId="1" priority="4831" operator="greaterThan">
      <formula>120</formula>
    </cfRule>
    <cfRule type="containsText" dxfId="0" priority="2216" operator="between" text="库存为">
      <formula>NOT(ISERROR(SEARCH("库存为",AU405)))</formula>
    </cfRule>
  </conditionalFormatting>
  <conditionalFormatting sqref="AU406">
    <cfRule type="cellIs" dxfId="2" priority="7445" operator="lessThan">
      <formula>20</formula>
    </cfRule>
    <cfRule type="cellIs" dxfId="1" priority="4830" operator="greaterThan">
      <formula>120</formula>
    </cfRule>
    <cfRule type="containsText" dxfId="0" priority="2215" operator="between" text="库存为">
      <formula>NOT(ISERROR(SEARCH("库存为",AU406)))</formula>
    </cfRule>
  </conditionalFormatting>
  <conditionalFormatting sqref="AU407">
    <cfRule type="cellIs" dxfId="2" priority="7444" operator="lessThan">
      <formula>20</formula>
    </cfRule>
    <cfRule type="cellIs" dxfId="1" priority="4829" operator="greaterThan">
      <formula>120</formula>
    </cfRule>
    <cfRule type="containsText" dxfId="0" priority="2214" operator="between" text="库存为">
      <formula>NOT(ISERROR(SEARCH("库存为",AU407)))</formula>
    </cfRule>
  </conditionalFormatting>
  <conditionalFormatting sqref="AU408">
    <cfRule type="cellIs" dxfId="2" priority="7443" operator="lessThan">
      <formula>20</formula>
    </cfRule>
    <cfRule type="cellIs" dxfId="1" priority="4828" operator="greaterThan">
      <formula>120</formula>
    </cfRule>
    <cfRule type="containsText" dxfId="0" priority="2213" operator="between" text="库存为">
      <formula>NOT(ISERROR(SEARCH("库存为",AU408)))</formula>
    </cfRule>
  </conditionalFormatting>
  <conditionalFormatting sqref="AU409">
    <cfRule type="cellIs" dxfId="2" priority="7442" operator="lessThan">
      <formula>20</formula>
    </cfRule>
    <cfRule type="cellIs" dxfId="1" priority="4827" operator="greaterThan">
      <formula>120</formula>
    </cfRule>
    <cfRule type="containsText" dxfId="0" priority="2212" operator="between" text="库存为">
      <formula>NOT(ISERROR(SEARCH("库存为",AU409)))</formula>
    </cfRule>
  </conditionalFormatting>
  <conditionalFormatting sqref="AU410">
    <cfRule type="cellIs" dxfId="2" priority="7441" operator="lessThan">
      <formula>20</formula>
    </cfRule>
    <cfRule type="cellIs" dxfId="1" priority="4826" operator="greaterThan">
      <formula>120</formula>
    </cfRule>
    <cfRule type="containsText" dxfId="0" priority="2211" operator="between" text="库存为">
      <formula>NOT(ISERROR(SEARCH("库存为",AU410)))</formula>
    </cfRule>
  </conditionalFormatting>
  <conditionalFormatting sqref="AU411">
    <cfRule type="cellIs" dxfId="2" priority="7440" operator="lessThan">
      <formula>20</formula>
    </cfRule>
    <cfRule type="cellIs" dxfId="1" priority="4825" operator="greaterThan">
      <formula>120</formula>
    </cfRule>
    <cfRule type="containsText" dxfId="0" priority="2210" operator="between" text="库存为">
      <formula>NOT(ISERROR(SEARCH("库存为",AU411)))</formula>
    </cfRule>
  </conditionalFormatting>
  <conditionalFormatting sqref="AU412">
    <cfRule type="cellIs" dxfId="2" priority="7439" operator="lessThan">
      <formula>20</formula>
    </cfRule>
    <cfRule type="cellIs" dxfId="1" priority="4824" operator="greaterThan">
      <formula>120</formula>
    </cfRule>
    <cfRule type="containsText" dxfId="0" priority="2209" operator="between" text="库存为">
      <formula>NOT(ISERROR(SEARCH("库存为",AU412)))</formula>
    </cfRule>
  </conditionalFormatting>
  <conditionalFormatting sqref="AU413">
    <cfRule type="cellIs" dxfId="2" priority="7438" operator="lessThan">
      <formula>20</formula>
    </cfRule>
    <cfRule type="cellIs" dxfId="1" priority="4823" operator="greaterThan">
      <formula>120</formula>
    </cfRule>
    <cfRule type="containsText" dxfId="0" priority="2208" operator="between" text="库存为">
      <formula>NOT(ISERROR(SEARCH("库存为",AU413)))</formula>
    </cfRule>
  </conditionalFormatting>
  <conditionalFormatting sqref="AU414">
    <cfRule type="cellIs" dxfId="2" priority="7437" operator="lessThan">
      <formula>20</formula>
    </cfRule>
    <cfRule type="cellIs" dxfId="1" priority="4822" operator="greaterThan">
      <formula>120</formula>
    </cfRule>
    <cfRule type="containsText" dxfId="0" priority="2207" operator="between" text="库存为">
      <formula>NOT(ISERROR(SEARCH("库存为",AU414)))</formula>
    </cfRule>
  </conditionalFormatting>
  <conditionalFormatting sqref="AU415">
    <cfRule type="cellIs" dxfId="2" priority="7436" operator="lessThan">
      <formula>20</formula>
    </cfRule>
    <cfRule type="cellIs" dxfId="1" priority="4821" operator="greaterThan">
      <formula>120</formula>
    </cfRule>
    <cfRule type="containsText" dxfId="0" priority="2206" operator="between" text="库存为">
      <formula>NOT(ISERROR(SEARCH("库存为",AU415)))</formula>
    </cfRule>
  </conditionalFormatting>
  <conditionalFormatting sqref="AU416">
    <cfRule type="cellIs" dxfId="2" priority="7435" operator="lessThan">
      <formula>20</formula>
    </cfRule>
    <cfRule type="cellIs" dxfId="1" priority="4820" operator="greaterThan">
      <formula>120</formula>
    </cfRule>
    <cfRule type="containsText" dxfId="0" priority="2205" operator="between" text="库存为">
      <formula>NOT(ISERROR(SEARCH("库存为",AU416)))</formula>
    </cfRule>
  </conditionalFormatting>
  <conditionalFormatting sqref="AU417">
    <cfRule type="cellIs" dxfId="2" priority="7434" operator="lessThan">
      <formula>20</formula>
    </cfRule>
    <cfRule type="cellIs" dxfId="1" priority="4819" operator="greaterThan">
      <formula>120</formula>
    </cfRule>
    <cfRule type="containsText" dxfId="0" priority="2204" operator="between" text="库存为">
      <formula>NOT(ISERROR(SEARCH("库存为",AU417)))</formula>
    </cfRule>
  </conditionalFormatting>
  <conditionalFormatting sqref="AU418">
    <cfRule type="cellIs" dxfId="2" priority="7433" operator="lessThan">
      <formula>20</formula>
    </cfRule>
    <cfRule type="cellIs" dxfId="1" priority="4818" operator="greaterThan">
      <formula>120</formula>
    </cfRule>
    <cfRule type="containsText" dxfId="0" priority="2203" operator="between" text="库存为">
      <formula>NOT(ISERROR(SEARCH("库存为",AU418)))</formula>
    </cfRule>
  </conditionalFormatting>
  <conditionalFormatting sqref="AU419">
    <cfRule type="cellIs" dxfId="2" priority="7432" operator="lessThan">
      <formula>20</formula>
    </cfRule>
    <cfRule type="cellIs" dxfId="1" priority="4817" operator="greaterThan">
      <formula>120</formula>
    </cfRule>
    <cfRule type="containsText" dxfId="0" priority="2202" operator="between" text="库存为">
      <formula>NOT(ISERROR(SEARCH("库存为",AU419)))</formula>
    </cfRule>
  </conditionalFormatting>
  <conditionalFormatting sqref="AU420">
    <cfRule type="cellIs" dxfId="2" priority="7431" operator="lessThan">
      <formula>20</formula>
    </cfRule>
    <cfRule type="cellIs" dxfId="1" priority="4816" operator="greaterThan">
      <formula>120</formula>
    </cfRule>
    <cfRule type="containsText" dxfId="0" priority="2201" operator="between" text="库存为">
      <formula>NOT(ISERROR(SEARCH("库存为",AU420)))</formula>
    </cfRule>
  </conditionalFormatting>
  <conditionalFormatting sqref="AU421">
    <cfRule type="cellIs" dxfId="2" priority="7430" operator="lessThan">
      <formula>20</formula>
    </cfRule>
    <cfRule type="cellIs" dxfId="1" priority="4815" operator="greaterThan">
      <formula>120</formula>
    </cfRule>
    <cfRule type="containsText" dxfId="0" priority="2200" operator="between" text="库存为">
      <formula>NOT(ISERROR(SEARCH("库存为",AU421)))</formula>
    </cfRule>
  </conditionalFormatting>
  <conditionalFormatting sqref="AU422">
    <cfRule type="cellIs" dxfId="2" priority="7429" operator="lessThan">
      <formula>20</formula>
    </cfRule>
    <cfRule type="cellIs" dxfId="1" priority="4814" operator="greaterThan">
      <formula>120</formula>
    </cfRule>
    <cfRule type="containsText" dxfId="0" priority="2199" operator="between" text="库存为">
      <formula>NOT(ISERROR(SEARCH("库存为",AU422)))</formula>
    </cfRule>
  </conditionalFormatting>
  <conditionalFormatting sqref="AU423">
    <cfRule type="cellIs" dxfId="2" priority="7428" operator="lessThan">
      <formula>20</formula>
    </cfRule>
    <cfRule type="cellIs" dxfId="1" priority="4813" operator="greaterThan">
      <formula>120</formula>
    </cfRule>
    <cfRule type="containsText" dxfId="0" priority="2198" operator="between" text="库存为">
      <formula>NOT(ISERROR(SEARCH("库存为",AU423)))</formula>
    </cfRule>
  </conditionalFormatting>
  <conditionalFormatting sqref="AU424">
    <cfRule type="cellIs" dxfId="2" priority="7427" operator="lessThan">
      <formula>20</formula>
    </cfRule>
    <cfRule type="cellIs" dxfId="1" priority="4812" operator="greaterThan">
      <formula>120</formula>
    </cfRule>
    <cfRule type="containsText" dxfId="0" priority="2197" operator="between" text="库存为">
      <formula>NOT(ISERROR(SEARCH("库存为",AU424)))</formula>
    </cfRule>
  </conditionalFormatting>
  <conditionalFormatting sqref="AU425">
    <cfRule type="cellIs" dxfId="2" priority="7426" operator="lessThan">
      <formula>20</formula>
    </cfRule>
    <cfRule type="cellIs" dxfId="1" priority="4811" operator="greaterThan">
      <formula>120</formula>
    </cfRule>
    <cfRule type="containsText" dxfId="0" priority="2196" operator="between" text="库存为">
      <formula>NOT(ISERROR(SEARCH("库存为",AU425)))</formula>
    </cfRule>
  </conditionalFormatting>
  <conditionalFormatting sqref="AU426">
    <cfRule type="cellIs" dxfId="2" priority="7425" operator="lessThan">
      <formula>20</formula>
    </cfRule>
    <cfRule type="cellIs" dxfId="1" priority="4810" operator="greaterThan">
      <formula>120</formula>
    </cfRule>
    <cfRule type="containsText" dxfId="0" priority="2195" operator="between" text="库存为">
      <formula>NOT(ISERROR(SEARCH("库存为",AU426)))</formula>
    </cfRule>
  </conditionalFormatting>
  <conditionalFormatting sqref="AU427">
    <cfRule type="cellIs" dxfId="2" priority="7424" operator="lessThan">
      <formula>20</formula>
    </cfRule>
    <cfRule type="cellIs" dxfId="1" priority="4809" operator="greaterThan">
      <formula>120</formula>
    </cfRule>
    <cfRule type="containsText" dxfId="0" priority="2194" operator="between" text="库存为">
      <formula>NOT(ISERROR(SEARCH("库存为",AU427)))</formula>
    </cfRule>
  </conditionalFormatting>
  <conditionalFormatting sqref="AU428">
    <cfRule type="cellIs" dxfId="2" priority="7423" operator="lessThan">
      <formula>20</formula>
    </cfRule>
    <cfRule type="cellIs" dxfId="1" priority="4808" operator="greaterThan">
      <formula>120</formula>
    </cfRule>
    <cfRule type="containsText" dxfId="0" priority="2193" operator="between" text="库存为">
      <formula>NOT(ISERROR(SEARCH("库存为",AU428)))</formula>
    </cfRule>
  </conditionalFormatting>
  <conditionalFormatting sqref="AU429">
    <cfRule type="cellIs" dxfId="2" priority="7422" operator="lessThan">
      <formula>20</formula>
    </cfRule>
    <cfRule type="cellIs" dxfId="1" priority="4807" operator="greaterThan">
      <formula>120</formula>
    </cfRule>
    <cfRule type="containsText" dxfId="0" priority="2192" operator="between" text="库存为">
      <formula>NOT(ISERROR(SEARCH("库存为",AU429)))</formula>
    </cfRule>
  </conditionalFormatting>
  <conditionalFormatting sqref="AU430">
    <cfRule type="cellIs" dxfId="2" priority="7421" operator="lessThan">
      <formula>20</formula>
    </cfRule>
    <cfRule type="cellIs" dxfId="1" priority="4806" operator="greaterThan">
      <formula>120</formula>
    </cfRule>
    <cfRule type="containsText" dxfId="0" priority="2191" operator="between" text="库存为">
      <formula>NOT(ISERROR(SEARCH("库存为",AU430)))</formula>
    </cfRule>
  </conditionalFormatting>
  <conditionalFormatting sqref="AU431">
    <cfRule type="cellIs" dxfId="2" priority="7420" operator="lessThan">
      <formula>20</formula>
    </cfRule>
    <cfRule type="cellIs" dxfId="1" priority="4805" operator="greaterThan">
      <formula>120</formula>
    </cfRule>
    <cfRule type="containsText" dxfId="0" priority="2190" operator="between" text="库存为">
      <formula>NOT(ISERROR(SEARCH("库存为",AU431)))</formula>
    </cfRule>
  </conditionalFormatting>
  <conditionalFormatting sqref="AU432">
    <cfRule type="cellIs" dxfId="2" priority="7419" operator="lessThan">
      <formula>20</formula>
    </cfRule>
    <cfRule type="cellIs" dxfId="1" priority="4804" operator="greaterThan">
      <formula>120</formula>
    </cfRule>
    <cfRule type="containsText" dxfId="0" priority="2189" operator="between" text="库存为">
      <formula>NOT(ISERROR(SEARCH("库存为",AU432)))</formula>
    </cfRule>
  </conditionalFormatting>
  <conditionalFormatting sqref="AU433">
    <cfRule type="cellIs" dxfId="2" priority="7418" operator="lessThan">
      <formula>20</formula>
    </cfRule>
    <cfRule type="cellIs" dxfId="1" priority="4803" operator="greaterThan">
      <formula>120</formula>
    </cfRule>
    <cfRule type="containsText" dxfId="0" priority="2188" operator="between" text="库存为">
      <formula>NOT(ISERROR(SEARCH("库存为",AU433)))</formula>
    </cfRule>
  </conditionalFormatting>
  <conditionalFormatting sqref="AU434">
    <cfRule type="cellIs" dxfId="2" priority="7417" operator="lessThan">
      <formula>20</formula>
    </cfRule>
    <cfRule type="cellIs" dxfId="1" priority="4802" operator="greaterThan">
      <formula>120</formula>
    </cfRule>
    <cfRule type="containsText" dxfId="0" priority="2187" operator="between" text="库存为">
      <formula>NOT(ISERROR(SEARCH("库存为",AU434)))</formula>
    </cfRule>
  </conditionalFormatting>
  <conditionalFormatting sqref="AU435">
    <cfRule type="cellIs" dxfId="2" priority="7416" operator="lessThan">
      <formula>20</formula>
    </cfRule>
    <cfRule type="cellIs" dxfId="1" priority="4801" operator="greaterThan">
      <formula>120</formula>
    </cfRule>
    <cfRule type="containsText" dxfId="0" priority="2186" operator="between" text="库存为">
      <formula>NOT(ISERROR(SEARCH("库存为",AU435)))</formula>
    </cfRule>
  </conditionalFormatting>
  <conditionalFormatting sqref="AU436">
    <cfRule type="cellIs" dxfId="2" priority="7415" operator="lessThan">
      <formula>20</formula>
    </cfRule>
    <cfRule type="cellIs" dxfId="1" priority="4800" operator="greaterThan">
      <formula>120</formula>
    </cfRule>
    <cfRule type="containsText" dxfId="0" priority="2185" operator="between" text="库存为">
      <formula>NOT(ISERROR(SEARCH("库存为",AU436)))</formula>
    </cfRule>
  </conditionalFormatting>
  <conditionalFormatting sqref="AU437">
    <cfRule type="cellIs" dxfId="2" priority="7414" operator="lessThan">
      <formula>20</formula>
    </cfRule>
    <cfRule type="cellIs" dxfId="1" priority="4799" operator="greaterThan">
      <formula>120</formula>
    </cfRule>
    <cfRule type="containsText" dxfId="0" priority="2184" operator="between" text="库存为">
      <formula>NOT(ISERROR(SEARCH("库存为",AU437)))</formula>
    </cfRule>
  </conditionalFormatting>
  <conditionalFormatting sqref="AU438">
    <cfRule type="cellIs" dxfId="2" priority="7413" operator="lessThan">
      <formula>20</formula>
    </cfRule>
    <cfRule type="cellIs" dxfId="1" priority="4798" operator="greaterThan">
      <formula>120</formula>
    </cfRule>
    <cfRule type="containsText" dxfId="0" priority="2183" operator="between" text="库存为">
      <formula>NOT(ISERROR(SEARCH("库存为",AU438)))</formula>
    </cfRule>
  </conditionalFormatting>
  <conditionalFormatting sqref="AU439">
    <cfRule type="cellIs" dxfId="2" priority="7412" operator="lessThan">
      <formula>20</formula>
    </cfRule>
    <cfRule type="cellIs" dxfId="1" priority="4797" operator="greaterThan">
      <formula>120</formula>
    </cfRule>
    <cfRule type="containsText" dxfId="0" priority="2182" operator="between" text="库存为">
      <formula>NOT(ISERROR(SEARCH("库存为",AU439)))</formula>
    </cfRule>
  </conditionalFormatting>
  <conditionalFormatting sqref="AU440">
    <cfRule type="cellIs" dxfId="2" priority="7411" operator="lessThan">
      <formula>20</formula>
    </cfRule>
    <cfRule type="cellIs" dxfId="1" priority="4796" operator="greaterThan">
      <formula>120</formula>
    </cfRule>
    <cfRule type="containsText" dxfId="0" priority="2181" operator="between" text="库存为">
      <formula>NOT(ISERROR(SEARCH("库存为",AU440)))</formula>
    </cfRule>
  </conditionalFormatting>
  <conditionalFormatting sqref="AU441">
    <cfRule type="cellIs" dxfId="2" priority="7410" operator="lessThan">
      <formula>20</formula>
    </cfRule>
    <cfRule type="cellIs" dxfId="1" priority="4795" operator="greaterThan">
      <formula>120</formula>
    </cfRule>
    <cfRule type="containsText" dxfId="0" priority="2180" operator="between" text="库存为">
      <formula>NOT(ISERROR(SEARCH("库存为",AU441)))</formula>
    </cfRule>
  </conditionalFormatting>
  <conditionalFormatting sqref="AU442">
    <cfRule type="cellIs" dxfId="2" priority="7409" operator="lessThan">
      <formula>20</formula>
    </cfRule>
    <cfRule type="cellIs" dxfId="1" priority="4794" operator="greaterThan">
      <formula>120</formula>
    </cfRule>
    <cfRule type="containsText" dxfId="0" priority="2179" operator="between" text="库存为">
      <formula>NOT(ISERROR(SEARCH("库存为",AU442)))</formula>
    </cfRule>
  </conditionalFormatting>
  <conditionalFormatting sqref="AU443">
    <cfRule type="cellIs" dxfId="2" priority="7408" operator="lessThan">
      <formula>20</formula>
    </cfRule>
    <cfRule type="cellIs" dxfId="1" priority="4793" operator="greaterThan">
      <formula>120</formula>
    </cfRule>
    <cfRule type="containsText" dxfId="0" priority="2178" operator="between" text="库存为">
      <formula>NOT(ISERROR(SEARCH("库存为",AU443)))</formula>
    </cfRule>
  </conditionalFormatting>
  <conditionalFormatting sqref="AU444">
    <cfRule type="cellIs" dxfId="2" priority="7407" operator="lessThan">
      <formula>20</formula>
    </cfRule>
    <cfRule type="cellIs" dxfId="1" priority="4792" operator="greaterThan">
      <formula>120</formula>
    </cfRule>
    <cfRule type="containsText" dxfId="0" priority="2177" operator="between" text="库存为">
      <formula>NOT(ISERROR(SEARCH("库存为",AU444)))</formula>
    </cfRule>
  </conditionalFormatting>
  <conditionalFormatting sqref="AU445">
    <cfRule type="cellIs" dxfId="2" priority="7406" operator="lessThan">
      <formula>20</formula>
    </cfRule>
    <cfRule type="cellIs" dxfId="1" priority="4791" operator="greaterThan">
      <formula>120</formula>
    </cfRule>
    <cfRule type="containsText" dxfId="0" priority="2176" operator="between" text="库存为">
      <formula>NOT(ISERROR(SEARCH("库存为",AU445)))</formula>
    </cfRule>
  </conditionalFormatting>
  <conditionalFormatting sqref="AU446">
    <cfRule type="cellIs" dxfId="2" priority="7405" operator="lessThan">
      <formula>20</formula>
    </cfRule>
    <cfRule type="cellIs" dxfId="1" priority="4790" operator="greaterThan">
      <formula>120</formula>
    </cfRule>
    <cfRule type="containsText" dxfId="0" priority="2175" operator="between" text="库存为">
      <formula>NOT(ISERROR(SEARCH("库存为",AU446)))</formula>
    </cfRule>
  </conditionalFormatting>
  <conditionalFormatting sqref="AU447">
    <cfRule type="cellIs" dxfId="2" priority="7404" operator="lessThan">
      <formula>20</formula>
    </cfRule>
    <cfRule type="cellIs" dxfId="1" priority="4789" operator="greaterThan">
      <formula>120</formula>
    </cfRule>
    <cfRule type="containsText" dxfId="0" priority="2174" operator="between" text="库存为">
      <formula>NOT(ISERROR(SEARCH("库存为",AU447)))</formula>
    </cfRule>
  </conditionalFormatting>
  <conditionalFormatting sqref="AU448">
    <cfRule type="cellIs" dxfId="2" priority="7403" operator="lessThan">
      <formula>20</formula>
    </cfRule>
    <cfRule type="cellIs" dxfId="1" priority="4788" operator="greaterThan">
      <formula>120</formula>
    </cfRule>
    <cfRule type="containsText" dxfId="0" priority="2173" operator="between" text="库存为">
      <formula>NOT(ISERROR(SEARCH("库存为",AU448)))</formula>
    </cfRule>
  </conditionalFormatting>
  <conditionalFormatting sqref="AU449">
    <cfRule type="cellIs" dxfId="2" priority="7402" operator="lessThan">
      <formula>20</formula>
    </cfRule>
    <cfRule type="cellIs" dxfId="1" priority="4787" operator="greaterThan">
      <formula>120</formula>
    </cfRule>
    <cfRule type="containsText" dxfId="0" priority="2172" operator="between" text="库存为">
      <formula>NOT(ISERROR(SEARCH("库存为",AU449)))</formula>
    </cfRule>
  </conditionalFormatting>
  <conditionalFormatting sqref="AU450">
    <cfRule type="cellIs" dxfId="2" priority="7401" operator="lessThan">
      <formula>20</formula>
    </cfRule>
    <cfRule type="cellIs" dxfId="1" priority="4786" operator="greaterThan">
      <formula>120</formula>
    </cfRule>
    <cfRule type="containsText" dxfId="0" priority="2171" operator="between" text="库存为">
      <formula>NOT(ISERROR(SEARCH("库存为",AU450)))</formula>
    </cfRule>
  </conditionalFormatting>
  <conditionalFormatting sqref="AU451">
    <cfRule type="cellIs" dxfId="2" priority="7400" operator="lessThan">
      <formula>20</formula>
    </cfRule>
    <cfRule type="cellIs" dxfId="1" priority="4785" operator="greaterThan">
      <formula>120</formula>
    </cfRule>
    <cfRule type="containsText" dxfId="0" priority="2170" operator="between" text="库存为">
      <formula>NOT(ISERROR(SEARCH("库存为",AU451)))</formula>
    </cfRule>
  </conditionalFormatting>
  <conditionalFormatting sqref="AU452">
    <cfRule type="cellIs" dxfId="2" priority="7399" operator="lessThan">
      <formula>20</formula>
    </cfRule>
    <cfRule type="cellIs" dxfId="1" priority="4784" operator="greaterThan">
      <formula>120</formula>
    </cfRule>
    <cfRule type="containsText" dxfId="0" priority="2169" operator="between" text="库存为">
      <formula>NOT(ISERROR(SEARCH("库存为",AU452)))</formula>
    </cfRule>
  </conditionalFormatting>
  <conditionalFormatting sqref="AU453">
    <cfRule type="cellIs" dxfId="2" priority="7398" operator="lessThan">
      <formula>20</formula>
    </cfRule>
    <cfRule type="cellIs" dxfId="1" priority="4783" operator="greaterThan">
      <formula>120</formula>
    </cfRule>
    <cfRule type="containsText" dxfId="0" priority="2168" operator="between" text="库存为">
      <formula>NOT(ISERROR(SEARCH("库存为",AU453)))</formula>
    </cfRule>
  </conditionalFormatting>
  <conditionalFormatting sqref="AU454">
    <cfRule type="cellIs" dxfId="2" priority="7397" operator="lessThan">
      <formula>20</formula>
    </cfRule>
    <cfRule type="cellIs" dxfId="1" priority="4782" operator="greaterThan">
      <formula>120</formula>
    </cfRule>
    <cfRule type="containsText" dxfId="0" priority="2167" operator="between" text="库存为">
      <formula>NOT(ISERROR(SEARCH("库存为",AU454)))</formula>
    </cfRule>
  </conditionalFormatting>
  <conditionalFormatting sqref="AU455">
    <cfRule type="cellIs" dxfId="2" priority="7396" operator="lessThan">
      <formula>20</formula>
    </cfRule>
    <cfRule type="cellIs" dxfId="1" priority="4781" operator="greaterThan">
      <formula>120</formula>
    </cfRule>
    <cfRule type="containsText" dxfId="0" priority="2166" operator="between" text="库存为">
      <formula>NOT(ISERROR(SEARCH("库存为",AU455)))</formula>
    </cfRule>
  </conditionalFormatting>
  <conditionalFormatting sqref="AU456">
    <cfRule type="cellIs" dxfId="2" priority="7395" operator="lessThan">
      <formula>20</formula>
    </cfRule>
    <cfRule type="cellIs" dxfId="1" priority="4780" operator="greaterThan">
      <formula>120</formula>
    </cfRule>
    <cfRule type="containsText" dxfId="0" priority="2165" operator="between" text="库存为">
      <formula>NOT(ISERROR(SEARCH("库存为",AU456)))</formula>
    </cfRule>
  </conditionalFormatting>
  <conditionalFormatting sqref="AU457">
    <cfRule type="cellIs" dxfId="2" priority="7394" operator="lessThan">
      <formula>20</formula>
    </cfRule>
    <cfRule type="cellIs" dxfId="1" priority="4779" operator="greaterThan">
      <formula>120</formula>
    </cfRule>
    <cfRule type="containsText" dxfId="0" priority="2164" operator="between" text="库存为">
      <formula>NOT(ISERROR(SEARCH("库存为",AU457)))</formula>
    </cfRule>
  </conditionalFormatting>
  <conditionalFormatting sqref="AU458">
    <cfRule type="cellIs" dxfId="2" priority="7393" operator="lessThan">
      <formula>20</formula>
    </cfRule>
    <cfRule type="cellIs" dxfId="1" priority="4778" operator="greaterThan">
      <formula>120</formula>
    </cfRule>
    <cfRule type="containsText" dxfId="0" priority="2163" operator="between" text="库存为">
      <formula>NOT(ISERROR(SEARCH("库存为",AU458)))</formula>
    </cfRule>
  </conditionalFormatting>
  <conditionalFormatting sqref="AU459">
    <cfRule type="cellIs" dxfId="2" priority="7392" operator="lessThan">
      <formula>20</formula>
    </cfRule>
    <cfRule type="cellIs" dxfId="1" priority="4777" operator="greaterThan">
      <formula>120</formula>
    </cfRule>
    <cfRule type="containsText" dxfId="0" priority="2162" operator="between" text="库存为">
      <formula>NOT(ISERROR(SEARCH("库存为",AU459)))</formula>
    </cfRule>
  </conditionalFormatting>
  <conditionalFormatting sqref="AU460">
    <cfRule type="cellIs" dxfId="2" priority="7391" operator="lessThan">
      <formula>20</formula>
    </cfRule>
    <cfRule type="cellIs" dxfId="1" priority="4776" operator="greaterThan">
      <formula>120</formula>
    </cfRule>
    <cfRule type="containsText" dxfId="0" priority="2161" operator="between" text="库存为">
      <formula>NOT(ISERROR(SEARCH("库存为",AU460)))</formula>
    </cfRule>
  </conditionalFormatting>
  <conditionalFormatting sqref="AU461">
    <cfRule type="cellIs" dxfId="2" priority="7390" operator="lessThan">
      <formula>20</formula>
    </cfRule>
    <cfRule type="cellIs" dxfId="1" priority="4775" operator="greaterThan">
      <formula>120</formula>
    </cfRule>
    <cfRule type="containsText" dxfId="0" priority="2160" operator="between" text="库存为">
      <formula>NOT(ISERROR(SEARCH("库存为",AU461)))</formula>
    </cfRule>
  </conditionalFormatting>
  <conditionalFormatting sqref="AU462">
    <cfRule type="cellIs" dxfId="2" priority="7389" operator="lessThan">
      <formula>20</formula>
    </cfRule>
    <cfRule type="cellIs" dxfId="1" priority="4774" operator="greaterThan">
      <formula>120</formula>
    </cfRule>
    <cfRule type="containsText" dxfId="0" priority="2159" operator="between" text="库存为">
      <formula>NOT(ISERROR(SEARCH("库存为",AU462)))</formula>
    </cfRule>
  </conditionalFormatting>
  <conditionalFormatting sqref="AU463">
    <cfRule type="cellIs" dxfId="2" priority="7388" operator="lessThan">
      <formula>20</formula>
    </cfRule>
    <cfRule type="cellIs" dxfId="1" priority="4773" operator="greaterThan">
      <formula>120</formula>
    </cfRule>
    <cfRule type="containsText" dxfId="0" priority="2158" operator="between" text="库存为">
      <formula>NOT(ISERROR(SEARCH("库存为",AU463)))</formula>
    </cfRule>
  </conditionalFormatting>
  <conditionalFormatting sqref="AU464">
    <cfRule type="cellIs" dxfId="2" priority="7387" operator="lessThan">
      <formula>20</formula>
    </cfRule>
    <cfRule type="cellIs" dxfId="1" priority="4772" operator="greaterThan">
      <formula>120</formula>
    </cfRule>
    <cfRule type="containsText" dxfId="0" priority="2157" operator="between" text="库存为">
      <formula>NOT(ISERROR(SEARCH("库存为",AU464)))</formula>
    </cfRule>
  </conditionalFormatting>
  <conditionalFormatting sqref="AU465">
    <cfRule type="cellIs" dxfId="2" priority="7386" operator="lessThan">
      <formula>20</formula>
    </cfRule>
    <cfRule type="cellIs" dxfId="1" priority="4771" operator="greaterThan">
      <formula>120</formula>
    </cfRule>
    <cfRule type="containsText" dxfId="0" priority="2156" operator="between" text="库存为">
      <formula>NOT(ISERROR(SEARCH("库存为",AU465)))</formula>
    </cfRule>
  </conditionalFormatting>
  <conditionalFormatting sqref="AU466">
    <cfRule type="cellIs" dxfId="2" priority="7385" operator="lessThan">
      <formula>20</formula>
    </cfRule>
    <cfRule type="cellIs" dxfId="1" priority="4770" operator="greaterThan">
      <formula>120</formula>
    </cfRule>
    <cfRule type="containsText" dxfId="0" priority="2155" operator="between" text="库存为">
      <formula>NOT(ISERROR(SEARCH("库存为",AU466)))</formula>
    </cfRule>
  </conditionalFormatting>
  <conditionalFormatting sqref="AU467">
    <cfRule type="cellIs" dxfId="2" priority="7384" operator="lessThan">
      <formula>20</formula>
    </cfRule>
    <cfRule type="cellIs" dxfId="1" priority="4769" operator="greaterThan">
      <formula>120</formula>
    </cfRule>
    <cfRule type="containsText" dxfId="0" priority="2154" operator="between" text="库存为">
      <formula>NOT(ISERROR(SEARCH("库存为",AU467)))</formula>
    </cfRule>
  </conditionalFormatting>
  <conditionalFormatting sqref="AU468">
    <cfRule type="cellIs" dxfId="2" priority="7383" operator="lessThan">
      <formula>20</formula>
    </cfRule>
    <cfRule type="cellIs" dxfId="1" priority="4768" operator="greaterThan">
      <formula>120</formula>
    </cfRule>
    <cfRule type="containsText" dxfId="0" priority="2153" operator="between" text="库存为">
      <formula>NOT(ISERROR(SEARCH("库存为",AU468)))</formula>
    </cfRule>
  </conditionalFormatting>
  <conditionalFormatting sqref="AU469">
    <cfRule type="cellIs" dxfId="2" priority="7382" operator="lessThan">
      <formula>20</formula>
    </cfRule>
    <cfRule type="cellIs" dxfId="1" priority="4767" operator="greaterThan">
      <formula>120</formula>
    </cfRule>
    <cfRule type="containsText" dxfId="0" priority="2152" operator="between" text="库存为">
      <formula>NOT(ISERROR(SEARCH("库存为",AU469)))</formula>
    </cfRule>
  </conditionalFormatting>
  <conditionalFormatting sqref="AU470">
    <cfRule type="cellIs" dxfId="2" priority="7381" operator="lessThan">
      <formula>20</formula>
    </cfRule>
    <cfRule type="cellIs" dxfId="1" priority="4766" operator="greaterThan">
      <formula>120</formula>
    </cfRule>
    <cfRule type="containsText" dxfId="0" priority="2151" operator="between" text="库存为">
      <formula>NOT(ISERROR(SEARCH("库存为",AU470)))</formula>
    </cfRule>
  </conditionalFormatting>
  <conditionalFormatting sqref="AU471">
    <cfRule type="cellIs" dxfId="2" priority="7380" operator="lessThan">
      <formula>20</formula>
    </cfRule>
    <cfRule type="cellIs" dxfId="1" priority="4765" operator="greaterThan">
      <formula>120</formula>
    </cfRule>
    <cfRule type="containsText" dxfId="0" priority="2150" operator="between" text="库存为">
      <formula>NOT(ISERROR(SEARCH("库存为",AU471)))</formula>
    </cfRule>
  </conditionalFormatting>
  <conditionalFormatting sqref="AU472">
    <cfRule type="cellIs" dxfId="2" priority="7379" operator="lessThan">
      <formula>20</formula>
    </cfRule>
    <cfRule type="cellIs" dxfId="1" priority="4764" operator="greaterThan">
      <formula>120</formula>
    </cfRule>
    <cfRule type="containsText" dxfId="0" priority="2149" operator="between" text="库存为">
      <formula>NOT(ISERROR(SEARCH("库存为",AU472)))</formula>
    </cfRule>
  </conditionalFormatting>
  <conditionalFormatting sqref="AU473">
    <cfRule type="cellIs" dxfId="2" priority="7378" operator="lessThan">
      <formula>20</formula>
    </cfRule>
    <cfRule type="cellIs" dxfId="1" priority="4763" operator="greaterThan">
      <formula>120</formula>
    </cfRule>
    <cfRule type="containsText" dxfId="0" priority="2148" operator="between" text="库存为">
      <formula>NOT(ISERROR(SEARCH("库存为",AU473)))</formula>
    </cfRule>
  </conditionalFormatting>
  <conditionalFormatting sqref="AU474">
    <cfRule type="cellIs" dxfId="2" priority="7377" operator="lessThan">
      <formula>20</formula>
    </cfRule>
    <cfRule type="cellIs" dxfId="1" priority="4762" operator="greaterThan">
      <formula>120</formula>
    </cfRule>
    <cfRule type="containsText" dxfId="0" priority="2147" operator="between" text="库存为">
      <formula>NOT(ISERROR(SEARCH("库存为",AU474)))</formula>
    </cfRule>
  </conditionalFormatting>
  <conditionalFormatting sqref="AU475">
    <cfRule type="cellIs" dxfId="2" priority="7376" operator="lessThan">
      <formula>20</formula>
    </cfRule>
    <cfRule type="cellIs" dxfId="1" priority="4761" operator="greaterThan">
      <formula>120</formula>
    </cfRule>
    <cfRule type="containsText" dxfId="0" priority="2146" operator="between" text="库存为">
      <formula>NOT(ISERROR(SEARCH("库存为",AU475)))</formula>
    </cfRule>
  </conditionalFormatting>
  <conditionalFormatting sqref="AU476">
    <cfRule type="cellIs" dxfId="2" priority="7375" operator="lessThan">
      <formula>20</formula>
    </cfRule>
    <cfRule type="cellIs" dxfId="1" priority="4760" operator="greaterThan">
      <formula>120</formula>
    </cfRule>
    <cfRule type="containsText" dxfId="0" priority="2145" operator="between" text="库存为">
      <formula>NOT(ISERROR(SEARCH("库存为",AU476)))</formula>
    </cfRule>
  </conditionalFormatting>
  <conditionalFormatting sqref="AU477">
    <cfRule type="cellIs" dxfId="2" priority="7374" operator="lessThan">
      <formula>20</formula>
    </cfRule>
    <cfRule type="cellIs" dxfId="1" priority="4759" operator="greaterThan">
      <formula>120</formula>
    </cfRule>
    <cfRule type="containsText" dxfId="0" priority="2144" operator="between" text="库存为">
      <formula>NOT(ISERROR(SEARCH("库存为",AU477)))</formula>
    </cfRule>
  </conditionalFormatting>
  <conditionalFormatting sqref="AU478">
    <cfRule type="cellIs" dxfId="2" priority="7373" operator="lessThan">
      <formula>20</formula>
    </cfRule>
    <cfRule type="cellIs" dxfId="1" priority="4758" operator="greaterThan">
      <formula>120</formula>
    </cfRule>
    <cfRule type="containsText" dxfId="0" priority="2143" operator="between" text="库存为">
      <formula>NOT(ISERROR(SEARCH("库存为",AU478)))</formula>
    </cfRule>
  </conditionalFormatting>
  <conditionalFormatting sqref="AU479">
    <cfRule type="cellIs" dxfId="2" priority="7372" operator="lessThan">
      <formula>20</formula>
    </cfRule>
    <cfRule type="cellIs" dxfId="1" priority="4757" operator="greaterThan">
      <formula>120</formula>
    </cfRule>
    <cfRule type="containsText" dxfId="0" priority="2142" operator="between" text="库存为">
      <formula>NOT(ISERROR(SEARCH("库存为",AU479)))</formula>
    </cfRule>
  </conditionalFormatting>
  <conditionalFormatting sqref="AU480">
    <cfRule type="cellIs" dxfId="2" priority="7371" operator="lessThan">
      <formula>20</formula>
    </cfRule>
    <cfRule type="cellIs" dxfId="1" priority="4756" operator="greaterThan">
      <formula>120</formula>
    </cfRule>
    <cfRule type="containsText" dxfId="0" priority="2141" operator="between" text="库存为">
      <formula>NOT(ISERROR(SEARCH("库存为",AU480)))</formula>
    </cfRule>
  </conditionalFormatting>
  <conditionalFormatting sqref="AU481">
    <cfRule type="cellIs" dxfId="2" priority="7370" operator="lessThan">
      <formula>20</formula>
    </cfRule>
    <cfRule type="cellIs" dxfId="1" priority="4755" operator="greaterThan">
      <formula>120</formula>
    </cfRule>
    <cfRule type="containsText" dxfId="0" priority="2140" operator="between" text="库存为">
      <formula>NOT(ISERROR(SEARCH("库存为",AU481)))</formula>
    </cfRule>
  </conditionalFormatting>
  <conditionalFormatting sqref="AU482">
    <cfRule type="cellIs" dxfId="2" priority="7369" operator="lessThan">
      <formula>20</formula>
    </cfRule>
    <cfRule type="cellIs" dxfId="1" priority="4754" operator="greaterThan">
      <formula>120</formula>
    </cfRule>
    <cfRule type="containsText" dxfId="0" priority="2139" operator="between" text="库存为">
      <formula>NOT(ISERROR(SEARCH("库存为",AU482)))</formula>
    </cfRule>
  </conditionalFormatting>
  <conditionalFormatting sqref="AU483">
    <cfRule type="cellIs" dxfId="2" priority="7368" operator="lessThan">
      <formula>20</formula>
    </cfRule>
    <cfRule type="cellIs" dxfId="1" priority="4753" operator="greaterThan">
      <formula>120</formula>
    </cfRule>
    <cfRule type="containsText" dxfId="0" priority="2138" operator="between" text="库存为">
      <formula>NOT(ISERROR(SEARCH("库存为",AU483)))</formula>
    </cfRule>
  </conditionalFormatting>
  <conditionalFormatting sqref="AU484">
    <cfRule type="cellIs" dxfId="2" priority="7367" operator="lessThan">
      <formula>20</formula>
    </cfRule>
    <cfRule type="cellIs" dxfId="1" priority="4752" operator="greaterThan">
      <formula>120</formula>
    </cfRule>
    <cfRule type="containsText" dxfId="0" priority="2137" operator="between" text="库存为">
      <formula>NOT(ISERROR(SEARCH("库存为",AU484)))</formula>
    </cfRule>
  </conditionalFormatting>
  <conditionalFormatting sqref="AU485">
    <cfRule type="cellIs" dxfId="2" priority="7366" operator="lessThan">
      <formula>20</formula>
    </cfRule>
    <cfRule type="cellIs" dxfId="1" priority="4751" operator="greaterThan">
      <formula>120</formula>
    </cfRule>
    <cfRule type="containsText" dxfId="0" priority="2136" operator="between" text="库存为">
      <formula>NOT(ISERROR(SEARCH("库存为",AU485)))</formula>
    </cfRule>
  </conditionalFormatting>
  <conditionalFormatting sqref="AU486">
    <cfRule type="cellIs" dxfId="2" priority="7365" operator="lessThan">
      <formula>20</formula>
    </cfRule>
    <cfRule type="cellIs" dxfId="1" priority="4750" operator="greaterThan">
      <formula>120</formula>
    </cfRule>
    <cfRule type="containsText" dxfId="0" priority="2135" operator="between" text="库存为">
      <formula>NOT(ISERROR(SEARCH("库存为",AU486)))</formula>
    </cfRule>
  </conditionalFormatting>
  <conditionalFormatting sqref="AU487">
    <cfRule type="cellIs" dxfId="2" priority="7364" operator="lessThan">
      <formula>20</formula>
    </cfRule>
    <cfRule type="cellIs" dxfId="1" priority="4749" operator="greaterThan">
      <formula>120</formula>
    </cfRule>
    <cfRule type="containsText" dxfId="0" priority="2134" operator="between" text="库存为">
      <formula>NOT(ISERROR(SEARCH("库存为",AU487)))</formula>
    </cfRule>
  </conditionalFormatting>
  <conditionalFormatting sqref="AU488">
    <cfRule type="cellIs" dxfId="2" priority="7363" operator="lessThan">
      <formula>20</formula>
    </cfRule>
    <cfRule type="cellIs" dxfId="1" priority="4748" operator="greaterThan">
      <formula>120</formula>
    </cfRule>
    <cfRule type="containsText" dxfId="0" priority="2133" operator="between" text="库存为">
      <formula>NOT(ISERROR(SEARCH("库存为",AU488)))</formula>
    </cfRule>
  </conditionalFormatting>
  <conditionalFormatting sqref="AU489">
    <cfRule type="cellIs" dxfId="2" priority="7362" operator="lessThan">
      <formula>20</formula>
    </cfRule>
    <cfRule type="cellIs" dxfId="1" priority="4747" operator="greaterThan">
      <formula>120</formula>
    </cfRule>
    <cfRule type="containsText" dxfId="0" priority="2132" operator="between" text="库存为">
      <formula>NOT(ISERROR(SEARCH("库存为",AU489)))</formula>
    </cfRule>
  </conditionalFormatting>
  <conditionalFormatting sqref="AU490">
    <cfRule type="cellIs" dxfId="2" priority="7361" operator="lessThan">
      <formula>20</formula>
    </cfRule>
    <cfRule type="cellIs" dxfId="1" priority="4746" operator="greaterThan">
      <formula>120</formula>
    </cfRule>
    <cfRule type="containsText" dxfId="0" priority="2131" operator="between" text="库存为">
      <formula>NOT(ISERROR(SEARCH("库存为",AU490)))</formula>
    </cfRule>
  </conditionalFormatting>
  <conditionalFormatting sqref="AU491">
    <cfRule type="cellIs" dxfId="2" priority="7360" operator="lessThan">
      <formula>20</formula>
    </cfRule>
    <cfRule type="cellIs" dxfId="1" priority="4745" operator="greaterThan">
      <formula>120</formula>
    </cfRule>
    <cfRule type="containsText" dxfId="0" priority="2130" operator="between" text="库存为">
      <formula>NOT(ISERROR(SEARCH("库存为",AU491)))</formula>
    </cfRule>
  </conditionalFormatting>
  <conditionalFormatting sqref="AU492">
    <cfRule type="cellIs" dxfId="2" priority="7359" operator="lessThan">
      <formula>20</formula>
    </cfRule>
    <cfRule type="cellIs" dxfId="1" priority="4744" operator="greaterThan">
      <formula>120</formula>
    </cfRule>
    <cfRule type="containsText" dxfId="0" priority="2129" operator="between" text="库存为">
      <formula>NOT(ISERROR(SEARCH("库存为",AU492)))</formula>
    </cfRule>
  </conditionalFormatting>
  <conditionalFormatting sqref="AU493">
    <cfRule type="cellIs" dxfId="2" priority="7358" operator="lessThan">
      <formula>20</formula>
    </cfRule>
    <cfRule type="cellIs" dxfId="1" priority="4743" operator="greaterThan">
      <formula>120</formula>
    </cfRule>
    <cfRule type="containsText" dxfId="0" priority="2128" operator="between" text="库存为">
      <formula>NOT(ISERROR(SEARCH("库存为",AU493)))</formula>
    </cfRule>
  </conditionalFormatting>
  <conditionalFormatting sqref="AU494">
    <cfRule type="cellIs" dxfId="2" priority="7357" operator="lessThan">
      <formula>20</formula>
    </cfRule>
    <cfRule type="cellIs" dxfId="1" priority="4742" operator="greaterThan">
      <formula>120</formula>
    </cfRule>
    <cfRule type="containsText" dxfId="0" priority="2127" operator="between" text="库存为">
      <formula>NOT(ISERROR(SEARCH("库存为",AU494)))</formula>
    </cfRule>
  </conditionalFormatting>
  <conditionalFormatting sqref="AU495">
    <cfRule type="cellIs" dxfId="2" priority="7356" operator="lessThan">
      <formula>20</formula>
    </cfRule>
    <cfRule type="cellIs" dxfId="1" priority="4741" operator="greaterThan">
      <formula>120</formula>
    </cfRule>
    <cfRule type="containsText" dxfId="0" priority="2126" operator="between" text="库存为">
      <formula>NOT(ISERROR(SEARCH("库存为",AU495)))</formula>
    </cfRule>
  </conditionalFormatting>
  <conditionalFormatting sqref="AU496">
    <cfRule type="cellIs" dxfId="2" priority="7355" operator="lessThan">
      <formula>20</formula>
    </cfRule>
    <cfRule type="cellIs" dxfId="1" priority="4740" operator="greaterThan">
      <formula>120</formula>
    </cfRule>
    <cfRule type="containsText" dxfId="0" priority="2125" operator="between" text="库存为">
      <formula>NOT(ISERROR(SEARCH("库存为",AU496)))</formula>
    </cfRule>
  </conditionalFormatting>
  <conditionalFormatting sqref="AU497">
    <cfRule type="cellIs" dxfId="2" priority="7354" operator="lessThan">
      <formula>20</formula>
    </cfRule>
    <cfRule type="cellIs" dxfId="1" priority="4739" operator="greaterThan">
      <formula>120</formula>
    </cfRule>
    <cfRule type="containsText" dxfId="0" priority="2124" operator="between" text="库存为">
      <formula>NOT(ISERROR(SEARCH("库存为",AU497)))</formula>
    </cfRule>
  </conditionalFormatting>
  <conditionalFormatting sqref="AU498">
    <cfRule type="cellIs" dxfId="2" priority="7353" operator="lessThan">
      <formula>20</formula>
    </cfRule>
    <cfRule type="cellIs" dxfId="1" priority="4738" operator="greaterThan">
      <formula>120</formula>
    </cfRule>
    <cfRule type="containsText" dxfId="0" priority="2123" operator="between" text="库存为">
      <formula>NOT(ISERROR(SEARCH("库存为",AU498)))</formula>
    </cfRule>
  </conditionalFormatting>
  <conditionalFormatting sqref="AU499">
    <cfRule type="cellIs" dxfId="2" priority="7352" operator="lessThan">
      <formula>20</formula>
    </cfRule>
    <cfRule type="cellIs" dxfId="1" priority="4737" operator="greaterThan">
      <formula>120</formula>
    </cfRule>
    <cfRule type="containsText" dxfId="0" priority="2122" operator="between" text="库存为">
      <formula>NOT(ISERROR(SEARCH("库存为",AU499)))</formula>
    </cfRule>
  </conditionalFormatting>
  <conditionalFormatting sqref="AU500">
    <cfRule type="cellIs" dxfId="2" priority="7351" operator="lessThan">
      <formula>20</formula>
    </cfRule>
    <cfRule type="cellIs" dxfId="1" priority="4736" operator="greaterThan">
      <formula>120</formula>
    </cfRule>
    <cfRule type="containsText" dxfId="0" priority="2121" operator="between" text="库存为">
      <formula>NOT(ISERROR(SEARCH("库存为",AU500)))</formula>
    </cfRule>
  </conditionalFormatting>
  <conditionalFormatting sqref="AU501">
    <cfRule type="cellIs" dxfId="2" priority="7350" operator="lessThan">
      <formula>20</formula>
    </cfRule>
    <cfRule type="cellIs" dxfId="1" priority="4735" operator="greaterThan">
      <formula>120</formula>
    </cfRule>
    <cfRule type="containsText" dxfId="0" priority="2120" operator="between" text="库存为">
      <formula>NOT(ISERROR(SEARCH("库存为",AU501)))</formula>
    </cfRule>
  </conditionalFormatting>
  <conditionalFormatting sqref="AU502">
    <cfRule type="cellIs" dxfId="2" priority="7349" operator="lessThan">
      <formula>20</formula>
    </cfRule>
    <cfRule type="cellIs" dxfId="1" priority="4734" operator="greaterThan">
      <formula>120</formula>
    </cfRule>
    <cfRule type="containsText" dxfId="0" priority="2119" operator="between" text="库存为">
      <formula>NOT(ISERROR(SEARCH("库存为",AU502)))</formula>
    </cfRule>
  </conditionalFormatting>
  <conditionalFormatting sqref="AU503">
    <cfRule type="cellIs" dxfId="2" priority="7348" operator="lessThan">
      <formula>20</formula>
    </cfRule>
    <cfRule type="cellIs" dxfId="1" priority="4733" operator="greaterThan">
      <formula>120</formula>
    </cfRule>
    <cfRule type="containsText" dxfId="0" priority="2118" operator="between" text="库存为">
      <formula>NOT(ISERROR(SEARCH("库存为",AU503)))</formula>
    </cfRule>
  </conditionalFormatting>
  <conditionalFormatting sqref="AU504">
    <cfRule type="cellIs" dxfId="2" priority="7347" operator="lessThan">
      <formula>20</formula>
    </cfRule>
    <cfRule type="cellIs" dxfId="1" priority="4732" operator="greaterThan">
      <formula>120</formula>
    </cfRule>
    <cfRule type="containsText" dxfId="0" priority="2117" operator="between" text="库存为">
      <formula>NOT(ISERROR(SEARCH("库存为",AU504)))</formula>
    </cfRule>
  </conditionalFormatting>
  <conditionalFormatting sqref="AU505">
    <cfRule type="cellIs" dxfId="2" priority="7346" operator="lessThan">
      <formula>20</formula>
    </cfRule>
    <cfRule type="cellIs" dxfId="1" priority="4731" operator="greaterThan">
      <formula>120</formula>
    </cfRule>
    <cfRule type="containsText" dxfId="0" priority="2116" operator="between" text="库存为">
      <formula>NOT(ISERROR(SEARCH("库存为",AU505)))</formula>
    </cfRule>
  </conditionalFormatting>
  <conditionalFormatting sqref="AU506">
    <cfRule type="cellIs" dxfId="2" priority="7345" operator="lessThan">
      <formula>20</formula>
    </cfRule>
    <cfRule type="cellIs" dxfId="1" priority="4730" operator="greaterThan">
      <formula>120</formula>
    </cfRule>
    <cfRule type="containsText" dxfId="0" priority="2115" operator="between" text="库存为">
      <formula>NOT(ISERROR(SEARCH("库存为",AU506)))</formula>
    </cfRule>
  </conditionalFormatting>
  <conditionalFormatting sqref="AU507">
    <cfRule type="cellIs" dxfId="2" priority="7344" operator="lessThan">
      <formula>20</formula>
    </cfRule>
    <cfRule type="cellIs" dxfId="1" priority="4729" operator="greaterThan">
      <formula>120</formula>
    </cfRule>
    <cfRule type="containsText" dxfId="0" priority="2114" operator="between" text="库存为">
      <formula>NOT(ISERROR(SEARCH("库存为",AU507)))</formula>
    </cfRule>
  </conditionalFormatting>
  <conditionalFormatting sqref="AU508">
    <cfRule type="cellIs" dxfId="2" priority="7343" operator="lessThan">
      <formula>20</formula>
    </cfRule>
    <cfRule type="cellIs" dxfId="1" priority="4728" operator="greaterThan">
      <formula>120</formula>
    </cfRule>
    <cfRule type="containsText" dxfId="0" priority="2113" operator="between" text="库存为">
      <formula>NOT(ISERROR(SEARCH("库存为",AU508)))</formula>
    </cfRule>
  </conditionalFormatting>
  <conditionalFormatting sqref="AU509">
    <cfRule type="cellIs" dxfId="2" priority="7342" operator="lessThan">
      <formula>20</formula>
    </cfRule>
    <cfRule type="cellIs" dxfId="1" priority="4727" operator="greaterThan">
      <formula>120</formula>
    </cfRule>
    <cfRule type="containsText" dxfId="0" priority="2112" operator="between" text="库存为">
      <formula>NOT(ISERROR(SEARCH("库存为",AU509)))</formula>
    </cfRule>
  </conditionalFormatting>
  <conditionalFormatting sqref="AU510">
    <cfRule type="cellIs" dxfId="2" priority="7341" operator="lessThan">
      <formula>20</formula>
    </cfRule>
    <cfRule type="cellIs" dxfId="1" priority="4726" operator="greaterThan">
      <formula>120</formula>
    </cfRule>
    <cfRule type="containsText" dxfId="0" priority="2111" operator="between" text="库存为">
      <formula>NOT(ISERROR(SEARCH("库存为",AU510)))</formula>
    </cfRule>
  </conditionalFormatting>
  <conditionalFormatting sqref="AU511">
    <cfRule type="cellIs" dxfId="2" priority="7340" operator="lessThan">
      <formula>20</formula>
    </cfRule>
    <cfRule type="cellIs" dxfId="1" priority="4725" operator="greaterThan">
      <formula>120</formula>
    </cfRule>
    <cfRule type="containsText" dxfId="0" priority="2110" operator="between" text="库存为">
      <formula>NOT(ISERROR(SEARCH("库存为",AU511)))</formula>
    </cfRule>
  </conditionalFormatting>
  <conditionalFormatting sqref="AU512">
    <cfRule type="cellIs" dxfId="2" priority="7339" operator="lessThan">
      <formula>20</formula>
    </cfRule>
    <cfRule type="cellIs" dxfId="1" priority="4724" operator="greaterThan">
      <formula>120</formula>
    </cfRule>
    <cfRule type="containsText" dxfId="0" priority="2109" operator="between" text="库存为">
      <formula>NOT(ISERROR(SEARCH("库存为",AU512)))</formula>
    </cfRule>
  </conditionalFormatting>
  <conditionalFormatting sqref="AU513">
    <cfRule type="cellIs" dxfId="2" priority="7338" operator="lessThan">
      <formula>20</formula>
    </cfRule>
    <cfRule type="cellIs" dxfId="1" priority="4723" operator="greaterThan">
      <formula>120</formula>
    </cfRule>
    <cfRule type="containsText" dxfId="0" priority="2108" operator="between" text="库存为">
      <formula>NOT(ISERROR(SEARCH("库存为",AU513)))</formula>
    </cfRule>
  </conditionalFormatting>
  <conditionalFormatting sqref="AU514">
    <cfRule type="cellIs" dxfId="2" priority="7337" operator="lessThan">
      <formula>20</formula>
    </cfRule>
    <cfRule type="cellIs" dxfId="1" priority="4722" operator="greaterThan">
      <formula>120</formula>
    </cfRule>
    <cfRule type="containsText" dxfId="0" priority="2107" operator="between" text="库存为">
      <formula>NOT(ISERROR(SEARCH("库存为",AU514)))</formula>
    </cfRule>
  </conditionalFormatting>
  <conditionalFormatting sqref="AU515">
    <cfRule type="cellIs" dxfId="2" priority="7336" operator="lessThan">
      <formula>20</formula>
    </cfRule>
    <cfRule type="cellIs" dxfId="1" priority="4721" operator="greaterThan">
      <formula>120</formula>
    </cfRule>
    <cfRule type="containsText" dxfId="0" priority="2106" operator="between" text="库存为">
      <formula>NOT(ISERROR(SEARCH("库存为",AU515)))</formula>
    </cfRule>
  </conditionalFormatting>
  <conditionalFormatting sqref="AU516">
    <cfRule type="cellIs" dxfId="2" priority="7335" operator="lessThan">
      <formula>20</formula>
    </cfRule>
    <cfRule type="cellIs" dxfId="1" priority="4720" operator="greaterThan">
      <formula>120</formula>
    </cfRule>
    <cfRule type="containsText" dxfId="0" priority="2105" operator="between" text="库存为">
      <formula>NOT(ISERROR(SEARCH("库存为",AU516)))</formula>
    </cfRule>
  </conditionalFormatting>
  <conditionalFormatting sqref="AU517">
    <cfRule type="cellIs" dxfId="2" priority="7334" operator="lessThan">
      <formula>20</formula>
    </cfRule>
    <cfRule type="cellIs" dxfId="1" priority="4719" operator="greaterThan">
      <formula>120</formula>
    </cfRule>
    <cfRule type="containsText" dxfId="0" priority="2104" operator="between" text="库存为">
      <formula>NOT(ISERROR(SEARCH("库存为",AU517)))</formula>
    </cfRule>
  </conditionalFormatting>
  <conditionalFormatting sqref="AU518">
    <cfRule type="cellIs" dxfId="2" priority="7333" operator="lessThan">
      <formula>20</formula>
    </cfRule>
    <cfRule type="cellIs" dxfId="1" priority="4718" operator="greaterThan">
      <formula>120</formula>
    </cfRule>
    <cfRule type="containsText" dxfId="0" priority="2103" operator="between" text="库存为">
      <formula>NOT(ISERROR(SEARCH("库存为",AU518)))</formula>
    </cfRule>
  </conditionalFormatting>
  <conditionalFormatting sqref="AU519">
    <cfRule type="cellIs" dxfId="2" priority="7332" operator="lessThan">
      <formula>20</formula>
    </cfRule>
    <cfRule type="cellIs" dxfId="1" priority="4717" operator="greaterThan">
      <formula>120</formula>
    </cfRule>
    <cfRule type="containsText" dxfId="0" priority="2102" operator="between" text="库存为">
      <formula>NOT(ISERROR(SEARCH("库存为",AU519)))</formula>
    </cfRule>
  </conditionalFormatting>
  <conditionalFormatting sqref="AU520">
    <cfRule type="cellIs" dxfId="2" priority="7331" operator="lessThan">
      <formula>20</formula>
    </cfRule>
    <cfRule type="cellIs" dxfId="1" priority="4716" operator="greaterThan">
      <formula>120</formula>
    </cfRule>
    <cfRule type="containsText" dxfId="0" priority="2101" operator="between" text="库存为">
      <formula>NOT(ISERROR(SEARCH("库存为",AU520)))</formula>
    </cfRule>
  </conditionalFormatting>
  <conditionalFormatting sqref="AU521">
    <cfRule type="cellIs" dxfId="2" priority="7330" operator="lessThan">
      <formula>20</formula>
    </cfRule>
    <cfRule type="cellIs" dxfId="1" priority="4715" operator="greaterThan">
      <formula>120</formula>
    </cfRule>
    <cfRule type="containsText" dxfId="0" priority="2100" operator="between" text="库存为">
      <formula>NOT(ISERROR(SEARCH("库存为",AU521)))</formula>
    </cfRule>
  </conditionalFormatting>
  <conditionalFormatting sqref="AU522">
    <cfRule type="cellIs" dxfId="2" priority="7329" operator="lessThan">
      <formula>20</formula>
    </cfRule>
    <cfRule type="cellIs" dxfId="1" priority="4714" operator="greaterThan">
      <formula>120</formula>
    </cfRule>
    <cfRule type="containsText" dxfId="0" priority="2099" operator="between" text="库存为">
      <formula>NOT(ISERROR(SEARCH("库存为",AU522)))</formula>
    </cfRule>
  </conditionalFormatting>
  <conditionalFormatting sqref="AU523">
    <cfRule type="cellIs" dxfId="2" priority="7328" operator="lessThan">
      <formula>20</formula>
    </cfRule>
    <cfRule type="cellIs" dxfId="1" priority="4713" operator="greaterThan">
      <formula>120</formula>
    </cfRule>
    <cfRule type="containsText" dxfId="0" priority="2098" operator="between" text="库存为">
      <formula>NOT(ISERROR(SEARCH("库存为",AU523)))</formula>
    </cfRule>
  </conditionalFormatting>
  <conditionalFormatting sqref="AU524">
    <cfRule type="cellIs" dxfId="2" priority="7327" operator="lessThan">
      <formula>20</formula>
    </cfRule>
    <cfRule type="cellIs" dxfId="1" priority="4712" operator="greaterThan">
      <formula>120</formula>
    </cfRule>
    <cfRule type="containsText" dxfId="0" priority="2097" operator="between" text="库存为">
      <formula>NOT(ISERROR(SEARCH("库存为",AU524)))</formula>
    </cfRule>
  </conditionalFormatting>
  <conditionalFormatting sqref="AU525">
    <cfRule type="cellIs" dxfId="2" priority="7326" operator="lessThan">
      <formula>20</formula>
    </cfRule>
    <cfRule type="cellIs" dxfId="1" priority="4711" operator="greaterThan">
      <formula>120</formula>
    </cfRule>
    <cfRule type="containsText" dxfId="0" priority="2096" operator="between" text="库存为">
      <formula>NOT(ISERROR(SEARCH("库存为",AU525)))</formula>
    </cfRule>
  </conditionalFormatting>
  <conditionalFormatting sqref="AU526">
    <cfRule type="cellIs" dxfId="2" priority="7325" operator="lessThan">
      <formula>20</formula>
    </cfRule>
    <cfRule type="cellIs" dxfId="1" priority="4710" operator="greaterThan">
      <formula>120</formula>
    </cfRule>
    <cfRule type="containsText" dxfId="0" priority="2095" operator="between" text="库存为">
      <formula>NOT(ISERROR(SEARCH("库存为",AU526)))</formula>
    </cfRule>
  </conditionalFormatting>
  <conditionalFormatting sqref="AU527">
    <cfRule type="cellIs" dxfId="2" priority="7324" operator="lessThan">
      <formula>20</formula>
    </cfRule>
    <cfRule type="cellIs" dxfId="1" priority="4709" operator="greaterThan">
      <formula>120</formula>
    </cfRule>
    <cfRule type="containsText" dxfId="0" priority="2094" operator="between" text="库存为">
      <formula>NOT(ISERROR(SEARCH("库存为",AU527)))</formula>
    </cfRule>
  </conditionalFormatting>
  <conditionalFormatting sqref="AU528">
    <cfRule type="cellIs" dxfId="2" priority="7323" operator="lessThan">
      <formula>20</formula>
    </cfRule>
    <cfRule type="cellIs" dxfId="1" priority="4708" operator="greaterThan">
      <formula>120</formula>
    </cfRule>
    <cfRule type="containsText" dxfId="0" priority="2093" operator="between" text="库存为">
      <formula>NOT(ISERROR(SEARCH("库存为",AU528)))</formula>
    </cfRule>
  </conditionalFormatting>
  <conditionalFormatting sqref="AU529">
    <cfRule type="cellIs" dxfId="2" priority="7322" operator="lessThan">
      <formula>20</formula>
    </cfRule>
    <cfRule type="cellIs" dxfId="1" priority="4707" operator="greaterThan">
      <formula>120</formula>
    </cfRule>
    <cfRule type="containsText" dxfId="0" priority="2092" operator="between" text="库存为">
      <formula>NOT(ISERROR(SEARCH("库存为",AU529)))</formula>
    </cfRule>
  </conditionalFormatting>
  <conditionalFormatting sqref="AU530">
    <cfRule type="cellIs" dxfId="2" priority="7321" operator="lessThan">
      <formula>20</formula>
    </cfRule>
    <cfRule type="cellIs" dxfId="1" priority="4706" operator="greaterThan">
      <formula>120</formula>
    </cfRule>
    <cfRule type="containsText" dxfId="0" priority="2091" operator="between" text="库存为">
      <formula>NOT(ISERROR(SEARCH("库存为",AU530)))</formula>
    </cfRule>
  </conditionalFormatting>
  <conditionalFormatting sqref="AU531">
    <cfRule type="cellIs" dxfId="2" priority="7320" operator="lessThan">
      <formula>20</formula>
    </cfRule>
    <cfRule type="cellIs" dxfId="1" priority="4705" operator="greaterThan">
      <formula>120</formula>
    </cfRule>
    <cfRule type="containsText" dxfId="0" priority="2090" operator="between" text="库存为">
      <formula>NOT(ISERROR(SEARCH("库存为",AU531)))</formula>
    </cfRule>
  </conditionalFormatting>
  <conditionalFormatting sqref="AU532">
    <cfRule type="cellIs" dxfId="2" priority="7319" operator="lessThan">
      <formula>20</formula>
    </cfRule>
    <cfRule type="cellIs" dxfId="1" priority="4704" operator="greaterThan">
      <formula>120</formula>
    </cfRule>
    <cfRule type="containsText" dxfId="0" priority="2089" operator="between" text="库存为">
      <formula>NOT(ISERROR(SEARCH("库存为",AU532)))</formula>
    </cfRule>
  </conditionalFormatting>
  <conditionalFormatting sqref="AU533">
    <cfRule type="cellIs" dxfId="2" priority="7318" operator="lessThan">
      <formula>20</formula>
    </cfRule>
    <cfRule type="cellIs" dxfId="1" priority="4703" operator="greaterThan">
      <formula>120</formula>
    </cfRule>
    <cfRule type="containsText" dxfId="0" priority="2088" operator="between" text="库存为">
      <formula>NOT(ISERROR(SEARCH("库存为",AU533)))</formula>
    </cfRule>
  </conditionalFormatting>
  <conditionalFormatting sqref="AU534">
    <cfRule type="cellIs" dxfId="2" priority="7317" operator="lessThan">
      <formula>20</formula>
    </cfRule>
    <cfRule type="cellIs" dxfId="1" priority="4702" operator="greaterThan">
      <formula>120</formula>
    </cfRule>
    <cfRule type="containsText" dxfId="0" priority="2087" operator="between" text="库存为">
      <formula>NOT(ISERROR(SEARCH("库存为",AU534)))</formula>
    </cfRule>
  </conditionalFormatting>
  <conditionalFormatting sqref="AU535">
    <cfRule type="cellIs" dxfId="2" priority="7316" operator="lessThan">
      <formula>20</formula>
    </cfRule>
    <cfRule type="cellIs" dxfId="1" priority="4701" operator="greaterThan">
      <formula>120</formula>
    </cfRule>
    <cfRule type="containsText" dxfId="0" priority="2086" operator="between" text="库存为">
      <formula>NOT(ISERROR(SEARCH("库存为",AU535)))</formula>
    </cfRule>
  </conditionalFormatting>
  <conditionalFormatting sqref="AU536">
    <cfRule type="cellIs" dxfId="2" priority="7315" operator="lessThan">
      <formula>20</formula>
    </cfRule>
    <cfRule type="cellIs" dxfId="1" priority="4700" operator="greaterThan">
      <formula>120</formula>
    </cfRule>
    <cfRule type="containsText" dxfId="0" priority="2085" operator="between" text="库存为">
      <formula>NOT(ISERROR(SEARCH("库存为",AU536)))</formula>
    </cfRule>
  </conditionalFormatting>
  <conditionalFormatting sqref="AU537">
    <cfRule type="cellIs" dxfId="2" priority="7314" operator="lessThan">
      <formula>20</formula>
    </cfRule>
    <cfRule type="cellIs" dxfId="1" priority="4699" operator="greaterThan">
      <formula>120</formula>
    </cfRule>
    <cfRule type="containsText" dxfId="0" priority="2084" operator="between" text="库存为">
      <formula>NOT(ISERROR(SEARCH("库存为",AU537)))</formula>
    </cfRule>
  </conditionalFormatting>
  <conditionalFormatting sqref="AU538">
    <cfRule type="cellIs" dxfId="2" priority="7313" operator="lessThan">
      <formula>20</formula>
    </cfRule>
    <cfRule type="cellIs" dxfId="1" priority="4698" operator="greaterThan">
      <formula>120</formula>
    </cfRule>
    <cfRule type="containsText" dxfId="0" priority="2083" operator="between" text="库存为">
      <formula>NOT(ISERROR(SEARCH("库存为",AU538)))</formula>
    </cfRule>
  </conditionalFormatting>
  <conditionalFormatting sqref="AU539">
    <cfRule type="cellIs" dxfId="2" priority="7312" operator="lessThan">
      <formula>20</formula>
    </cfRule>
    <cfRule type="cellIs" dxfId="1" priority="4697" operator="greaterThan">
      <formula>120</formula>
    </cfRule>
    <cfRule type="containsText" dxfId="0" priority="2082" operator="between" text="库存为">
      <formula>NOT(ISERROR(SEARCH("库存为",AU539)))</formula>
    </cfRule>
  </conditionalFormatting>
  <conditionalFormatting sqref="AU540">
    <cfRule type="cellIs" dxfId="2" priority="7311" operator="lessThan">
      <formula>20</formula>
    </cfRule>
    <cfRule type="cellIs" dxfId="1" priority="4696" operator="greaterThan">
      <formula>120</formula>
    </cfRule>
    <cfRule type="containsText" dxfId="0" priority="2081" operator="between" text="库存为">
      <formula>NOT(ISERROR(SEARCH("库存为",AU540)))</formula>
    </cfRule>
  </conditionalFormatting>
  <conditionalFormatting sqref="AU541">
    <cfRule type="cellIs" dxfId="2" priority="7310" operator="lessThan">
      <formula>20</formula>
    </cfRule>
    <cfRule type="cellIs" dxfId="1" priority="4695" operator="greaterThan">
      <formula>120</formula>
    </cfRule>
    <cfRule type="containsText" dxfId="0" priority="2080" operator="between" text="库存为">
      <formula>NOT(ISERROR(SEARCH("库存为",AU541)))</formula>
    </cfRule>
  </conditionalFormatting>
  <conditionalFormatting sqref="AU542">
    <cfRule type="cellIs" dxfId="2" priority="7309" operator="lessThan">
      <formula>20</formula>
    </cfRule>
    <cfRule type="cellIs" dxfId="1" priority="4694" operator="greaterThan">
      <formula>120</formula>
    </cfRule>
    <cfRule type="containsText" dxfId="0" priority="2079" operator="between" text="库存为">
      <formula>NOT(ISERROR(SEARCH("库存为",AU542)))</formula>
    </cfRule>
  </conditionalFormatting>
  <conditionalFormatting sqref="AU543">
    <cfRule type="cellIs" dxfId="2" priority="7308" operator="lessThan">
      <formula>20</formula>
    </cfRule>
    <cfRule type="cellIs" dxfId="1" priority="4693" operator="greaterThan">
      <formula>120</formula>
    </cfRule>
    <cfRule type="containsText" dxfId="0" priority="2078" operator="between" text="库存为">
      <formula>NOT(ISERROR(SEARCH("库存为",AU543)))</formula>
    </cfRule>
  </conditionalFormatting>
  <conditionalFormatting sqref="AU544">
    <cfRule type="cellIs" dxfId="2" priority="7307" operator="lessThan">
      <formula>20</formula>
    </cfRule>
    <cfRule type="cellIs" dxfId="1" priority="4692" operator="greaterThan">
      <formula>120</formula>
    </cfRule>
    <cfRule type="containsText" dxfId="0" priority="2077" operator="between" text="库存为">
      <formula>NOT(ISERROR(SEARCH("库存为",AU544)))</formula>
    </cfRule>
  </conditionalFormatting>
  <conditionalFormatting sqref="AU545">
    <cfRule type="cellIs" dxfId="2" priority="7306" operator="lessThan">
      <formula>20</formula>
    </cfRule>
    <cfRule type="cellIs" dxfId="1" priority="4691" operator="greaterThan">
      <formula>120</formula>
    </cfRule>
    <cfRule type="containsText" dxfId="0" priority="2076" operator="between" text="库存为">
      <formula>NOT(ISERROR(SEARCH("库存为",AU545)))</formula>
    </cfRule>
  </conditionalFormatting>
  <conditionalFormatting sqref="AU546">
    <cfRule type="cellIs" dxfId="2" priority="7305" operator="lessThan">
      <formula>20</formula>
    </cfRule>
    <cfRule type="cellIs" dxfId="1" priority="4690" operator="greaterThan">
      <formula>120</formula>
    </cfRule>
    <cfRule type="containsText" dxfId="0" priority="2075" operator="between" text="库存为">
      <formula>NOT(ISERROR(SEARCH("库存为",AU546)))</formula>
    </cfRule>
  </conditionalFormatting>
  <conditionalFormatting sqref="AU547">
    <cfRule type="cellIs" dxfId="2" priority="7304" operator="lessThan">
      <formula>20</formula>
    </cfRule>
    <cfRule type="cellIs" dxfId="1" priority="4689" operator="greaterThan">
      <formula>120</formula>
    </cfRule>
    <cfRule type="containsText" dxfId="0" priority="2074" operator="between" text="库存为">
      <formula>NOT(ISERROR(SEARCH("库存为",AU547)))</formula>
    </cfRule>
  </conditionalFormatting>
  <conditionalFormatting sqref="AU548">
    <cfRule type="cellIs" dxfId="2" priority="7303" operator="lessThan">
      <formula>20</formula>
    </cfRule>
    <cfRule type="cellIs" dxfId="1" priority="4688" operator="greaterThan">
      <formula>120</formula>
    </cfRule>
    <cfRule type="containsText" dxfId="0" priority="2073" operator="between" text="库存为">
      <formula>NOT(ISERROR(SEARCH("库存为",AU548)))</formula>
    </cfRule>
  </conditionalFormatting>
  <conditionalFormatting sqref="AU549">
    <cfRule type="cellIs" dxfId="2" priority="7302" operator="lessThan">
      <formula>20</formula>
    </cfRule>
    <cfRule type="cellIs" dxfId="1" priority="4687" operator="greaterThan">
      <formula>120</formula>
    </cfRule>
    <cfRule type="containsText" dxfId="0" priority="2072" operator="between" text="库存为">
      <formula>NOT(ISERROR(SEARCH("库存为",AU549)))</formula>
    </cfRule>
  </conditionalFormatting>
  <conditionalFormatting sqref="AU550">
    <cfRule type="cellIs" dxfId="2" priority="7301" operator="lessThan">
      <formula>20</formula>
    </cfRule>
    <cfRule type="cellIs" dxfId="1" priority="4686" operator="greaterThan">
      <formula>120</formula>
    </cfRule>
    <cfRule type="containsText" dxfId="0" priority="2071" operator="between" text="库存为">
      <formula>NOT(ISERROR(SEARCH("库存为",AU550)))</formula>
    </cfRule>
  </conditionalFormatting>
  <conditionalFormatting sqref="AU551">
    <cfRule type="cellIs" dxfId="2" priority="7300" operator="lessThan">
      <formula>20</formula>
    </cfRule>
    <cfRule type="cellIs" dxfId="1" priority="4685" operator="greaterThan">
      <formula>120</formula>
    </cfRule>
    <cfRule type="containsText" dxfId="0" priority="2070" operator="between" text="库存为">
      <formula>NOT(ISERROR(SEARCH("库存为",AU551)))</formula>
    </cfRule>
  </conditionalFormatting>
  <conditionalFormatting sqref="AU552">
    <cfRule type="cellIs" dxfId="2" priority="7299" operator="lessThan">
      <formula>20</formula>
    </cfRule>
    <cfRule type="cellIs" dxfId="1" priority="4684" operator="greaterThan">
      <formula>120</formula>
    </cfRule>
    <cfRule type="containsText" dxfId="0" priority="2069" operator="between" text="库存为">
      <formula>NOT(ISERROR(SEARCH("库存为",AU552)))</formula>
    </cfRule>
  </conditionalFormatting>
  <conditionalFormatting sqref="AU553">
    <cfRule type="cellIs" dxfId="2" priority="7298" operator="lessThan">
      <formula>20</formula>
    </cfRule>
    <cfRule type="cellIs" dxfId="1" priority="4683" operator="greaterThan">
      <formula>120</formula>
    </cfRule>
    <cfRule type="containsText" dxfId="0" priority="2068" operator="between" text="库存为">
      <formula>NOT(ISERROR(SEARCH("库存为",AU553)))</formula>
    </cfRule>
  </conditionalFormatting>
  <conditionalFormatting sqref="AU554">
    <cfRule type="cellIs" dxfId="2" priority="7297" operator="lessThan">
      <formula>20</formula>
    </cfRule>
    <cfRule type="cellIs" dxfId="1" priority="4682" operator="greaterThan">
      <formula>120</formula>
    </cfRule>
    <cfRule type="containsText" dxfId="0" priority="2067" operator="between" text="库存为">
      <formula>NOT(ISERROR(SEARCH("库存为",AU554)))</formula>
    </cfRule>
  </conditionalFormatting>
  <conditionalFormatting sqref="AU555">
    <cfRule type="cellIs" dxfId="2" priority="7296" operator="lessThan">
      <formula>20</formula>
    </cfRule>
    <cfRule type="cellIs" dxfId="1" priority="4681" operator="greaterThan">
      <formula>120</formula>
    </cfRule>
    <cfRule type="containsText" dxfId="0" priority="2066" operator="between" text="库存为">
      <formula>NOT(ISERROR(SEARCH("库存为",AU555)))</formula>
    </cfRule>
  </conditionalFormatting>
  <conditionalFormatting sqref="AU556">
    <cfRule type="cellIs" dxfId="2" priority="7295" operator="lessThan">
      <formula>20</formula>
    </cfRule>
    <cfRule type="cellIs" dxfId="1" priority="4680" operator="greaterThan">
      <formula>120</formula>
    </cfRule>
    <cfRule type="containsText" dxfId="0" priority="2065" operator="between" text="库存为">
      <formula>NOT(ISERROR(SEARCH("库存为",AU556)))</formula>
    </cfRule>
  </conditionalFormatting>
  <conditionalFormatting sqref="AU557">
    <cfRule type="cellIs" dxfId="2" priority="7294" operator="lessThan">
      <formula>20</formula>
    </cfRule>
    <cfRule type="cellIs" dxfId="1" priority="4679" operator="greaterThan">
      <formula>120</formula>
    </cfRule>
    <cfRule type="containsText" dxfId="0" priority="2064" operator="between" text="库存为">
      <formula>NOT(ISERROR(SEARCH("库存为",AU557)))</formula>
    </cfRule>
  </conditionalFormatting>
  <conditionalFormatting sqref="AU558">
    <cfRule type="cellIs" dxfId="2" priority="7293" operator="lessThan">
      <formula>20</formula>
    </cfRule>
    <cfRule type="cellIs" dxfId="1" priority="4678" operator="greaterThan">
      <formula>120</formula>
    </cfRule>
    <cfRule type="containsText" dxfId="0" priority="2063" operator="between" text="库存为">
      <formula>NOT(ISERROR(SEARCH("库存为",AU558)))</formula>
    </cfRule>
  </conditionalFormatting>
  <conditionalFormatting sqref="AU559">
    <cfRule type="cellIs" dxfId="2" priority="7292" operator="lessThan">
      <formula>20</formula>
    </cfRule>
    <cfRule type="cellIs" dxfId="1" priority="4677" operator="greaterThan">
      <formula>120</formula>
    </cfRule>
    <cfRule type="containsText" dxfId="0" priority="2062" operator="between" text="库存为">
      <formula>NOT(ISERROR(SEARCH("库存为",AU559)))</formula>
    </cfRule>
  </conditionalFormatting>
  <conditionalFormatting sqref="AU560">
    <cfRule type="cellIs" dxfId="2" priority="7291" operator="lessThan">
      <formula>20</formula>
    </cfRule>
    <cfRule type="cellIs" dxfId="1" priority="4676" operator="greaterThan">
      <formula>120</formula>
    </cfRule>
    <cfRule type="containsText" dxfId="0" priority="2061" operator="between" text="库存为">
      <formula>NOT(ISERROR(SEARCH("库存为",AU560)))</formula>
    </cfRule>
  </conditionalFormatting>
  <conditionalFormatting sqref="AU561">
    <cfRule type="cellIs" dxfId="2" priority="7290" operator="lessThan">
      <formula>20</formula>
    </cfRule>
    <cfRule type="cellIs" dxfId="1" priority="4675" operator="greaterThan">
      <formula>120</formula>
    </cfRule>
    <cfRule type="containsText" dxfId="0" priority="2060" operator="between" text="库存为">
      <formula>NOT(ISERROR(SEARCH("库存为",AU561)))</formula>
    </cfRule>
  </conditionalFormatting>
  <conditionalFormatting sqref="AU562">
    <cfRule type="cellIs" dxfId="2" priority="7289" operator="lessThan">
      <formula>20</formula>
    </cfRule>
    <cfRule type="cellIs" dxfId="1" priority="4674" operator="greaterThan">
      <formula>120</formula>
    </cfRule>
    <cfRule type="containsText" dxfId="0" priority="2059" operator="between" text="库存为">
      <formula>NOT(ISERROR(SEARCH("库存为",AU562)))</formula>
    </cfRule>
  </conditionalFormatting>
  <conditionalFormatting sqref="AU563">
    <cfRule type="cellIs" dxfId="2" priority="7288" operator="lessThan">
      <formula>20</formula>
    </cfRule>
    <cfRule type="cellIs" dxfId="1" priority="4673" operator="greaterThan">
      <formula>120</formula>
    </cfRule>
    <cfRule type="containsText" dxfId="0" priority="2058" operator="between" text="库存为">
      <formula>NOT(ISERROR(SEARCH("库存为",AU563)))</formula>
    </cfRule>
  </conditionalFormatting>
  <conditionalFormatting sqref="AU564">
    <cfRule type="cellIs" dxfId="2" priority="7287" operator="lessThan">
      <formula>20</formula>
    </cfRule>
    <cfRule type="cellIs" dxfId="1" priority="4672" operator="greaterThan">
      <formula>120</formula>
    </cfRule>
    <cfRule type="containsText" dxfId="0" priority="2057" operator="between" text="库存为">
      <formula>NOT(ISERROR(SEARCH("库存为",AU564)))</formula>
    </cfRule>
  </conditionalFormatting>
  <conditionalFormatting sqref="AU565">
    <cfRule type="cellIs" dxfId="2" priority="7286" operator="lessThan">
      <formula>20</formula>
    </cfRule>
    <cfRule type="cellIs" dxfId="1" priority="4671" operator="greaterThan">
      <formula>120</formula>
    </cfRule>
    <cfRule type="containsText" dxfId="0" priority="2056" operator="between" text="库存为">
      <formula>NOT(ISERROR(SEARCH("库存为",AU565)))</formula>
    </cfRule>
  </conditionalFormatting>
  <conditionalFormatting sqref="AU566">
    <cfRule type="cellIs" dxfId="2" priority="7285" operator="lessThan">
      <formula>20</formula>
    </cfRule>
    <cfRule type="cellIs" dxfId="1" priority="4670" operator="greaterThan">
      <formula>120</formula>
    </cfRule>
    <cfRule type="containsText" dxfId="0" priority="2055" operator="between" text="库存为">
      <formula>NOT(ISERROR(SEARCH("库存为",AU566)))</formula>
    </cfRule>
  </conditionalFormatting>
  <conditionalFormatting sqref="AU567">
    <cfRule type="cellIs" dxfId="2" priority="7284" operator="lessThan">
      <formula>20</formula>
    </cfRule>
    <cfRule type="cellIs" dxfId="1" priority="4669" operator="greaterThan">
      <formula>120</formula>
    </cfRule>
    <cfRule type="containsText" dxfId="0" priority="2054" operator="between" text="库存为">
      <formula>NOT(ISERROR(SEARCH("库存为",AU567)))</formula>
    </cfRule>
  </conditionalFormatting>
  <conditionalFormatting sqref="AU568">
    <cfRule type="cellIs" dxfId="2" priority="7283" operator="lessThan">
      <formula>20</formula>
    </cfRule>
    <cfRule type="cellIs" dxfId="1" priority="4668" operator="greaterThan">
      <formula>120</formula>
    </cfRule>
    <cfRule type="containsText" dxfId="0" priority="2053" operator="between" text="库存为">
      <formula>NOT(ISERROR(SEARCH("库存为",AU568)))</formula>
    </cfRule>
  </conditionalFormatting>
  <conditionalFormatting sqref="AU569">
    <cfRule type="cellIs" dxfId="2" priority="7282" operator="lessThan">
      <formula>20</formula>
    </cfRule>
    <cfRule type="cellIs" dxfId="1" priority="4667" operator="greaterThan">
      <formula>120</formula>
    </cfRule>
    <cfRule type="containsText" dxfId="0" priority="2052" operator="between" text="库存为">
      <formula>NOT(ISERROR(SEARCH("库存为",AU569)))</formula>
    </cfRule>
  </conditionalFormatting>
  <conditionalFormatting sqref="AU570">
    <cfRule type="cellIs" dxfId="2" priority="7281" operator="lessThan">
      <formula>20</formula>
    </cfRule>
    <cfRule type="cellIs" dxfId="1" priority="4666" operator="greaterThan">
      <formula>120</formula>
    </cfRule>
    <cfRule type="containsText" dxfId="0" priority="2051" operator="between" text="库存为">
      <formula>NOT(ISERROR(SEARCH("库存为",AU570)))</formula>
    </cfRule>
  </conditionalFormatting>
  <conditionalFormatting sqref="AU571">
    <cfRule type="cellIs" dxfId="2" priority="7280" operator="lessThan">
      <formula>20</formula>
    </cfRule>
    <cfRule type="cellIs" dxfId="1" priority="4665" operator="greaterThan">
      <formula>120</formula>
    </cfRule>
    <cfRule type="containsText" dxfId="0" priority="2050" operator="between" text="库存为">
      <formula>NOT(ISERROR(SEARCH("库存为",AU571)))</formula>
    </cfRule>
  </conditionalFormatting>
  <conditionalFormatting sqref="AU572">
    <cfRule type="cellIs" dxfId="2" priority="7279" operator="lessThan">
      <formula>20</formula>
    </cfRule>
    <cfRule type="cellIs" dxfId="1" priority="4664" operator="greaterThan">
      <formula>120</formula>
    </cfRule>
    <cfRule type="containsText" dxfId="0" priority="2049" operator="between" text="库存为">
      <formula>NOT(ISERROR(SEARCH("库存为",AU572)))</formula>
    </cfRule>
  </conditionalFormatting>
  <conditionalFormatting sqref="AU573">
    <cfRule type="cellIs" dxfId="2" priority="7278" operator="lessThan">
      <formula>20</formula>
    </cfRule>
    <cfRule type="cellIs" dxfId="1" priority="4663" operator="greaterThan">
      <formula>120</formula>
    </cfRule>
    <cfRule type="containsText" dxfId="0" priority="2048" operator="between" text="库存为">
      <formula>NOT(ISERROR(SEARCH("库存为",AU573)))</formula>
    </cfRule>
  </conditionalFormatting>
  <conditionalFormatting sqref="AU574">
    <cfRule type="cellIs" dxfId="2" priority="7277" operator="lessThan">
      <formula>20</formula>
    </cfRule>
    <cfRule type="cellIs" dxfId="1" priority="4662" operator="greaterThan">
      <formula>120</formula>
    </cfRule>
    <cfRule type="containsText" dxfId="0" priority="2047" operator="between" text="库存为">
      <formula>NOT(ISERROR(SEARCH("库存为",AU574)))</formula>
    </cfRule>
  </conditionalFormatting>
  <conditionalFormatting sqref="AU575">
    <cfRule type="cellIs" dxfId="2" priority="7276" operator="lessThan">
      <formula>20</formula>
    </cfRule>
    <cfRule type="cellIs" dxfId="1" priority="4661" operator="greaterThan">
      <formula>120</formula>
    </cfRule>
    <cfRule type="containsText" dxfId="0" priority="2046" operator="between" text="库存为">
      <formula>NOT(ISERROR(SEARCH("库存为",AU575)))</formula>
    </cfRule>
  </conditionalFormatting>
  <conditionalFormatting sqref="AU576">
    <cfRule type="cellIs" dxfId="2" priority="7275" operator="lessThan">
      <formula>20</formula>
    </cfRule>
    <cfRule type="cellIs" dxfId="1" priority="4660" operator="greaterThan">
      <formula>120</formula>
    </cfRule>
    <cfRule type="containsText" dxfId="0" priority="2045" operator="between" text="库存为">
      <formula>NOT(ISERROR(SEARCH("库存为",AU576)))</formula>
    </cfRule>
  </conditionalFormatting>
  <conditionalFormatting sqref="AU577">
    <cfRule type="cellIs" dxfId="2" priority="7274" operator="lessThan">
      <formula>20</formula>
    </cfRule>
    <cfRule type="cellIs" dxfId="1" priority="4659" operator="greaterThan">
      <formula>120</formula>
    </cfRule>
    <cfRule type="containsText" dxfId="0" priority="2044" operator="between" text="库存为">
      <formula>NOT(ISERROR(SEARCH("库存为",AU577)))</formula>
    </cfRule>
  </conditionalFormatting>
  <conditionalFormatting sqref="AU578">
    <cfRule type="cellIs" dxfId="2" priority="7273" operator="lessThan">
      <formula>20</formula>
    </cfRule>
    <cfRule type="cellIs" dxfId="1" priority="4658" operator="greaterThan">
      <formula>120</formula>
    </cfRule>
    <cfRule type="containsText" dxfId="0" priority="2043" operator="between" text="库存为">
      <formula>NOT(ISERROR(SEARCH("库存为",AU578)))</formula>
    </cfRule>
  </conditionalFormatting>
  <conditionalFormatting sqref="AU579">
    <cfRule type="cellIs" dxfId="2" priority="7272" operator="lessThan">
      <formula>20</formula>
    </cfRule>
    <cfRule type="cellIs" dxfId="1" priority="4657" operator="greaterThan">
      <formula>120</formula>
    </cfRule>
    <cfRule type="containsText" dxfId="0" priority="2042" operator="between" text="库存为">
      <formula>NOT(ISERROR(SEARCH("库存为",AU579)))</formula>
    </cfRule>
  </conditionalFormatting>
  <conditionalFormatting sqref="AU580">
    <cfRule type="cellIs" dxfId="2" priority="7271" operator="lessThan">
      <formula>20</formula>
    </cfRule>
    <cfRule type="cellIs" dxfId="1" priority="4656" operator="greaterThan">
      <formula>120</formula>
    </cfRule>
    <cfRule type="containsText" dxfId="0" priority="2041" operator="between" text="库存为">
      <formula>NOT(ISERROR(SEARCH("库存为",AU580)))</formula>
    </cfRule>
  </conditionalFormatting>
  <conditionalFormatting sqref="AU581">
    <cfRule type="cellIs" dxfId="2" priority="7270" operator="lessThan">
      <formula>20</formula>
    </cfRule>
    <cfRule type="cellIs" dxfId="1" priority="4655" operator="greaterThan">
      <formula>120</formula>
    </cfRule>
    <cfRule type="containsText" dxfId="0" priority="2040" operator="between" text="库存为">
      <formula>NOT(ISERROR(SEARCH("库存为",AU581)))</formula>
    </cfRule>
  </conditionalFormatting>
  <conditionalFormatting sqref="AU582">
    <cfRule type="cellIs" dxfId="2" priority="7269" operator="lessThan">
      <formula>20</formula>
    </cfRule>
    <cfRule type="cellIs" dxfId="1" priority="4654" operator="greaterThan">
      <formula>120</formula>
    </cfRule>
    <cfRule type="containsText" dxfId="0" priority="2039" operator="between" text="库存为">
      <formula>NOT(ISERROR(SEARCH("库存为",AU582)))</formula>
    </cfRule>
  </conditionalFormatting>
  <conditionalFormatting sqref="AU583">
    <cfRule type="cellIs" dxfId="2" priority="7268" operator="lessThan">
      <formula>20</formula>
    </cfRule>
    <cfRule type="cellIs" dxfId="1" priority="4653" operator="greaterThan">
      <formula>120</formula>
    </cfRule>
    <cfRule type="containsText" dxfId="0" priority="2038" operator="between" text="库存为">
      <formula>NOT(ISERROR(SEARCH("库存为",AU583)))</formula>
    </cfRule>
  </conditionalFormatting>
  <conditionalFormatting sqref="AU584">
    <cfRule type="cellIs" dxfId="2" priority="7267" operator="lessThan">
      <formula>20</formula>
    </cfRule>
    <cfRule type="cellIs" dxfId="1" priority="4652" operator="greaterThan">
      <formula>120</formula>
    </cfRule>
    <cfRule type="containsText" dxfId="0" priority="2037" operator="between" text="库存为">
      <formula>NOT(ISERROR(SEARCH("库存为",AU584)))</formula>
    </cfRule>
  </conditionalFormatting>
  <conditionalFormatting sqref="AU585">
    <cfRule type="cellIs" dxfId="2" priority="7266" operator="lessThan">
      <formula>20</formula>
    </cfRule>
    <cfRule type="cellIs" dxfId="1" priority="4651" operator="greaterThan">
      <formula>120</formula>
    </cfRule>
    <cfRule type="containsText" dxfId="0" priority="2036" operator="between" text="库存为">
      <formula>NOT(ISERROR(SEARCH("库存为",AU585)))</formula>
    </cfRule>
  </conditionalFormatting>
  <conditionalFormatting sqref="AU586">
    <cfRule type="cellIs" dxfId="2" priority="7265" operator="lessThan">
      <formula>20</formula>
    </cfRule>
    <cfRule type="cellIs" dxfId="1" priority="4650" operator="greaterThan">
      <formula>120</formula>
    </cfRule>
    <cfRule type="containsText" dxfId="0" priority="2035" operator="between" text="库存为">
      <formula>NOT(ISERROR(SEARCH("库存为",AU586)))</formula>
    </cfRule>
  </conditionalFormatting>
  <conditionalFormatting sqref="AU587">
    <cfRule type="cellIs" dxfId="2" priority="7264" operator="lessThan">
      <formula>20</formula>
    </cfRule>
    <cfRule type="cellIs" dxfId="1" priority="4649" operator="greaterThan">
      <formula>120</formula>
    </cfRule>
    <cfRule type="containsText" dxfId="0" priority="2034" operator="between" text="库存为">
      <formula>NOT(ISERROR(SEARCH("库存为",AU587)))</formula>
    </cfRule>
  </conditionalFormatting>
  <conditionalFormatting sqref="AU588">
    <cfRule type="cellIs" dxfId="2" priority="7263" operator="lessThan">
      <formula>20</formula>
    </cfRule>
    <cfRule type="cellIs" dxfId="1" priority="4648" operator="greaterThan">
      <formula>120</formula>
    </cfRule>
    <cfRule type="containsText" dxfId="0" priority="2033" operator="between" text="库存为">
      <formula>NOT(ISERROR(SEARCH("库存为",AU588)))</formula>
    </cfRule>
  </conditionalFormatting>
  <conditionalFormatting sqref="AU589">
    <cfRule type="cellIs" dxfId="2" priority="7262" operator="lessThan">
      <formula>20</formula>
    </cfRule>
    <cfRule type="cellIs" dxfId="1" priority="4647" operator="greaterThan">
      <formula>120</formula>
    </cfRule>
    <cfRule type="containsText" dxfId="0" priority="2032" operator="between" text="库存为">
      <formula>NOT(ISERROR(SEARCH("库存为",AU589)))</formula>
    </cfRule>
  </conditionalFormatting>
  <conditionalFormatting sqref="AU590">
    <cfRule type="cellIs" dxfId="2" priority="7261" operator="lessThan">
      <formula>20</formula>
    </cfRule>
    <cfRule type="cellIs" dxfId="1" priority="4646" operator="greaterThan">
      <formula>120</formula>
    </cfRule>
    <cfRule type="containsText" dxfId="0" priority="2031" operator="between" text="库存为">
      <formula>NOT(ISERROR(SEARCH("库存为",AU590)))</formula>
    </cfRule>
  </conditionalFormatting>
  <conditionalFormatting sqref="AU591">
    <cfRule type="cellIs" dxfId="2" priority="7260" operator="lessThan">
      <formula>20</formula>
    </cfRule>
    <cfRule type="cellIs" dxfId="1" priority="4645" operator="greaterThan">
      <formula>120</formula>
    </cfRule>
    <cfRule type="containsText" dxfId="0" priority="2030" operator="between" text="库存为">
      <formula>NOT(ISERROR(SEARCH("库存为",AU591)))</formula>
    </cfRule>
  </conditionalFormatting>
  <conditionalFormatting sqref="AU592">
    <cfRule type="cellIs" dxfId="2" priority="7259" operator="lessThan">
      <formula>20</formula>
    </cfRule>
    <cfRule type="cellIs" dxfId="1" priority="4644" operator="greaterThan">
      <formula>120</formula>
    </cfRule>
    <cfRule type="containsText" dxfId="0" priority="2029" operator="between" text="库存为">
      <formula>NOT(ISERROR(SEARCH("库存为",AU592)))</formula>
    </cfRule>
  </conditionalFormatting>
  <conditionalFormatting sqref="AU593">
    <cfRule type="cellIs" dxfId="2" priority="7258" operator="lessThan">
      <formula>20</formula>
    </cfRule>
    <cfRule type="cellIs" dxfId="1" priority="4643" operator="greaterThan">
      <formula>120</formula>
    </cfRule>
    <cfRule type="containsText" dxfId="0" priority="2028" operator="between" text="库存为">
      <formula>NOT(ISERROR(SEARCH("库存为",AU593)))</formula>
    </cfRule>
  </conditionalFormatting>
  <conditionalFormatting sqref="AU594">
    <cfRule type="cellIs" dxfId="2" priority="7257" operator="lessThan">
      <formula>20</formula>
    </cfRule>
    <cfRule type="cellIs" dxfId="1" priority="4642" operator="greaterThan">
      <formula>120</formula>
    </cfRule>
    <cfRule type="containsText" dxfId="0" priority="2027" operator="between" text="库存为">
      <formula>NOT(ISERROR(SEARCH("库存为",AU594)))</formula>
    </cfRule>
  </conditionalFormatting>
  <conditionalFormatting sqref="AU595">
    <cfRule type="cellIs" dxfId="2" priority="7256" operator="lessThan">
      <formula>20</formula>
    </cfRule>
    <cfRule type="cellIs" dxfId="1" priority="4641" operator="greaterThan">
      <formula>120</formula>
    </cfRule>
    <cfRule type="containsText" dxfId="0" priority="2026" operator="between" text="库存为">
      <formula>NOT(ISERROR(SEARCH("库存为",AU595)))</formula>
    </cfRule>
  </conditionalFormatting>
  <conditionalFormatting sqref="AU596">
    <cfRule type="cellIs" dxfId="2" priority="7255" operator="lessThan">
      <formula>20</formula>
    </cfRule>
    <cfRule type="cellIs" dxfId="1" priority="4640" operator="greaterThan">
      <formula>120</formula>
    </cfRule>
    <cfRule type="containsText" dxfId="0" priority="2025" operator="between" text="库存为">
      <formula>NOT(ISERROR(SEARCH("库存为",AU596)))</formula>
    </cfRule>
  </conditionalFormatting>
  <conditionalFormatting sqref="AU597">
    <cfRule type="cellIs" dxfId="2" priority="7254" operator="lessThan">
      <formula>20</formula>
    </cfRule>
    <cfRule type="cellIs" dxfId="1" priority="4639" operator="greaterThan">
      <formula>120</formula>
    </cfRule>
    <cfRule type="containsText" dxfId="0" priority="2024" operator="between" text="库存为">
      <formula>NOT(ISERROR(SEARCH("库存为",AU597)))</formula>
    </cfRule>
  </conditionalFormatting>
  <conditionalFormatting sqref="AU598">
    <cfRule type="cellIs" dxfId="2" priority="7253" operator="lessThan">
      <formula>20</formula>
    </cfRule>
    <cfRule type="cellIs" dxfId="1" priority="4638" operator="greaterThan">
      <formula>120</formula>
    </cfRule>
    <cfRule type="containsText" dxfId="0" priority="2023" operator="between" text="库存为">
      <formula>NOT(ISERROR(SEARCH("库存为",AU598)))</formula>
    </cfRule>
  </conditionalFormatting>
  <conditionalFormatting sqref="AU599">
    <cfRule type="cellIs" dxfId="2" priority="7252" operator="lessThan">
      <formula>20</formula>
    </cfRule>
    <cfRule type="cellIs" dxfId="1" priority="4637" operator="greaterThan">
      <formula>120</formula>
    </cfRule>
    <cfRule type="containsText" dxfId="0" priority="2022" operator="between" text="库存为">
      <formula>NOT(ISERROR(SEARCH("库存为",AU599)))</formula>
    </cfRule>
  </conditionalFormatting>
  <conditionalFormatting sqref="AU600">
    <cfRule type="cellIs" dxfId="2" priority="7251" operator="lessThan">
      <formula>20</formula>
    </cfRule>
    <cfRule type="cellIs" dxfId="1" priority="4636" operator="greaterThan">
      <formula>120</formula>
    </cfRule>
    <cfRule type="containsText" dxfId="0" priority="2021" operator="between" text="库存为">
      <formula>NOT(ISERROR(SEARCH("库存为",AU600)))</formula>
    </cfRule>
  </conditionalFormatting>
  <conditionalFormatting sqref="AU601">
    <cfRule type="cellIs" dxfId="2" priority="7250" operator="lessThan">
      <formula>20</formula>
    </cfRule>
    <cfRule type="cellIs" dxfId="1" priority="4635" operator="greaterThan">
      <formula>120</formula>
    </cfRule>
    <cfRule type="containsText" dxfId="0" priority="2020" operator="between" text="库存为">
      <formula>NOT(ISERROR(SEARCH("库存为",AU601)))</formula>
    </cfRule>
  </conditionalFormatting>
  <conditionalFormatting sqref="AU602">
    <cfRule type="cellIs" dxfId="2" priority="7249" operator="lessThan">
      <formula>20</formula>
    </cfRule>
    <cfRule type="cellIs" dxfId="1" priority="4634" operator="greaterThan">
      <formula>120</formula>
    </cfRule>
    <cfRule type="containsText" dxfId="0" priority="2019" operator="between" text="库存为">
      <formula>NOT(ISERROR(SEARCH("库存为",AU602)))</formula>
    </cfRule>
  </conditionalFormatting>
  <conditionalFormatting sqref="AU603">
    <cfRule type="cellIs" dxfId="2" priority="7248" operator="lessThan">
      <formula>20</formula>
    </cfRule>
    <cfRule type="cellIs" dxfId="1" priority="4633" operator="greaterThan">
      <formula>120</formula>
    </cfRule>
    <cfRule type="containsText" dxfId="0" priority="2018" operator="between" text="库存为">
      <formula>NOT(ISERROR(SEARCH("库存为",AU603)))</formula>
    </cfRule>
  </conditionalFormatting>
  <conditionalFormatting sqref="AU604">
    <cfRule type="cellIs" dxfId="2" priority="7247" operator="lessThan">
      <formula>20</formula>
    </cfRule>
    <cfRule type="cellIs" dxfId="1" priority="4632" operator="greaterThan">
      <formula>120</formula>
    </cfRule>
    <cfRule type="containsText" dxfId="0" priority="2017" operator="between" text="库存为">
      <formula>NOT(ISERROR(SEARCH("库存为",AU604)))</formula>
    </cfRule>
  </conditionalFormatting>
  <conditionalFormatting sqref="AU605">
    <cfRule type="cellIs" dxfId="2" priority="7246" operator="lessThan">
      <formula>20</formula>
    </cfRule>
    <cfRule type="cellIs" dxfId="1" priority="4631" operator="greaterThan">
      <formula>120</formula>
    </cfRule>
    <cfRule type="containsText" dxfId="0" priority="2016" operator="between" text="库存为">
      <formula>NOT(ISERROR(SEARCH("库存为",AU605)))</formula>
    </cfRule>
  </conditionalFormatting>
  <conditionalFormatting sqref="AU606">
    <cfRule type="cellIs" dxfId="2" priority="7245" operator="lessThan">
      <formula>20</formula>
    </cfRule>
    <cfRule type="cellIs" dxfId="1" priority="4630" operator="greaterThan">
      <formula>120</formula>
    </cfRule>
    <cfRule type="containsText" dxfId="0" priority="2015" operator="between" text="库存为">
      <formula>NOT(ISERROR(SEARCH("库存为",AU606)))</formula>
    </cfRule>
  </conditionalFormatting>
  <conditionalFormatting sqref="AU607">
    <cfRule type="cellIs" dxfId="2" priority="7244" operator="lessThan">
      <formula>20</formula>
    </cfRule>
    <cfRule type="cellIs" dxfId="1" priority="4629" operator="greaterThan">
      <formula>120</formula>
    </cfRule>
    <cfRule type="containsText" dxfId="0" priority="2014" operator="between" text="库存为">
      <formula>NOT(ISERROR(SEARCH("库存为",AU607)))</formula>
    </cfRule>
  </conditionalFormatting>
  <conditionalFormatting sqref="AU608">
    <cfRule type="cellIs" dxfId="2" priority="7243" operator="lessThan">
      <formula>20</formula>
    </cfRule>
    <cfRule type="cellIs" dxfId="1" priority="4628" operator="greaterThan">
      <formula>120</formula>
    </cfRule>
    <cfRule type="containsText" dxfId="0" priority="2013" operator="between" text="库存为">
      <formula>NOT(ISERROR(SEARCH("库存为",AU608)))</formula>
    </cfRule>
  </conditionalFormatting>
  <conditionalFormatting sqref="AU609">
    <cfRule type="cellIs" dxfId="2" priority="7242" operator="lessThan">
      <formula>20</formula>
    </cfRule>
    <cfRule type="cellIs" dxfId="1" priority="4627" operator="greaterThan">
      <formula>120</formula>
    </cfRule>
    <cfRule type="containsText" dxfId="0" priority="2012" operator="between" text="库存为">
      <formula>NOT(ISERROR(SEARCH("库存为",AU609)))</formula>
    </cfRule>
  </conditionalFormatting>
  <conditionalFormatting sqref="AU610">
    <cfRule type="cellIs" dxfId="2" priority="7241" operator="lessThan">
      <formula>20</formula>
    </cfRule>
    <cfRule type="cellIs" dxfId="1" priority="4626" operator="greaterThan">
      <formula>120</formula>
    </cfRule>
    <cfRule type="containsText" dxfId="0" priority="2011" operator="between" text="库存为">
      <formula>NOT(ISERROR(SEARCH("库存为",AU610)))</formula>
    </cfRule>
  </conditionalFormatting>
  <conditionalFormatting sqref="AU611">
    <cfRule type="cellIs" dxfId="2" priority="7240" operator="lessThan">
      <formula>20</formula>
    </cfRule>
    <cfRule type="cellIs" dxfId="1" priority="4625" operator="greaterThan">
      <formula>120</formula>
    </cfRule>
    <cfRule type="containsText" dxfId="0" priority="2010" operator="between" text="库存为">
      <formula>NOT(ISERROR(SEARCH("库存为",AU611)))</formula>
    </cfRule>
  </conditionalFormatting>
  <conditionalFormatting sqref="AU612">
    <cfRule type="cellIs" dxfId="2" priority="7239" operator="lessThan">
      <formula>20</formula>
    </cfRule>
    <cfRule type="cellIs" dxfId="1" priority="4624" operator="greaterThan">
      <formula>120</formula>
    </cfRule>
    <cfRule type="containsText" dxfId="0" priority="2009" operator="between" text="库存为">
      <formula>NOT(ISERROR(SEARCH("库存为",AU612)))</formula>
    </cfRule>
  </conditionalFormatting>
  <conditionalFormatting sqref="AU613">
    <cfRule type="cellIs" dxfId="2" priority="7238" operator="lessThan">
      <formula>20</formula>
    </cfRule>
    <cfRule type="cellIs" dxfId="1" priority="4623" operator="greaterThan">
      <formula>120</formula>
    </cfRule>
    <cfRule type="containsText" dxfId="0" priority="2008" operator="between" text="库存为">
      <formula>NOT(ISERROR(SEARCH("库存为",AU613)))</formula>
    </cfRule>
  </conditionalFormatting>
  <conditionalFormatting sqref="AU614">
    <cfRule type="cellIs" dxfId="2" priority="7237" operator="lessThan">
      <formula>20</formula>
    </cfRule>
    <cfRule type="cellIs" dxfId="1" priority="4622" operator="greaterThan">
      <formula>120</formula>
    </cfRule>
    <cfRule type="containsText" dxfId="0" priority="2007" operator="between" text="库存为">
      <formula>NOT(ISERROR(SEARCH("库存为",AU614)))</formula>
    </cfRule>
  </conditionalFormatting>
  <conditionalFormatting sqref="AU615">
    <cfRule type="cellIs" dxfId="2" priority="7236" operator="lessThan">
      <formula>20</formula>
    </cfRule>
    <cfRule type="cellIs" dxfId="1" priority="4621" operator="greaterThan">
      <formula>120</formula>
    </cfRule>
    <cfRule type="containsText" dxfId="0" priority="2006" operator="between" text="库存为">
      <formula>NOT(ISERROR(SEARCH("库存为",AU615)))</formula>
    </cfRule>
  </conditionalFormatting>
  <conditionalFormatting sqref="AU616">
    <cfRule type="cellIs" dxfId="2" priority="7235" operator="lessThan">
      <formula>20</formula>
    </cfRule>
    <cfRule type="cellIs" dxfId="1" priority="4620" operator="greaterThan">
      <formula>120</formula>
    </cfRule>
    <cfRule type="containsText" dxfId="0" priority="2005" operator="between" text="库存为">
      <formula>NOT(ISERROR(SEARCH("库存为",AU616)))</formula>
    </cfRule>
  </conditionalFormatting>
  <conditionalFormatting sqref="AU617">
    <cfRule type="cellIs" dxfId="2" priority="7234" operator="lessThan">
      <formula>20</formula>
    </cfRule>
    <cfRule type="cellIs" dxfId="1" priority="4619" operator="greaterThan">
      <formula>120</formula>
    </cfRule>
    <cfRule type="containsText" dxfId="0" priority="2004" operator="between" text="库存为">
      <formula>NOT(ISERROR(SEARCH("库存为",AU617)))</formula>
    </cfRule>
  </conditionalFormatting>
  <conditionalFormatting sqref="AU618">
    <cfRule type="cellIs" dxfId="2" priority="7233" operator="lessThan">
      <formula>20</formula>
    </cfRule>
    <cfRule type="cellIs" dxfId="1" priority="4618" operator="greaterThan">
      <formula>120</formula>
    </cfRule>
    <cfRule type="containsText" dxfId="0" priority="2003" operator="between" text="库存为">
      <formula>NOT(ISERROR(SEARCH("库存为",AU618)))</formula>
    </cfRule>
  </conditionalFormatting>
  <conditionalFormatting sqref="AU619">
    <cfRule type="cellIs" dxfId="2" priority="7232" operator="lessThan">
      <formula>20</formula>
    </cfRule>
    <cfRule type="cellIs" dxfId="1" priority="4617" operator="greaterThan">
      <formula>120</formula>
    </cfRule>
    <cfRule type="containsText" dxfId="0" priority="2002" operator="between" text="库存为">
      <formula>NOT(ISERROR(SEARCH("库存为",AU619)))</formula>
    </cfRule>
  </conditionalFormatting>
  <conditionalFormatting sqref="AU620">
    <cfRule type="cellIs" dxfId="2" priority="7231" operator="lessThan">
      <formula>20</formula>
    </cfRule>
    <cfRule type="cellIs" dxfId="1" priority="4616" operator="greaterThan">
      <formula>120</formula>
    </cfRule>
    <cfRule type="containsText" dxfId="0" priority="2001" operator="between" text="库存为">
      <formula>NOT(ISERROR(SEARCH("库存为",AU620)))</formula>
    </cfRule>
  </conditionalFormatting>
  <conditionalFormatting sqref="AU621">
    <cfRule type="cellIs" dxfId="2" priority="7230" operator="lessThan">
      <formula>20</formula>
    </cfRule>
    <cfRule type="cellIs" dxfId="1" priority="4615" operator="greaterThan">
      <formula>120</formula>
    </cfRule>
    <cfRule type="containsText" dxfId="0" priority="2000" operator="between" text="库存为">
      <formula>NOT(ISERROR(SEARCH("库存为",AU621)))</formula>
    </cfRule>
  </conditionalFormatting>
  <conditionalFormatting sqref="AU622">
    <cfRule type="cellIs" dxfId="2" priority="7229" operator="lessThan">
      <formula>20</formula>
    </cfRule>
    <cfRule type="cellIs" dxfId="1" priority="4614" operator="greaterThan">
      <formula>120</formula>
    </cfRule>
    <cfRule type="containsText" dxfId="0" priority="1999" operator="between" text="库存为">
      <formula>NOT(ISERROR(SEARCH("库存为",AU622)))</formula>
    </cfRule>
  </conditionalFormatting>
  <conditionalFormatting sqref="AU623">
    <cfRule type="cellIs" dxfId="2" priority="7228" operator="lessThan">
      <formula>20</formula>
    </cfRule>
    <cfRule type="cellIs" dxfId="1" priority="4613" operator="greaterThan">
      <formula>120</formula>
    </cfRule>
    <cfRule type="containsText" dxfId="0" priority="1998" operator="between" text="库存为">
      <formula>NOT(ISERROR(SEARCH("库存为",AU623)))</formula>
    </cfRule>
  </conditionalFormatting>
  <conditionalFormatting sqref="AU624">
    <cfRule type="cellIs" dxfId="2" priority="7227" operator="lessThan">
      <formula>20</formula>
    </cfRule>
    <cfRule type="cellIs" dxfId="1" priority="4612" operator="greaterThan">
      <formula>120</formula>
    </cfRule>
    <cfRule type="containsText" dxfId="0" priority="1997" operator="between" text="库存为">
      <formula>NOT(ISERROR(SEARCH("库存为",AU624)))</formula>
    </cfRule>
  </conditionalFormatting>
  <conditionalFormatting sqref="AU625">
    <cfRule type="cellIs" dxfId="2" priority="7226" operator="lessThan">
      <formula>20</formula>
    </cfRule>
    <cfRule type="cellIs" dxfId="1" priority="4611" operator="greaterThan">
      <formula>120</formula>
    </cfRule>
    <cfRule type="containsText" dxfId="0" priority="1996" operator="between" text="库存为">
      <formula>NOT(ISERROR(SEARCH("库存为",AU625)))</formula>
    </cfRule>
  </conditionalFormatting>
  <conditionalFormatting sqref="AU626">
    <cfRule type="cellIs" dxfId="2" priority="7225" operator="lessThan">
      <formula>20</formula>
    </cfRule>
    <cfRule type="cellIs" dxfId="1" priority="4610" operator="greaterThan">
      <formula>120</formula>
    </cfRule>
    <cfRule type="containsText" dxfId="0" priority="1995" operator="between" text="库存为">
      <formula>NOT(ISERROR(SEARCH("库存为",AU626)))</formula>
    </cfRule>
  </conditionalFormatting>
  <conditionalFormatting sqref="AU627">
    <cfRule type="cellIs" dxfId="2" priority="7224" operator="lessThan">
      <formula>20</formula>
    </cfRule>
    <cfRule type="cellIs" dxfId="1" priority="4609" operator="greaterThan">
      <formula>120</formula>
    </cfRule>
    <cfRule type="containsText" dxfId="0" priority="1994" operator="between" text="库存为">
      <formula>NOT(ISERROR(SEARCH("库存为",AU627)))</formula>
    </cfRule>
  </conditionalFormatting>
  <conditionalFormatting sqref="AU628">
    <cfRule type="cellIs" dxfId="2" priority="7223" operator="lessThan">
      <formula>20</formula>
    </cfRule>
    <cfRule type="cellIs" dxfId="1" priority="4608" operator="greaterThan">
      <formula>120</formula>
    </cfRule>
    <cfRule type="containsText" dxfId="0" priority="1993" operator="between" text="库存为">
      <formula>NOT(ISERROR(SEARCH("库存为",AU628)))</formula>
    </cfRule>
  </conditionalFormatting>
  <conditionalFormatting sqref="AU629">
    <cfRule type="cellIs" dxfId="2" priority="7222" operator="lessThan">
      <formula>20</formula>
    </cfRule>
    <cfRule type="cellIs" dxfId="1" priority="4607" operator="greaterThan">
      <formula>120</formula>
    </cfRule>
    <cfRule type="containsText" dxfId="0" priority="1992" operator="between" text="库存为">
      <formula>NOT(ISERROR(SEARCH("库存为",AU629)))</formula>
    </cfRule>
  </conditionalFormatting>
  <conditionalFormatting sqref="AU630">
    <cfRule type="cellIs" dxfId="2" priority="7221" operator="lessThan">
      <formula>20</formula>
    </cfRule>
    <cfRule type="cellIs" dxfId="1" priority="4606" operator="greaterThan">
      <formula>120</formula>
    </cfRule>
    <cfRule type="containsText" dxfId="0" priority="1991" operator="between" text="库存为">
      <formula>NOT(ISERROR(SEARCH("库存为",AU630)))</formula>
    </cfRule>
  </conditionalFormatting>
  <conditionalFormatting sqref="AU631">
    <cfRule type="cellIs" dxfId="2" priority="7220" operator="lessThan">
      <formula>20</formula>
    </cfRule>
    <cfRule type="cellIs" dxfId="1" priority="4605" operator="greaterThan">
      <formula>120</formula>
    </cfRule>
    <cfRule type="containsText" dxfId="0" priority="1990" operator="between" text="库存为">
      <formula>NOT(ISERROR(SEARCH("库存为",AU631)))</formula>
    </cfRule>
  </conditionalFormatting>
  <conditionalFormatting sqref="AU632">
    <cfRule type="cellIs" dxfId="2" priority="7219" operator="lessThan">
      <formula>20</formula>
    </cfRule>
    <cfRule type="cellIs" dxfId="1" priority="4604" operator="greaterThan">
      <formula>120</formula>
    </cfRule>
    <cfRule type="containsText" dxfId="0" priority="1989" operator="between" text="库存为">
      <formula>NOT(ISERROR(SEARCH("库存为",AU632)))</formula>
    </cfRule>
  </conditionalFormatting>
  <conditionalFormatting sqref="AU633">
    <cfRule type="cellIs" dxfId="2" priority="7218" operator="lessThan">
      <formula>20</formula>
    </cfRule>
    <cfRule type="cellIs" dxfId="1" priority="4603" operator="greaterThan">
      <formula>120</formula>
    </cfRule>
    <cfRule type="containsText" dxfId="0" priority="1988" operator="between" text="库存为">
      <formula>NOT(ISERROR(SEARCH("库存为",AU633)))</formula>
    </cfRule>
  </conditionalFormatting>
  <conditionalFormatting sqref="AU634">
    <cfRule type="cellIs" dxfId="2" priority="7217" operator="lessThan">
      <formula>20</formula>
    </cfRule>
    <cfRule type="cellIs" dxfId="1" priority="4602" operator="greaterThan">
      <formula>120</formula>
    </cfRule>
    <cfRule type="containsText" dxfId="0" priority="1987" operator="between" text="库存为">
      <formula>NOT(ISERROR(SEARCH("库存为",AU634)))</formula>
    </cfRule>
  </conditionalFormatting>
  <conditionalFormatting sqref="AU635">
    <cfRule type="cellIs" dxfId="2" priority="7216" operator="lessThan">
      <formula>20</formula>
    </cfRule>
    <cfRule type="cellIs" dxfId="1" priority="4601" operator="greaterThan">
      <formula>120</formula>
    </cfRule>
    <cfRule type="containsText" dxfId="0" priority="1986" operator="between" text="库存为">
      <formula>NOT(ISERROR(SEARCH("库存为",AU635)))</formula>
    </cfRule>
  </conditionalFormatting>
  <conditionalFormatting sqref="AU636">
    <cfRule type="cellIs" dxfId="2" priority="7215" operator="lessThan">
      <formula>20</formula>
    </cfRule>
    <cfRule type="cellIs" dxfId="1" priority="4600" operator="greaterThan">
      <formula>120</formula>
    </cfRule>
    <cfRule type="containsText" dxfId="0" priority="1985" operator="between" text="库存为">
      <formula>NOT(ISERROR(SEARCH("库存为",AU636)))</formula>
    </cfRule>
  </conditionalFormatting>
  <conditionalFormatting sqref="AU637">
    <cfRule type="cellIs" dxfId="2" priority="7214" operator="lessThan">
      <formula>20</formula>
    </cfRule>
    <cfRule type="cellIs" dxfId="1" priority="4599" operator="greaterThan">
      <formula>120</formula>
    </cfRule>
    <cfRule type="containsText" dxfId="0" priority="1984" operator="between" text="库存为">
      <formula>NOT(ISERROR(SEARCH("库存为",AU637)))</formula>
    </cfRule>
  </conditionalFormatting>
  <conditionalFormatting sqref="AU638">
    <cfRule type="cellIs" dxfId="2" priority="7213" operator="lessThan">
      <formula>20</formula>
    </cfRule>
    <cfRule type="cellIs" dxfId="1" priority="4598" operator="greaterThan">
      <formula>120</formula>
    </cfRule>
    <cfRule type="containsText" dxfId="0" priority="1983" operator="between" text="库存为">
      <formula>NOT(ISERROR(SEARCH("库存为",AU638)))</formula>
    </cfRule>
  </conditionalFormatting>
  <conditionalFormatting sqref="AU639">
    <cfRule type="cellIs" dxfId="2" priority="7212" operator="lessThan">
      <formula>20</formula>
    </cfRule>
    <cfRule type="cellIs" dxfId="1" priority="4597" operator="greaterThan">
      <formula>120</formula>
    </cfRule>
    <cfRule type="containsText" dxfId="0" priority="1982" operator="between" text="库存为">
      <formula>NOT(ISERROR(SEARCH("库存为",AU639)))</formula>
    </cfRule>
  </conditionalFormatting>
  <conditionalFormatting sqref="AU640">
    <cfRule type="cellIs" dxfId="2" priority="7211" operator="lessThan">
      <formula>20</formula>
    </cfRule>
    <cfRule type="cellIs" dxfId="1" priority="4596" operator="greaterThan">
      <formula>120</formula>
    </cfRule>
    <cfRule type="containsText" dxfId="0" priority="1981" operator="between" text="库存为">
      <formula>NOT(ISERROR(SEARCH("库存为",AU640)))</formula>
    </cfRule>
  </conditionalFormatting>
  <conditionalFormatting sqref="AU641">
    <cfRule type="cellIs" dxfId="2" priority="7210" operator="lessThan">
      <formula>20</formula>
    </cfRule>
    <cfRule type="cellIs" dxfId="1" priority="4595" operator="greaterThan">
      <formula>120</formula>
    </cfRule>
    <cfRule type="containsText" dxfId="0" priority="1980" operator="between" text="库存为">
      <formula>NOT(ISERROR(SEARCH("库存为",AU641)))</formula>
    </cfRule>
  </conditionalFormatting>
  <conditionalFormatting sqref="AU642">
    <cfRule type="cellIs" dxfId="2" priority="7209" operator="lessThan">
      <formula>20</formula>
    </cfRule>
    <cfRule type="cellIs" dxfId="1" priority="4594" operator="greaterThan">
      <formula>120</formula>
    </cfRule>
    <cfRule type="containsText" dxfId="0" priority="1979" operator="between" text="库存为">
      <formula>NOT(ISERROR(SEARCH("库存为",AU642)))</formula>
    </cfRule>
  </conditionalFormatting>
  <conditionalFormatting sqref="AU643">
    <cfRule type="cellIs" dxfId="2" priority="7208" operator="lessThan">
      <formula>20</formula>
    </cfRule>
    <cfRule type="cellIs" dxfId="1" priority="4593" operator="greaterThan">
      <formula>120</formula>
    </cfRule>
    <cfRule type="containsText" dxfId="0" priority="1978" operator="between" text="库存为">
      <formula>NOT(ISERROR(SEARCH("库存为",AU643)))</formula>
    </cfRule>
  </conditionalFormatting>
  <conditionalFormatting sqref="AU644">
    <cfRule type="cellIs" dxfId="2" priority="7207" operator="lessThan">
      <formula>20</formula>
    </cfRule>
    <cfRule type="cellIs" dxfId="1" priority="4592" operator="greaterThan">
      <formula>120</formula>
    </cfRule>
    <cfRule type="containsText" dxfId="0" priority="1977" operator="between" text="库存为">
      <formula>NOT(ISERROR(SEARCH("库存为",AU644)))</formula>
    </cfRule>
  </conditionalFormatting>
  <conditionalFormatting sqref="AU645">
    <cfRule type="cellIs" dxfId="2" priority="7206" operator="lessThan">
      <formula>20</formula>
    </cfRule>
    <cfRule type="cellIs" dxfId="1" priority="4591" operator="greaterThan">
      <formula>120</formula>
    </cfRule>
    <cfRule type="containsText" dxfId="0" priority="1976" operator="between" text="库存为">
      <formula>NOT(ISERROR(SEARCH("库存为",AU645)))</formula>
    </cfRule>
  </conditionalFormatting>
  <conditionalFormatting sqref="AU646">
    <cfRule type="cellIs" dxfId="2" priority="7205" operator="lessThan">
      <formula>20</formula>
    </cfRule>
    <cfRule type="cellIs" dxfId="1" priority="4590" operator="greaterThan">
      <formula>120</formula>
    </cfRule>
    <cfRule type="containsText" dxfId="0" priority="1975" operator="between" text="库存为">
      <formula>NOT(ISERROR(SEARCH("库存为",AU646)))</formula>
    </cfRule>
  </conditionalFormatting>
  <conditionalFormatting sqref="AU647">
    <cfRule type="cellIs" dxfId="2" priority="7204" operator="lessThan">
      <formula>20</formula>
    </cfRule>
    <cfRule type="cellIs" dxfId="1" priority="4589" operator="greaterThan">
      <formula>120</formula>
    </cfRule>
    <cfRule type="containsText" dxfId="0" priority="1974" operator="between" text="库存为">
      <formula>NOT(ISERROR(SEARCH("库存为",AU647)))</formula>
    </cfRule>
  </conditionalFormatting>
  <conditionalFormatting sqref="AU648">
    <cfRule type="cellIs" dxfId="2" priority="7203" operator="lessThan">
      <formula>20</formula>
    </cfRule>
    <cfRule type="cellIs" dxfId="1" priority="4588" operator="greaterThan">
      <formula>120</formula>
    </cfRule>
    <cfRule type="containsText" dxfId="0" priority="1973" operator="between" text="库存为">
      <formula>NOT(ISERROR(SEARCH("库存为",AU648)))</formula>
    </cfRule>
  </conditionalFormatting>
  <conditionalFormatting sqref="AU649">
    <cfRule type="cellIs" dxfId="2" priority="7202" operator="lessThan">
      <formula>20</formula>
    </cfRule>
    <cfRule type="cellIs" dxfId="1" priority="4587" operator="greaterThan">
      <formula>120</formula>
    </cfRule>
    <cfRule type="containsText" dxfId="0" priority="1972" operator="between" text="库存为">
      <formula>NOT(ISERROR(SEARCH("库存为",AU649)))</formula>
    </cfRule>
  </conditionalFormatting>
  <conditionalFormatting sqref="AU650">
    <cfRule type="cellIs" dxfId="2" priority="7201" operator="lessThan">
      <formula>20</formula>
    </cfRule>
    <cfRule type="cellIs" dxfId="1" priority="4586" operator="greaterThan">
      <formula>120</formula>
    </cfRule>
    <cfRule type="containsText" dxfId="0" priority="1971" operator="between" text="库存为">
      <formula>NOT(ISERROR(SEARCH("库存为",AU650)))</formula>
    </cfRule>
  </conditionalFormatting>
  <conditionalFormatting sqref="AU651">
    <cfRule type="cellIs" dxfId="2" priority="7200" operator="lessThan">
      <formula>20</formula>
    </cfRule>
    <cfRule type="cellIs" dxfId="1" priority="4585" operator="greaterThan">
      <formula>120</formula>
    </cfRule>
    <cfRule type="containsText" dxfId="0" priority="1970" operator="between" text="库存为">
      <formula>NOT(ISERROR(SEARCH("库存为",AU651)))</formula>
    </cfRule>
  </conditionalFormatting>
  <conditionalFormatting sqref="AU652">
    <cfRule type="cellIs" dxfId="2" priority="7199" operator="lessThan">
      <formula>20</formula>
    </cfRule>
    <cfRule type="cellIs" dxfId="1" priority="4584" operator="greaterThan">
      <formula>120</formula>
    </cfRule>
    <cfRule type="containsText" dxfId="0" priority="1969" operator="between" text="库存为">
      <formula>NOT(ISERROR(SEARCH("库存为",AU652)))</formula>
    </cfRule>
  </conditionalFormatting>
  <conditionalFormatting sqref="AU653">
    <cfRule type="cellIs" dxfId="2" priority="7198" operator="lessThan">
      <formula>20</formula>
    </cfRule>
    <cfRule type="cellIs" dxfId="1" priority="4583" operator="greaterThan">
      <formula>120</formula>
    </cfRule>
    <cfRule type="containsText" dxfId="0" priority="1968" operator="between" text="库存为">
      <formula>NOT(ISERROR(SEARCH("库存为",AU653)))</formula>
    </cfRule>
  </conditionalFormatting>
  <conditionalFormatting sqref="AU654">
    <cfRule type="cellIs" dxfId="2" priority="7197" operator="lessThan">
      <formula>20</formula>
    </cfRule>
    <cfRule type="cellIs" dxfId="1" priority="4582" operator="greaterThan">
      <formula>120</formula>
    </cfRule>
    <cfRule type="containsText" dxfId="0" priority="1967" operator="between" text="库存为">
      <formula>NOT(ISERROR(SEARCH("库存为",AU654)))</formula>
    </cfRule>
  </conditionalFormatting>
  <conditionalFormatting sqref="AU655">
    <cfRule type="cellIs" dxfId="2" priority="7196" operator="lessThan">
      <formula>20</formula>
    </cfRule>
    <cfRule type="cellIs" dxfId="1" priority="4581" operator="greaterThan">
      <formula>120</formula>
    </cfRule>
    <cfRule type="containsText" dxfId="0" priority="1966" operator="between" text="库存为">
      <formula>NOT(ISERROR(SEARCH("库存为",AU655)))</formula>
    </cfRule>
  </conditionalFormatting>
  <conditionalFormatting sqref="AU656">
    <cfRule type="cellIs" dxfId="2" priority="7195" operator="lessThan">
      <formula>20</formula>
    </cfRule>
    <cfRule type="cellIs" dxfId="1" priority="4580" operator="greaterThan">
      <formula>120</formula>
    </cfRule>
    <cfRule type="containsText" dxfId="0" priority="1965" operator="between" text="库存为">
      <formula>NOT(ISERROR(SEARCH("库存为",AU656)))</formula>
    </cfRule>
  </conditionalFormatting>
  <conditionalFormatting sqref="AU657">
    <cfRule type="cellIs" dxfId="2" priority="7194" operator="lessThan">
      <formula>20</formula>
    </cfRule>
    <cfRule type="cellIs" dxfId="1" priority="4579" operator="greaterThan">
      <formula>120</formula>
    </cfRule>
    <cfRule type="containsText" dxfId="0" priority="1964" operator="between" text="库存为">
      <formula>NOT(ISERROR(SEARCH("库存为",AU657)))</formula>
    </cfRule>
  </conditionalFormatting>
  <conditionalFormatting sqref="AU658">
    <cfRule type="cellIs" dxfId="2" priority="7193" operator="lessThan">
      <formula>20</formula>
    </cfRule>
    <cfRule type="cellIs" dxfId="1" priority="4578" operator="greaterThan">
      <formula>120</formula>
    </cfRule>
    <cfRule type="containsText" dxfId="0" priority="1963" operator="between" text="库存为">
      <formula>NOT(ISERROR(SEARCH("库存为",AU658)))</formula>
    </cfRule>
  </conditionalFormatting>
  <conditionalFormatting sqref="AU659">
    <cfRule type="cellIs" dxfId="2" priority="7192" operator="lessThan">
      <formula>20</formula>
    </cfRule>
    <cfRule type="cellIs" dxfId="1" priority="4577" operator="greaterThan">
      <formula>120</formula>
    </cfRule>
    <cfRule type="containsText" dxfId="0" priority="1962" operator="between" text="库存为">
      <formula>NOT(ISERROR(SEARCH("库存为",AU659)))</formula>
    </cfRule>
  </conditionalFormatting>
  <conditionalFormatting sqref="AU660">
    <cfRule type="cellIs" dxfId="2" priority="7191" operator="lessThan">
      <formula>20</formula>
    </cfRule>
    <cfRule type="cellIs" dxfId="1" priority="4576" operator="greaterThan">
      <formula>120</formula>
    </cfRule>
    <cfRule type="containsText" dxfId="0" priority="1961" operator="between" text="库存为">
      <formula>NOT(ISERROR(SEARCH("库存为",AU660)))</formula>
    </cfRule>
  </conditionalFormatting>
  <conditionalFormatting sqref="AU661">
    <cfRule type="cellIs" dxfId="2" priority="7190" operator="lessThan">
      <formula>20</formula>
    </cfRule>
    <cfRule type="cellIs" dxfId="1" priority="4575" operator="greaterThan">
      <formula>120</formula>
    </cfRule>
    <cfRule type="containsText" dxfId="0" priority="1960" operator="between" text="库存为">
      <formula>NOT(ISERROR(SEARCH("库存为",AU661)))</formula>
    </cfRule>
  </conditionalFormatting>
  <conditionalFormatting sqref="AU662">
    <cfRule type="cellIs" dxfId="2" priority="7189" operator="lessThan">
      <formula>20</formula>
    </cfRule>
    <cfRule type="cellIs" dxfId="1" priority="4574" operator="greaterThan">
      <formula>120</formula>
    </cfRule>
    <cfRule type="containsText" dxfId="0" priority="1959" operator="between" text="库存为">
      <formula>NOT(ISERROR(SEARCH("库存为",AU662)))</formula>
    </cfRule>
  </conditionalFormatting>
  <conditionalFormatting sqref="AU663">
    <cfRule type="cellIs" dxfId="2" priority="7188" operator="lessThan">
      <formula>20</formula>
    </cfRule>
    <cfRule type="cellIs" dxfId="1" priority="4573" operator="greaterThan">
      <formula>120</formula>
    </cfRule>
    <cfRule type="containsText" dxfId="0" priority="1958" operator="between" text="库存为">
      <formula>NOT(ISERROR(SEARCH("库存为",AU663)))</formula>
    </cfRule>
  </conditionalFormatting>
  <conditionalFormatting sqref="AU664">
    <cfRule type="cellIs" dxfId="2" priority="7187" operator="lessThan">
      <formula>20</formula>
    </cfRule>
    <cfRule type="cellIs" dxfId="1" priority="4572" operator="greaterThan">
      <formula>120</formula>
    </cfRule>
    <cfRule type="containsText" dxfId="0" priority="1957" operator="between" text="库存为">
      <formula>NOT(ISERROR(SEARCH("库存为",AU664)))</formula>
    </cfRule>
  </conditionalFormatting>
  <conditionalFormatting sqref="AU665">
    <cfRule type="cellIs" dxfId="2" priority="7186" operator="lessThan">
      <formula>20</formula>
    </cfRule>
    <cfRule type="cellIs" dxfId="1" priority="4571" operator="greaterThan">
      <formula>120</formula>
    </cfRule>
    <cfRule type="containsText" dxfId="0" priority="1956" operator="between" text="库存为">
      <formula>NOT(ISERROR(SEARCH("库存为",AU665)))</formula>
    </cfRule>
  </conditionalFormatting>
  <conditionalFormatting sqref="AU666">
    <cfRule type="cellIs" dxfId="2" priority="7185" operator="lessThan">
      <formula>20</formula>
    </cfRule>
    <cfRule type="cellIs" dxfId="1" priority="4570" operator="greaterThan">
      <formula>120</formula>
    </cfRule>
    <cfRule type="containsText" dxfId="0" priority="1955" operator="between" text="库存为">
      <formula>NOT(ISERROR(SEARCH("库存为",AU666)))</formula>
    </cfRule>
  </conditionalFormatting>
  <conditionalFormatting sqref="AU667">
    <cfRule type="cellIs" dxfId="2" priority="7184" operator="lessThan">
      <formula>20</formula>
    </cfRule>
    <cfRule type="cellIs" dxfId="1" priority="4569" operator="greaterThan">
      <formula>120</formula>
    </cfRule>
    <cfRule type="containsText" dxfId="0" priority="1954" operator="between" text="库存为">
      <formula>NOT(ISERROR(SEARCH("库存为",AU667)))</formula>
    </cfRule>
  </conditionalFormatting>
  <conditionalFormatting sqref="AU668">
    <cfRule type="cellIs" dxfId="2" priority="7183" operator="lessThan">
      <formula>20</formula>
    </cfRule>
    <cfRule type="cellIs" dxfId="1" priority="4568" operator="greaterThan">
      <formula>120</formula>
    </cfRule>
    <cfRule type="containsText" dxfId="0" priority="1953" operator="between" text="库存为">
      <formula>NOT(ISERROR(SEARCH("库存为",AU668)))</formula>
    </cfRule>
  </conditionalFormatting>
  <conditionalFormatting sqref="AU669">
    <cfRule type="cellIs" dxfId="2" priority="7182" operator="lessThan">
      <formula>20</formula>
    </cfRule>
    <cfRule type="cellIs" dxfId="1" priority="4567" operator="greaterThan">
      <formula>120</formula>
    </cfRule>
    <cfRule type="containsText" dxfId="0" priority="1952" operator="between" text="库存为">
      <formula>NOT(ISERROR(SEARCH("库存为",AU669)))</formula>
    </cfRule>
  </conditionalFormatting>
  <conditionalFormatting sqref="AU670">
    <cfRule type="cellIs" dxfId="2" priority="7181" operator="lessThan">
      <formula>20</formula>
    </cfRule>
    <cfRule type="cellIs" dxfId="1" priority="4566" operator="greaterThan">
      <formula>120</formula>
    </cfRule>
    <cfRule type="containsText" dxfId="0" priority="1951" operator="between" text="库存为">
      <formula>NOT(ISERROR(SEARCH("库存为",AU670)))</formula>
    </cfRule>
  </conditionalFormatting>
  <conditionalFormatting sqref="AU671">
    <cfRule type="cellIs" dxfId="2" priority="7180" operator="lessThan">
      <formula>20</formula>
    </cfRule>
    <cfRule type="cellIs" dxfId="1" priority="4565" operator="greaterThan">
      <formula>120</formula>
    </cfRule>
    <cfRule type="containsText" dxfId="0" priority="1950" operator="between" text="库存为">
      <formula>NOT(ISERROR(SEARCH("库存为",AU671)))</formula>
    </cfRule>
  </conditionalFormatting>
  <conditionalFormatting sqref="AU672">
    <cfRule type="cellIs" dxfId="2" priority="7179" operator="lessThan">
      <formula>20</formula>
    </cfRule>
    <cfRule type="cellIs" dxfId="1" priority="4564" operator="greaterThan">
      <formula>120</formula>
    </cfRule>
    <cfRule type="containsText" dxfId="0" priority="1949" operator="between" text="库存为">
      <formula>NOT(ISERROR(SEARCH("库存为",AU672)))</formula>
    </cfRule>
  </conditionalFormatting>
  <conditionalFormatting sqref="AU673">
    <cfRule type="cellIs" dxfId="2" priority="7178" operator="lessThan">
      <formula>20</formula>
    </cfRule>
    <cfRule type="cellIs" dxfId="1" priority="4563" operator="greaterThan">
      <formula>120</formula>
    </cfRule>
    <cfRule type="containsText" dxfId="0" priority="1948" operator="between" text="库存为">
      <formula>NOT(ISERROR(SEARCH("库存为",AU673)))</formula>
    </cfRule>
  </conditionalFormatting>
  <conditionalFormatting sqref="AU674">
    <cfRule type="cellIs" dxfId="2" priority="7177" operator="lessThan">
      <formula>20</formula>
    </cfRule>
    <cfRule type="cellIs" dxfId="1" priority="4562" operator="greaterThan">
      <formula>120</formula>
    </cfRule>
    <cfRule type="containsText" dxfId="0" priority="1947" operator="between" text="库存为">
      <formula>NOT(ISERROR(SEARCH("库存为",AU674)))</formula>
    </cfRule>
  </conditionalFormatting>
  <conditionalFormatting sqref="AU675">
    <cfRule type="cellIs" dxfId="2" priority="7176" operator="lessThan">
      <formula>20</formula>
    </cfRule>
    <cfRule type="cellIs" dxfId="1" priority="4561" operator="greaterThan">
      <formula>120</formula>
    </cfRule>
    <cfRule type="containsText" dxfId="0" priority="1946" operator="between" text="库存为">
      <formula>NOT(ISERROR(SEARCH("库存为",AU675)))</formula>
    </cfRule>
  </conditionalFormatting>
  <conditionalFormatting sqref="AU676">
    <cfRule type="cellIs" dxfId="2" priority="7175" operator="lessThan">
      <formula>20</formula>
    </cfRule>
    <cfRule type="cellIs" dxfId="1" priority="4560" operator="greaterThan">
      <formula>120</formula>
    </cfRule>
    <cfRule type="containsText" dxfId="0" priority="1945" operator="between" text="库存为">
      <formula>NOT(ISERROR(SEARCH("库存为",AU676)))</formula>
    </cfRule>
  </conditionalFormatting>
  <conditionalFormatting sqref="AU677">
    <cfRule type="cellIs" dxfId="2" priority="7174" operator="lessThan">
      <formula>20</formula>
    </cfRule>
    <cfRule type="cellIs" dxfId="1" priority="4559" operator="greaterThan">
      <formula>120</formula>
    </cfRule>
    <cfRule type="containsText" dxfId="0" priority="1944" operator="between" text="库存为">
      <formula>NOT(ISERROR(SEARCH("库存为",AU677)))</formula>
    </cfRule>
  </conditionalFormatting>
  <conditionalFormatting sqref="AU678">
    <cfRule type="cellIs" dxfId="2" priority="7173" operator="lessThan">
      <formula>20</formula>
    </cfRule>
    <cfRule type="cellIs" dxfId="1" priority="4558" operator="greaterThan">
      <formula>120</formula>
    </cfRule>
    <cfRule type="containsText" dxfId="0" priority="1943" operator="between" text="库存为">
      <formula>NOT(ISERROR(SEARCH("库存为",AU678)))</formula>
    </cfRule>
  </conditionalFormatting>
  <conditionalFormatting sqref="AU679">
    <cfRule type="cellIs" dxfId="2" priority="7172" operator="lessThan">
      <formula>20</formula>
    </cfRule>
    <cfRule type="cellIs" dxfId="1" priority="4557" operator="greaterThan">
      <formula>120</formula>
    </cfRule>
    <cfRule type="containsText" dxfId="0" priority="1942" operator="between" text="库存为">
      <formula>NOT(ISERROR(SEARCH("库存为",AU679)))</formula>
    </cfRule>
  </conditionalFormatting>
  <conditionalFormatting sqref="AU680">
    <cfRule type="cellIs" dxfId="2" priority="7171" operator="lessThan">
      <formula>20</formula>
    </cfRule>
    <cfRule type="cellIs" dxfId="1" priority="4556" operator="greaterThan">
      <formula>120</formula>
    </cfRule>
    <cfRule type="containsText" dxfId="0" priority="1941" operator="between" text="库存为">
      <formula>NOT(ISERROR(SEARCH("库存为",AU680)))</formula>
    </cfRule>
  </conditionalFormatting>
  <conditionalFormatting sqref="AU681">
    <cfRule type="cellIs" dxfId="2" priority="7170" operator="lessThan">
      <formula>20</formula>
    </cfRule>
    <cfRule type="cellIs" dxfId="1" priority="4555" operator="greaterThan">
      <formula>120</formula>
    </cfRule>
    <cfRule type="containsText" dxfId="0" priority="1940" operator="between" text="库存为">
      <formula>NOT(ISERROR(SEARCH("库存为",AU681)))</formula>
    </cfRule>
  </conditionalFormatting>
  <conditionalFormatting sqref="AU682">
    <cfRule type="cellIs" dxfId="2" priority="7169" operator="lessThan">
      <formula>20</formula>
    </cfRule>
    <cfRule type="cellIs" dxfId="1" priority="4554" operator="greaterThan">
      <formula>120</formula>
    </cfRule>
    <cfRule type="containsText" dxfId="0" priority="1939" operator="between" text="库存为">
      <formula>NOT(ISERROR(SEARCH("库存为",AU682)))</formula>
    </cfRule>
  </conditionalFormatting>
  <conditionalFormatting sqref="AU683">
    <cfRule type="cellIs" dxfId="2" priority="7168" operator="lessThan">
      <formula>20</formula>
    </cfRule>
    <cfRule type="cellIs" dxfId="1" priority="4553" operator="greaterThan">
      <formula>120</formula>
    </cfRule>
    <cfRule type="containsText" dxfId="0" priority="1938" operator="between" text="库存为">
      <formula>NOT(ISERROR(SEARCH("库存为",AU683)))</formula>
    </cfRule>
  </conditionalFormatting>
  <conditionalFormatting sqref="AU684">
    <cfRule type="cellIs" dxfId="2" priority="7167" operator="lessThan">
      <formula>20</formula>
    </cfRule>
    <cfRule type="cellIs" dxfId="1" priority="4552" operator="greaterThan">
      <formula>120</formula>
    </cfRule>
    <cfRule type="containsText" dxfId="0" priority="1937" operator="between" text="库存为">
      <formula>NOT(ISERROR(SEARCH("库存为",AU684)))</formula>
    </cfRule>
  </conditionalFormatting>
  <conditionalFormatting sqref="AU685">
    <cfRule type="cellIs" dxfId="2" priority="7166" operator="lessThan">
      <formula>20</formula>
    </cfRule>
    <cfRule type="cellIs" dxfId="1" priority="4551" operator="greaterThan">
      <formula>120</formula>
    </cfRule>
    <cfRule type="containsText" dxfId="0" priority="1936" operator="between" text="库存为">
      <formula>NOT(ISERROR(SEARCH("库存为",AU685)))</formula>
    </cfRule>
  </conditionalFormatting>
  <conditionalFormatting sqref="AU686">
    <cfRule type="cellIs" dxfId="2" priority="7165" operator="lessThan">
      <formula>20</formula>
    </cfRule>
    <cfRule type="cellIs" dxfId="1" priority="4550" operator="greaterThan">
      <formula>120</formula>
    </cfRule>
    <cfRule type="containsText" dxfId="0" priority="1935" operator="between" text="库存为">
      <formula>NOT(ISERROR(SEARCH("库存为",AU686)))</formula>
    </cfRule>
  </conditionalFormatting>
  <conditionalFormatting sqref="AU687">
    <cfRule type="cellIs" dxfId="2" priority="7164" operator="lessThan">
      <formula>20</formula>
    </cfRule>
    <cfRule type="cellIs" dxfId="1" priority="4549" operator="greaterThan">
      <formula>120</formula>
    </cfRule>
    <cfRule type="containsText" dxfId="0" priority="1934" operator="between" text="库存为">
      <formula>NOT(ISERROR(SEARCH("库存为",AU687)))</formula>
    </cfRule>
  </conditionalFormatting>
  <conditionalFormatting sqref="AU688">
    <cfRule type="cellIs" dxfId="2" priority="7163" operator="lessThan">
      <formula>20</formula>
    </cfRule>
    <cfRule type="cellIs" dxfId="1" priority="4548" operator="greaterThan">
      <formula>120</formula>
    </cfRule>
    <cfRule type="containsText" dxfId="0" priority="1933" operator="between" text="库存为">
      <formula>NOT(ISERROR(SEARCH("库存为",AU688)))</formula>
    </cfRule>
  </conditionalFormatting>
  <conditionalFormatting sqref="AU689">
    <cfRule type="cellIs" dxfId="2" priority="7162" operator="lessThan">
      <formula>20</formula>
    </cfRule>
    <cfRule type="cellIs" dxfId="1" priority="4547" operator="greaterThan">
      <formula>120</formula>
    </cfRule>
    <cfRule type="containsText" dxfId="0" priority="1932" operator="between" text="库存为">
      <formula>NOT(ISERROR(SEARCH("库存为",AU689)))</formula>
    </cfRule>
  </conditionalFormatting>
  <conditionalFormatting sqref="AU690">
    <cfRule type="cellIs" dxfId="2" priority="7161" operator="lessThan">
      <formula>20</formula>
    </cfRule>
    <cfRule type="cellIs" dxfId="1" priority="4546" operator="greaterThan">
      <formula>120</formula>
    </cfRule>
    <cfRule type="containsText" dxfId="0" priority="1931" operator="between" text="库存为">
      <formula>NOT(ISERROR(SEARCH("库存为",AU690)))</formula>
    </cfRule>
  </conditionalFormatting>
  <conditionalFormatting sqref="AU691">
    <cfRule type="cellIs" dxfId="2" priority="7160" operator="lessThan">
      <formula>20</formula>
    </cfRule>
    <cfRule type="cellIs" dxfId="1" priority="4545" operator="greaterThan">
      <formula>120</formula>
    </cfRule>
    <cfRule type="containsText" dxfId="0" priority="1930" operator="between" text="库存为">
      <formula>NOT(ISERROR(SEARCH("库存为",AU691)))</formula>
    </cfRule>
  </conditionalFormatting>
  <conditionalFormatting sqref="AU692">
    <cfRule type="cellIs" dxfId="2" priority="7159" operator="lessThan">
      <formula>20</formula>
    </cfRule>
    <cfRule type="cellIs" dxfId="1" priority="4544" operator="greaterThan">
      <formula>120</formula>
    </cfRule>
    <cfRule type="containsText" dxfId="0" priority="1929" operator="between" text="库存为">
      <formula>NOT(ISERROR(SEARCH("库存为",AU692)))</formula>
    </cfRule>
  </conditionalFormatting>
  <conditionalFormatting sqref="AU693">
    <cfRule type="cellIs" dxfId="2" priority="7158" operator="lessThan">
      <formula>20</formula>
    </cfRule>
    <cfRule type="cellIs" dxfId="1" priority="4543" operator="greaterThan">
      <formula>120</formula>
    </cfRule>
    <cfRule type="containsText" dxfId="0" priority="1928" operator="between" text="库存为">
      <formula>NOT(ISERROR(SEARCH("库存为",AU693)))</formula>
    </cfRule>
  </conditionalFormatting>
  <conditionalFormatting sqref="AU694">
    <cfRule type="cellIs" dxfId="2" priority="7157" operator="lessThan">
      <formula>20</formula>
    </cfRule>
    <cfRule type="cellIs" dxfId="1" priority="4542" operator="greaterThan">
      <formula>120</formula>
    </cfRule>
    <cfRule type="containsText" dxfId="0" priority="1927" operator="between" text="库存为">
      <formula>NOT(ISERROR(SEARCH("库存为",AU694)))</formula>
    </cfRule>
  </conditionalFormatting>
  <conditionalFormatting sqref="AU695">
    <cfRule type="cellIs" dxfId="2" priority="7156" operator="lessThan">
      <formula>20</formula>
    </cfRule>
    <cfRule type="cellIs" dxfId="1" priority="4541" operator="greaterThan">
      <formula>120</formula>
    </cfRule>
    <cfRule type="containsText" dxfId="0" priority="1926" operator="between" text="库存为">
      <formula>NOT(ISERROR(SEARCH("库存为",AU695)))</formula>
    </cfRule>
  </conditionalFormatting>
  <conditionalFormatting sqref="AU696">
    <cfRule type="cellIs" dxfId="2" priority="7155" operator="lessThan">
      <formula>20</formula>
    </cfRule>
    <cfRule type="cellIs" dxfId="1" priority="4540" operator="greaterThan">
      <formula>120</formula>
    </cfRule>
    <cfRule type="containsText" dxfId="0" priority="1925" operator="between" text="库存为">
      <formula>NOT(ISERROR(SEARCH("库存为",AU696)))</formula>
    </cfRule>
  </conditionalFormatting>
  <conditionalFormatting sqref="AU697">
    <cfRule type="cellIs" dxfId="2" priority="7154" operator="lessThan">
      <formula>20</formula>
    </cfRule>
    <cfRule type="cellIs" dxfId="1" priority="4539" operator="greaterThan">
      <formula>120</formula>
    </cfRule>
    <cfRule type="containsText" dxfId="0" priority="1924" operator="between" text="库存为">
      <formula>NOT(ISERROR(SEARCH("库存为",AU697)))</formula>
    </cfRule>
  </conditionalFormatting>
  <conditionalFormatting sqref="AU698">
    <cfRule type="cellIs" dxfId="2" priority="7153" operator="lessThan">
      <formula>20</formula>
    </cfRule>
    <cfRule type="cellIs" dxfId="1" priority="4538" operator="greaterThan">
      <formula>120</formula>
    </cfRule>
    <cfRule type="containsText" dxfId="0" priority="1923" operator="between" text="库存为">
      <formula>NOT(ISERROR(SEARCH("库存为",AU698)))</formula>
    </cfRule>
  </conditionalFormatting>
  <conditionalFormatting sqref="AU699">
    <cfRule type="cellIs" dxfId="2" priority="7152" operator="lessThan">
      <formula>20</formula>
    </cfRule>
    <cfRule type="cellIs" dxfId="1" priority="4537" operator="greaterThan">
      <formula>120</formula>
    </cfRule>
    <cfRule type="containsText" dxfId="0" priority="1922" operator="between" text="库存为">
      <formula>NOT(ISERROR(SEARCH("库存为",AU699)))</formula>
    </cfRule>
  </conditionalFormatting>
  <conditionalFormatting sqref="AU700">
    <cfRule type="cellIs" dxfId="2" priority="7151" operator="lessThan">
      <formula>20</formula>
    </cfRule>
    <cfRule type="cellIs" dxfId="1" priority="4536" operator="greaterThan">
      <formula>120</formula>
    </cfRule>
    <cfRule type="containsText" dxfId="0" priority="1921" operator="between" text="库存为">
      <formula>NOT(ISERROR(SEARCH("库存为",AU700)))</formula>
    </cfRule>
  </conditionalFormatting>
  <conditionalFormatting sqref="AU701">
    <cfRule type="cellIs" dxfId="2" priority="7150" operator="lessThan">
      <formula>20</formula>
    </cfRule>
    <cfRule type="cellIs" dxfId="1" priority="4535" operator="greaterThan">
      <formula>120</formula>
    </cfRule>
    <cfRule type="containsText" dxfId="0" priority="1920" operator="between" text="库存为">
      <formula>NOT(ISERROR(SEARCH("库存为",AU701)))</formula>
    </cfRule>
  </conditionalFormatting>
  <conditionalFormatting sqref="AU702">
    <cfRule type="cellIs" dxfId="2" priority="7149" operator="lessThan">
      <formula>20</formula>
    </cfRule>
    <cfRule type="cellIs" dxfId="1" priority="4534" operator="greaterThan">
      <formula>120</formula>
    </cfRule>
    <cfRule type="containsText" dxfId="0" priority="1919" operator="between" text="库存为">
      <formula>NOT(ISERROR(SEARCH("库存为",AU702)))</formula>
    </cfRule>
  </conditionalFormatting>
  <conditionalFormatting sqref="AU703">
    <cfRule type="cellIs" dxfId="2" priority="7148" operator="lessThan">
      <formula>20</formula>
    </cfRule>
    <cfRule type="cellIs" dxfId="1" priority="4533" operator="greaterThan">
      <formula>120</formula>
    </cfRule>
    <cfRule type="containsText" dxfId="0" priority="1918" operator="between" text="库存为">
      <formula>NOT(ISERROR(SEARCH("库存为",AU703)))</formula>
    </cfRule>
  </conditionalFormatting>
  <conditionalFormatting sqref="AU704">
    <cfRule type="cellIs" dxfId="2" priority="7147" operator="lessThan">
      <formula>20</formula>
    </cfRule>
    <cfRule type="cellIs" dxfId="1" priority="4532" operator="greaterThan">
      <formula>120</formula>
    </cfRule>
    <cfRule type="containsText" dxfId="0" priority="1917" operator="between" text="库存为">
      <formula>NOT(ISERROR(SEARCH("库存为",AU704)))</formula>
    </cfRule>
  </conditionalFormatting>
  <conditionalFormatting sqref="AU705">
    <cfRule type="cellIs" dxfId="2" priority="7146" operator="lessThan">
      <formula>20</formula>
    </cfRule>
    <cfRule type="cellIs" dxfId="1" priority="4531" operator="greaterThan">
      <formula>120</formula>
    </cfRule>
    <cfRule type="containsText" dxfId="0" priority="1916" operator="between" text="库存为">
      <formula>NOT(ISERROR(SEARCH("库存为",AU705)))</formula>
    </cfRule>
  </conditionalFormatting>
  <conditionalFormatting sqref="AU706">
    <cfRule type="cellIs" dxfId="2" priority="7145" operator="lessThan">
      <formula>20</formula>
    </cfRule>
    <cfRule type="cellIs" dxfId="1" priority="4530" operator="greaterThan">
      <formula>120</formula>
    </cfRule>
    <cfRule type="containsText" dxfId="0" priority="1915" operator="between" text="库存为">
      <formula>NOT(ISERROR(SEARCH("库存为",AU706)))</formula>
    </cfRule>
  </conditionalFormatting>
  <conditionalFormatting sqref="AU707">
    <cfRule type="cellIs" dxfId="2" priority="7144" operator="lessThan">
      <formula>20</formula>
    </cfRule>
    <cfRule type="cellIs" dxfId="1" priority="4529" operator="greaterThan">
      <formula>120</formula>
    </cfRule>
    <cfRule type="containsText" dxfId="0" priority="1914" operator="between" text="库存为">
      <formula>NOT(ISERROR(SEARCH("库存为",AU707)))</formula>
    </cfRule>
  </conditionalFormatting>
  <conditionalFormatting sqref="AU708">
    <cfRule type="cellIs" dxfId="2" priority="7143" operator="lessThan">
      <formula>20</formula>
    </cfRule>
    <cfRule type="cellIs" dxfId="1" priority="4528" operator="greaterThan">
      <formula>120</formula>
    </cfRule>
    <cfRule type="containsText" dxfId="0" priority="1913" operator="between" text="库存为">
      <formula>NOT(ISERROR(SEARCH("库存为",AU708)))</formula>
    </cfRule>
  </conditionalFormatting>
  <conditionalFormatting sqref="AU709">
    <cfRule type="cellIs" dxfId="2" priority="7142" operator="lessThan">
      <formula>20</formula>
    </cfRule>
    <cfRule type="cellIs" dxfId="1" priority="4527" operator="greaterThan">
      <formula>120</formula>
    </cfRule>
    <cfRule type="containsText" dxfId="0" priority="1912" operator="between" text="库存为">
      <formula>NOT(ISERROR(SEARCH("库存为",AU709)))</formula>
    </cfRule>
  </conditionalFormatting>
  <conditionalFormatting sqref="AU710">
    <cfRule type="cellIs" dxfId="2" priority="7141" operator="lessThan">
      <formula>20</formula>
    </cfRule>
    <cfRule type="cellIs" dxfId="1" priority="4526" operator="greaterThan">
      <formula>120</formula>
    </cfRule>
    <cfRule type="containsText" dxfId="0" priority="1911" operator="between" text="库存为">
      <formula>NOT(ISERROR(SEARCH("库存为",AU710)))</formula>
    </cfRule>
  </conditionalFormatting>
  <conditionalFormatting sqref="AU711">
    <cfRule type="cellIs" dxfId="2" priority="7140" operator="lessThan">
      <formula>20</formula>
    </cfRule>
    <cfRule type="cellIs" dxfId="1" priority="4525" operator="greaterThan">
      <formula>120</formula>
    </cfRule>
    <cfRule type="containsText" dxfId="0" priority="1910" operator="between" text="库存为">
      <formula>NOT(ISERROR(SEARCH("库存为",AU711)))</formula>
    </cfRule>
  </conditionalFormatting>
  <conditionalFormatting sqref="AU712">
    <cfRule type="cellIs" dxfId="2" priority="7139" operator="lessThan">
      <formula>20</formula>
    </cfRule>
    <cfRule type="cellIs" dxfId="1" priority="4524" operator="greaterThan">
      <formula>120</formula>
    </cfRule>
    <cfRule type="containsText" dxfId="0" priority="1909" operator="between" text="库存为">
      <formula>NOT(ISERROR(SEARCH("库存为",AU712)))</formula>
    </cfRule>
  </conditionalFormatting>
  <conditionalFormatting sqref="AU713">
    <cfRule type="cellIs" dxfId="2" priority="7138" operator="lessThan">
      <formula>20</formula>
    </cfRule>
    <cfRule type="cellIs" dxfId="1" priority="4523" operator="greaterThan">
      <formula>120</formula>
    </cfRule>
    <cfRule type="containsText" dxfId="0" priority="1908" operator="between" text="库存为">
      <formula>NOT(ISERROR(SEARCH("库存为",AU713)))</formula>
    </cfRule>
  </conditionalFormatting>
  <conditionalFormatting sqref="AU714">
    <cfRule type="cellIs" dxfId="2" priority="7137" operator="lessThan">
      <formula>20</formula>
    </cfRule>
    <cfRule type="cellIs" dxfId="1" priority="4522" operator="greaterThan">
      <formula>120</formula>
    </cfRule>
    <cfRule type="containsText" dxfId="0" priority="1907" operator="between" text="库存为">
      <formula>NOT(ISERROR(SEARCH("库存为",AU714)))</formula>
    </cfRule>
  </conditionalFormatting>
  <conditionalFormatting sqref="AU715">
    <cfRule type="cellIs" dxfId="2" priority="7136" operator="lessThan">
      <formula>20</formula>
    </cfRule>
    <cfRule type="cellIs" dxfId="1" priority="4521" operator="greaterThan">
      <formula>120</formula>
    </cfRule>
    <cfRule type="containsText" dxfId="0" priority="1906" operator="between" text="库存为">
      <formula>NOT(ISERROR(SEARCH("库存为",AU715)))</formula>
    </cfRule>
  </conditionalFormatting>
  <conditionalFormatting sqref="AU716">
    <cfRule type="cellIs" dxfId="2" priority="7135" operator="lessThan">
      <formula>20</formula>
    </cfRule>
    <cfRule type="cellIs" dxfId="1" priority="4520" operator="greaterThan">
      <formula>120</formula>
    </cfRule>
    <cfRule type="containsText" dxfId="0" priority="1905" operator="between" text="库存为">
      <formula>NOT(ISERROR(SEARCH("库存为",AU716)))</formula>
    </cfRule>
  </conditionalFormatting>
  <conditionalFormatting sqref="AU717">
    <cfRule type="cellIs" dxfId="2" priority="7134" operator="lessThan">
      <formula>20</formula>
    </cfRule>
    <cfRule type="cellIs" dxfId="1" priority="4519" operator="greaterThan">
      <formula>120</formula>
    </cfRule>
    <cfRule type="containsText" dxfId="0" priority="1904" operator="between" text="库存为">
      <formula>NOT(ISERROR(SEARCH("库存为",AU717)))</formula>
    </cfRule>
  </conditionalFormatting>
  <conditionalFormatting sqref="AU718">
    <cfRule type="cellIs" dxfId="2" priority="7133" operator="lessThan">
      <formula>20</formula>
    </cfRule>
    <cfRule type="cellIs" dxfId="1" priority="4518" operator="greaterThan">
      <formula>120</formula>
    </cfRule>
    <cfRule type="containsText" dxfId="0" priority="1903" operator="between" text="库存为">
      <formula>NOT(ISERROR(SEARCH("库存为",AU718)))</formula>
    </cfRule>
  </conditionalFormatting>
  <conditionalFormatting sqref="AU719">
    <cfRule type="cellIs" dxfId="2" priority="7132" operator="lessThan">
      <formula>20</formula>
    </cfRule>
    <cfRule type="cellIs" dxfId="1" priority="4517" operator="greaterThan">
      <formula>120</formula>
    </cfRule>
    <cfRule type="containsText" dxfId="0" priority="1902" operator="between" text="库存为">
      <formula>NOT(ISERROR(SEARCH("库存为",AU719)))</formula>
    </cfRule>
  </conditionalFormatting>
  <conditionalFormatting sqref="AU720">
    <cfRule type="cellIs" dxfId="2" priority="7131" operator="lessThan">
      <formula>20</formula>
    </cfRule>
    <cfRule type="cellIs" dxfId="1" priority="4516" operator="greaterThan">
      <formula>120</formula>
    </cfRule>
    <cfRule type="containsText" dxfId="0" priority="1901" operator="between" text="库存为">
      <formula>NOT(ISERROR(SEARCH("库存为",AU720)))</formula>
    </cfRule>
  </conditionalFormatting>
  <conditionalFormatting sqref="AU721">
    <cfRule type="cellIs" dxfId="2" priority="7130" operator="lessThan">
      <formula>20</formula>
    </cfRule>
    <cfRule type="cellIs" dxfId="1" priority="4515" operator="greaterThan">
      <formula>120</formula>
    </cfRule>
    <cfRule type="containsText" dxfId="0" priority="1900" operator="between" text="库存为">
      <formula>NOT(ISERROR(SEARCH("库存为",AU721)))</formula>
    </cfRule>
  </conditionalFormatting>
  <conditionalFormatting sqref="AU722">
    <cfRule type="cellIs" dxfId="2" priority="7129" operator="lessThan">
      <formula>20</formula>
    </cfRule>
    <cfRule type="cellIs" dxfId="1" priority="4514" operator="greaterThan">
      <formula>120</formula>
    </cfRule>
    <cfRule type="containsText" dxfId="0" priority="1899" operator="between" text="库存为">
      <formula>NOT(ISERROR(SEARCH("库存为",AU722)))</formula>
    </cfRule>
  </conditionalFormatting>
  <conditionalFormatting sqref="AU723">
    <cfRule type="cellIs" dxfId="2" priority="7128" operator="lessThan">
      <formula>20</formula>
    </cfRule>
    <cfRule type="cellIs" dxfId="1" priority="4513" operator="greaterThan">
      <formula>120</formula>
    </cfRule>
    <cfRule type="containsText" dxfId="0" priority="1898" operator="between" text="库存为">
      <formula>NOT(ISERROR(SEARCH("库存为",AU723)))</formula>
    </cfRule>
  </conditionalFormatting>
  <conditionalFormatting sqref="AU724">
    <cfRule type="cellIs" dxfId="2" priority="7127" operator="lessThan">
      <formula>20</formula>
    </cfRule>
    <cfRule type="cellIs" dxfId="1" priority="4512" operator="greaterThan">
      <formula>120</formula>
    </cfRule>
    <cfRule type="containsText" dxfId="0" priority="1897" operator="between" text="库存为">
      <formula>NOT(ISERROR(SEARCH("库存为",AU724)))</formula>
    </cfRule>
  </conditionalFormatting>
  <conditionalFormatting sqref="AU725">
    <cfRule type="cellIs" dxfId="2" priority="7126" operator="lessThan">
      <formula>20</formula>
    </cfRule>
    <cfRule type="cellIs" dxfId="1" priority="4511" operator="greaterThan">
      <formula>120</formula>
    </cfRule>
    <cfRule type="containsText" dxfId="0" priority="1896" operator="between" text="库存为">
      <formula>NOT(ISERROR(SEARCH("库存为",AU725)))</formula>
    </cfRule>
  </conditionalFormatting>
  <conditionalFormatting sqref="AU726">
    <cfRule type="cellIs" dxfId="2" priority="7125" operator="lessThan">
      <formula>20</formula>
    </cfRule>
    <cfRule type="cellIs" dxfId="1" priority="4510" operator="greaterThan">
      <formula>120</formula>
    </cfRule>
    <cfRule type="containsText" dxfId="0" priority="1895" operator="between" text="库存为">
      <formula>NOT(ISERROR(SEARCH("库存为",AU726)))</formula>
    </cfRule>
  </conditionalFormatting>
  <conditionalFormatting sqref="AU727">
    <cfRule type="cellIs" dxfId="2" priority="7124" operator="lessThan">
      <formula>20</formula>
    </cfRule>
    <cfRule type="cellIs" dxfId="1" priority="4509" operator="greaterThan">
      <formula>120</formula>
    </cfRule>
    <cfRule type="containsText" dxfId="0" priority="1894" operator="between" text="库存为">
      <formula>NOT(ISERROR(SEARCH("库存为",AU727)))</formula>
    </cfRule>
  </conditionalFormatting>
  <conditionalFormatting sqref="AU728">
    <cfRule type="cellIs" dxfId="2" priority="7123" operator="lessThan">
      <formula>20</formula>
    </cfRule>
    <cfRule type="cellIs" dxfId="1" priority="4508" operator="greaterThan">
      <formula>120</formula>
    </cfRule>
    <cfRule type="containsText" dxfId="0" priority="1893" operator="between" text="库存为">
      <formula>NOT(ISERROR(SEARCH("库存为",AU728)))</formula>
    </cfRule>
  </conditionalFormatting>
  <conditionalFormatting sqref="AU729">
    <cfRule type="cellIs" dxfId="2" priority="7122" operator="lessThan">
      <formula>20</formula>
    </cfRule>
    <cfRule type="cellIs" dxfId="1" priority="4507" operator="greaterThan">
      <formula>120</formula>
    </cfRule>
    <cfRule type="containsText" dxfId="0" priority="1892" operator="between" text="库存为">
      <formula>NOT(ISERROR(SEARCH("库存为",AU729)))</formula>
    </cfRule>
  </conditionalFormatting>
  <conditionalFormatting sqref="AU730">
    <cfRule type="cellIs" dxfId="2" priority="7121" operator="lessThan">
      <formula>20</formula>
    </cfRule>
    <cfRule type="cellIs" dxfId="1" priority="4506" operator="greaterThan">
      <formula>120</formula>
    </cfRule>
    <cfRule type="containsText" dxfId="0" priority="1891" operator="between" text="库存为">
      <formula>NOT(ISERROR(SEARCH("库存为",AU730)))</formula>
    </cfRule>
  </conditionalFormatting>
  <conditionalFormatting sqref="AU731">
    <cfRule type="cellIs" dxfId="2" priority="7120" operator="lessThan">
      <formula>20</formula>
    </cfRule>
    <cfRule type="cellIs" dxfId="1" priority="4505" operator="greaterThan">
      <formula>120</formula>
    </cfRule>
    <cfRule type="containsText" dxfId="0" priority="1890" operator="between" text="库存为">
      <formula>NOT(ISERROR(SEARCH("库存为",AU731)))</formula>
    </cfRule>
  </conditionalFormatting>
  <conditionalFormatting sqref="AU732">
    <cfRule type="cellIs" dxfId="2" priority="7119" operator="lessThan">
      <formula>20</formula>
    </cfRule>
    <cfRule type="cellIs" dxfId="1" priority="4504" operator="greaterThan">
      <formula>120</formula>
    </cfRule>
    <cfRule type="containsText" dxfId="0" priority="1889" operator="between" text="库存为">
      <formula>NOT(ISERROR(SEARCH("库存为",AU732)))</formula>
    </cfRule>
  </conditionalFormatting>
  <conditionalFormatting sqref="AU733">
    <cfRule type="cellIs" dxfId="2" priority="7118" operator="lessThan">
      <formula>20</formula>
    </cfRule>
    <cfRule type="cellIs" dxfId="1" priority="4503" operator="greaterThan">
      <formula>120</formula>
    </cfRule>
    <cfRule type="containsText" dxfId="0" priority="1888" operator="between" text="库存为">
      <formula>NOT(ISERROR(SEARCH("库存为",AU733)))</formula>
    </cfRule>
  </conditionalFormatting>
  <conditionalFormatting sqref="AU734">
    <cfRule type="cellIs" dxfId="2" priority="7117" operator="lessThan">
      <formula>20</formula>
    </cfRule>
    <cfRule type="cellIs" dxfId="1" priority="4502" operator="greaterThan">
      <formula>120</formula>
    </cfRule>
    <cfRule type="containsText" dxfId="0" priority="1887" operator="between" text="库存为">
      <formula>NOT(ISERROR(SEARCH("库存为",AU734)))</formula>
    </cfRule>
  </conditionalFormatting>
  <conditionalFormatting sqref="AU735">
    <cfRule type="cellIs" dxfId="2" priority="7116" operator="lessThan">
      <formula>20</formula>
    </cfRule>
    <cfRule type="cellIs" dxfId="1" priority="4501" operator="greaterThan">
      <formula>120</formula>
    </cfRule>
    <cfRule type="containsText" dxfId="0" priority="1886" operator="between" text="库存为">
      <formula>NOT(ISERROR(SEARCH("库存为",AU735)))</formula>
    </cfRule>
  </conditionalFormatting>
  <conditionalFormatting sqref="AU736">
    <cfRule type="cellIs" dxfId="2" priority="7115" operator="lessThan">
      <formula>20</formula>
    </cfRule>
    <cfRule type="cellIs" dxfId="1" priority="4500" operator="greaterThan">
      <formula>120</formula>
    </cfRule>
    <cfRule type="containsText" dxfId="0" priority="1885" operator="between" text="库存为">
      <formula>NOT(ISERROR(SEARCH("库存为",AU736)))</formula>
    </cfRule>
  </conditionalFormatting>
  <conditionalFormatting sqref="AU737">
    <cfRule type="cellIs" dxfId="2" priority="7114" operator="lessThan">
      <formula>20</formula>
    </cfRule>
    <cfRule type="cellIs" dxfId="1" priority="4499" operator="greaterThan">
      <formula>120</formula>
    </cfRule>
    <cfRule type="containsText" dxfId="0" priority="1884" operator="between" text="库存为">
      <formula>NOT(ISERROR(SEARCH("库存为",AU737)))</formula>
    </cfRule>
  </conditionalFormatting>
  <conditionalFormatting sqref="AU738">
    <cfRule type="cellIs" dxfId="2" priority="7113" operator="lessThan">
      <formula>20</formula>
    </cfRule>
    <cfRule type="cellIs" dxfId="1" priority="4498" operator="greaterThan">
      <formula>120</formula>
    </cfRule>
    <cfRule type="containsText" dxfId="0" priority="1883" operator="between" text="库存为">
      <formula>NOT(ISERROR(SEARCH("库存为",AU738)))</formula>
    </cfRule>
  </conditionalFormatting>
  <conditionalFormatting sqref="AU739">
    <cfRule type="cellIs" dxfId="2" priority="7112" operator="lessThan">
      <formula>20</formula>
    </cfRule>
    <cfRule type="cellIs" dxfId="1" priority="4497" operator="greaterThan">
      <formula>120</formula>
    </cfRule>
    <cfRule type="containsText" dxfId="0" priority="1882" operator="between" text="库存为">
      <formula>NOT(ISERROR(SEARCH("库存为",AU739)))</formula>
    </cfRule>
  </conditionalFormatting>
  <conditionalFormatting sqref="AU740">
    <cfRule type="cellIs" dxfId="2" priority="7111" operator="lessThan">
      <formula>20</formula>
    </cfRule>
    <cfRule type="cellIs" dxfId="1" priority="4496" operator="greaterThan">
      <formula>120</formula>
    </cfRule>
    <cfRule type="containsText" dxfId="0" priority="1881" operator="between" text="库存为">
      <formula>NOT(ISERROR(SEARCH("库存为",AU740)))</formula>
    </cfRule>
  </conditionalFormatting>
  <conditionalFormatting sqref="AU741">
    <cfRule type="cellIs" dxfId="2" priority="7110" operator="lessThan">
      <formula>20</formula>
    </cfRule>
    <cfRule type="cellIs" dxfId="1" priority="4495" operator="greaterThan">
      <formula>120</formula>
    </cfRule>
    <cfRule type="containsText" dxfId="0" priority="1880" operator="between" text="库存为">
      <formula>NOT(ISERROR(SEARCH("库存为",AU741)))</formula>
    </cfRule>
  </conditionalFormatting>
  <conditionalFormatting sqref="AU742">
    <cfRule type="cellIs" dxfId="2" priority="7109" operator="lessThan">
      <formula>20</formula>
    </cfRule>
    <cfRule type="cellIs" dxfId="1" priority="4494" operator="greaterThan">
      <formula>120</formula>
    </cfRule>
    <cfRule type="containsText" dxfId="0" priority="1879" operator="between" text="库存为">
      <formula>NOT(ISERROR(SEARCH("库存为",AU742)))</formula>
    </cfRule>
  </conditionalFormatting>
  <conditionalFormatting sqref="AU743">
    <cfRule type="cellIs" dxfId="2" priority="7108" operator="lessThan">
      <formula>20</formula>
    </cfRule>
    <cfRule type="cellIs" dxfId="1" priority="4493" operator="greaterThan">
      <formula>120</formula>
    </cfRule>
    <cfRule type="containsText" dxfId="0" priority="1878" operator="between" text="库存为">
      <formula>NOT(ISERROR(SEARCH("库存为",AU743)))</formula>
    </cfRule>
  </conditionalFormatting>
  <conditionalFormatting sqref="AU744">
    <cfRule type="cellIs" dxfId="2" priority="7107" operator="lessThan">
      <formula>20</formula>
    </cfRule>
    <cfRule type="cellIs" dxfId="1" priority="4492" operator="greaterThan">
      <formula>120</formula>
    </cfRule>
    <cfRule type="containsText" dxfId="0" priority="1877" operator="between" text="库存为">
      <formula>NOT(ISERROR(SEARCH("库存为",AU744)))</formula>
    </cfRule>
  </conditionalFormatting>
  <conditionalFormatting sqref="AU745">
    <cfRule type="cellIs" dxfId="2" priority="7106" operator="lessThan">
      <formula>20</formula>
    </cfRule>
    <cfRule type="cellIs" dxfId="1" priority="4491" operator="greaterThan">
      <formula>120</formula>
    </cfRule>
    <cfRule type="containsText" dxfId="0" priority="1876" operator="between" text="库存为">
      <formula>NOT(ISERROR(SEARCH("库存为",AU745)))</formula>
    </cfRule>
  </conditionalFormatting>
  <conditionalFormatting sqref="AU746">
    <cfRule type="cellIs" dxfId="2" priority="7105" operator="lessThan">
      <formula>20</formula>
    </cfRule>
    <cfRule type="cellIs" dxfId="1" priority="4490" operator="greaterThan">
      <formula>120</formula>
    </cfRule>
    <cfRule type="containsText" dxfId="0" priority="1875" operator="between" text="库存为">
      <formula>NOT(ISERROR(SEARCH("库存为",AU746)))</formula>
    </cfRule>
  </conditionalFormatting>
  <conditionalFormatting sqref="AU747">
    <cfRule type="cellIs" dxfId="2" priority="7104" operator="lessThan">
      <formula>20</formula>
    </cfRule>
    <cfRule type="cellIs" dxfId="1" priority="4489" operator="greaterThan">
      <formula>120</formula>
    </cfRule>
    <cfRule type="containsText" dxfId="0" priority="1874" operator="between" text="库存为">
      <formula>NOT(ISERROR(SEARCH("库存为",AU747)))</formula>
    </cfRule>
  </conditionalFormatting>
  <conditionalFormatting sqref="AU748">
    <cfRule type="cellIs" dxfId="2" priority="7103" operator="lessThan">
      <formula>20</formula>
    </cfRule>
    <cfRule type="cellIs" dxfId="1" priority="4488" operator="greaterThan">
      <formula>120</formula>
    </cfRule>
    <cfRule type="containsText" dxfId="0" priority="1873" operator="between" text="库存为">
      <formula>NOT(ISERROR(SEARCH("库存为",AU748)))</formula>
    </cfRule>
  </conditionalFormatting>
  <conditionalFormatting sqref="AU749">
    <cfRule type="cellIs" dxfId="2" priority="7102" operator="lessThan">
      <formula>20</formula>
    </cfRule>
    <cfRule type="cellIs" dxfId="1" priority="4487" operator="greaterThan">
      <formula>120</formula>
    </cfRule>
    <cfRule type="containsText" dxfId="0" priority="1872" operator="between" text="库存为">
      <formula>NOT(ISERROR(SEARCH("库存为",AU749)))</formula>
    </cfRule>
  </conditionalFormatting>
  <conditionalFormatting sqref="AU750">
    <cfRule type="cellIs" dxfId="2" priority="7101" operator="lessThan">
      <formula>20</formula>
    </cfRule>
    <cfRule type="cellIs" dxfId="1" priority="4486" operator="greaterThan">
      <formula>120</formula>
    </cfRule>
    <cfRule type="containsText" dxfId="0" priority="1871" operator="between" text="库存为">
      <formula>NOT(ISERROR(SEARCH("库存为",AU750)))</formula>
    </cfRule>
  </conditionalFormatting>
  <conditionalFormatting sqref="AU751">
    <cfRule type="cellIs" dxfId="2" priority="7100" operator="lessThan">
      <formula>20</formula>
    </cfRule>
    <cfRule type="cellIs" dxfId="1" priority="4485" operator="greaterThan">
      <formula>120</formula>
    </cfRule>
    <cfRule type="containsText" dxfId="0" priority="1870" operator="between" text="库存为">
      <formula>NOT(ISERROR(SEARCH("库存为",AU751)))</formula>
    </cfRule>
  </conditionalFormatting>
  <conditionalFormatting sqref="AU752">
    <cfRule type="cellIs" dxfId="2" priority="7099" operator="lessThan">
      <formula>20</formula>
    </cfRule>
    <cfRule type="cellIs" dxfId="1" priority="4484" operator="greaterThan">
      <formula>120</formula>
    </cfRule>
    <cfRule type="containsText" dxfId="0" priority="1869" operator="between" text="库存为">
      <formula>NOT(ISERROR(SEARCH("库存为",AU752)))</formula>
    </cfRule>
  </conditionalFormatting>
  <conditionalFormatting sqref="AU753">
    <cfRule type="cellIs" dxfId="2" priority="7098" operator="lessThan">
      <formula>20</formula>
    </cfRule>
    <cfRule type="cellIs" dxfId="1" priority="4483" operator="greaterThan">
      <formula>120</formula>
    </cfRule>
    <cfRule type="containsText" dxfId="0" priority="1868" operator="between" text="库存为">
      <formula>NOT(ISERROR(SEARCH("库存为",AU753)))</formula>
    </cfRule>
  </conditionalFormatting>
  <conditionalFormatting sqref="AU754">
    <cfRule type="cellIs" dxfId="2" priority="7097" operator="lessThan">
      <formula>20</formula>
    </cfRule>
    <cfRule type="cellIs" dxfId="1" priority="4482" operator="greaterThan">
      <formula>120</formula>
    </cfRule>
    <cfRule type="containsText" dxfId="0" priority="1867" operator="between" text="库存为">
      <formula>NOT(ISERROR(SEARCH("库存为",AU754)))</formula>
    </cfRule>
  </conditionalFormatting>
  <conditionalFormatting sqref="AU755">
    <cfRule type="cellIs" dxfId="2" priority="7096" operator="lessThan">
      <formula>20</formula>
    </cfRule>
    <cfRule type="cellIs" dxfId="1" priority="4481" operator="greaterThan">
      <formula>120</formula>
    </cfRule>
    <cfRule type="containsText" dxfId="0" priority="1866" operator="between" text="库存为">
      <formula>NOT(ISERROR(SEARCH("库存为",AU755)))</formula>
    </cfRule>
  </conditionalFormatting>
  <conditionalFormatting sqref="AU756">
    <cfRule type="cellIs" dxfId="2" priority="7095" operator="lessThan">
      <formula>20</formula>
    </cfRule>
    <cfRule type="cellIs" dxfId="1" priority="4480" operator="greaterThan">
      <formula>120</formula>
    </cfRule>
    <cfRule type="containsText" dxfId="0" priority="1865" operator="between" text="库存为">
      <formula>NOT(ISERROR(SEARCH("库存为",AU756)))</formula>
    </cfRule>
  </conditionalFormatting>
  <conditionalFormatting sqref="AU757">
    <cfRule type="cellIs" dxfId="2" priority="7094" operator="lessThan">
      <formula>20</formula>
    </cfRule>
    <cfRule type="cellIs" dxfId="1" priority="4479" operator="greaterThan">
      <formula>120</formula>
    </cfRule>
    <cfRule type="containsText" dxfId="0" priority="1864" operator="between" text="库存为">
      <formula>NOT(ISERROR(SEARCH("库存为",AU757)))</formula>
    </cfRule>
  </conditionalFormatting>
  <conditionalFormatting sqref="AU758">
    <cfRule type="cellIs" dxfId="2" priority="7093" operator="lessThan">
      <formula>20</formula>
    </cfRule>
    <cfRule type="cellIs" dxfId="1" priority="4478" operator="greaterThan">
      <formula>120</formula>
    </cfRule>
    <cfRule type="containsText" dxfId="0" priority="1863" operator="between" text="库存为">
      <formula>NOT(ISERROR(SEARCH("库存为",AU758)))</formula>
    </cfRule>
  </conditionalFormatting>
  <conditionalFormatting sqref="AU759">
    <cfRule type="cellIs" dxfId="2" priority="7092" operator="lessThan">
      <formula>20</formula>
    </cfRule>
    <cfRule type="cellIs" dxfId="1" priority="4477" operator="greaterThan">
      <formula>120</formula>
    </cfRule>
    <cfRule type="containsText" dxfId="0" priority="1862" operator="between" text="库存为">
      <formula>NOT(ISERROR(SEARCH("库存为",AU759)))</formula>
    </cfRule>
  </conditionalFormatting>
  <conditionalFormatting sqref="AU760">
    <cfRule type="cellIs" dxfId="2" priority="7091" operator="lessThan">
      <formula>20</formula>
    </cfRule>
    <cfRule type="cellIs" dxfId="1" priority="4476" operator="greaterThan">
      <formula>120</formula>
    </cfRule>
    <cfRule type="containsText" dxfId="0" priority="1861" operator="between" text="库存为">
      <formula>NOT(ISERROR(SEARCH("库存为",AU760)))</formula>
    </cfRule>
  </conditionalFormatting>
  <conditionalFormatting sqref="AU761">
    <cfRule type="cellIs" dxfId="2" priority="7090" operator="lessThan">
      <formula>20</formula>
    </cfRule>
    <cfRule type="cellIs" dxfId="1" priority="4475" operator="greaterThan">
      <formula>120</formula>
    </cfRule>
    <cfRule type="containsText" dxfId="0" priority="1860" operator="between" text="库存为">
      <formula>NOT(ISERROR(SEARCH("库存为",AU761)))</formula>
    </cfRule>
  </conditionalFormatting>
  <conditionalFormatting sqref="AU762">
    <cfRule type="cellIs" dxfId="2" priority="7089" operator="lessThan">
      <formula>20</formula>
    </cfRule>
    <cfRule type="cellIs" dxfId="1" priority="4474" operator="greaterThan">
      <formula>120</formula>
    </cfRule>
    <cfRule type="containsText" dxfId="0" priority="1859" operator="between" text="库存为">
      <formula>NOT(ISERROR(SEARCH("库存为",AU762)))</formula>
    </cfRule>
  </conditionalFormatting>
  <conditionalFormatting sqref="AU763">
    <cfRule type="cellIs" dxfId="2" priority="7088" operator="lessThan">
      <formula>20</formula>
    </cfRule>
    <cfRule type="cellIs" dxfId="1" priority="4473" operator="greaterThan">
      <formula>120</formula>
    </cfRule>
    <cfRule type="containsText" dxfId="0" priority="1858" operator="between" text="库存为">
      <formula>NOT(ISERROR(SEARCH("库存为",AU763)))</formula>
    </cfRule>
  </conditionalFormatting>
  <conditionalFormatting sqref="AU764">
    <cfRule type="cellIs" dxfId="2" priority="7087" operator="lessThan">
      <formula>20</formula>
    </cfRule>
    <cfRule type="cellIs" dxfId="1" priority="4472" operator="greaterThan">
      <formula>120</formula>
    </cfRule>
    <cfRule type="containsText" dxfId="0" priority="1857" operator="between" text="库存为">
      <formula>NOT(ISERROR(SEARCH("库存为",AU764)))</formula>
    </cfRule>
  </conditionalFormatting>
  <conditionalFormatting sqref="AU765">
    <cfRule type="cellIs" dxfId="2" priority="7086" operator="lessThan">
      <formula>20</formula>
    </cfRule>
    <cfRule type="cellIs" dxfId="1" priority="4471" operator="greaterThan">
      <formula>120</formula>
    </cfRule>
    <cfRule type="containsText" dxfId="0" priority="1856" operator="between" text="库存为">
      <formula>NOT(ISERROR(SEARCH("库存为",AU765)))</formula>
    </cfRule>
  </conditionalFormatting>
  <conditionalFormatting sqref="AU766">
    <cfRule type="cellIs" dxfId="2" priority="7085" operator="lessThan">
      <formula>20</formula>
    </cfRule>
    <cfRule type="cellIs" dxfId="1" priority="4470" operator="greaterThan">
      <formula>120</formula>
    </cfRule>
    <cfRule type="containsText" dxfId="0" priority="1855" operator="between" text="库存为">
      <formula>NOT(ISERROR(SEARCH("库存为",AU766)))</formula>
    </cfRule>
  </conditionalFormatting>
  <conditionalFormatting sqref="AU767">
    <cfRule type="cellIs" dxfId="2" priority="7084" operator="lessThan">
      <formula>20</formula>
    </cfRule>
    <cfRule type="cellIs" dxfId="1" priority="4469" operator="greaterThan">
      <formula>120</formula>
    </cfRule>
    <cfRule type="containsText" dxfId="0" priority="1854" operator="between" text="库存为">
      <formula>NOT(ISERROR(SEARCH("库存为",AU767)))</formula>
    </cfRule>
  </conditionalFormatting>
  <conditionalFormatting sqref="AU768">
    <cfRule type="cellIs" dxfId="2" priority="7083" operator="lessThan">
      <formula>20</formula>
    </cfRule>
    <cfRule type="cellIs" dxfId="1" priority="4468" operator="greaterThan">
      <formula>120</formula>
    </cfRule>
    <cfRule type="containsText" dxfId="0" priority="1853" operator="between" text="库存为">
      <formula>NOT(ISERROR(SEARCH("库存为",AU768)))</formula>
    </cfRule>
  </conditionalFormatting>
  <conditionalFormatting sqref="AU769">
    <cfRule type="cellIs" dxfId="2" priority="7082" operator="lessThan">
      <formula>20</formula>
    </cfRule>
    <cfRule type="cellIs" dxfId="1" priority="4467" operator="greaterThan">
      <formula>120</formula>
    </cfRule>
    <cfRule type="containsText" dxfId="0" priority="1852" operator="between" text="库存为">
      <formula>NOT(ISERROR(SEARCH("库存为",AU769)))</formula>
    </cfRule>
  </conditionalFormatting>
  <conditionalFormatting sqref="AU770">
    <cfRule type="cellIs" dxfId="2" priority="7081" operator="lessThan">
      <formula>20</formula>
    </cfRule>
    <cfRule type="cellIs" dxfId="1" priority="4466" operator="greaterThan">
      <formula>120</formula>
    </cfRule>
    <cfRule type="containsText" dxfId="0" priority="1851" operator="between" text="库存为">
      <formula>NOT(ISERROR(SEARCH("库存为",AU770)))</formula>
    </cfRule>
  </conditionalFormatting>
  <conditionalFormatting sqref="AU771">
    <cfRule type="cellIs" dxfId="2" priority="7080" operator="lessThan">
      <formula>20</formula>
    </cfRule>
    <cfRule type="cellIs" dxfId="1" priority="4465" operator="greaterThan">
      <formula>120</formula>
    </cfRule>
    <cfRule type="containsText" dxfId="0" priority="1850" operator="between" text="库存为">
      <formula>NOT(ISERROR(SEARCH("库存为",AU771)))</formula>
    </cfRule>
  </conditionalFormatting>
  <conditionalFormatting sqref="AU772">
    <cfRule type="cellIs" dxfId="2" priority="7079" operator="lessThan">
      <formula>20</formula>
    </cfRule>
    <cfRule type="cellIs" dxfId="1" priority="4464" operator="greaterThan">
      <formula>120</formula>
    </cfRule>
    <cfRule type="containsText" dxfId="0" priority="1849" operator="between" text="库存为">
      <formula>NOT(ISERROR(SEARCH("库存为",AU772)))</formula>
    </cfRule>
  </conditionalFormatting>
  <conditionalFormatting sqref="AU773">
    <cfRule type="cellIs" dxfId="2" priority="7078" operator="lessThan">
      <formula>20</formula>
    </cfRule>
    <cfRule type="cellIs" dxfId="1" priority="4463" operator="greaterThan">
      <formula>120</formula>
    </cfRule>
    <cfRule type="containsText" dxfId="0" priority="1848" operator="between" text="库存为">
      <formula>NOT(ISERROR(SEARCH("库存为",AU773)))</formula>
    </cfRule>
  </conditionalFormatting>
  <conditionalFormatting sqref="AU774">
    <cfRule type="cellIs" dxfId="2" priority="7077" operator="lessThan">
      <formula>20</formula>
    </cfRule>
    <cfRule type="cellIs" dxfId="1" priority="4462" operator="greaterThan">
      <formula>120</formula>
    </cfRule>
    <cfRule type="containsText" dxfId="0" priority="1847" operator="between" text="库存为">
      <formula>NOT(ISERROR(SEARCH("库存为",AU774)))</formula>
    </cfRule>
  </conditionalFormatting>
  <conditionalFormatting sqref="AU775">
    <cfRule type="cellIs" dxfId="2" priority="7076" operator="lessThan">
      <formula>20</formula>
    </cfRule>
    <cfRule type="cellIs" dxfId="1" priority="4461" operator="greaterThan">
      <formula>120</formula>
    </cfRule>
    <cfRule type="containsText" dxfId="0" priority="1846" operator="between" text="库存为">
      <formula>NOT(ISERROR(SEARCH("库存为",AU775)))</formula>
    </cfRule>
  </conditionalFormatting>
  <conditionalFormatting sqref="AU776">
    <cfRule type="cellIs" dxfId="2" priority="7075" operator="lessThan">
      <formula>20</formula>
    </cfRule>
    <cfRule type="cellIs" dxfId="1" priority="4460" operator="greaterThan">
      <formula>120</formula>
    </cfRule>
    <cfRule type="containsText" dxfId="0" priority="1845" operator="between" text="库存为">
      <formula>NOT(ISERROR(SEARCH("库存为",AU776)))</formula>
    </cfRule>
  </conditionalFormatting>
  <conditionalFormatting sqref="AU777">
    <cfRule type="cellIs" dxfId="2" priority="7074" operator="lessThan">
      <formula>20</formula>
    </cfRule>
    <cfRule type="cellIs" dxfId="1" priority="4459" operator="greaterThan">
      <formula>120</formula>
    </cfRule>
    <cfRule type="containsText" dxfId="0" priority="1844" operator="between" text="库存为">
      <formula>NOT(ISERROR(SEARCH("库存为",AU777)))</formula>
    </cfRule>
  </conditionalFormatting>
  <conditionalFormatting sqref="AU778">
    <cfRule type="cellIs" dxfId="2" priority="7073" operator="lessThan">
      <formula>20</formula>
    </cfRule>
    <cfRule type="cellIs" dxfId="1" priority="4458" operator="greaterThan">
      <formula>120</formula>
    </cfRule>
    <cfRule type="containsText" dxfId="0" priority="1843" operator="between" text="库存为">
      <formula>NOT(ISERROR(SEARCH("库存为",AU778)))</formula>
    </cfRule>
  </conditionalFormatting>
  <conditionalFormatting sqref="AU779">
    <cfRule type="cellIs" dxfId="2" priority="7072" operator="lessThan">
      <formula>20</formula>
    </cfRule>
    <cfRule type="cellIs" dxfId="1" priority="4457" operator="greaterThan">
      <formula>120</formula>
    </cfRule>
    <cfRule type="containsText" dxfId="0" priority="1842" operator="between" text="库存为">
      <formula>NOT(ISERROR(SEARCH("库存为",AU779)))</formula>
    </cfRule>
  </conditionalFormatting>
  <conditionalFormatting sqref="AU780">
    <cfRule type="cellIs" dxfId="2" priority="7071" operator="lessThan">
      <formula>20</formula>
    </cfRule>
    <cfRule type="cellIs" dxfId="1" priority="4456" operator="greaterThan">
      <formula>120</formula>
    </cfRule>
    <cfRule type="containsText" dxfId="0" priority="1841" operator="between" text="库存为">
      <formula>NOT(ISERROR(SEARCH("库存为",AU780)))</formula>
    </cfRule>
  </conditionalFormatting>
  <conditionalFormatting sqref="AU781">
    <cfRule type="cellIs" dxfId="2" priority="7070" operator="lessThan">
      <formula>20</formula>
    </cfRule>
    <cfRule type="cellIs" dxfId="1" priority="4455" operator="greaterThan">
      <formula>120</formula>
    </cfRule>
    <cfRule type="containsText" dxfId="0" priority="1840" operator="between" text="库存为">
      <formula>NOT(ISERROR(SEARCH("库存为",AU781)))</formula>
    </cfRule>
  </conditionalFormatting>
  <conditionalFormatting sqref="AU782">
    <cfRule type="cellIs" dxfId="2" priority="7069" operator="lessThan">
      <formula>20</formula>
    </cfRule>
    <cfRule type="cellIs" dxfId="1" priority="4454" operator="greaterThan">
      <formula>120</formula>
    </cfRule>
    <cfRule type="containsText" dxfId="0" priority="1839" operator="between" text="库存为">
      <formula>NOT(ISERROR(SEARCH("库存为",AU782)))</formula>
    </cfRule>
  </conditionalFormatting>
  <conditionalFormatting sqref="AU783">
    <cfRule type="cellIs" dxfId="2" priority="7068" operator="lessThan">
      <formula>20</formula>
    </cfRule>
    <cfRule type="cellIs" dxfId="1" priority="4453" operator="greaterThan">
      <formula>120</formula>
    </cfRule>
    <cfRule type="containsText" dxfId="0" priority="1838" operator="between" text="库存为">
      <formula>NOT(ISERROR(SEARCH("库存为",AU783)))</formula>
    </cfRule>
  </conditionalFormatting>
  <conditionalFormatting sqref="AU784">
    <cfRule type="cellIs" dxfId="2" priority="7067" operator="lessThan">
      <formula>20</formula>
    </cfRule>
    <cfRule type="cellIs" dxfId="1" priority="4452" operator="greaterThan">
      <formula>120</formula>
    </cfRule>
    <cfRule type="containsText" dxfId="0" priority="1837" operator="between" text="库存为">
      <formula>NOT(ISERROR(SEARCH("库存为",AU784)))</formula>
    </cfRule>
  </conditionalFormatting>
  <conditionalFormatting sqref="AU785">
    <cfRule type="cellIs" dxfId="2" priority="7066" operator="lessThan">
      <formula>20</formula>
    </cfRule>
    <cfRule type="cellIs" dxfId="1" priority="4451" operator="greaterThan">
      <formula>120</formula>
    </cfRule>
    <cfRule type="containsText" dxfId="0" priority="1836" operator="between" text="库存为">
      <formula>NOT(ISERROR(SEARCH("库存为",AU785)))</formula>
    </cfRule>
  </conditionalFormatting>
  <conditionalFormatting sqref="AU786">
    <cfRule type="cellIs" dxfId="2" priority="7065" operator="lessThan">
      <formula>20</formula>
    </cfRule>
    <cfRule type="cellIs" dxfId="1" priority="4450" operator="greaterThan">
      <formula>120</formula>
    </cfRule>
    <cfRule type="containsText" dxfId="0" priority="1835" operator="between" text="库存为">
      <formula>NOT(ISERROR(SEARCH("库存为",AU786)))</formula>
    </cfRule>
  </conditionalFormatting>
  <conditionalFormatting sqref="AU787">
    <cfRule type="cellIs" dxfId="2" priority="7064" operator="lessThan">
      <formula>20</formula>
    </cfRule>
    <cfRule type="cellIs" dxfId="1" priority="4449" operator="greaterThan">
      <formula>120</formula>
    </cfRule>
    <cfRule type="containsText" dxfId="0" priority="1834" operator="between" text="库存为">
      <formula>NOT(ISERROR(SEARCH("库存为",AU787)))</formula>
    </cfRule>
  </conditionalFormatting>
  <conditionalFormatting sqref="AU788">
    <cfRule type="cellIs" dxfId="2" priority="7063" operator="lessThan">
      <formula>20</formula>
    </cfRule>
    <cfRule type="cellIs" dxfId="1" priority="4448" operator="greaterThan">
      <formula>120</formula>
    </cfRule>
    <cfRule type="containsText" dxfId="0" priority="1833" operator="between" text="库存为">
      <formula>NOT(ISERROR(SEARCH("库存为",AU788)))</formula>
    </cfRule>
  </conditionalFormatting>
  <conditionalFormatting sqref="AU789">
    <cfRule type="cellIs" dxfId="2" priority="7062" operator="lessThan">
      <formula>20</formula>
    </cfRule>
    <cfRule type="cellIs" dxfId="1" priority="4447" operator="greaterThan">
      <formula>120</formula>
    </cfRule>
    <cfRule type="containsText" dxfId="0" priority="1832" operator="between" text="库存为">
      <formula>NOT(ISERROR(SEARCH("库存为",AU789)))</formula>
    </cfRule>
  </conditionalFormatting>
  <conditionalFormatting sqref="AU790">
    <cfRule type="cellIs" dxfId="2" priority="7061" operator="lessThan">
      <formula>20</formula>
    </cfRule>
    <cfRule type="cellIs" dxfId="1" priority="4446" operator="greaterThan">
      <formula>120</formula>
    </cfRule>
    <cfRule type="containsText" dxfId="0" priority="1831" operator="between" text="库存为">
      <formula>NOT(ISERROR(SEARCH("库存为",AU790)))</formula>
    </cfRule>
  </conditionalFormatting>
  <conditionalFormatting sqref="AU791">
    <cfRule type="cellIs" dxfId="2" priority="7060" operator="lessThan">
      <formula>20</formula>
    </cfRule>
    <cfRule type="cellIs" dxfId="1" priority="4445" operator="greaterThan">
      <formula>120</formula>
    </cfRule>
    <cfRule type="containsText" dxfId="0" priority="1830" operator="between" text="库存为">
      <formula>NOT(ISERROR(SEARCH("库存为",AU791)))</formula>
    </cfRule>
  </conditionalFormatting>
  <conditionalFormatting sqref="AU792">
    <cfRule type="cellIs" dxfId="2" priority="7059" operator="lessThan">
      <formula>20</formula>
    </cfRule>
    <cfRule type="cellIs" dxfId="1" priority="4444" operator="greaterThan">
      <formula>120</formula>
    </cfRule>
    <cfRule type="containsText" dxfId="0" priority="1829" operator="between" text="库存为">
      <formula>NOT(ISERROR(SEARCH("库存为",AU792)))</formula>
    </cfRule>
  </conditionalFormatting>
  <conditionalFormatting sqref="AU793">
    <cfRule type="cellIs" dxfId="2" priority="7058" operator="lessThan">
      <formula>20</formula>
    </cfRule>
    <cfRule type="cellIs" dxfId="1" priority="4443" operator="greaterThan">
      <formula>120</formula>
    </cfRule>
    <cfRule type="containsText" dxfId="0" priority="1828" operator="between" text="库存为">
      <formula>NOT(ISERROR(SEARCH("库存为",AU793)))</formula>
    </cfRule>
  </conditionalFormatting>
  <conditionalFormatting sqref="AU794">
    <cfRule type="cellIs" dxfId="2" priority="7057" operator="lessThan">
      <formula>20</formula>
    </cfRule>
    <cfRule type="cellIs" dxfId="1" priority="4442" operator="greaterThan">
      <formula>120</formula>
    </cfRule>
    <cfRule type="containsText" dxfId="0" priority="1827" operator="between" text="库存为">
      <formula>NOT(ISERROR(SEARCH("库存为",AU794)))</formula>
    </cfRule>
  </conditionalFormatting>
  <conditionalFormatting sqref="AU795">
    <cfRule type="cellIs" dxfId="2" priority="7056" operator="lessThan">
      <formula>20</formula>
    </cfRule>
    <cfRule type="cellIs" dxfId="1" priority="4441" operator="greaterThan">
      <formula>120</formula>
    </cfRule>
    <cfRule type="containsText" dxfId="0" priority="1826" operator="between" text="库存为">
      <formula>NOT(ISERROR(SEARCH("库存为",AU795)))</formula>
    </cfRule>
  </conditionalFormatting>
  <conditionalFormatting sqref="AU796">
    <cfRule type="cellIs" dxfId="2" priority="7055" operator="lessThan">
      <formula>20</formula>
    </cfRule>
    <cfRule type="cellIs" dxfId="1" priority="4440" operator="greaterThan">
      <formula>120</formula>
    </cfRule>
    <cfRule type="containsText" dxfId="0" priority="1825" operator="between" text="库存为">
      <formula>NOT(ISERROR(SEARCH("库存为",AU796)))</formula>
    </cfRule>
  </conditionalFormatting>
  <conditionalFormatting sqref="AU797">
    <cfRule type="cellIs" dxfId="2" priority="7054" operator="lessThan">
      <formula>20</formula>
    </cfRule>
    <cfRule type="cellIs" dxfId="1" priority="4439" operator="greaterThan">
      <formula>120</formula>
    </cfRule>
    <cfRule type="containsText" dxfId="0" priority="1824" operator="between" text="库存为">
      <formula>NOT(ISERROR(SEARCH("库存为",AU797)))</formula>
    </cfRule>
  </conditionalFormatting>
  <conditionalFormatting sqref="AU798">
    <cfRule type="cellIs" dxfId="2" priority="7053" operator="lessThan">
      <formula>20</formula>
    </cfRule>
    <cfRule type="cellIs" dxfId="1" priority="4438" operator="greaterThan">
      <formula>120</formula>
    </cfRule>
    <cfRule type="containsText" dxfId="0" priority="1823" operator="between" text="库存为">
      <formula>NOT(ISERROR(SEARCH("库存为",AU798)))</formula>
    </cfRule>
  </conditionalFormatting>
  <conditionalFormatting sqref="AU799">
    <cfRule type="cellIs" dxfId="2" priority="7052" operator="lessThan">
      <formula>20</formula>
    </cfRule>
    <cfRule type="cellIs" dxfId="1" priority="4437" operator="greaterThan">
      <formula>120</formula>
    </cfRule>
    <cfRule type="containsText" dxfId="0" priority="1822" operator="between" text="库存为">
      <formula>NOT(ISERROR(SEARCH("库存为",AU799)))</formula>
    </cfRule>
  </conditionalFormatting>
  <conditionalFormatting sqref="AU800">
    <cfRule type="cellIs" dxfId="2" priority="7051" operator="lessThan">
      <formula>20</formula>
    </cfRule>
    <cfRule type="cellIs" dxfId="1" priority="4436" operator="greaterThan">
      <formula>120</formula>
    </cfRule>
    <cfRule type="containsText" dxfId="0" priority="1821" operator="between" text="库存为">
      <formula>NOT(ISERROR(SEARCH("库存为",AU800)))</formula>
    </cfRule>
  </conditionalFormatting>
  <conditionalFormatting sqref="AU801">
    <cfRule type="cellIs" dxfId="2" priority="7050" operator="lessThan">
      <formula>20</formula>
    </cfRule>
    <cfRule type="cellIs" dxfId="1" priority="4435" operator="greaterThan">
      <formula>120</formula>
    </cfRule>
    <cfRule type="containsText" dxfId="0" priority="1820" operator="between" text="库存为">
      <formula>NOT(ISERROR(SEARCH("库存为",AU801)))</formula>
    </cfRule>
  </conditionalFormatting>
  <conditionalFormatting sqref="AU802">
    <cfRule type="cellIs" dxfId="2" priority="7049" operator="lessThan">
      <formula>20</formula>
    </cfRule>
    <cfRule type="cellIs" dxfId="1" priority="4434" operator="greaterThan">
      <formula>120</formula>
    </cfRule>
    <cfRule type="containsText" dxfId="0" priority="1819" operator="between" text="库存为">
      <formula>NOT(ISERROR(SEARCH("库存为",AU802)))</formula>
    </cfRule>
  </conditionalFormatting>
  <conditionalFormatting sqref="AU803">
    <cfRule type="cellIs" dxfId="2" priority="7048" operator="lessThan">
      <formula>20</formula>
    </cfRule>
    <cfRule type="cellIs" dxfId="1" priority="4433" operator="greaterThan">
      <formula>120</formula>
    </cfRule>
    <cfRule type="containsText" dxfId="0" priority="1818" operator="between" text="库存为">
      <formula>NOT(ISERROR(SEARCH("库存为",AU803)))</formula>
    </cfRule>
  </conditionalFormatting>
  <conditionalFormatting sqref="AU804">
    <cfRule type="cellIs" dxfId="2" priority="7047" operator="lessThan">
      <formula>20</formula>
    </cfRule>
    <cfRule type="cellIs" dxfId="1" priority="4432" operator="greaterThan">
      <formula>120</formula>
    </cfRule>
    <cfRule type="containsText" dxfId="0" priority="1817" operator="between" text="库存为">
      <formula>NOT(ISERROR(SEARCH("库存为",AU804)))</formula>
    </cfRule>
  </conditionalFormatting>
  <conditionalFormatting sqref="AU805">
    <cfRule type="cellIs" dxfId="2" priority="7046" operator="lessThan">
      <formula>20</formula>
    </cfRule>
    <cfRule type="cellIs" dxfId="1" priority="4431" operator="greaterThan">
      <formula>120</formula>
    </cfRule>
    <cfRule type="containsText" dxfId="0" priority="1816" operator="between" text="库存为">
      <formula>NOT(ISERROR(SEARCH("库存为",AU805)))</formula>
    </cfRule>
  </conditionalFormatting>
  <conditionalFormatting sqref="AU806">
    <cfRule type="cellIs" dxfId="2" priority="7045" operator="lessThan">
      <formula>20</formula>
    </cfRule>
    <cfRule type="cellIs" dxfId="1" priority="4430" operator="greaterThan">
      <formula>120</formula>
    </cfRule>
    <cfRule type="containsText" dxfId="0" priority="1815" operator="between" text="库存为">
      <formula>NOT(ISERROR(SEARCH("库存为",AU806)))</formula>
    </cfRule>
  </conditionalFormatting>
  <conditionalFormatting sqref="AU807">
    <cfRule type="cellIs" dxfId="2" priority="7044" operator="lessThan">
      <formula>20</formula>
    </cfRule>
    <cfRule type="cellIs" dxfId="1" priority="4429" operator="greaterThan">
      <formula>120</formula>
    </cfRule>
    <cfRule type="containsText" dxfId="0" priority="1814" operator="between" text="库存为">
      <formula>NOT(ISERROR(SEARCH("库存为",AU807)))</formula>
    </cfRule>
  </conditionalFormatting>
  <conditionalFormatting sqref="AU808">
    <cfRule type="cellIs" dxfId="2" priority="7043" operator="lessThan">
      <formula>20</formula>
    </cfRule>
    <cfRule type="cellIs" dxfId="1" priority="4428" operator="greaterThan">
      <formula>120</formula>
    </cfRule>
    <cfRule type="containsText" dxfId="0" priority="1813" operator="between" text="库存为">
      <formula>NOT(ISERROR(SEARCH("库存为",AU808)))</formula>
    </cfRule>
  </conditionalFormatting>
  <conditionalFormatting sqref="AU809">
    <cfRule type="cellIs" dxfId="2" priority="7042" operator="lessThan">
      <formula>20</formula>
    </cfRule>
    <cfRule type="cellIs" dxfId="1" priority="4427" operator="greaterThan">
      <formula>120</formula>
    </cfRule>
    <cfRule type="containsText" dxfId="0" priority="1812" operator="between" text="库存为">
      <formula>NOT(ISERROR(SEARCH("库存为",AU809)))</formula>
    </cfRule>
  </conditionalFormatting>
  <conditionalFormatting sqref="AU810">
    <cfRule type="cellIs" dxfId="2" priority="7041" operator="lessThan">
      <formula>20</formula>
    </cfRule>
    <cfRule type="cellIs" dxfId="1" priority="4426" operator="greaterThan">
      <formula>120</formula>
    </cfRule>
    <cfRule type="containsText" dxfId="0" priority="1811" operator="between" text="库存为">
      <formula>NOT(ISERROR(SEARCH("库存为",AU810)))</formula>
    </cfRule>
  </conditionalFormatting>
  <conditionalFormatting sqref="AU811">
    <cfRule type="cellIs" dxfId="2" priority="7040" operator="lessThan">
      <formula>20</formula>
    </cfRule>
    <cfRule type="cellIs" dxfId="1" priority="4425" operator="greaterThan">
      <formula>120</formula>
    </cfRule>
    <cfRule type="containsText" dxfId="0" priority="1810" operator="between" text="库存为">
      <formula>NOT(ISERROR(SEARCH("库存为",AU811)))</formula>
    </cfRule>
  </conditionalFormatting>
  <conditionalFormatting sqref="AU812">
    <cfRule type="cellIs" dxfId="2" priority="7039" operator="lessThan">
      <formula>20</formula>
    </cfRule>
    <cfRule type="cellIs" dxfId="1" priority="4424" operator="greaterThan">
      <formula>120</formula>
    </cfRule>
    <cfRule type="containsText" dxfId="0" priority="1809" operator="between" text="库存为">
      <formula>NOT(ISERROR(SEARCH("库存为",AU812)))</formula>
    </cfRule>
  </conditionalFormatting>
  <conditionalFormatting sqref="AU813">
    <cfRule type="cellIs" dxfId="2" priority="7038" operator="lessThan">
      <formula>20</formula>
    </cfRule>
    <cfRule type="cellIs" dxfId="1" priority="4423" operator="greaterThan">
      <formula>120</formula>
    </cfRule>
    <cfRule type="containsText" dxfId="0" priority="1808" operator="between" text="库存为">
      <formula>NOT(ISERROR(SEARCH("库存为",AU813)))</formula>
    </cfRule>
  </conditionalFormatting>
  <conditionalFormatting sqref="AU814">
    <cfRule type="cellIs" dxfId="2" priority="7037" operator="lessThan">
      <formula>20</formula>
    </cfRule>
    <cfRule type="cellIs" dxfId="1" priority="4422" operator="greaterThan">
      <formula>120</formula>
    </cfRule>
    <cfRule type="containsText" dxfId="0" priority="1807" operator="between" text="库存为">
      <formula>NOT(ISERROR(SEARCH("库存为",AU814)))</formula>
    </cfRule>
  </conditionalFormatting>
  <conditionalFormatting sqref="AU815">
    <cfRule type="cellIs" dxfId="2" priority="7036" operator="lessThan">
      <formula>20</formula>
    </cfRule>
    <cfRule type="cellIs" dxfId="1" priority="4421" operator="greaterThan">
      <formula>120</formula>
    </cfRule>
    <cfRule type="containsText" dxfId="0" priority="1806" operator="between" text="库存为">
      <formula>NOT(ISERROR(SEARCH("库存为",AU815)))</formula>
    </cfRule>
  </conditionalFormatting>
  <conditionalFormatting sqref="AU816">
    <cfRule type="cellIs" dxfId="2" priority="7035" operator="lessThan">
      <formula>20</formula>
    </cfRule>
    <cfRule type="cellIs" dxfId="1" priority="4420" operator="greaterThan">
      <formula>120</formula>
    </cfRule>
    <cfRule type="containsText" dxfId="0" priority="1805" operator="between" text="库存为">
      <formula>NOT(ISERROR(SEARCH("库存为",AU816)))</formula>
    </cfRule>
  </conditionalFormatting>
  <conditionalFormatting sqref="AU817">
    <cfRule type="cellIs" dxfId="2" priority="7034" operator="lessThan">
      <formula>20</formula>
    </cfRule>
    <cfRule type="cellIs" dxfId="1" priority="4419" operator="greaterThan">
      <formula>120</formula>
    </cfRule>
    <cfRule type="containsText" dxfId="0" priority="1804" operator="between" text="库存为">
      <formula>NOT(ISERROR(SEARCH("库存为",AU817)))</formula>
    </cfRule>
  </conditionalFormatting>
  <conditionalFormatting sqref="AU818">
    <cfRule type="cellIs" dxfId="2" priority="7033" operator="lessThan">
      <formula>20</formula>
    </cfRule>
    <cfRule type="cellIs" dxfId="1" priority="4418" operator="greaterThan">
      <formula>120</formula>
    </cfRule>
    <cfRule type="containsText" dxfId="0" priority="1803" operator="between" text="库存为">
      <formula>NOT(ISERROR(SEARCH("库存为",AU818)))</formula>
    </cfRule>
  </conditionalFormatting>
  <conditionalFormatting sqref="AU819">
    <cfRule type="cellIs" dxfId="2" priority="7032" operator="lessThan">
      <formula>20</formula>
    </cfRule>
    <cfRule type="cellIs" dxfId="1" priority="4417" operator="greaterThan">
      <formula>120</formula>
    </cfRule>
    <cfRule type="containsText" dxfId="0" priority="1802" operator="between" text="库存为">
      <formula>NOT(ISERROR(SEARCH("库存为",AU819)))</formula>
    </cfRule>
  </conditionalFormatting>
  <conditionalFormatting sqref="AU820">
    <cfRule type="cellIs" dxfId="2" priority="7031" operator="lessThan">
      <formula>20</formula>
    </cfRule>
    <cfRule type="cellIs" dxfId="1" priority="4416" operator="greaterThan">
      <formula>120</formula>
    </cfRule>
    <cfRule type="containsText" dxfId="0" priority="1801" operator="between" text="库存为">
      <formula>NOT(ISERROR(SEARCH("库存为",AU820)))</formula>
    </cfRule>
  </conditionalFormatting>
  <conditionalFormatting sqref="AU821">
    <cfRule type="cellIs" dxfId="2" priority="7030" operator="lessThan">
      <formula>20</formula>
    </cfRule>
    <cfRule type="cellIs" dxfId="1" priority="4415" operator="greaterThan">
      <formula>120</formula>
    </cfRule>
    <cfRule type="containsText" dxfId="0" priority="1800" operator="between" text="库存为">
      <formula>NOT(ISERROR(SEARCH("库存为",AU821)))</formula>
    </cfRule>
  </conditionalFormatting>
  <conditionalFormatting sqref="AU822">
    <cfRule type="cellIs" dxfId="2" priority="7029" operator="lessThan">
      <formula>20</formula>
    </cfRule>
    <cfRule type="cellIs" dxfId="1" priority="4414" operator="greaterThan">
      <formula>120</formula>
    </cfRule>
    <cfRule type="containsText" dxfId="0" priority="1799" operator="between" text="库存为">
      <formula>NOT(ISERROR(SEARCH("库存为",AU822)))</formula>
    </cfRule>
  </conditionalFormatting>
  <conditionalFormatting sqref="AU823">
    <cfRule type="cellIs" dxfId="2" priority="7028" operator="lessThan">
      <formula>20</formula>
    </cfRule>
    <cfRule type="cellIs" dxfId="1" priority="4413" operator="greaterThan">
      <formula>120</formula>
    </cfRule>
    <cfRule type="containsText" dxfId="0" priority="1798" operator="between" text="库存为">
      <formula>NOT(ISERROR(SEARCH("库存为",AU823)))</formula>
    </cfRule>
  </conditionalFormatting>
  <conditionalFormatting sqref="AU824">
    <cfRule type="cellIs" dxfId="2" priority="7027" operator="lessThan">
      <formula>20</formula>
    </cfRule>
    <cfRule type="cellIs" dxfId="1" priority="4412" operator="greaterThan">
      <formula>120</formula>
    </cfRule>
    <cfRule type="containsText" dxfId="0" priority="1797" operator="between" text="库存为">
      <formula>NOT(ISERROR(SEARCH("库存为",AU824)))</formula>
    </cfRule>
  </conditionalFormatting>
  <conditionalFormatting sqref="AU825">
    <cfRule type="cellIs" dxfId="2" priority="7026" operator="lessThan">
      <formula>20</formula>
    </cfRule>
    <cfRule type="cellIs" dxfId="1" priority="4411" operator="greaterThan">
      <formula>120</formula>
    </cfRule>
    <cfRule type="containsText" dxfId="0" priority="1796" operator="between" text="库存为">
      <formula>NOT(ISERROR(SEARCH("库存为",AU825)))</formula>
    </cfRule>
  </conditionalFormatting>
  <conditionalFormatting sqref="AU826">
    <cfRule type="cellIs" dxfId="2" priority="7025" operator="lessThan">
      <formula>20</formula>
    </cfRule>
    <cfRule type="cellIs" dxfId="1" priority="4410" operator="greaterThan">
      <formula>120</formula>
    </cfRule>
    <cfRule type="containsText" dxfId="0" priority="1795" operator="between" text="库存为">
      <formula>NOT(ISERROR(SEARCH("库存为",AU826)))</formula>
    </cfRule>
  </conditionalFormatting>
  <conditionalFormatting sqref="AU827">
    <cfRule type="cellIs" dxfId="2" priority="7024" operator="lessThan">
      <formula>20</formula>
    </cfRule>
    <cfRule type="cellIs" dxfId="1" priority="4409" operator="greaterThan">
      <formula>120</formula>
    </cfRule>
    <cfRule type="containsText" dxfId="0" priority="1794" operator="between" text="库存为">
      <formula>NOT(ISERROR(SEARCH("库存为",AU827)))</formula>
    </cfRule>
  </conditionalFormatting>
  <conditionalFormatting sqref="AU828">
    <cfRule type="cellIs" dxfId="2" priority="7023" operator="lessThan">
      <formula>20</formula>
    </cfRule>
    <cfRule type="cellIs" dxfId="1" priority="4408" operator="greaterThan">
      <formula>120</formula>
    </cfRule>
    <cfRule type="containsText" dxfId="0" priority="1793" operator="between" text="库存为">
      <formula>NOT(ISERROR(SEARCH("库存为",AU828)))</formula>
    </cfRule>
  </conditionalFormatting>
  <conditionalFormatting sqref="AU829">
    <cfRule type="cellIs" dxfId="2" priority="7022" operator="lessThan">
      <formula>20</formula>
    </cfRule>
    <cfRule type="cellIs" dxfId="1" priority="4407" operator="greaterThan">
      <formula>120</formula>
    </cfRule>
    <cfRule type="containsText" dxfId="0" priority="1792" operator="between" text="库存为">
      <formula>NOT(ISERROR(SEARCH("库存为",AU829)))</formula>
    </cfRule>
  </conditionalFormatting>
  <conditionalFormatting sqref="AU830">
    <cfRule type="cellIs" dxfId="2" priority="7021" operator="lessThan">
      <formula>20</formula>
    </cfRule>
    <cfRule type="cellIs" dxfId="1" priority="4406" operator="greaterThan">
      <formula>120</formula>
    </cfRule>
    <cfRule type="containsText" dxfId="0" priority="1791" operator="between" text="库存为">
      <formula>NOT(ISERROR(SEARCH("库存为",AU830)))</formula>
    </cfRule>
  </conditionalFormatting>
  <conditionalFormatting sqref="AU831">
    <cfRule type="cellIs" dxfId="2" priority="7020" operator="lessThan">
      <formula>20</formula>
    </cfRule>
    <cfRule type="cellIs" dxfId="1" priority="4405" operator="greaterThan">
      <formula>120</formula>
    </cfRule>
    <cfRule type="containsText" dxfId="0" priority="1790" operator="between" text="库存为">
      <formula>NOT(ISERROR(SEARCH("库存为",AU831)))</formula>
    </cfRule>
  </conditionalFormatting>
  <conditionalFormatting sqref="AU832">
    <cfRule type="cellIs" dxfId="2" priority="7019" operator="lessThan">
      <formula>20</formula>
    </cfRule>
    <cfRule type="cellIs" dxfId="1" priority="4404" operator="greaterThan">
      <formula>120</formula>
    </cfRule>
    <cfRule type="containsText" dxfId="0" priority="1789" operator="between" text="库存为">
      <formula>NOT(ISERROR(SEARCH("库存为",AU832)))</formula>
    </cfRule>
  </conditionalFormatting>
  <conditionalFormatting sqref="AU833">
    <cfRule type="cellIs" dxfId="2" priority="7018" operator="lessThan">
      <formula>20</formula>
    </cfRule>
    <cfRule type="cellIs" dxfId="1" priority="4403" operator="greaterThan">
      <formula>120</formula>
    </cfRule>
    <cfRule type="containsText" dxfId="0" priority="1788" operator="between" text="库存为">
      <formula>NOT(ISERROR(SEARCH("库存为",AU833)))</formula>
    </cfRule>
  </conditionalFormatting>
  <conditionalFormatting sqref="AU834">
    <cfRule type="cellIs" dxfId="2" priority="7017" operator="lessThan">
      <formula>20</formula>
    </cfRule>
    <cfRule type="cellIs" dxfId="1" priority="4402" operator="greaterThan">
      <formula>120</formula>
    </cfRule>
    <cfRule type="containsText" dxfId="0" priority="1787" operator="between" text="库存为">
      <formula>NOT(ISERROR(SEARCH("库存为",AU834)))</formula>
    </cfRule>
  </conditionalFormatting>
  <conditionalFormatting sqref="AU835">
    <cfRule type="cellIs" dxfId="2" priority="7016" operator="lessThan">
      <formula>20</formula>
    </cfRule>
    <cfRule type="cellIs" dxfId="1" priority="4401" operator="greaterThan">
      <formula>120</formula>
    </cfRule>
    <cfRule type="containsText" dxfId="0" priority="1786" operator="between" text="库存为">
      <formula>NOT(ISERROR(SEARCH("库存为",AU835)))</formula>
    </cfRule>
  </conditionalFormatting>
  <conditionalFormatting sqref="AU836">
    <cfRule type="cellIs" dxfId="2" priority="7015" operator="lessThan">
      <formula>20</formula>
    </cfRule>
    <cfRule type="cellIs" dxfId="1" priority="4400" operator="greaterThan">
      <formula>120</formula>
    </cfRule>
    <cfRule type="containsText" dxfId="0" priority="1785" operator="between" text="库存为">
      <formula>NOT(ISERROR(SEARCH("库存为",AU836)))</formula>
    </cfRule>
  </conditionalFormatting>
  <conditionalFormatting sqref="AU837">
    <cfRule type="cellIs" dxfId="2" priority="7014" operator="lessThan">
      <formula>20</formula>
    </cfRule>
    <cfRule type="cellIs" dxfId="1" priority="4399" operator="greaterThan">
      <formula>120</formula>
    </cfRule>
    <cfRule type="containsText" dxfId="0" priority="1784" operator="between" text="库存为">
      <formula>NOT(ISERROR(SEARCH("库存为",AU837)))</formula>
    </cfRule>
  </conditionalFormatting>
  <conditionalFormatting sqref="AU838">
    <cfRule type="cellIs" dxfId="2" priority="7013" operator="lessThan">
      <formula>20</formula>
    </cfRule>
    <cfRule type="cellIs" dxfId="1" priority="4398" operator="greaterThan">
      <formula>120</formula>
    </cfRule>
    <cfRule type="containsText" dxfId="0" priority="1783" operator="between" text="库存为">
      <formula>NOT(ISERROR(SEARCH("库存为",AU838)))</formula>
    </cfRule>
  </conditionalFormatting>
  <conditionalFormatting sqref="AU839">
    <cfRule type="cellIs" dxfId="2" priority="7012" operator="lessThan">
      <formula>20</formula>
    </cfRule>
    <cfRule type="cellIs" dxfId="1" priority="4397" operator="greaterThan">
      <formula>120</formula>
    </cfRule>
    <cfRule type="containsText" dxfId="0" priority="1782" operator="between" text="库存为">
      <formula>NOT(ISERROR(SEARCH("库存为",AU839)))</formula>
    </cfRule>
  </conditionalFormatting>
  <conditionalFormatting sqref="AU840">
    <cfRule type="cellIs" dxfId="2" priority="7011" operator="lessThan">
      <formula>20</formula>
    </cfRule>
    <cfRule type="cellIs" dxfId="1" priority="4396" operator="greaterThan">
      <formula>120</formula>
    </cfRule>
    <cfRule type="containsText" dxfId="0" priority="1781" operator="between" text="库存为">
      <formula>NOT(ISERROR(SEARCH("库存为",AU840)))</formula>
    </cfRule>
  </conditionalFormatting>
  <conditionalFormatting sqref="AU841">
    <cfRule type="cellIs" dxfId="2" priority="7010" operator="lessThan">
      <formula>20</formula>
    </cfRule>
    <cfRule type="cellIs" dxfId="1" priority="4395" operator="greaterThan">
      <formula>120</formula>
    </cfRule>
    <cfRule type="containsText" dxfId="0" priority="1780" operator="between" text="库存为">
      <formula>NOT(ISERROR(SEARCH("库存为",AU841)))</formula>
    </cfRule>
  </conditionalFormatting>
  <conditionalFormatting sqref="AU842">
    <cfRule type="cellIs" dxfId="2" priority="7009" operator="lessThan">
      <formula>20</formula>
    </cfRule>
    <cfRule type="cellIs" dxfId="1" priority="4394" operator="greaterThan">
      <formula>120</formula>
    </cfRule>
    <cfRule type="containsText" dxfId="0" priority="1779" operator="between" text="库存为">
      <formula>NOT(ISERROR(SEARCH("库存为",AU842)))</formula>
    </cfRule>
  </conditionalFormatting>
  <conditionalFormatting sqref="AU843">
    <cfRule type="cellIs" dxfId="2" priority="7008" operator="lessThan">
      <formula>20</formula>
    </cfRule>
    <cfRule type="cellIs" dxfId="1" priority="4393" operator="greaterThan">
      <formula>120</formula>
    </cfRule>
    <cfRule type="containsText" dxfId="0" priority="1778" operator="between" text="库存为">
      <formula>NOT(ISERROR(SEARCH("库存为",AU843)))</formula>
    </cfRule>
  </conditionalFormatting>
  <conditionalFormatting sqref="AU844">
    <cfRule type="cellIs" dxfId="2" priority="7007" operator="lessThan">
      <formula>20</formula>
    </cfRule>
    <cfRule type="cellIs" dxfId="1" priority="4392" operator="greaterThan">
      <formula>120</formula>
    </cfRule>
    <cfRule type="containsText" dxfId="0" priority="1777" operator="between" text="库存为">
      <formula>NOT(ISERROR(SEARCH("库存为",AU844)))</formula>
    </cfRule>
  </conditionalFormatting>
  <conditionalFormatting sqref="AU845">
    <cfRule type="cellIs" dxfId="2" priority="7006" operator="lessThan">
      <formula>20</formula>
    </cfRule>
    <cfRule type="cellIs" dxfId="1" priority="4391" operator="greaterThan">
      <formula>120</formula>
    </cfRule>
    <cfRule type="containsText" dxfId="0" priority="1776" operator="between" text="库存为">
      <formula>NOT(ISERROR(SEARCH("库存为",AU845)))</formula>
    </cfRule>
  </conditionalFormatting>
  <conditionalFormatting sqref="AU846">
    <cfRule type="cellIs" dxfId="2" priority="7005" operator="lessThan">
      <formula>20</formula>
    </cfRule>
    <cfRule type="cellIs" dxfId="1" priority="4390" operator="greaterThan">
      <formula>120</formula>
    </cfRule>
    <cfRule type="containsText" dxfId="0" priority="1775" operator="between" text="库存为">
      <formula>NOT(ISERROR(SEARCH("库存为",AU846)))</formula>
    </cfRule>
  </conditionalFormatting>
  <conditionalFormatting sqref="AU847">
    <cfRule type="cellIs" dxfId="2" priority="7004" operator="lessThan">
      <formula>20</formula>
    </cfRule>
    <cfRule type="cellIs" dxfId="1" priority="4389" operator="greaterThan">
      <formula>120</formula>
    </cfRule>
    <cfRule type="containsText" dxfId="0" priority="1774" operator="between" text="库存为">
      <formula>NOT(ISERROR(SEARCH("库存为",AU847)))</formula>
    </cfRule>
  </conditionalFormatting>
  <conditionalFormatting sqref="AU848">
    <cfRule type="cellIs" dxfId="2" priority="7003" operator="lessThan">
      <formula>20</formula>
    </cfRule>
    <cfRule type="cellIs" dxfId="1" priority="4388" operator="greaterThan">
      <formula>120</formula>
    </cfRule>
    <cfRule type="containsText" dxfId="0" priority="1773" operator="between" text="库存为">
      <formula>NOT(ISERROR(SEARCH("库存为",AU848)))</formula>
    </cfRule>
  </conditionalFormatting>
  <conditionalFormatting sqref="AU849">
    <cfRule type="cellIs" dxfId="2" priority="7002" operator="lessThan">
      <formula>20</formula>
    </cfRule>
    <cfRule type="cellIs" dxfId="1" priority="4387" operator="greaterThan">
      <formula>120</formula>
    </cfRule>
    <cfRule type="containsText" dxfId="0" priority="1772" operator="between" text="库存为">
      <formula>NOT(ISERROR(SEARCH("库存为",AU849)))</formula>
    </cfRule>
  </conditionalFormatting>
  <conditionalFormatting sqref="AU850">
    <cfRule type="cellIs" dxfId="2" priority="7001" operator="lessThan">
      <formula>20</formula>
    </cfRule>
    <cfRule type="cellIs" dxfId="1" priority="4386" operator="greaterThan">
      <formula>120</formula>
    </cfRule>
    <cfRule type="containsText" dxfId="0" priority="1771" operator="between" text="库存为">
      <formula>NOT(ISERROR(SEARCH("库存为",AU850)))</formula>
    </cfRule>
  </conditionalFormatting>
  <conditionalFormatting sqref="AU851">
    <cfRule type="cellIs" dxfId="2" priority="7000" operator="lessThan">
      <formula>20</formula>
    </cfRule>
    <cfRule type="cellIs" dxfId="1" priority="4385" operator="greaterThan">
      <formula>120</formula>
    </cfRule>
    <cfRule type="containsText" dxfId="0" priority="1770" operator="between" text="库存为">
      <formula>NOT(ISERROR(SEARCH("库存为",AU851)))</formula>
    </cfRule>
  </conditionalFormatting>
  <conditionalFormatting sqref="AU852">
    <cfRule type="cellIs" dxfId="2" priority="6999" operator="lessThan">
      <formula>20</formula>
    </cfRule>
    <cfRule type="cellIs" dxfId="1" priority="4384" operator="greaterThan">
      <formula>120</formula>
    </cfRule>
    <cfRule type="containsText" dxfId="0" priority="1769" operator="between" text="库存为">
      <formula>NOT(ISERROR(SEARCH("库存为",AU852)))</formula>
    </cfRule>
  </conditionalFormatting>
  <conditionalFormatting sqref="AU853">
    <cfRule type="cellIs" dxfId="2" priority="6998" operator="lessThan">
      <formula>20</formula>
    </cfRule>
    <cfRule type="cellIs" dxfId="1" priority="4383" operator="greaterThan">
      <formula>120</formula>
    </cfRule>
    <cfRule type="containsText" dxfId="0" priority="1768" operator="between" text="库存为">
      <formula>NOT(ISERROR(SEARCH("库存为",AU853)))</formula>
    </cfRule>
  </conditionalFormatting>
  <conditionalFormatting sqref="AU854">
    <cfRule type="cellIs" dxfId="2" priority="6997" operator="lessThan">
      <formula>20</formula>
    </cfRule>
    <cfRule type="cellIs" dxfId="1" priority="4382" operator="greaterThan">
      <formula>120</formula>
    </cfRule>
    <cfRule type="containsText" dxfId="0" priority="1767" operator="between" text="库存为">
      <formula>NOT(ISERROR(SEARCH("库存为",AU854)))</formula>
    </cfRule>
  </conditionalFormatting>
  <conditionalFormatting sqref="AU855">
    <cfRule type="cellIs" dxfId="2" priority="6996" operator="lessThan">
      <formula>20</formula>
    </cfRule>
    <cfRule type="cellIs" dxfId="1" priority="4381" operator="greaterThan">
      <formula>120</formula>
    </cfRule>
    <cfRule type="containsText" dxfId="0" priority="1766" operator="between" text="库存为">
      <formula>NOT(ISERROR(SEARCH("库存为",AU855)))</formula>
    </cfRule>
  </conditionalFormatting>
  <conditionalFormatting sqref="AU856">
    <cfRule type="cellIs" dxfId="2" priority="6995" operator="lessThan">
      <formula>20</formula>
    </cfRule>
    <cfRule type="cellIs" dxfId="1" priority="4380" operator="greaterThan">
      <formula>120</formula>
    </cfRule>
    <cfRule type="containsText" dxfId="0" priority="1765" operator="between" text="库存为">
      <formula>NOT(ISERROR(SEARCH("库存为",AU856)))</formula>
    </cfRule>
  </conditionalFormatting>
  <conditionalFormatting sqref="AU857">
    <cfRule type="cellIs" dxfId="2" priority="6994" operator="lessThan">
      <formula>20</formula>
    </cfRule>
    <cfRule type="cellIs" dxfId="1" priority="4379" operator="greaterThan">
      <formula>120</formula>
    </cfRule>
    <cfRule type="containsText" dxfId="0" priority="1764" operator="between" text="库存为">
      <formula>NOT(ISERROR(SEARCH("库存为",AU857)))</formula>
    </cfRule>
  </conditionalFormatting>
  <conditionalFormatting sqref="AU858">
    <cfRule type="cellIs" dxfId="2" priority="6993" operator="lessThan">
      <formula>20</formula>
    </cfRule>
    <cfRule type="cellIs" dxfId="1" priority="4378" operator="greaterThan">
      <formula>120</formula>
    </cfRule>
    <cfRule type="containsText" dxfId="0" priority="1763" operator="between" text="库存为">
      <formula>NOT(ISERROR(SEARCH("库存为",AU858)))</formula>
    </cfRule>
  </conditionalFormatting>
  <conditionalFormatting sqref="AU859">
    <cfRule type="cellIs" dxfId="2" priority="6992" operator="lessThan">
      <formula>20</formula>
    </cfRule>
    <cfRule type="cellIs" dxfId="1" priority="4377" operator="greaterThan">
      <formula>120</formula>
    </cfRule>
    <cfRule type="containsText" dxfId="0" priority="1762" operator="between" text="库存为">
      <formula>NOT(ISERROR(SEARCH("库存为",AU859)))</formula>
    </cfRule>
  </conditionalFormatting>
  <conditionalFormatting sqref="AU860">
    <cfRule type="cellIs" dxfId="2" priority="6991" operator="lessThan">
      <formula>20</formula>
    </cfRule>
    <cfRule type="cellIs" dxfId="1" priority="4376" operator="greaterThan">
      <formula>120</formula>
    </cfRule>
    <cfRule type="containsText" dxfId="0" priority="1761" operator="between" text="库存为">
      <formula>NOT(ISERROR(SEARCH("库存为",AU860)))</formula>
    </cfRule>
  </conditionalFormatting>
  <conditionalFormatting sqref="AU861">
    <cfRule type="cellIs" dxfId="2" priority="6990" operator="lessThan">
      <formula>20</formula>
    </cfRule>
    <cfRule type="cellIs" dxfId="1" priority="4375" operator="greaterThan">
      <formula>120</formula>
    </cfRule>
    <cfRule type="containsText" dxfId="0" priority="1760" operator="between" text="库存为">
      <formula>NOT(ISERROR(SEARCH("库存为",AU861)))</formula>
    </cfRule>
  </conditionalFormatting>
  <conditionalFormatting sqref="AU862">
    <cfRule type="cellIs" dxfId="2" priority="6989" operator="lessThan">
      <formula>20</formula>
    </cfRule>
    <cfRule type="cellIs" dxfId="1" priority="4374" operator="greaterThan">
      <formula>120</formula>
    </cfRule>
    <cfRule type="containsText" dxfId="0" priority="1759" operator="between" text="库存为">
      <formula>NOT(ISERROR(SEARCH("库存为",AU862)))</formula>
    </cfRule>
  </conditionalFormatting>
  <conditionalFormatting sqref="AU863">
    <cfRule type="cellIs" dxfId="2" priority="6988" operator="lessThan">
      <formula>20</formula>
    </cfRule>
    <cfRule type="cellIs" dxfId="1" priority="4373" operator="greaterThan">
      <formula>120</formula>
    </cfRule>
    <cfRule type="containsText" dxfId="0" priority="1758" operator="between" text="库存为">
      <formula>NOT(ISERROR(SEARCH("库存为",AU863)))</formula>
    </cfRule>
  </conditionalFormatting>
  <conditionalFormatting sqref="AU864">
    <cfRule type="cellIs" dxfId="2" priority="6987" operator="lessThan">
      <formula>20</formula>
    </cfRule>
    <cfRule type="cellIs" dxfId="1" priority="4372" operator="greaterThan">
      <formula>120</formula>
    </cfRule>
    <cfRule type="containsText" dxfId="0" priority="1757" operator="between" text="库存为">
      <formula>NOT(ISERROR(SEARCH("库存为",AU864)))</formula>
    </cfRule>
  </conditionalFormatting>
  <conditionalFormatting sqref="AU865">
    <cfRule type="cellIs" dxfId="2" priority="6986" operator="lessThan">
      <formula>20</formula>
    </cfRule>
    <cfRule type="cellIs" dxfId="1" priority="4371" operator="greaterThan">
      <formula>120</formula>
    </cfRule>
    <cfRule type="containsText" dxfId="0" priority="1756" operator="between" text="库存为">
      <formula>NOT(ISERROR(SEARCH("库存为",AU865)))</formula>
    </cfRule>
  </conditionalFormatting>
  <conditionalFormatting sqref="AU866">
    <cfRule type="cellIs" dxfId="2" priority="6985" operator="lessThan">
      <formula>20</formula>
    </cfRule>
    <cfRule type="cellIs" dxfId="1" priority="4370" operator="greaterThan">
      <formula>120</formula>
    </cfRule>
    <cfRule type="containsText" dxfId="0" priority="1755" operator="between" text="库存为">
      <formula>NOT(ISERROR(SEARCH("库存为",AU866)))</formula>
    </cfRule>
  </conditionalFormatting>
  <conditionalFormatting sqref="AU867">
    <cfRule type="cellIs" dxfId="2" priority="6984" operator="lessThan">
      <formula>20</formula>
    </cfRule>
    <cfRule type="cellIs" dxfId="1" priority="4369" operator="greaterThan">
      <formula>120</formula>
    </cfRule>
    <cfRule type="containsText" dxfId="0" priority="1754" operator="between" text="库存为">
      <formula>NOT(ISERROR(SEARCH("库存为",AU867)))</formula>
    </cfRule>
  </conditionalFormatting>
  <conditionalFormatting sqref="AU868">
    <cfRule type="cellIs" dxfId="2" priority="6983" operator="lessThan">
      <formula>20</formula>
    </cfRule>
    <cfRule type="cellIs" dxfId="1" priority="4368" operator="greaterThan">
      <formula>120</formula>
    </cfRule>
    <cfRule type="containsText" dxfId="0" priority="1753" operator="between" text="库存为">
      <formula>NOT(ISERROR(SEARCH("库存为",AU868)))</formula>
    </cfRule>
  </conditionalFormatting>
  <conditionalFormatting sqref="AU869">
    <cfRule type="cellIs" dxfId="2" priority="6982" operator="lessThan">
      <formula>20</formula>
    </cfRule>
    <cfRule type="cellIs" dxfId="1" priority="4367" operator="greaterThan">
      <formula>120</formula>
    </cfRule>
    <cfRule type="containsText" dxfId="0" priority="1752" operator="between" text="库存为">
      <formula>NOT(ISERROR(SEARCH("库存为",AU869)))</formula>
    </cfRule>
  </conditionalFormatting>
  <conditionalFormatting sqref="AU870">
    <cfRule type="cellIs" dxfId="2" priority="6981" operator="lessThan">
      <formula>20</formula>
    </cfRule>
    <cfRule type="cellIs" dxfId="1" priority="4366" operator="greaterThan">
      <formula>120</formula>
    </cfRule>
    <cfRule type="containsText" dxfId="0" priority="1751" operator="between" text="库存为">
      <formula>NOT(ISERROR(SEARCH("库存为",AU870)))</formula>
    </cfRule>
  </conditionalFormatting>
  <conditionalFormatting sqref="AU871">
    <cfRule type="cellIs" dxfId="2" priority="6980" operator="lessThan">
      <formula>20</formula>
    </cfRule>
    <cfRule type="cellIs" dxfId="1" priority="4365" operator="greaterThan">
      <formula>120</formula>
    </cfRule>
    <cfRule type="containsText" dxfId="0" priority="1750" operator="between" text="库存为">
      <formula>NOT(ISERROR(SEARCH("库存为",AU871)))</formula>
    </cfRule>
  </conditionalFormatting>
  <conditionalFormatting sqref="AU872">
    <cfRule type="cellIs" dxfId="2" priority="6979" operator="lessThan">
      <formula>20</formula>
    </cfRule>
    <cfRule type="cellIs" dxfId="1" priority="4364" operator="greaterThan">
      <formula>120</formula>
    </cfRule>
    <cfRule type="containsText" dxfId="0" priority="1749" operator="between" text="库存为">
      <formula>NOT(ISERROR(SEARCH("库存为",AU872)))</formula>
    </cfRule>
  </conditionalFormatting>
  <conditionalFormatting sqref="AU873">
    <cfRule type="cellIs" dxfId="2" priority="6978" operator="lessThan">
      <formula>20</formula>
    </cfRule>
    <cfRule type="cellIs" dxfId="1" priority="4363" operator="greaterThan">
      <formula>120</formula>
    </cfRule>
    <cfRule type="containsText" dxfId="0" priority="1748" operator="between" text="库存为">
      <formula>NOT(ISERROR(SEARCH("库存为",AU873)))</formula>
    </cfRule>
  </conditionalFormatting>
  <conditionalFormatting sqref="AU874">
    <cfRule type="cellIs" dxfId="2" priority="6977" operator="lessThan">
      <formula>20</formula>
    </cfRule>
    <cfRule type="cellIs" dxfId="1" priority="4362" operator="greaterThan">
      <formula>120</formula>
    </cfRule>
    <cfRule type="containsText" dxfId="0" priority="1747" operator="between" text="库存为">
      <formula>NOT(ISERROR(SEARCH("库存为",AU874)))</formula>
    </cfRule>
  </conditionalFormatting>
  <conditionalFormatting sqref="AU875">
    <cfRule type="cellIs" dxfId="2" priority="6976" operator="lessThan">
      <formula>20</formula>
    </cfRule>
    <cfRule type="cellIs" dxfId="1" priority="4361" operator="greaterThan">
      <formula>120</formula>
    </cfRule>
    <cfRule type="containsText" dxfId="0" priority="1746" operator="between" text="库存为">
      <formula>NOT(ISERROR(SEARCH("库存为",AU875)))</formula>
    </cfRule>
  </conditionalFormatting>
  <conditionalFormatting sqref="AU876">
    <cfRule type="cellIs" dxfId="2" priority="6975" operator="lessThan">
      <formula>20</formula>
    </cfRule>
    <cfRule type="cellIs" dxfId="1" priority="4360" operator="greaterThan">
      <formula>120</formula>
    </cfRule>
    <cfRule type="containsText" dxfId="0" priority="1745" operator="between" text="库存为">
      <formula>NOT(ISERROR(SEARCH("库存为",AU876)))</formula>
    </cfRule>
  </conditionalFormatting>
  <conditionalFormatting sqref="AU877">
    <cfRule type="cellIs" dxfId="2" priority="6974" operator="lessThan">
      <formula>20</formula>
    </cfRule>
    <cfRule type="cellIs" dxfId="1" priority="4359" operator="greaterThan">
      <formula>120</formula>
    </cfRule>
    <cfRule type="containsText" dxfId="0" priority="1744" operator="between" text="库存为">
      <formula>NOT(ISERROR(SEARCH("库存为",AU877)))</formula>
    </cfRule>
  </conditionalFormatting>
  <conditionalFormatting sqref="AU878">
    <cfRule type="cellIs" dxfId="2" priority="6973" operator="lessThan">
      <formula>20</formula>
    </cfRule>
    <cfRule type="cellIs" dxfId="1" priority="4358" operator="greaterThan">
      <formula>120</formula>
    </cfRule>
    <cfRule type="containsText" dxfId="0" priority="1743" operator="between" text="库存为">
      <formula>NOT(ISERROR(SEARCH("库存为",AU878)))</formula>
    </cfRule>
  </conditionalFormatting>
  <conditionalFormatting sqref="AU879">
    <cfRule type="cellIs" dxfId="2" priority="6972" operator="lessThan">
      <formula>20</formula>
    </cfRule>
    <cfRule type="cellIs" dxfId="1" priority="4357" operator="greaterThan">
      <formula>120</formula>
    </cfRule>
    <cfRule type="containsText" dxfId="0" priority="1742" operator="between" text="库存为">
      <formula>NOT(ISERROR(SEARCH("库存为",AU879)))</formula>
    </cfRule>
  </conditionalFormatting>
  <conditionalFormatting sqref="AU880">
    <cfRule type="cellIs" dxfId="2" priority="6971" operator="lessThan">
      <formula>20</formula>
    </cfRule>
    <cfRule type="cellIs" dxfId="1" priority="4356" operator="greaterThan">
      <formula>120</formula>
    </cfRule>
    <cfRule type="containsText" dxfId="0" priority="1741" operator="between" text="库存为">
      <formula>NOT(ISERROR(SEARCH("库存为",AU880)))</formula>
    </cfRule>
  </conditionalFormatting>
  <conditionalFormatting sqref="AU881">
    <cfRule type="cellIs" dxfId="2" priority="6970" operator="lessThan">
      <formula>20</formula>
    </cfRule>
    <cfRule type="cellIs" dxfId="1" priority="4355" operator="greaterThan">
      <formula>120</formula>
    </cfRule>
    <cfRule type="containsText" dxfId="0" priority="1740" operator="between" text="库存为">
      <formula>NOT(ISERROR(SEARCH("库存为",AU881)))</formula>
    </cfRule>
  </conditionalFormatting>
  <conditionalFormatting sqref="AU882">
    <cfRule type="cellIs" dxfId="2" priority="6969" operator="lessThan">
      <formula>20</formula>
    </cfRule>
    <cfRule type="cellIs" dxfId="1" priority="4354" operator="greaterThan">
      <formula>120</formula>
    </cfRule>
    <cfRule type="containsText" dxfId="0" priority="1739" operator="between" text="库存为">
      <formula>NOT(ISERROR(SEARCH("库存为",AU882)))</formula>
    </cfRule>
  </conditionalFormatting>
  <conditionalFormatting sqref="AU883">
    <cfRule type="cellIs" dxfId="2" priority="6968" operator="lessThan">
      <formula>20</formula>
    </cfRule>
    <cfRule type="cellIs" dxfId="1" priority="4353" operator="greaterThan">
      <formula>120</formula>
    </cfRule>
    <cfRule type="containsText" dxfId="0" priority="1738" operator="between" text="库存为">
      <formula>NOT(ISERROR(SEARCH("库存为",AU883)))</formula>
    </cfRule>
  </conditionalFormatting>
  <conditionalFormatting sqref="AU884">
    <cfRule type="cellIs" dxfId="2" priority="6967" operator="lessThan">
      <formula>20</formula>
    </cfRule>
    <cfRule type="cellIs" dxfId="1" priority="4352" operator="greaterThan">
      <formula>120</formula>
    </cfRule>
    <cfRule type="containsText" dxfId="0" priority="1737" operator="between" text="库存为">
      <formula>NOT(ISERROR(SEARCH("库存为",AU884)))</formula>
    </cfRule>
  </conditionalFormatting>
  <conditionalFormatting sqref="AU885">
    <cfRule type="cellIs" dxfId="2" priority="6966" operator="lessThan">
      <formula>20</formula>
    </cfRule>
    <cfRule type="cellIs" dxfId="1" priority="4351" operator="greaterThan">
      <formula>120</formula>
    </cfRule>
    <cfRule type="containsText" dxfId="0" priority="1736" operator="between" text="库存为">
      <formula>NOT(ISERROR(SEARCH("库存为",AU885)))</formula>
    </cfRule>
  </conditionalFormatting>
  <conditionalFormatting sqref="AU886">
    <cfRule type="cellIs" dxfId="2" priority="6965" operator="lessThan">
      <formula>20</formula>
    </cfRule>
    <cfRule type="cellIs" dxfId="1" priority="4350" operator="greaterThan">
      <formula>120</formula>
    </cfRule>
    <cfRule type="containsText" dxfId="0" priority="1735" operator="between" text="库存为">
      <formula>NOT(ISERROR(SEARCH("库存为",AU886)))</formula>
    </cfRule>
  </conditionalFormatting>
  <conditionalFormatting sqref="AU887">
    <cfRule type="cellIs" dxfId="2" priority="6964" operator="lessThan">
      <formula>20</formula>
    </cfRule>
    <cfRule type="cellIs" dxfId="1" priority="4349" operator="greaterThan">
      <formula>120</formula>
    </cfRule>
    <cfRule type="containsText" dxfId="0" priority="1734" operator="between" text="库存为">
      <formula>NOT(ISERROR(SEARCH("库存为",AU887)))</formula>
    </cfRule>
  </conditionalFormatting>
  <conditionalFormatting sqref="AU888">
    <cfRule type="cellIs" dxfId="2" priority="6963" operator="lessThan">
      <formula>20</formula>
    </cfRule>
    <cfRule type="cellIs" dxfId="1" priority="4348" operator="greaterThan">
      <formula>120</formula>
    </cfRule>
    <cfRule type="containsText" dxfId="0" priority="1733" operator="between" text="库存为">
      <formula>NOT(ISERROR(SEARCH("库存为",AU888)))</formula>
    </cfRule>
  </conditionalFormatting>
  <conditionalFormatting sqref="AU889">
    <cfRule type="cellIs" dxfId="2" priority="6962" operator="lessThan">
      <formula>20</formula>
    </cfRule>
    <cfRule type="cellIs" dxfId="1" priority="4347" operator="greaterThan">
      <formula>120</formula>
    </cfRule>
    <cfRule type="containsText" dxfId="0" priority="1732" operator="between" text="库存为">
      <formula>NOT(ISERROR(SEARCH("库存为",AU889)))</formula>
    </cfRule>
  </conditionalFormatting>
  <conditionalFormatting sqref="AU890">
    <cfRule type="cellIs" dxfId="2" priority="6961" operator="lessThan">
      <formula>20</formula>
    </cfRule>
    <cfRule type="cellIs" dxfId="1" priority="4346" operator="greaterThan">
      <formula>120</formula>
    </cfRule>
    <cfRule type="containsText" dxfId="0" priority="1731" operator="between" text="库存为">
      <formula>NOT(ISERROR(SEARCH("库存为",AU890)))</formula>
    </cfRule>
  </conditionalFormatting>
  <conditionalFormatting sqref="AU891">
    <cfRule type="cellIs" dxfId="2" priority="6960" operator="lessThan">
      <formula>20</formula>
    </cfRule>
    <cfRule type="cellIs" dxfId="1" priority="4345" operator="greaterThan">
      <formula>120</formula>
    </cfRule>
    <cfRule type="containsText" dxfId="0" priority="1730" operator="between" text="库存为">
      <formula>NOT(ISERROR(SEARCH("库存为",AU891)))</formula>
    </cfRule>
  </conditionalFormatting>
  <conditionalFormatting sqref="AU892">
    <cfRule type="cellIs" dxfId="2" priority="6959" operator="lessThan">
      <formula>20</formula>
    </cfRule>
    <cfRule type="cellIs" dxfId="1" priority="4344" operator="greaterThan">
      <formula>120</formula>
    </cfRule>
    <cfRule type="containsText" dxfId="0" priority="1729" operator="between" text="库存为">
      <formula>NOT(ISERROR(SEARCH("库存为",AU892)))</formula>
    </cfRule>
  </conditionalFormatting>
  <conditionalFormatting sqref="AU893">
    <cfRule type="cellIs" dxfId="2" priority="6958" operator="lessThan">
      <formula>20</formula>
    </cfRule>
    <cfRule type="cellIs" dxfId="1" priority="4343" operator="greaterThan">
      <formula>120</formula>
    </cfRule>
    <cfRule type="containsText" dxfId="0" priority="1728" operator="between" text="库存为">
      <formula>NOT(ISERROR(SEARCH("库存为",AU893)))</formula>
    </cfRule>
  </conditionalFormatting>
  <conditionalFormatting sqref="AU894">
    <cfRule type="cellIs" dxfId="2" priority="6957" operator="lessThan">
      <formula>20</formula>
    </cfRule>
    <cfRule type="cellIs" dxfId="1" priority="4342" operator="greaterThan">
      <formula>120</formula>
    </cfRule>
    <cfRule type="containsText" dxfId="0" priority="1727" operator="between" text="库存为">
      <formula>NOT(ISERROR(SEARCH("库存为",AU894)))</formula>
    </cfRule>
  </conditionalFormatting>
  <conditionalFormatting sqref="AU895">
    <cfRule type="cellIs" dxfId="2" priority="6956" operator="lessThan">
      <formula>20</formula>
    </cfRule>
    <cfRule type="cellIs" dxfId="1" priority="4341" operator="greaterThan">
      <formula>120</formula>
    </cfRule>
    <cfRule type="containsText" dxfId="0" priority="1726" operator="between" text="库存为">
      <formula>NOT(ISERROR(SEARCH("库存为",AU895)))</formula>
    </cfRule>
  </conditionalFormatting>
  <conditionalFormatting sqref="AU896">
    <cfRule type="cellIs" dxfId="2" priority="6955" operator="lessThan">
      <formula>20</formula>
    </cfRule>
    <cfRule type="cellIs" dxfId="1" priority="4340" operator="greaterThan">
      <formula>120</formula>
    </cfRule>
    <cfRule type="containsText" dxfId="0" priority="1725" operator="between" text="库存为">
      <formula>NOT(ISERROR(SEARCH("库存为",AU896)))</formula>
    </cfRule>
  </conditionalFormatting>
  <conditionalFormatting sqref="AU897">
    <cfRule type="cellIs" dxfId="2" priority="6954" operator="lessThan">
      <formula>20</formula>
    </cfRule>
    <cfRule type="cellIs" dxfId="1" priority="4339" operator="greaterThan">
      <formula>120</formula>
    </cfRule>
    <cfRule type="containsText" dxfId="0" priority="1724" operator="between" text="库存为">
      <formula>NOT(ISERROR(SEARCH("库存为",AU897)))</formula>
    </cfRule>
  </conditionalFormatting>
  <conditionalFormatting sqref="AU898">
    <cfRule type="cellIs" dxfId="2" priority="6953" operator="lessThan">
      <formula>20</formula>
    </cfRule>
    <cfRule type="cellIs" dxfId="1" priority="4338" operator="greaterThan">
      <formula>120</formula>
    </cfRule>
    <cfRule type="containsText" dxfId="0" priority="1723" operator="between" text="库存为">
      <formula>NOT(ISERROR(SEARCH("库存为",AU898)))</formula>
    </cfRule>
  </conditionalFormatting>
  <conditionalFormatting sqref="AU899">
    <cfRule type="cellIs" dxfId="2" priority="6952" operator="lessThan">
      <formula>20</formula>
    </cfRule>
    <cfRule type="cellIs" dxfId="1" priority="4337" operator="greaterThan">
      <formula>120</formula>
    </cfRule>
    <cfRule type="containsText" dxfId="0" priority="1722" operator="between" text="库存为">
      <formula>NOT(ISERROR(SEARCH("库存为",AU899)))</formula>
    </cfRule>
  </conditionalFormatting>
  <conditionalFormatting sqref="AU900">
    <cfRule type="cellIs" dxfId="2" priority="6951" operator="lessThan">
      <formula>20</formula>
    </cfRule>
    <cfRule type="cellIs" dxfId="1" priority="4336" operator="greaterThan">
      <formula>120</formula>
    </cfRule>
    <cfRule type="containsText" dxfId="0" priority="1721" operator="between" text="库存为">
      <formula>NOT(ISERROR(SEARCH("库存为",AU900)))</formula>
    </cfRule>
  </conditionalFormatting>
  <conditionalFormatting sqref="AU901">
    <cfRule type="cellIs" dxfId="2" priority="6950" operator="lessThan">
      <formula>20</formula>
    </cfRule>
    <cfRule type="cellIs" dxfId="1" priority="4335" operator="greaterThan">
      <formula>120</formula>
    </cfRule>
    <cfRule type="containsText" dxfId="0" priority="1720" operator="between" text="库存为">
      <formula>NOT(ISERROR(SEARCH("库存为",AU901)))</formula>
    </cfRule>
  </conditionalFormatting>
  <conditionalFormatting sqref="AU902">
    <cfRule type="cellIs" dxfId="2" priority="6949" operator="lessThan">
      <formula>20</formula>
    </cfRule>
    <cfRule type="cellIs" dxfId="1" priority="4334" operator="greaterThan">
      <formula>120</formula>
    </cfRule>
    <cfRule type="containsText" dxfId="0" priority="1719" operator="between" text="库存为">
      <formula>NOT(ISERROR(SEARCH("库存为",AU902)))</formula>
    </cfRule>
  </conditionalFormatting>
  <conditionalFormatting sqref="AU903">
    <cfRule type="cellIs" dxfId="2" priority="6948" operator="lessThan">
      <formula>20</formula>
    </cfRule>
    <cfRule type="cellIs" dxfId="1" priority="4333" operator="greaterThan">
      <formula>120</formula>
    </cfRule>
    <cfRule type="containsText" dxfId="0" priority="1718" operator="between" text="库存为">
      <formula>NOT(ISERROR(SEARCH("库存为",AU903)))</formula>
    </cfRule>
  </conditionalFormatting>
  <conditionalFormatting sqref="AU904">
    <cfRule type="cellIs" dxfId="2" priority="6947" operator="lessThan">
      <formula>20</formula>
    </cfRule>
    <cfRule type="cellIs" dxfId="1" priority="4332" operator="greaterThan">
      <formula>120</formula>
    </cfRule>
    <cfRule type="containsText" dxfId="0" priority="1717" operator="between" text="库存为">
      <formula>NOT(ISERROR(SEARCH("库存为",AU904)))</formula>
    </cfRule>
  </conditionalFormatting>
  <conditionalFormatting sqref="AU905">
    <cfRule type="cellIs" dxfId="2" priority="6946" operator="lessThan">
      <formula>20</formula>
    </cfRule>
    <cfRule type="cellIs" dxfId="1" priority="4331" operator="greaterThan">
      <formula>120</formula>
    </cfRule>
    <cfRule type="containsText" dxfId="0" priority="1716" operator="between" text="库存为">
      <formula>NOT(ISERROR(SEARCH("库存为",AU905)))</formula>
    </cfRule>
  </conditionalFormatting>
  <conditionalFormatting sqref="AU906">
    <cfRule type="cellIs" dxfId="2" priority="6945" operator="lessThan">
      <formula>20</formula>
    </cfRule>
    <cfRule type="cellIs" dxfId="1" priority="4330" operator="greaterThan">
      <formula>120</formula>
    </cfRule>
    <cfRule type="containsText" dxfId="0" priority="1715" operator="between" text="库存为">
      <formula>NOT(ISERROR(SEARCH("库存为",AU906)))</formula>
    </cfRule>
  </conditionalFormatting>
  <conditionalFormatting sqref="AU907">
    <cfRule type="cellIs" dxfId="2" priority="6944" operator="lessThan">
      <formula>20</formula>
    </cfRule>
    <cfRule type="cellIs" dxfId="1" priority="4329" operator="greaterThan">
      <formula>120</formula>
    </cfRule>
    <cfRule type="containsText" dxfId="0" priority="1714" operator="between" text="库存为">
      <formula>NOT(ISERROR(SEARCH("库存为",AU907)))</formula>
    </cfRule>
  </conditionalFormatting>
  <conditionalFormatting sqref="AU908">
    <cfRule type="cellIs" dxfId="2" priority="6943" operator="lessThan">
      <formula>20</formula>
    </cfRule>
    <cfRule type="cellIs" dxfId="1" priority="4328" operator="greaterThan">
      <formula>120</formula>
    </cfRule>
    <cfRule type="containsText" dxfId="0" priority="1713" operator="between" text="库存为">
      <formula>NOT(ISERROR(SEARCH("库存为",AU908)))</formula>
    </cfRule>
  </conditionalFormatting>
  <conditionalFormatting sqref="AU909">
    <cfRule type="cellIs" dxfId="2" priority="6942" operator="lessThan">
      <formula>20</formula>
    </cfRule>
    <cfRule type="cellIs" dxfId="1" priority="4327" operator="greaterThan">
      <formula>120</formula>
    </cfRule>
    <cfRule type="containsText" dxfId="0" priority="1712" operator="between" text="库存为">
      <formula>NOT(ISERROR(SEARCH("库存为",AU909)))</formula>
    </cfRule>
  </conditionalFormatting>
  <conditionalFormatting sqref="AU910">
    <cfRule type="cellIs" dxfId="2" priority="6941" operator="lessThan">
      <formula>20</formula>
    </cfRule>
    <cfRule type="cellIs" dxfId="1" priority="4326" operator="greaterThan">
      <formula>120</formula>
    </cfRule>
    <cfRule type="containsText" dxfId="0" priority="1711" operator="between" text="库存为">
      <formula>NOT(ISERROR(SEARCH("库存为",AU910)))</formula>
    </cfRule>
  </conditionalFormatting>
  <conditionalFormatting sqref="AU911">
    <cfRule type="cellIs" dxfId="2" priority="6940" operator="lessThan">
      <formula>20</formula>
    </cfRule>
    <cfRule type="cellIs" dxfId="1" priority="4325" operator="greaterThan">
      <formula>120</formula>
    </cfRule>
    <cfRule type="containsText" dxfId="0" priority="1710" operator="between" text="库存为">
      <formula>NOT(ISERROR(SEARCH("库存为",AU911)))</formula>
    </cfRule>
  </conditionalFormatting>
  <conditionalFormatting sqref="AU912">
    <cfRule type="cellIs" dxfId="2" priority="6939" operator="lessThan">
      <formula>20</formula>
    </cfRule>
    <cfRule type="cellIs" dxfId="1" priority="4324" operator="greaterThan">
      <formula>120</formula>
    </cfRule>
    <cfRule type="containsText" dxfId="0" priority="1709" operator="between" text="库存为">
      <formula>NOT(ISERROR(SEARCH("库存为",AU912)))</formula>
    </cfRule>
  </conditionalFormatting>
  <conditionalFormatting sqref="AU913">
    <cfRule type="cellIs" dxfId="2" priority="6938" operator="lessThan">
      <formula>20</formula>
    </cfRule>
    <cfRule type="cellIs" dxfId="1" priority="4323" operator="greaterThan">
      <formula>120</formula>
    </cfRule>
    <cfRule type="containsText" dxfId="0" priority="1708" operator="between" text="库存为">
      <formula>NOT(ISERROR(SEARCH("库存为",AU913)))</formula>
    </cfRule>
  </conditionalFormatting>
  <conditionalFormatting sqref="AU914">
    <cfRule type="cellIs" dxfId="2" priority="6937" operator="lessThan">
      <formula>20</formula>
    </cfRule>
    <cfRule type="cellIs" dxfId="1" priority="4322" operator="greaterThan">
      <formula>120</formula>
    </cfRule>
    <cfRule type="containsText" dxfId="0" priority="1707" operator="between" text="库存为">
      <formula>NOT(ISERROR(SEARCH("库存为",AU914)))</formula>
    </cfRule>
  </conditionalFormatting>
  <conditionalFormatting sqref="AU915">
    <cfRule type="cellIs" dxfId="2" priority="6936" operator="lessThan">
      <formula>20</formula>
    </cfRule>
    <cfRule type="cellIs" dxfId="1" priority="4321" operator="greaterThan">
      <formula>120</formula>
    </cfRule>
    <cfRule type="containsText" dxfId="0" priority="1706" operator="between" text="库存为">
      <formula>NOT(ISERROR(SEARCH("库存为",AU915)))</formula>
    </cfRule>
  </conditionalFormatting>
  <conditionalFormatting sqref="AU916">
    <cfRule type="cellIs" dxfId="2" priority="6935" operator="lessThan">
      <formula>20</formula>
    </cfRule>
    <cfRule type="cellIs" dxfId="1" priority="4320" operator="greaterThan">
      <formula>120</formula>
    </cfRule>
    <cfRule type="containsText" dxfId="0" priority="1705" operator="between" text="库存为">
      <formula>NOT(ISERROR(SEARCH("库存为",AU916)))</formula>
    </cfRule>
  </conditionalFormatting>
  <conditionalFormatting sqref="AU917">
    <cfRule type="cellIs" dxfId="2" priority="6934" operator="lessThan">
      <formula>20</formula>
    </cfRule>
    <cfRule type="cellIs" dxfId="1" priority="4319" operator="greaterThan">
      <formula>120</formula>
    </cfRule>
    <cfRule type="containsText" dxfId="0" priority="1704" operator="between" text="库存为">
      <formula>NOT(ISERROR(SEARCH("库存为",AU917)))</formula>
    </cfRule>
  </conditionalFormatting>
  <conditionalFormatting sqref="AU918">
    <cfRule type="cellIs" dxfId="2" priority="6933" operator="lessThan">
      <formula>20</formula>
    </cfRule>
    <cfRule type="cellIs" dxfId="1" priority="4318" operator="greaterThan">
      <formula>120</formula>
    </cfRule>
    <cfRule type="containsText" dxfId="0" priority="1703" operator="between" text="库存为">
      <formula>NOT(ISERROR(SEARCH("库存为",AU918)))</formula>
    </cfRule>
  </conditionalFormatting>
  <conditionalFormatting sqref="AU919">
    <cfRule type="cellIs" dxfId="2" priority="6932" operator="lessThan">
      <formula>20</formula>
    </cfRule>
    <cfRule type="cellIs" dxfId="1" priority="4317" operator="greaterThan">
      <formula>120</formula>
    </cfRule>
    <cfRule type="containsText" dxfId="0" priority="1702" operator="between" text="库存为">
      <formula>NOT(ISERROR(SEARCH("库存为",AU919)))</formula>
    </cfRule>
  </conditionalFormatting>
  <conditionalFormatting sqref="AU920">
    <cfRule type="cellIs" dxfId="2" priority="6931" operator="lessThan">
      <formula>20</formula>
    </cfRule>
    <cfRule type="cellIs" dxfId="1" priority="4316" operator="greaterThan">
      <formula>120</formula>
    </cfRule>
    <cfRule type="containsText" dxfId="0" priority="1701" operator="between" text="库存为">
      <formula>NOT(ISERROR(SEARCH("库存为",AU920)))</formula>
    </cfRule>
  </conditionalFormatting>
  <conditionalFormatting sqref="AU921">
    <cfRule type="cellIs" dxfId="2" priority="6930" operator="lessThan">
      <formula>20</formula>
    </cfRule>
    <cfRule type="cellIs" dxfId="1" priority="4315" operator="greaterThan">
      <formula>120</formula>
    </cfRule>
    <cfRule type="containsText" dxfId="0" priority="1700" operator="between" text="库存为">
      <formula>NOT(ISERROR(SEARCH("库存为",AU921)))</formula>
    </cfRule>
  </conditionalFormatting>
  <conditionalFormatting sqref="AU922">
    <cfRule type="cellIs" dxfId="2" priority="6929" operator="lessThan">
      <formula>20</formula>
    </cfRule>
    <cfRule type="cellIs" dxfId="1" priority="4314" operator="greaterThan">
      <formula>120</formula>
    </cfRule>
    <cfRule type="containsText" dxfId="0" priority="1699" operator="between" text="库存为">
      <formula>NOT(ISERROR(SEARCH("库存为",AU922)))</formula>
    </cfRule>
  </conditionalFormatting>
  <conditionalFormatting sqref="AU923">
    <cfRule type="cellIs" dxfId="2" priority="6928" operator="lessThan">
      <formula>20</formula>
    </cfRule>
    <cfRule type="cellIs" dxfId="1" priority="4313" operator="greaterThan">
      <formula>120</formula>
    </cfRule>
    <cfRule type="containsText" dxfId="0" priority="1698" operator="between" text="库存为">
      <formula>NOT(ISERROR(SEARCH("库存为",AU923)))</formula>
    </cfRule>
  </conditionalFormatting>
  <conditionalFormatting sqref="AU924">
    <cfRule type="cellIs" dxfId="2" priority="6927" operator="lessThan">
      <formula>20</formula>
    </cfRule>
    <cfRule type="cellIs" dxfId="1" priority="4312" operator="greaterThan">
      <formula>120</formula>
    </cfRule>
    <cfRule type="containsText" dxfId="0" priority="1697" operator="between" text="库存为">
      <formula>NOT(ISERROR(SEARCH("库存为",AU924)))</formula>
    </cfRule>
  </conditionalFormatting>
  <conditionalFormatting sqref="AU925">
    <cfRule type="cellIs" dxfId="2" priority="6926" operator="lessThan">
      <formula>20</formula>
    </cfRule>
    <cfRule type="cellIs" dxfId="1" priority="4311" operator="greaterThan">
      <formula>120</formula>
    </cfRule>
    <cfRule type="containsText" dxfId="0" priority="1696" operator="between" text="库存为">
      <formula>NOT(ISERROR(SEARCH("库存为",AU925)))</formula>
    </cfRule>
  </conditionalFormatting>
  <conditionalFormatting sqref="AU926">
    <cfRule type="cellIs" dxfId="2" priority="6925" operator="lessThan">
      <formula>20</formula>
    </cfRule>
    <cfRule type="cellIs" dxfId="1" priority="4310" operator="greaterThan">
      <formula>120</formula>
    </cfRule>
    <cfRule type="containsText" dxfId="0" priority="1695" operator="between" text="库存为">
      <formula>NOT(ISERROR(SEARCH("库存为",AU926)))</formula>
    </cfRule>
  </conditionalFormatting>
  <conditionalFormatting sqref="AU927">
    <cfRule type="cellIs" dxfId="2" priority="6924" operator="lessThan">
      <formula>20</formula>
    </cfRule>
    <cfRule type="cellIs" dxfId="1" priority="4309" operator="greaterThan">
      <formula>120</formula>
    </cfRule>
    <cfRule type="containsText" dxfId="0" priority="1694" operator="between" text="库存为">
      <formula>NOT(ISERROR(SEARCH("库存为",AU927)))</formula>
    </cfRule>
  </conditionalFormatting>
  <conditionalFormatting sqref="AU928">
    <cfRule type="cellIs" dxfId="2" priority="6923" operator="lessThan">
      <formula>20</formula>
    </cfRule>
    <cfRule type="cellIs" dxfId="1" priority="4308" operator="greaterThan">
      <formula>120</formula>
    </cfRule>
    <cfRule type="containsText" dxfId="0" priority="1693" operator="between" text="库存为">
      <formula>NOT(ISERROR(SEARCH("库存为",AU928)))</formula>
    </cfRule>
  </conditionalFormatting>
  <conditionalFormatting sqref="AU929">
    <cfRule type="cellIs" dxfId="2" priority="6922" operator="lessThan">
      <formula>20</formula>
    </cfRule>
    <cfRule type="cellIs" dxfId="1" priority="4307" operator="greaterThan">
      <formula>120</formula>
    </cfRule>
    <cfRule type="containsText" dxfId="0" priority="1692" operator="between" text="库存为">
      <formula>NOT(ISERROR(SEARCH("库存为",AU929)))</formula>
    </cfRule>
  </conditionalFormatting>
  <conditionalFormatting sqref="AU930">
    <cfRule type="cellIs" dxfId="2" priority="6921" operator="lessThan">
      <formula>20</formula>
    </cfRule>
    <cfRule type="cellIs" dxfId="1" priority="4306" operator="greaterThan">
      <formula>120</formula>
    </cfRule>
    <cfRule type="containsText" dxfId="0" priority="1691" operator="between" text="库存为">
      <formula>NOT(ISERROR(SEARCH("库存为",AU930)))</formula>
    </cfRule>
  </conditionalFormatting>
  <conditionalFormatting sqref="AU931">
    <cfRule type="cellIs" dxfId="2" priority="6920" operator="lessThan">
      <formula>20</formula>
    </cfRule>
    <cfRule type="cellIs" dxfId="1" priority="4305" operator="greaterThan">
      <formula>120</formula>
    </cfRule>
    <cfRule type="containsText" dxfId="0" priority="1690" operator="between" text="库存为">
      <formula>NOT(ISERROR(SEARCH("库存为",AU931)))</formula>
    </cfRule>
  </conditionalFormatting>
  <conditionalFormatting sqref="AU932">
    <cfRule type="cellIs" dxfId="2" priority="6919" operator="lessThan">
      <formula>20</formula>
    </cfRule>
    <cfRule type="cellIs" dxfId="1" priority="4304" operator="greaterThan">
      <formula>120</formula>
    </cfRule>
    <cfRule type="containsText" dxfId="0" priority="1689" operator="between" text="库存为">
      <formula>NOT(ISERROR(SEARCH("库存为",AU932)))</formula>
    </cfRule>
  </conditionalFormatting>
  <conditionalFormatting sqref="AU933">
    <cfRule type="cellIs" dxfId="2" priority="6918" operator="lessThan">
      <formula>20</formula>
    </cfRule>
    <cfRule type="cellIs" dxfId="1" priority="4303" operator="greaterThan">
      <formula>120</formula>
    </cfRule>
    <cfRule type="containsText" dxfId="0" priority="1688" operator="between" text="库存为">
      <formula>NOT(ISERROR(SEARCH("库存为",AU933)))</formula>
    </cfRule>
  </conditionalFormatting>
  <conditionalFormatting sqref="AU934">
    <cfRule type="cellIs" dxfId="2" priority="6917" operator="lessThan">
      <formula>20</formula>
    </cfRule>
    <cfRule type="cellIs" dxfId="1" priority="4302" operator="greaterThan">
      <formula>120</formula>
    </cfRule>
    <cfRule type="containsText" dxfId="0" priority="1687" operator="between" text="库存为">
      <formula>NOT(ISERROR(SEARCH("库存为",AU934)))</formula>
    </cfRule>
  </conditionalFormatting>
  <conditionalFormatting sqref="AU935">
    <cfRule type="cellIs" dxfId="2" priority="6916" operator="lessThan">
      <formula>20</formula>
    </cfRule>
    <cfRule type="cellIs" dxfId="1" priority="4301" operator="greaterThan">
      <formula>120</formula>
    </cfRule>
    <cfRule type="containsText" dxfId="0" priority="1686" operator="between" text="库存为">
      <formula>NOT(ISERROR(SEARCH("库存为",AU935)))</formula>
    </cfRule>
  </conditionalFormatting>
  <conditionalFormatting sqref="AU936">
    <cfRule type="cellIs" dxfId="2" priority="6915" operator="lessThan">
      <formula>20</formula>
    </cfRule>
    <cfRule type="cellIs" dxfId="1" priority="4300" operator="greaterThan">
      <formula>120</formula>
    </cfRule>
    <cfRule type="containsText" dxfId="0" priority="1685" operator="between" text="库存为">
      <formula>NOT(ISERROR(SEARCH("库存为",AU936)))</formula>
    </cfRule>
  </conditionalFormatting>
  <conditionalFormatting sqref="AU937">
    <cfRule type="cellIs" dxfId="2" priority="6914" operator="lessThan">
      <formula>20</formula>
    </cfRule>
    <cfRule type="cellIs" dxfId="1" priority="4299" operator="greaterThan">
      <formula>120</formula>
    </cfRule>
    <cfRule type="containsText" dxfId="0" priority="1684" operator="between" text="库存为">
      <formula>NOT(ISERROR(SEARCH("库存为",AU937)))</formula>
    </cfRule>
  </conditionalFormatting>
  <conditionalFormatting sqref="AU938">
    <cfRule type="cellIs" dxfId="2" priority="6913" operator="lessThan">
      <formula>20</formula>
    </cfRule>
    <cfRule type="cellIs" dxfId="1" priority="4298" operator="greaterThan">
      <formula>120</formula>
    </cfRule>
    <cfRule type="containsText" dxfId="0" priority="1683" operator="between" text="库存为">
      <formula>NOT(ISERROR(SEARCH("库存为",AU938)))</formula>
    </cfRule>
  </conditionalFormatting>
  <conditionalFormatting sqref="AU939">
    <cfRule type="cellIs" dxfId="2" priority="6912" operator="lessThan">
      <formula>20</formula>
    </cfRule>
    <cfRule type="cellIs" dxfId="1" priority="4297" operator="greaterThan">
      <formula>120</formula>
    </cfRule>
    <cfRule type="containsText" dxfId="0" priority="1682" operator="between" text="库存为">
      <formula>NOT(ISERROR(SEARCH("库存为",AU939)))</formula>
    </cfRule>
  </conditionalFormatting>
  <conditionalFormatting sqref="AU940">
    <cfRule type="cellIs" dxfId="2" priority="6911" operator="lessThan">
      <formula>20</formula>
    </cfRule>
    <cfRule type="cellIs" dxfId="1" priority="4296" operator="greaterThan">
      <formula>120</formula>
    </cfRule>
    <cfRule type="containsText" dxfId="0" priority="1681" operator="between" text="库存为">
      <formula>NOT(ISERROR(SEARCH("库存为",AU940)))</formula>
    </cfRule>
  </conditionalFormatting>
  <conditionalFormatting sqref="AU941">
    <cfRule type="cellIs" dxfId="2" priority="6910" operator="lessThan">
      <formula>20</formula>
    </cfRule>
    <cfRule type="cellIs" dxfId="1" priority="4295" operator="greaterThan">
      <formula>120</formula>
    </cfRule>
    <cfRule type="containsText" dxfId="0" priority="1680" operator="between" text="库存为">
      <formula>NOT(ISERROR(SEARCH("库存为",AU941)))</formula>
    </cfRule>
  </conditionalFormatting>
  <conditionalFormatting sqref="AU942">
    <cfRule type="cellIs" dxfId="2" priority="6909" operator="lessThan">
      <formula>20</formula>
    </cfRule>
    <cfRule type="cellIs" dxfId="1" priority="4294" operator="greaterThan">
      <formula>120</formula>
    </cfRule>
    <cfRule type="containsText" dxfId="0" priority="1679" operator="between" text="库存为">
      <formula>NOT(ISERROR(SEARCH("库存为",AU942)))</formula>
    </cfRule>
  </conditionalFormatting>
  <conditionalFormatting sqref="AU943">
    <cfRule type="cellIs" dxfId="2" priority="6908" operator="lessThan">
      <formula>20</formula>
    </cfRule>
    <cfRule type="cellIs" dxfId="1" priority="4293" operator="greaterThan">
      <formula>120</formula>
    </cfRule>
    <cfRule type="containsText" dxfId="0" priority="1678" operator="between" text="库存为">
      <formula>NOT(ISERROR(SEARCH("库存为",AU943)))</formula>
    </cfRule>
  </conditionalFormatting>
  <conditionalFormatting sqref="AU944">
    <cfRule type="cellIs" dxfId="2" priority="6907" operator="lessThan">
      <formula>20</formula>
    </cfRule>
    <cfRule type="cellIs" dxfId="1" priority="4292" operator="greaterThan">
      <formula>120</formula>
    </cfRule>
    <cfRule type="containsText" dxfId="0" priority="1677" operator="between" text="库存为">
      <formula>NOT(ISERROR(SEARCH("库存为",AU944)))</formula>
    </cfRule>
  </conditionalFormatting>
  <conditionalFormatting sqref="AU945">
    <cfRule type="cellIs" dxfId="2" priority="6906" operator="lessThan">
      <formula>20</formula>
    </cfRule>
    <cfRule type="cellIs" dxfId="1" priority="4291" operator="greaterThan">
      <formula>120</formula>
    </cfRule>
    <cfRule type="containsText" dxfId="0" priority="1676" operator="between" text="库存为">
      <formula>NOT(ISERROR(SEARCH("库存为",AU945)))</formula>
    </cfRule>
  </conditionalFormatting>
  <conditionalFormatting sqref="AU946">
    <cfRule type="cellIs" dxfId="2" priority="6905" operator="lessThan">
      <formula>20</formula>
    </cfRule>
    <cfRule type="cellIs" dxfId="1" priority="4290" operator="greaterThan">
      <formula>120</formula>
    </cfRule>
    <cfRule type="containsText" dxfId="0" priority="1675" operator="between" text="库存为">
      <formula>NOT(ISERROR(SEARCH("库存为",AU946)))</formula>
    </cfRule>
  </conditionalFormatting>
  <conditionalFormatting sqref="AU947">
    <cfRule type="cellIs" dxfId="2" priority="6904" operator="lessThan">
      <formula>20</formula>
    </cfRule>
    <cfRule type="cellIs" dxfId="1" priority="4289" operator="greaterThan">
      <formula>120</formula>
    </cfRule>
    <cfRule type="containsText" dxfId="0" priority="1674" operator="between" text="库存为">
      <formula>NOT(ISERROR(SEARCH("库存为",AU947)))</formula>
    </cfRule>
  </conditionalFormatting>
  <conditionalFormatting sqref="AU948">
    <cfRule type="cellIs" dxfId="2" priority="6903" operator="lessThan">
      <formula>20</formula>
    </cfRule>
    <cfRule type="cellIs" dxfId="1" priority="4288" operator="greaterThan">
      <formula>120</formula>
    </cfRule>
    <cfRule type="containsText" dxfId="0" priority="1673" operator="between" text="库存为">
      <formula>NOT(ISERROR(SEARCH("库存为",AU948)))</formula>
    </cfRule>
  </conditionalFormatting>
  <conditionalFormatting sqref="AU949">
    <cfRule type="cellIs" dxfId="2" priority="6902" operator="lessThan">
      <formula>20</formula>
    </cfRule>
    <cfRule type="cellIs" dxfId="1" priority="4287" operator="greaterThan">
      <formula>120</formula>
    </cfRule>
    <cfRule type="containsText" dxfId="0" priority="1672" operator="between" text="库存为">
      <formula>NOT(ISERROR(SEARCH("库存为",AU949)))</formula>
    </cfRule>
  </conditionalFormatting>
  <conditionalFormatting sqref="AU950">
    <cfRule type="cellIs" dxfId="2" priority="6901" operator="lessThan">
      <formula>20</formula>
    </cfRule>
    <cfRule type="cellIs" dxfId="1" priority="4286" operator="greaterThan">
      <formula>120</formula>
    </cfRule>
    <cfRule type="containsText" dxfId="0" priority="1671" operator="between" text="库存为">
      <formula>NOT(ISERROR(SEARCH("库存为",AU950)))</formula>
    </cfRule>
  </conditionalFormatting>
  <conditionalFormatting sqref="AU951">
    <cfRule type="cellIs" dxfId="2" priority="6900" operator="lessThan">
      <formula>20</formula>
    </cfRule>
    <cfRule type="cellIs" dxfId="1" priority="4285" operator="greaterThan">
      <formula>120</formula>
    </cfRule>
    <cfRule type="containsText" dxfId="0" priority="1670" operator="between" text="库存为">
      <formula>NOT(ISERROR(SEARCH("库存为",AU951)))</formula>
    </cfRule>
  </conditionalFormatting>
  <conditionalFormatting sqref="AU952">
    <cfRule type="cellIs" dxfId="2" priority="6899" operator="lessThan">
      <formula>20</formula>
    </cfRule>
    <cfRule type="cellIs" dxfId="1" priority="4284" operator="greaterThan">
      <formula>120</formula>
    </cfRule>
    <cfRule type="containsText" dxfId="0" priority="1669" operator="between" text="库存为">
      <formula>NOT(ISERROR(SEARCH("库存为",AU952)))</formula>
    </cfRule>
  </conditionalFormatting>
  <conditionalFormatting sqref="AU953">
    <cfRule type="cellIs" dxfId="2" priority="6898" operator="lessThan">
      <formula>20</formula>
    </cfRule>
    <cfRule type="cellIs" dxfId="1" priority="4283" operator="greaterThan">
      <formula>120</formula>
    </cfRule>
    <cfRule type="containsText" dxfId="0" priority="1668" operator="between" text="库存为">
      <formula>NOT(ISERROR(SEARCH("库存为",AU953)))</formula>
    </cfRule>
  </conditionalFormatting>
  <conditionalFormatting sqref="AU954">
    <cfRule type="cellIs" dxfId="2" priority="6897" operator="lessThan">
      <formula>20</formula>
    </cfRule>
    <cfRule type="cellIs" dxfId="1" priority="4282" operator="greaterThan">
      <formula>120</formula>
    </cfRule>
    <cfRule type="containsText" dxfId="0" priority="1667" operator="between" text="库存为">
      <formula>NOT(ISERROR(SEARCH("库存为",AU954)))</formula>
    </cfRule>
  </conditionalFormatting>
  <conditionalFormatting sqref="AU955">
    <cfRule type="cellIs" dxfId="2" priority="6896" operator="lessThan">
      <formula>20</formula>
    </cfRule>
    <cfRule type="cellIs" dxfId="1" priority="4281" operator="greaterThan">
      <formula>120</formula>
    </cfRule>
    <cfRule type="containsText" dxfId="0" priority="1666" operator="between" text="库存为">
      <formula>NOT(ISERROR(SEARCH("库存为",AU955)))</formula>
    </cfRule>
  </conditionalFormatting>
  <conditionalFormatting sqref="AU956">
    <cfRule type="cellIs" dxfId="2" priority="6895" operator="lessThan">
      <formula>20</formula>
    </cfRule>
    <cfRule type="cellIs" dxfId="1" priority="4280" operator="greaterThan">
      <formula>120</formula>
    </cfRule>
    <cfRule type="containsText" dxfId="0" priority="1665" operator="between" text="库存为">
      <formula>NOT(ISERROR(SEARCH("库存为",AU956)))</formula>
    </cfRule>
  </conditionalFormatting>
  <conditionalFormatting sqref="AU957">
    <cfRule type="cellIs" dxfId="2" priority="6894" operator="lessThan">
      <formula>20</formula>
    </cfRule>
    <cfRule type="cellIs" dxfId="1" priority="4279" operator="greaterThan">
      <formula>120</formula>
    </cfRule>
    <cfRule type="containsText" dxfId="0" priority="1664" operator="between" text="库存为">
      <formula>NOT(ISERROR(SEARCH("库存为",AU957)))</formula>
    </cfRule>
  </conditionalFormatting>
  <conditionalFormatting sqref="AU958">
    <cfRule type="cellIs" dxfId="2" priority="6893" operator="lessThan">
      <formula>20</formula>
    </cfRule>
    <cfRule type="cellIs" dxfId="1" priority="4278" operator="greaterThan">
      <formula>120</formula>
    </cfRule>
    <cfRule type="containsText" dxfId="0" priority="1663" operator="between" text="库存为">
      <formula>NOT(ISERROR(SEARCH("库存为",AU958)))</formula>
    </cfRule>
  </conditionalFormatting>
  <conditionalFormatting sqref="AU959">
    <cfRule type="cellIs" dxfId="2" priority="6892" operator="lessThan">
      <formula>20</formula>
    </cfRule>
    <cfRule type="cellIs" dxfId="1" priority="4277" operator="greaterThan">
      <formula>120</formula>
    </cfRule>
    <cfRule type="containsText" dxfId="0" priority="1662" operator="between" text="库存为">
      <formula>NOT(ISERROR(SEARCH("库存为",AU959)))</formula>
    </cfRule>
  </conditionalFormatting>
  <conditionalFormatting sqref="AU960">
    <cfRule type="cellIs" dxfId="2" priority="6891" operator="lessThan">
      <formula>20</formula>
    </cfRule>
    <cfRule type="cellIs" dxfId="1" priority="4276" operator="greaterThan">
      <formula>120</formula>
    </cfRule>
    <cfRule type="containsText" dxfId="0" priority="1661" operator="between" text="库存为">
      <formula>NOT(ISERROR(SEARCH("库存为",AU960)))</formula>
    </cfRule>
  </conditionalFormatting>
  <conditionalFormatting sqref="AU961">
    <cfRule type="cellIs" dxfId="2" priority="6890" operator="lessThan">
      <formula>20</formula>
    </cfRule>
    <cfRule type="cellIs" dxfId="1" priority="4275" operator="greaterThan">
      <formula>120</formula>
    </cfRule>
    <cfRule type="containsText" dxfId="0" priority="1660" operator="between" text="库存为">
      <formula>NOT(ISERROR(SEARCH("库存为",AU961)))</formula>
    </cfRule>
  </conditionalFormatting>
  <conditionalFormatting sqref="AU962">
    <cfRule type="cellIs" dxfId="2" priority="6889" operator="lessThan">
      <formula>20</formula>
    </cfRule>
    <cfRule type="cellIs" dxfId="1" priority="4274" operator="greaterThan">
      <formula>120</formula>
    </cfRule>
    <cfRule type="containsText" dxfId="0" priority="1659" operator="between" text="库存为">
      <formula>NOT(ISERROR(SEARCH("库存为",AU962)))</formula>
    </cfRule>
  </conditionalFormatting>
  <conditionalFormatting sqref="AU963">
    <cfRule type="cellIs" dxfId="2" priority="6888" operator="lessThan">
      <formula>20</formula>
    </cfRule>
    <cfRule type="cellIs" dxfId="1" priority="4273" operator="greaterThan">
      <formula>120</formula>
    </cfRule>
    <cfRule type="containsText" dxfId="0" priority="1658" operator="between" text="库存为">
      <formula>NOT(ISERROR(SEARCH("库存为",AU963)))</formula>
    </cfRule>
  </conditionalFormatting>
  <conditionalFormatting sqref="AU964">
    <cfRule type="cellIs" dxfId="2" priority="6887" operator="lessThan">
      <formula>20</formula>
    </cfRule>
    <cfRule type="cellIs" dxfId="1" priority="4272" operator="greaterThan">
      <formula>120</formula>
    </cfRule>
    <cfRule type="containsText" dxfId="0" priority="1657" operator="between" text="库存为">
      <formula>NOT(ISERROR(SEARCH("库存为",AU964)))</formula>
    </cfRule>
  </conditionalFormatting>
  <conditionalFormatting sqref="AU965">
    <cfRule type="cellIs" dxfId="2" priority="6886" operator="lessThan">
      <formula>20</formula>
    </cfRule>
    <cfRule type="cellIs" dxfId="1" priority="4271" operator="greaterThan">
      <formula>120</formula>
    </cfRule>
    <cfRule type="containsText" dxfId="0" priority="1656" operator="between" text="库存为">
      <formula>NOT(ISERROR(SEARCH("库存为",AU965)))</formula>
    </cfRule>
  </conditionalFormatting>
  <conditionalFormatting sqref="AU966">
    <cfRule type="cellIs" dxfId="2" priority="6885" operator="lessThan">
      <formula>20</formula>
    </cfRule>
    <cfRule type="cellIs" dxfId="1" priority="4270" operator="greaterThan">
      <formula>120</formula>
    </cfRule>
    <cfRule type="containsText" dxfId="0" priority="1655" operator="between" text="库存为">
      <formula>NOT(ISERROR(SEARCH("库存为",AU966)))</formula>
    </cfRule>
  </conditionalFormatting>
  <conditionalFormatting sqref="AU967">
    <cfRule type="cellIs" dxfId="2" priority="6884" operator="lessThan">
      <formula>20</formula>
    </cfRule>
    <cfRule type="cellIs" dxfId="1" priority="4269" operator="greaterThan">
      <formula>120</formula>
    </cfRule>
    <cfRule type="containsText" dxfId="0" priority="1654" operator="between" text="库存为">
      <formula>NOT(ISERROR(SEARCH("库存为",AU967)))</formula>
    </cfRule>
  </conditionalFormatting>
  <conditionalFormatting sqref="AU968">
    <cfRule type="cellIs" dxfId="2" priority="6883" operator="lessThan">
      <formula>20</formula>
    </cfRule>
    <cfRule type="cellIs" dxfId="1" priority="4268" operator="greaterThan">
      <formula>120</formula>
    </cfRule>
    <cfRule type="containsText" dxfId="0" priority="1653" operator="between" text="库存为">
      <formula>NOT(ISERROR(SEARCH("库存为",AU968)))</formula>
    </cfRule>
  </conditionalFormatting>
  <conditionalFormatting sqref="AU969">
    <cfRule type="cellIs" dxfId="2" priority="6882" operator="lessThan">
      <formula>20</formula>
    </cfRule>
    <cfRule type="cellIs" dxfId="1" priority="4267" operator="greaterThan">
      <formula>120</formula>
    </cfRule>
    <cfRule type="containsText" dxfId="0" priority="1652" operator="between" text="库存为">
      <formula>NOT(ISERROR(SEARCH("库存为",AU969)))</formula>
    </cfRule>
  </conditionalFormatting>
  <conditionalFormatting sqref="AU970">
    <cfRule type="cellIs" dxfId="2" priority="6881" operator="lessThan">
      <formula>20</formula>
    </cfRule>
    <cfRule type="cellIs" dxfId="1" priority="4266" operator="greaterThan">
      <formula>120</formula>
    </cfRule>
    <cfRule type="containsText" dxfId="0" priority="1651" operator="between" text="库存为">
      <formula>NOT(ISERROR(SEARCH("库存为",AU970)))</formula>
    </cfRule>
  </conditionalFormatting>
  <conditionalFormatting sqref="AU971">
    <cfRule type="cellIs" dxfId="2" priority="6880" operator="lessThan">
      <formula>20</formula>
    </cfRule>
    <cfRule type="cellIs" dxfId="1" priority="4265" operator="greaterThan">
      <formula>120</formula>
    </cfRule>
    <cfRule type="containsText" dxfId="0" priority="1650" operator="between" text="库存为">
      <formula>NOT(ISERROR(SEARCH("库存为",AU971)))</formula>
    </cfRule>
  </conditionalFormatting>
  <conditionalFormatting sqref="AU972">
    <cfRule type="cellIs" dxfId="2" priority="6879" operator="lessThan">
      <formula>20</formula>
    </cfRule>
    <cfRule type="cellIs" dxfId="1" priority="4264" operator="greaterThan">
      <formula>120</formula>
    </cfRule>
    <cfRule type="containsText" dxfId="0" priority="1649" operator="between" text="库存为">
      <formula>NOT(ISERROR(SEARCH("库存为",AU972)))</formula>
    </cfRule>
  </conditionalFormatting>
  <conditionalFormatting sqref="AU973">
    <cfRule type="cellIs" dxfId="2" priority="6878" operator="lessThan">
      <formula>20</formula>
    </cfRule>
    <cfRule type="cellIs" dxfId="1" priority="4263" operator="greaterThan">
      <formula>120</formula>
    </cfRule>
    <cfRule type="containsText" dxfId="0" priority="1648" operator="between" text="库存为">
      <formula>NOT(ISERROR(SEARCH("库存为",AU973)))</formula>
    </cfRule>
  </conditionalFormatting>
  <conditionalFormatting sqref="AU974">
    <cfRule type="cellIs" dxfId="2" priority="6877" operator="lessThan">
      <formula>20</formula>
    </cfRule>
    <cfRule type="cellIs" dxfId="1" priority="4262" operator="greaterThan">
      <formula>120</formula>
    </cfRule>
    <cfRule type="containsText" dxfId="0" priority="1647" operator="between" text="库存为">
      <formula>NOT(ISERROR(SEARCH("库存为",AU974)))</formula>
    </cfRule>
  </conditionalFormatting>
  <conditionalFormatting sqref="AU975">
    <cfRule type="cellIs" dxfId="2" priority="6876" operator="lessThan">
      <formula>20</formula>
    </cfRule>
    <cfRule type="cellIs" dxfId="1" priority="4261" operator="greaterThan">
      <formula>120</formula>
    </cfRule>
    <cfRule type="containsText" dxfId="0" priority="1646" operator="between" text="库存为">
      <formula>NOT(ISERROR(SEARCH("库存为",AU975)))</formula>
    </cfRule>
  </conditionalFormatting>
  <conditionalFormatting sqref="AU976">
    <cfRule type="cellIs" dxfId="2" priority="6875" operator="lessThan">
      <formula>20</formula>
    </cfRule>
    <cfRule type="cellIs" dxfId="1" priority="4260" operator="greaterThan">
      <formula>120</formula>
    </cfRule>
    <cfRule type="containsText" dxfId="0" priority="1645" operator="between" text="库存为">
      <formula>NOT(ISERROR(SEARCH("库存为",AU976)))</formula>
    </cfRule>
  </conditionalFormatting>
  <conditionalFormatting sqref="AU977">
    <cfRule type="cellIs" dxfId="2" priority="6874" operator="lessThan">
      <formula>20</formula>
    </cfRule>
    <cfRule type="cellIs" dxfId="1" priority="4259" operator="greaterThan">
      <formula>120</formula>
    </cfRule>
    <cfRule type="containsText" dxfId="0" priority="1644" operator="between" text="库存为">
      <formula>NOT(ISERROR(SEARCH("库存为",AU977)))</formula>
    </cfRule>
  </conditionalFormatting>
  <conditionalFormatting sqref="AU978">
    <cfRule type="cellIs" dxfId="2" priority="6873" operator="lessThan">
      <formula>20</formula>
    </cfRule>
    <cfRule type="cellIs" dxfId="1" priority="4258" operator="greaterThan">
      <formula>120</formula>
    </cfRule>
    <cfRule type="containsText" dxfId="0" priority="1643" operator="between" text="库存为">
      <formula>NOT(ISERROR(SEARCH("库存为",AU978)))</formula>
    </cfRule>
  </conditionalFormatting>
  <conditionalFormatting sqref="AU979">
    <cfRule type="cellIs" dxfId="2" priority="6872" operator="lessThan">
      <formula>20</formula>
    </cfRule>
    <cfRule type="cellIs" dxfId="1" priority="4257" operator="greaterThan">
      <formula>120</formula>
    </cfRule>
    <cfRule type="containsText" dxfId="0" priority="1642" operator="between" text="库存为">
      <formula>NOT(ISERROR(SEARCH("库存为",AU979)))</formula>
    </cfRule>
  </conditionalFormatting>
  <conditionalFormatting sqref="AU980">
    <cfRule type="cellIs" dxfId="2" priority="6871" operator="lessThan">
      <formula>20</formula>
    </cfRule>
    <cfRule type="cellIs" dxfId="1" priority="4256" operator="greaterThan">
      <formula>120</formula>
    </cfRule>
    <cfRule type="containsText" dxfId="0" priority="1641" operator="between" text="库存为">
      <formula>NOT(ISERROR(SEARCH("库存为",AU980)))</formula>
    </cfRule>
  </conditionalFormatting>
  <conditionalFormatting sqref="AU981">
    <cfRule type="cellIs" dxfId="2" priority="6870" operator="lessThan">
      <formula>20</formula>
    </cfRule>
    <cfRule type="cellIs" dxfId="1" priority="4255" operator="greaterThan">
      <formula>120</formula>
    </cfRule>
    <cfRule type="containsText" dxfId="0" priority="1640" operator="between" text="库存为">
      <formula>NOT(ISERROR(SEARCH("库存为",AU981)))</formula>
    </cfRule>
  </conditionalFormatting>
  <conditionalFormatting sqref="AU982">
    <cfRule type="cellIs" dxfId="2" priority="6869" operator="lessThan">
      <formula>20</formula>
    </cfRule>
    <cfRule type="cellIs" dxfId="1" priority="4254" operator="greaterThan">
      <formula>120</formula>
    </cfRule>
    <cfRule type="containsText" dxfId="0" priority="1639" operator="between" text="库存为">
      <formula>NOT(ISERROR(SEARCH("库存为",AU982)))</formula>
    </cfRule>
  </conditionalFormatting>
  <conditionalFormatting sqref="AU983">
    <cfRule type="cellIs" dxfId="2" priority="6868" operator="lessThan">
      <formula>20</formula>
    </cfRule>
    <cfRule type="cellIs" dxfId="1" priority="4253" operator="greaterThan">
      <formula>120</formula>
    </cfRule>
    <cfRule type="containsText" dxfId="0" priority="1638" operator="between" text="库存为">
      <formula>NOT(ISERROR(SEARCH("库存为",AU983)))</formula>
    </cfRule>
  </conditionalFormatting>
  <conditionalFormatting sqref="AU984">
    <cfRule type="cellIs" dxfId="2" priority="6867" operator="lessThan">
      <formula>20</formula>
    </cfRule>
    <cfRule type="cellIs" dxfId="1" priority="4252" operator="greaterThan">
      <formula>120</formula>
    </cfRule>
    <cfRule type="containsText" dxfId="0" priority="1637" operator="between" text="库存为">
      <formula>NOT(ISERROR(SEARCH("库存为",AU984)))</formula>
    </cfRule>
  </conditionalFormatting>
  <conditionalFormatting sqref="AU985">
    <cfRule type="cellIs" dxfId="2" priority="6866" operator="lessThan">
      <formula>20</formula>
    </cfRule>
    <cfRule type="cellIs" dxfId="1" priority="4251" operator="greaterThan">
      <formula>120</formula>
    </cfRule>
    <cfRule type="containsText" dxfId="0" priority="1636" operator="between" text="库存为">
      <formula>NOT(ISERROR(SEARCH("库存为",AU985)))</formula>
    </cfRule>
  </conditionalFormatting>
  <conditionalFormatting sqref="AU986">
    <cfRule type="cellIs" dxfId="2" priority="6865" operator="lessThan">
      <formula>20</formula>
    </cfRule>
    <cfRule type="cellIs" dxfId="1" priority="4250" operator="greaterThan">
      <formula>120</formula>
    </cfRule>
    <cfRule type="containsText" dxfId="0" priority="1635" operator="between" text="库存为">
      <formula>NOT(ISERROR(SEARCH("库存为",AU986)))</formula>
    </cfRule>
  </conditionalFormatting>
  <conditionalFormatting sqref="AU987">
    <cfRule type="cellIs" dxfId="2" priority="6864" operator="lessThan">
      <formula>20</formula>
    </cfRule>
    <cfRule type="cellIs" dxfId="1" priority="4249" operator="greaterThan">
      <formula>120</formula>
    </cfRule>
    <cfRule type="containsText" dxfId="0" priority="1634" operator="between" text="库存为">
      <formula>NOT(ISERROR(SEARCH("库存为",AU987)))</formula>
    </cfRule>
  </conditionalFormatting>
  <conditionalFormatting sqref="AU988">
    <cfRule type="cellIs" dxfId="2" priority="6863" operator="lessThan">
      <formula>20</formula>
    </cfRule>
    <cfRule type="cellIs" dxfId="1" priority="4248" operator="greaterThan">
      <formula>120</formula>
    </cfRule>
    <cfRule type="containsText" dxfId="0" priority="1633" operator="between" text="库存为">
      <formula>NOT(ISERROR(SEARCH("库存为",AU988)))</formula>
    </cfRule>
  </conditionalFormatting>
  <conditionalFormatting sqref="AU989">
    <cfRule type="cellIs" dxfId="2" priority="6862" operator="lessThan">
      <formula>20</formula>
    </cfRule>
    <cfRule type="cellIs" dxfId="1" priority="4247" operator="greaterThan">
      <formula>120</formula>
    </cfRule>
    <cfRule type="containsText" dxfId="0" priority="1632" operator="between" text="库存为">
      <formula>NOT(ISERROR(SEARCH("库存为",AU989)))</formula>
    </cfRule>
  </conditionalFormatting>
  <conditionalFormatting sqref="AU990">
    <cfRule type="cellIs" dxfId="2" priority="6861" operator="lessThan">
      <formula>20</formula>
    </cfRule>
    <cfRule type="cellIs" dxfId="1" priority="4246" operator="greaterThan">
      <formula>120</formula>
    </cfRule>
    <cfRule type="containsText" dxfId="0" priority="1631" operator="between" text="库存为">
      <formula>NOT(ISERROR(SEARCH("库存为",AU990)))</formula>
    </cfRule>
  </conditionalFormatting>
  <conditionalFormatting sqref="AU991">
    <cfRule type="cellIs" dxfId="2" priority="6860" operator="lessThan">
      <formula>20</formula>
    </cfRule>
    <cfRule type="cellIs" dxfId="1" priority="4245" operator="greaterThan">
      <formula>120</formula>
    </cfRule>
    <cfRule type="containsText" dxfId="0" priority="1630" operator="between" text="库存为">
      <formula>NOT(ISERROR(SEARCH("库存为",AU991)))</formula>
    </cfRule>
  </conditionalFormatting>
  <conditionalFormatting sqref="AU992">
    <cfRule type="cellIs" dxfId="2" priority="6859" operator="lessThan">
      <formula>20</formula>
    </cfRule>
    <cfRule type="cellIs" dxfId="1" priority="4244" operator="greaterThan">
      <formula>120</formula>
    </cfRule>
    <cfRule type="containsText" dxfId="0" priority="1629" operator="between" text="库存为">
      <formula>NOT(ISERROR(SEARCH("库存为",AU992)))</formula>
    </cfRule>
  </conditionalFormatting>
  <conditionalFormatting sqref="AU993">
    <cfRule type="cellIs" dxfId="2" priority="6858" operator="lessThan">
      <formula>20</formula>
    </cfRule>
    <cfRule type="cellIs" dxfId="1" priority="4243" operator="greaterThan">
      <formula>120</formula>
    </cfRule>
    <cfRule type="containsText" dxfId="0" priority="1628" operator="between" text="库存为">
      <formula>NOT(ISERROR(SEARCH("库存为",AU993)))</formula>
    </cfRule>
  </conditionalFormatting>
  <conditionalFormatting sqref="AU994">
    <cfRule type="cellIs" dxfId="2" priority="6857" operator="lessThan">
      <formula>20</formula>
    </cfRule>
    <cfRule type="cellIs" dxfId="1" priority="4242" operator="greaterThan">
      <formula>120</formula>
    </cfRule>
    <cfRule type="containsText" dxfId="0" priority="1627" operator="between" text="库存为">
      <formula>NOT(ISERROR(SEARCH("库存为",AU994)))</formula>
    </cfRule>
  </conditionalFormatting>
  <conditionalFormatting sqref="AU995">
    <cfRule type="cellIs" dxfId="2" priority="6856" operator="lessThan">
      <formula>20</formula>
    </cfRule>
    <cfRule type="cellIs" dxfId="1" priority="4241" operator="greaterThan">
      <formula>120</formula>
    </cfRule>
    <cfRule type="containsText" dxfId="0" priority="1626" operator="between" text="库存为">
      <formula>NOT(ISERROR(SEARCH("库存为",AU995)))</formula>
    </cfRule>
  </conditionalFormatting>
  <conditionalFormatting sqref="AU996">
    <cfRule type="cellIs" dxfId="2" priority="6855" operator="lessThan">
      <formula>20</formula>
    </cfRule>
    <cfRule type="cellIs" dxfId="1" priority="4240" operator="greaterThan">
      <formula>120</formula>
    </cfRule>
    <cfRule type="containsText" dxfId="0" priority="1625" operator="between" text="库存为">
      <formula>NOT(ISERROR(SEARCH("库存为",AU996)))</formula>
    </cfRule>
  </conditionalFormatting>
  <conditionalFormatting sqref="AU997">
    <cfRule type="cellIs" dxfId="2" priority="6854" operator="lessThan">
      <formula>20</formula>
    </cfRule>
    <cfRule type="cellIs" dxfId="1" priority="4239" operator="greaterThan">
      <formula>120</formula>
    </cfRule>
    <cfRule type="containsText" dxfId="0" priority="1624" operator="between" text="库存为">
      <formula>NOT(ISERROR(SEARCH("库存为",AU997)))</formula>
    </cfRule>
  </conditionalFormatting>
  <conditionalFormatting sqref="AU998">
    <cfRule type="cellIs" dxfId="2" priority="6853" operator="lessThan">
      <formula>20</formula>
    </cfRule>
    <cfRule type="cellIs" dxfId="1" priority="4238" operator="greaterThan">
      <formula>120</formula>
    </cfRule>
    <cfRule type="containsText" dxfId="0" priority="1623" operator="between" text="库存为">
      <formula>NOT(ISERROR(SEARCH("库存为",AU998)))</formula>
    </cfRule>
  </conditionalFormatting>
  <conditionalFormatting sqref="AU999">
    <cfRule type="cellIs" dxfId="2" priority="6852" operator="lessThan">
      <formula>20</formula>
    </cfRule>
    <cfRule type="cellIs" dxfId="1" priority="4237" operator="greaterThan">
      <formula>120</formula>
    </cfRule>
    <cfRule type="containsText" dxfId="0" priority="1622" operator="between" text="库存为">
      <formula>NOT(ISERROR(SEARCH("库存为",AU999)))</formula>
    </cfRule>
  </conditionalFormatting>
  <conditionalFormatting sqref="AU1000">
    <cfRule type="cellIs" dxfId="2" priority="6851" operator="lessThan">
      <formula>20</formula>
    </cfRule>
    <cfRule type="cellIs" dxfId="1" priority="4236" operator="greaterThan">
      <formula>120</formula>
    </cfRule>
    <cfRule type="containsText" dxfId="0" priority="1621" operator="between" text="库存为">
      <formula>NOT(ISERROR(SEARCH("库存为",AU1000)))</formula>
    </cfRule>
  </conditionalFormatting>
  <conditionalFormatting sqref="AU1001">
    <cfRule type="cellIs" dxfId="2" priority="6850" operator="lessThan">
      <formula>20</formula>
    </cfRule>
    <cfRule type="cellIs" dxfId="1" priority="4235" operator="greaterThan">
      <formula>120</formula>
    </cfRule>
    <cfRule type="containsText" dxfId="0" priority="1620" operator="between" text="库存为">
      <formula>NOT(ISERROR(SEARCH("库存为",AU1001)))</formula>
    </cfRule>
  </conditionalFormatting>
  <conditionalFormatting sqref="AU1002">
    <cfRule type="cellIs" dxfId="2" priority="6849" operator="lessThan">
      <formula>20</formula>
    </cfRule>
    <cfRule type="cellIs" dxfId="1" priority="4234" operator="greaterThan">
      <formula>120</formula>
    </cfRule>
    <cfRule type="containsText" dxfId="0" priority="1619" operator="between" text="库存为">
      <formula>NOT(ISERROR(SEARCH("库存为",AU1002)))</formula>
    </cfRule>
  </conditionalFormatting>
  <conditionalFormatting sqref="AU1003">
    <cfRule type="cellIs" dxfId="2" priority="6848" operator="lessThan">
      <formula>20</formula>
    </cfRule>
    <cfRule type="cellIs" dxfId="1" priority="4233" operator="greaterThan">
      <formula>120</formula>
    </cfRule>
    <cfRule type="containsText" dxfId="0" priority="1618" operator="between" text="库存为">
      <formula>NOT(ISERROR(SEARCH("库存为",AU1003)))</formula>
    </cfRule>
  </conditionalFormatting>
  <conditionalFormatting sqref="AU1004">
    <cfRule type="cellIs" dxfId="2" priority="6847" operator="lessThan">
      <formula>20</formula>
    </cfRule>
    <cfRule type="cellIs" dxfId="1" priority="4232" operator="greaterThan">
      <formula>120</formula>
    </cfRule>
    <cfRule type="containsText" dxfId="0" priority="1617" operator="between" text="库存为">
      <formula>NOT(ISERROR(SEARCH("库存为",AU1004)))</formula>
    </cfRule>
  </conditionalFormatting>
  <conditionalFormatting sqref="AU1005">
    <cfRule type="cellIs" dxfId="2" priority="6846" operator="lessThan">
      <formula>20</formula>
    </cfRule>
    <cfRule type="cellIs" dxfId="1" priority="4231" operator="greaterThan">
      <formula>120</formula>
    </cfRule>
    <cfRule type="containsText" dxfId="0" priority="1616" operator="between" text="库存为">
      <formula>NOT(ISERROR(SEARCH("库存为",AU1005)))</formula>
    </cfRule>
  </conditionalFormatting>
  <conditionalFormatting sqref="AU1006">
    <cfRule type="cellIs" dxfId="2" priority="6845" operator="lessThan">
      <formula>20</formula>
    </cfRule>
    <cfRule type="cellIs" dxfId="1" priority="4230" operator="greaterThan">
      <formula>120</formula>
    </cfRule>
    <cfRule type="containsText" dxfId="0" priority="1615" operator="between" text="库存为">
      <formula>NOT(ISERROR(SEARCH("库存为",AU1006)))</formula>
    </cfRule>
  </conditionalFormatting>
  <conditionalFormatting sqref="AU1007">
    <cfRule type="cellIs" dxfId="2" priority="6844" operator="lessThan">
      <formula>20</formula>
    </cfRule>
    <cfRule type="cellIs" dxfId="1" priority="4229" operator="greaterThan">
      <formula>120</formula>
    </cfRule>
    <cfRule type="containsText" dxfId="0" priority="1614" operator="between" text="库存为">
      <formula>NOT(ISERROR(SEARCH("库存为",AU1007)))</formula>
    </cfRule>
  </conditionalFormatting>
  <conditionalFormatting sqref="AU1008">
    <cfRule type="cellIs" dxfId="2" priority="6843" operator="lessThan">
      <formula>20</formula>
    </cfRule>
    <cfRule type="cellIs" dxfId="1" priority="4228" operator="greaterThan">
      <formula>120</formula>
    </cfRule>
    <cfRule type="containsText" dxfId="0" priority="1613" operator="between" text="库存为">
      <formula>NOT(ISERROR(SEARCH("库存为",AU1008)))</formula>
    </cfRule>
  </conditionalFormatting>
  <conditionalFormatting sqref="AU1009">
    <cfRule type="cellIs" dxfId="2" priority="6842" operator="lessThan">
      <formula>20</formula>
    </cfRule>
    <cfRule type="cellIs" dxfId="1" priority="4227" operator="greaterThan">
      <formula>120</formula>
    </cfRule>
    <cfRule type="containsText" dxfId="0" priority="1612" operator="between" text="库存为">
      <formula>NOT(ISERROR(SEARCH("库存为",AU1009)))</formula>
    </cfRule>
  </conditionalFormatting>
  <conditionalFormatting sqref="AU1010">
    <cfRule type="cellIs" dxfId="2" priority="6841" operator="lessThan">
      <formula>20</formula>
    </cfRule>
    <cfRule type="cellIs" dxfId="1" priority="4226" operator="greaterThan">
      <formula>120</formula>
    </cfRule>
    <cfRule type="containsText" dxfId="0" priority="1611" operator="between" text="库存为">
      <formula>NOT(ISERROR(SEARCH("库存为",AU1010)))</formula>
    </cfRule>
  </conditionalFormatting>
  <conditionalFormatting sqref="AU1011">
    <cfRule type="cellIs" dxfId="2" priority="6840" operator="lessThan">
      <formula>20</formula>
    </cfRule>
    <cfRule type="cellIs" dxfId="1" priority="4225" operator="greaterThan">
      <formula>120</formula>
    </cfRule>
    <cfRule type="containsText" dxfId="0" priority="1610" operator="between" text="库存为">
      <formula>NOT(ISERROR(SEARCH("库存为",AU1011)))</formula>
    </cfRule>
  </conditionalFormatting>
  <conditionalFormatting sqref="AU1012">
    <cfRule type="cellIs" dxfId="2" priority="6839" operator="lessThan">
      <formula>20</formula>
    </cfRule>
    <cfRule type="cellIs" dxfId="1" priority="4224" operator="greaterThan">
      <formula>120</formula>
    </cfRule>
    <cfRule type="containsText" dxfId="0" priority="1609" operator="between" text="库存为">
      <formula>NOT(ISERROR(SEARCH("库存为",AU1012)))</formula>
    </cfRule>
  </conditionalFormatting>
  <conditionalFormatting sqref="AU1013">
    <cfRule type="cellIs" dxfId="2" priority="6838" operator="lessThan">
      <formula>20</formula>
    </cfRule>
    <cfRule type="cellIs" dxfId="1" priority="4223" operator="greaterThan">
      <formula>120</formula>
    </cfRule>
    <cfRule type="containsText" dxfId="0" priority="1608" operator="between" text="库存为">
      <formula>NOT(ISERROR(SEARCH("库存为",AU1013)))</formula>
    </cfRule>
  </conditionalFormatting>
  <conditionalFormatting sqref="AU1014">
    <cfRule type="cellIs" dxfId="2" priority="6837" operator="lessThan">
      <formula>20</formula>
    </cfRule>
    <cfRule type="cellIs" dxfId="1" priority="4222" operator="greaterThan">
      <formula>120</formula>
    </cfRule>
    <cfRule type="containsText" dxfId="0" priority="1607" operator="between" text="库存为">
      <formula>NOT(ISERROR(SEARCH("库存为",AU1014)))</formula>
    </cfRule>
  </conditionalFormatting>
  <conditionalFormatting sqref="AU1015">
    <cfRule type="cellIs" dxfId="2" priority="6836" operator="lessThan">
      <formula>20</formula>
    </cfRule>
    <cfRule type="cellIs" dxfId="1" priority="4221" operator="greaterThan">
      <formula>120</formula>
    </cfRule>
    <cfRule type="containsText" dxfId="0" priority="1606" operator="between" text="库存为">
      <formula>NOT(ISERROR(SEARCH("库存为",AU1015)))</formula>
    </cfRule>
  </conditionalFormatting>
  <conditionalFormatting sqref="AU1016">
    <cfRule type="cellIs" dxfId="2" priority="6835" operator="lessThan">
      <formula>20</formula>
    </cfRule>
    <cfRule type="cellIs" dxfId="1" priority="4220" operator="greaterThan">
      <formula>120</formula>
    </cfRule>
    <cfRule type="containsText" dxfId="0" priority="1605" operator="between" text="库存为">
      <formula>NOT(ISERROR(SEARCH("库存为",AU1016)))</formula>
    </cfRule>
  </conditionalFormatting>
  <conditionalFormatting sqref="AU1017">
    <cfRule type="cellIs" dxfId="2" priority="6834" operator="lessThan">
      <formula>20</formula>
    </cfRule>
    <cfRule type="cellIs" dxfId="1" priority="4219" operator="greaterThan">
      <formula>120</formula>
    </cfRule>
    <cfRule type="containsText" dxfId="0" priority="1604" operator="between" text="库存为">
      <formula>NOT(ISERROR(SEARCH("库存为",AU1017)))</formula>
    </cfRule>
  </conditionalFormatting>
  <conditionalFormatting sqref="AU1018">
    <cfRule type="cellIs" dxfId="2" priority="6833" operator="lessThan">
      <formula>20</formula>
    </cfRule>
    <cfRule type="cellIs" dxfId="1" priority="4218" operator="greaterThan">
      <formula>120</formula>
    </cfRule>
    <cfRule type="containsText" dxfId="0" priority="1603" operator="between" text="库存为">
      <formula>NOT(ISERROR(SEARCH("库存为",AU1018)))</formula>
    </cfRule>
  </conditionalFormatting>
  <conditionalFormatting sqref="AU1019">
    <cfRule type="cellIs" dxfId="2" priority="6832" operator="lessThan">
      <formula>20</formula>
    </cfRule>
    <cfRule type="cellIs" dxfId="1" priority="4217" operator="greaterThan">
      <formula>120</formula>
    </cfRule>
    <cfRule type="containsText" dxfId="0" priority="1602" operator="between" text="库存为">
      <formula>NOT(ISERROR(SEARCH("库存为",AU1019)))</formula>
    </cfRule>
  </conditionalFormatting>
  <conditionalFormatting sqref="AU1020">
    <cfRule type="cellIs" dxfId="2" priority="6831" operator="lessThan">
      <formula>20</formula>
    </cfRule>
    <cfRule type="cellIs" dxfId="1" priority="4216" operator="greaterThan">
      <formula>120</formula>
    </cfRule>
    <cfRule type="containsText" dxfId="0" priority="1601" operator="between" text="库存为">
      <formula>NOT(ISERROR(SEARCH("库存为",AU1020)))</formula>
    </cfRule>
  </conditionalFormatting>
  <conditionalFormatting sqref="AU1021">
    <cfRule type="cellIs" dxfId="2" priority="6830" operator="lessThan">
      <formula>20</formula>
    </cfRule>
    <cfRule type="cellIs" dxfId="1" priority="4215" operator="greaterThan">
      <formula>120</formula>
    </cfRule>
    <cfRule type="containsText" dxfId="0" priority="1600" operator="between" text="库存为">
      <formula>NOT(ISERROR(SEARCH("库存为",AU1021)))</formula>
    </cfRule>
  </conditionalFormatting>
  <conditionalFormatting sqref="AU1022">
    <cfRule type="cellIs" dxfId="2" priority="6829" operator="lessThan">
      <formula>20</formula>
    </cfRule>
    <cfRule type="cellIs" dxfId="1" priority="4214" operator="greaterThan">
      <formula>120</formula>
    </cfRule>
    <cfRule type="containsText" dxfId="0" priority="1599" operator="between" text="库存为">
      <formula>NOT(ISERROR(SEARCH("库存为",AU1022)))</formula>
    </cfRule>
  </conditionalFormatting>
  <conditionalFormatting sqref="AU1023">
    <cfRule type="cellIs" dxfId="2" priority="6828" operator="lessThan">
      <formula>20</formula>
    </cfRule>
    <cfRule type="cellIs" dxfId="1" priority="4213" operator="greaterThan">
      <formula>120</formula>
    </cfRule>
    <cfRule type="containsText" dxfId="0" priority="1598" operator="between" text="库存为">
      <formula>NOT(ISERROR(SEARCH("库存为",AU1023)))</formula>
    </cfRule>
  </conditionalFormatting>
  <conditionalFormatting sqref="AU1024">
    <cfRule type="cellIs" dxfId="2" priority="6827" operator="lessThan">
      <formula>20</formula>
    </cfRule>
    <cfRule type="cellIs" dxfId="1" priority="4212" operator="greaterThan">
      <formula>120</formula>
    </cfRule>
    <cfRule type="containsText" dxfId="0" priority="1597" operator="between" text="库存为">
      <formula>NOT(ISERROR(SEARCH("库存为",AU1024)))</formula>
    </cfRule>
  </conditionalFormatting>
  <conditionalFormatting sqref="AU1025">
    <cfRule type="cellIs" dxfId="2" priority="6826" operator="lessThan">
      <formula>20</formula>
    </cfRule>
    <cfRule type="cellIs" dxfId="1" priority="4211" operator="greaterThan">
      <formula>120</formula>
    </cfRule>
    <cfRule type="containsText" dxfId="0" priority="1596" operator="between" text="库存为">
      <formula>NOT(ISERROR(SEARCH("库存为",AU1025)))</formula>
    </cfRule>
  </conditionalFormatting>
  <conditionalFormatting sqref="AU1026">
    <cfRule type="cellIs" dxfId="2" priority="6825" operator="lessThan">
      <formula>20</formula>
    </cfRule>
    <cfRule type="cellIs" dxfId="1" priority="4210" operator="greaterThan">
      <formula>120</formula>
    </cfRule>
    <cfRule type="containsText" dxfId="0" priority="1595" operator="between" text="库存为">
      <formula>NOT(ISERROR(SEARCH("库存为",AU1026)))</formula>
    </cfRule>
  </conditionalFormatting>
  <conditionalFormatting sqref="AU1027">
    <cfRule type="cellIs" dxfId="2" priority="6824" operator="lessThan">
      <formula>20</formula>
    </cfRule>
    <cfRule type="cellIs" dxfId="1" priority="4209" operator="greaterThan">
      <formula>120</formula>
    </cfRule>
    <cfRule type="containsText" dxfId="0" priority="1594" operator="between" text="库存为">
      <formula>NOT(ISERROR(SEARCH("库存为",AU1027)))</formula>
    </cfRule>
  </conditionalFormatting>
  <conditionalFormatting sqref="AU1028">
    <cfRule type="cellIs" dxfId="2" priority="6823" operator="lessThan">
      <formula>20</formula>
    </cfRule>
    <cfRule type="cellIs" dxfId="1" priority="4208" operator="greaterThan">
      <formula>120</formula>
    </cfRule>
    <cfRule type="containsText" dxfId="0" priority="1593" operator="between" text="库存为">
      <formula>NOT(ISERROR(SEARCH("库存为",AU1028)))</formula>
    </cfRule>
  </conditionalFormatting>
  <conditionalFormatting sqref="AU1029">
    <cfRule type="cellIs" dxfId="2" priority="6822" operator="lessThan">
      <formula>20</formula>
    </cfRule>
    <cfRule type="cellIs" dxfId="1" priority="4207" operator="greaterThan">
      <formula>120</formula>
    </cfRule>
    <cfRule type="containsText" dxfId="0" priority="1592" operator="between" text="库存为">
      <formula>NOT(ISERROR(SEARCH("库存为",AU1029)))</formula>
    </cfRule>
  </conditionalFormatting>
  <conditionalFormatting sqref="AU1030">
    <cfRule type="cellIs" dxfId="2" priority="6821" operator="lessThan">
      <formula>20</formula>
    </cfRule>
    <cfRule type="cellIs" dxfId="1" priority="4206" operator="greaterThan">
      <formula>120</formula>
    </cfRule>
    <cfRule type="containsText" dxfId="0" priority="1591" operator="between" text="库存为">
      <formula>NOT(ISERROR(SEARCH("库存为",AU1030)))</formula>
    </cfRule>
  </conditionalFormatting>
  <conditionalFormatting sqref="AU1031">
    <cfRule type="cellIs" dxfId="2" priority="6820" operator="lessThan">
      <formula>20</formula>
    </cfRule>
    <cfRule type="cellIs" dxfId="1" priority="4205" operator="greaterThan">
      <formula>120</formula>
    </cfRule>
    <cfRule type="containsText" dxfId="0" priority="1590" operator="between" text="库存为">
      <formula>NOT(ISERROR(SEARCH("库存为",AU1031)))</formula>
    </cfRule>
  </conditionalFormatting>
  <conditionalFormatting sqref="AU1032">
    <cfRule type="cellIs" dxfId="2" priority="6819" operator="lessThan">
      <formula>20</formula>
    </cfRule>
    <cfRule type="cellIs" dxfId="1" priority="4204" operator="greaterThan">
      <formula>120</formula>
    </cfRule>
    <cfRule type="containsText" dxfId="0" priority="1589" operator="between" text="库存为">
      <formula>NOT(ISERROR(SEARCH("库存为",AU1032)))</formula>
    </cfRule>
  </conditionalFormatting>
  <conditionalFormatting sqref="AU1033">
    <cfRule type="cellIs" dxfId="2" priority="6818" operator="lessThan">
      <formula>20</formula>
    </cfRule>
    <cfRule type="cellIs" dxfId="1" priority="4203" operator="greaterThan">
      <formula>120</formula>
    </cfRule>
    <cfRule type="containsText" dxfId="0" priority="1588" operator="between" text="库存为">
      <formula>NOT(ISERROR(SEARCH("库存为",AU1033)))</formula>
    </cfRule>
  </conditionalFormatting>
  <conditionalFormatting sqref="AU1034">
    <cfRule type="cellIs" dxfId="2" priority="6817" operator="lessThan">
      <formula>20</formula>
    </cfRule>
    <cfRule type="cellIs" dxfId="1" priority="4202" operator="greaterThan">
      <formula>120</formula>
    </cfRule>
    <cfRule type="containsText" dxfId="0" priority="1587" operator="between" text="库存为">
      <formula>NOT(ISERROR(SEARCH("库存为",AU1034)))</formula>
    </cfRule>
  </conditionalFormatting>
  <conditionalFormatting sqref="AU1035">
    <cfRule type="cellIs" dxfId="2" priority="6816" operator="lessThan">
      <formula>20</formula>
    </cfRule>
    <cfRule type="cellIs" dxfId="1" priority="4201" operator="greaterThan">
      <formula>120</formula>
    </cfRule>
    <cfRule type="containsText" dxfId="0" priority="1586" operator="between" text="库存为">
      <formula>NOT(ISERROR(SEARCH("库存为",AU1035)))</formula>
    </cfRule>
  </conditionalFormatting>
  <conditionalFormatting sqref="AU1036">
    <cfRule type="cellIs" dxfId="2" priority="6815" operator="lessThan">
      <formula>20</formula>
    </cfRule>
    <cfRule type="cellIs" dxfId="1" priority="4200" operator="greaterThan">
      <formula>120</formula>
    </cfRule>
    <cfRule type="containsText" dxfId="0" priority="1585" operator="between" text="库存为">
      <formula>NOT(ISERROR(SEARCH("库存为",AU1036)))</formula>
    </cfRule>
  </conditionalFormatting>
  <conditionalFormatting sqref="AU1037">
    <cfRule type="cellIs" dxfId="2" priority="6814" operator="lessThan">
      <formula>20</formula>
    </cfRule>
    <cfRule type="cellIs" dxfId="1" priority="4199" operator="greaterThan">
      <formula>120</formula>
    </cfRule>
    <cfRule type="containsText" dxfId="0" priority="1584" operator="between" text="库存为">
      <formula>NOT(ISERROR(SEARCH("库存为",AU1037)))</formula>
    </cfRule>
  </conditionalFormatting>
  <conditionalFormatting sqref="AU1038">
    <cfRule type="cellIs" dxfId="2" priority="6813" operator="lessThan">
      <formula>20</formula>
    </cfRule>
    <cfRule type="cellIs" dxfId="1" priority="4198" operator="greaterThan">
      <formula>120</formula>
    </cfRule>
    <cfRule type="containsText" dxfId="0" priority="1583" operator="between" text="库存为">
      <formula>NOT(ISERROR(SEARCH("库存为",AU1038)))</formula>
    </cfRule>
  </conditionalFormatting>
  <conditionalFormatting sqref="AU1039">
    <cfRule type="cellIs" dxfId="2" priority="6812" operator="lessThan">
      <formula>20</formula>
    </cfRule>
    <cfRule type="cellIs" dxfId="1" priority="4197" operator="greaterThan">
      <formula>120</formula>
    </cfRule>
    <cfRule type="containsText" dxfId="0" priority="1582" operator="between" text="库存为">
      <formula>NOT(ISERROR(SEARCH("库存为",AU1039)))</formula>
    </cfRule>
  </conditionalFormatting>
  <conditionalFormatting sqref="AU1040">
    <cfRule type="cellIs" dxfId="2" priority="6811" operator="lessThan">
      <formula>20</formula>
    </cfRule>
    <cfRule type="cellIs" dxfId="1" priority="4196" operator="greaterThan">
      <formula>120</formula>
    </cfRule>
    <cfRule type="containsText" dxfId="0" priority="1581" operator="between" text="库存为">
      <formula>NOT(ISERROR(SEARCH("库存为",AU1040)))</formula>
    </cfRule>
  </conditionalFormatting>
  <conditionalFormatting sqref="AU1041">
    <cfRule type="cellIs" dxfId="2" priority="6810" operator="lessThan">
      <formula>20</formula>
    </cfRule>
    <cfRule type="cellIs" dxfId="1" priority="4195" operator="greaterThan">
      <formula>120</formula>
    </cfRule>
    <cfRule type="containsText" dxfId="0" priority="1580" operator="between" text="库存为">
      <formula>NOT(ISERROR(SEARCH("库存为",AU1041)))</formula>
    </cfRule>
  </conditionalFormatting>
  <conditionalFormatting sqref="AU1042">
    <cfRule type="cellIs" dxfId="2" priority="6809" operator="lessThan">
      <formula>20</formula>
    </cfRule>
    <cfRule type="cellIs" dxfId="1" priority="4194" operator="greaterThan">
      <formula>120</formula>
    </cfRule>
    <cfRule type="containsText" dxfId="0" priority="1579" operator="between" text="库存为">
      <formula>NOT(ISERROR(SEARCH("库存为",AU1042)))</formula>
    </cfRule>
  </conditionalFormatting>
  <conditionalFormatting sqref="AU1043">
    <cfRule type="cellIs" dxfId="2" priority="6808" operator="lessThan">
      <formula>20</formula>
    </cfRule>
    <cfRule type="cellIs" dxfId="1" priority="4193" operator="greaterThan">
      <formula>120</formula>
    </cfRule>
    <cfRule type="containsText" dxfId="0" priority="1578" operator="between" text="库存为">
      <formula>NOT(ISERROR(SEARCH("库存为",AU1043)))</formula>
    </cfRule>
  </conditionalFormatting>
  <conditionalFormatting sqref="AU1044">
    <cfRule type="cellIs" dxfId="2" priority="6807" operator="lessThan">
      <formula>20</formula>
    </cfRule>
    <cfRule type="cellIs" dxfId="1" priority="4192" operator="greaterThan">
      <formula>120</formula>
    </cfRule>
    <cfRule type="containsText" dxfId="0" priority="1577" operator="between" text="库存为">
      <formula>NOT(ISERROR(SEARCH("库存为",AU1044)))</formula>
    </cfRule>
  </conditionalFormatting>
  <conditionalFormatting sqref="AU1045">
    <cfRule type="cellIs" dxfId="2" priority="6806" operator="lessThan">
      <formula>20</formula>
    </cfRule>
    <cfRule type="cellIs" dxfId="1" priority="4191" operator="greaterThan">
      <formula>120</formula>
    </cfRule>
    <cfRule type="containsText" dxfId="0" priority="1576" operator="between" text="库存为">
      <formula>NOT(ISERROR(SEARCH("库存为",AU1045)))</formula>
    </cfRule>
  </conditionalFormatting>
  <conditionalFormatting sqref="AU1046">
    <cfRule type="cellIs" dxfId="2" priority="6805" operator="lessThan">
      <formula>20</formula>
    </cfRule>
    <cfRule type="cellIs" dxfId="1" priority="4190" operator="greaterThan">
      <formula>120</formula>
    </cfRule>
    <cfRule type="containsText" dxfId="0" priority="1575" operator="between" text="库存为">
      <formula>NOT(ISERROR(SEARCH("库存为",AU1046)))</formula>
    </cfRule>
  </conditionalFormatting>
  <conditionalFormatting sqref="AU1047">
    <cfRule type="cellIs" dxfId="2" priority="6804" operator="lessThan">
      <formula>20</formula>
    </cfRule>
    <cfRule type="cellIs" dxfId="1" priority="4189" operator="greaterThan">
      <formula>120</formula>
    </cfRule>
    <cfRule type="containsText" dxfId="0" priority="1574" operator="between" text="库存为">
      <formula>NOT(ISERROR(SEARCH("库存为",AU1047)))</formula>
    </cfRule>
  </conditionalFormatting>
  <conditionalFormatting sqref="AU1048">
    <cfRule type="cellIs" dxfId="2" priority="6803" operator="lessThan">
      <formula>20</formula>
    </cfRule>
    <cfRule type="cellIs" dxfId="1" priority="4188" operator="greaterThan">
      <formula>120</formula>
    </cfRule>
    <cfRule type="containsText" dxfId="0" priority="1573" operator="between" text="库存为">
      <formula>NOT(ISERROR(SEARCH("库存为",AU1048)))</formula>
    </cfRule>
  </conditionalFormatting>
  <conditionalFormatting sqref="AU1049">
    <cfRule type="cellIs" dxfId="2" priority="6802" operator="lessThan">
      <formula>20</formula>
    </cfRule>
    <cfRule type="cellIs" dxfId="1" priority="4187" operator="greaterThan">
      <formula>120</formula>
    </cfRule>
    <cfRule type="containsText" dxfId="0" priority="1572" operator="between" text="库存为">
      <formula>NOT(ISERROR(SEARCH("库存为",AU1049)))</formula>
    </cfRule>
  </conditionalFormatting>
  <conditionalFormatting sqref="AU1050">
    <cfRule type="cellIs" dxfId="2" priority="6801" operator="lessThan">
      <formula>20</formula>
    </cfRule>
    <cfRule type="cellIs" dxfId="1" priority="4186" operator="greaterThan">
      <formula>120</formula>
    </cfRule>
    <cfRule type="containsText" dxfId="0" priority="1571" operator="between" text="库存为">
      <formula>NOT(ISERROR(SEARCH("库存为",AU1050)))</formula>
    </cfRule>
  </conditionalFormatting>
  <conditionalFormatting sqref="AU1051">
    <cfRule type="cellIs" dxfId="2" priority="6800" operator="lessThan">
      <formula>20</formula>
    </cfRule>
    <cfRule type="cellIs" dxfId="1" priority="4185" operator="greaterThan">
      <formula>120</formula>
    </cfRule>
    <cfRule type="containsText" dxfId="0" priority="1570" operator="between" text="库存为">
      <formula>NOT(ISERROR(SEARCH("库存为",AU1051)))</formula>
    </cfRule>
  </conditionalFormatting>
  <conditionalFormatting sqref="AU1052">
    <cfRule type="cellIs" dxfId="2" priority="6799" operator="lessThan">
      <formula>20</formula>
    </cfRule>
    <cfRule type="cellIs" dxfId="1" priority="4184" operator="greaterThan">
      <formula>120</formula>
    </cfRule>
    <cfRule type="containsText" dxfId="0" priority="1569" operator="between" text="库存为">
      <formula>NOT(ISERROR(SEARCH("库存为",AU1052)))</formula>
    </cfRule>
  </conditionalFormatting>
  <conditionalFormatting sqref="AU1053">
    <cfRule type="cellIs" dxfId="2" priority="6798" operator="lessThan">
      <formula>20</formula>
    </cfRule>
    <cfRule type="cellIs" dxfId="1" priority="4183" operator="greaterThan">
      <formula>120</formula>
    </cfRule>
    <cfRule type="containsText" dxfId="0" priority="1568" operator="between" text="库存为">
      <formula>NOT(ISERROR(SEARCH("库存为",AU1053)))</formula>
    </cfRule>
  </conditionalFormatting>
  <conditionalFormatting sqref="AU1054">
    <cfRule type="cellIs" dxfId="2" priority="6797" operator="lessThan">
      <formula>20</formula>
    </cfRule>
    <cfRule type="cellIs" dxfId="1" priority="4182" operator="greaterThan">
      <formula>120</formula>
    </cfRule>
    <cfRule type="containsText" dxfId="0" priority="1567" operator="between" text="库存为">
      <formula>NOT(ISERROR(SEARCH("库存为",AU1054)))</formula>
    </cfRule>
  </conditionalFormatting>
  <conditionalFormatting sqref="AU1055">
    <cfRule type="cellIs" dxfId="2" priority="6796" operator="lessThan">
      <formula>20</formula>
    </cfRule>
    <cfRule type="cellIs" dxfId="1" priority="4181" operator="greaterThan">
      <formula>120</formula>
    </cfRule>
    <cfRule type="containsText" dxfId="0" priority="1566" operator="between" text="库存为">
      <formula>NOT(ISERROR(SEARCH("库存为",AU1055)))</formula>
    </cfRule>
  </conditionalFormatting>
  <conditionalFormatting sqref="AU1056">
    <cfRule type="cellIs" dxfId="2" priority="6795" operator="lessThan">
      <formula>20</formula>
    </cfRule>
    <cfRule type="cellIs" dxfId="1" priority="4180" operator="greaterThan">
      <formula>120</formula>
    </cfRule>
    <cfRule type="containsText" dxfId="0" priority="1565" operator="between" text="库存为">
      <formula>NOT(ISERROR(SEARCH("库存为",AU1056)))</formula>
    </cfRule>
  </conditionalFormatting>
  <conditionalFormatting sqref="AU1057">
    <cfRule type="cellIs" dxfId="2" priority="6794" operator="lessThan">
      <formula>20</formula>
    </cfRule>
    <cfRule type="cellIs" dxfId="1" priority="4179" operator="greaterThan">
      <formula>120</formula>
    </cfRule>
    <cfRule type="containsText" dxfId="0" priority="1564" operator="between" text="库存为">
      <formula>NOT(ISERROR(SEARCH("库存为",AU1057)))</formula>
    </cfRule>
  </conditionalFormatting>
  <conditionalFormatting sqref="AU1058">
    <cfRule type="cellIs" dxfId="2" priority="6793" operator="lessThan">
      <formula>20</formula>
    </cfRule>
    <cfRule type="cellIs" dxfId="1" priority="4178" operator="greaterThan">
      <formula>120</formula>
    </cfRule>
    <cfRule type="containsText" dxfId="0" priority="1563" operator="between" text="库存为">
      <formula>NOT(ISERROR(SEARCH("库存为",AU1058)))</formula>
    </cfRule>
  </conditionalFormatting>
  <conditionalFormatting sqref="AU1059">
    <cfRule type="cellIs" dxfId="2" priority="6792" operator="lessThan">
      <formula>20</formula>
    </cfRule>
    <cfRule type="cellIs" dxfId="1" priority="4177" operator="greaterThan">
      <formula>120</formula>
    </cfRule>
    <cfRule type="containsText" dxfId="0" priority="1562" operator="between" text="库存为">
      <formula>NOT(ISERROR(SEARCH("库存为",AU1059)))</formula>
    </cfRule>
  </conditionalFormatting>
  <conditionalFormatting sqref="AU1060">
    <cfRule type="cellIs" dxfId="2" priority="6791" operator="lessThan">
      <formula>20</formula>
    </cfRule>
    <cfRule type="cellIs" dxfId="1" priority="4176" operator="greaterThan">
      <formula>120</formula>
    </cfRule>
    <cfRule type="containsText" dxfId="0" priority="1561" operator="between" text="库存为">
      <formula>NOT(ISERROR(SEARCH("库存为",AU1060)))</formula>
    </cfRule>
  </conditionalFormatting>
  <conditionalFormatting sqref="AU1061">
    <cfRule type="cellIs" dxfId="2" priority="6790" operator="lessThan">
      <formula>20</formula>
    </cfRule>
    <cfRule type="cellIs" dxfId="1" priority="4175" operator="greaterThan">
      <formula>120</formula>
    </cfRule>
    <cfRule type="containsText" dxfId="0" priority="1560" operator="between" text="库存为">
      <formula>NOT(ISERROR(SEARCH("库存为",AU1061)))</formula>
    </cfRule>
  </conditionalFormatting>
  <conditionalFormatting sqref="AU1062">
    <cfRule type="cellIs" dxfId="2" priority="6789" operator="lessThan">
      <formula>20</formula>
    </cfRule>
    <cfRule type="cellIs" dxfId="1" priority="4174" operator="greaterThan">
      <formula>120</formula>
    </cfRule>
    <cfRule type="containsText" dxfId="0" priority="1559" operator="between" text="库存为">
      <formula>NOT(ISERROR(SEARCH("库存为",AU1062)))</formula>
    </cfRule>
  </conditionalFormatting>
  <conditionalFormatting sqref="AU1063">
    <cfRule type="cellIs" dxfId="2" priority="6788" operator="lessThan">
      <formula>20</formula>
    </cfRule>
    <cfRule type="cellIs" dxfId="1" priority="4173" operator="greaterThan">
      <formula>120</formula>
    </cfRule>
    <cfRule type="containsText" dxfId="0" priority="1558" operator="between" text="库存为">
      <formula>NOT(ISERROR(SEARCH("库存为",AU1063)))</formula>
    </cfRule>
  </conditionalFormatting>
  <conditionalFormatting sqref="AU1064">
    <cfRule type="cellIs" dxfId="2" priority="6787" operator="lessThan">
      <formula>20</formula>
    </cfRule>
    <cfRule type="cellIs" dxfId="1" priority="4172" operator="greaterThan">
      <formula>120</formula>
    </cfRule>
    <cfRule type="containsText" dxfId="0" priority="1557" operator="between" text="库存为">
      <formula>NOT(ISERROR(SEARCH("库存为",AU1064)))</formula>
    </cfRule>
  </conditionalFormatting>
  <conditionalFormatting sqref="AU1065">
    <cfRule type="cellIs" dxfId="2" priority="6786" operator="lessThan">
      <formula>20</formula>
    </cfRule>
    <cfRule type="cellIs" dxfId="1" priority="4171" operator="greaterThan">
      <formula>120</formula>
    </cfRule>
    <cfRule type="containsText" dxfId="0" priority="1556" operator="between" text="库存为">
      <formula>NOT(ISERROR(SEARCH("库存为",AU1065)))</formula>
    </cfRule>
  </conditionalFormatting>
  <conditionalFormatting sqref="AU1066">
    <cfRule type="cellIs" dxfId="2" priority="6785" operator="lessThan">
      <formula>20</formula>
    </cfRule>
    <cfRule type="cellIs" dxfId="1" priority="4170" operator="greaterThan">
      <formula>120</formula>
    </cfRule>
    <cfRule type="containsText" dxfId="0" priority="1555" operator="between" text="库存为">
      <formula>NOT(ISERROR(SEARCH("库存为",AU1066)))</formula>
    </cfRule>
  </conditionalFormatting>
  <conditionalFormatting sqref="AU1067">
    <cfRule type="cellIs" dxfId="2" priority="6784" operator="lessThan">
      <formula>20</formula>
    </cfRule>
    <cfRule type="cellIs" dxfId="1" priority="4169" operator="greaterThan">
      <formula>120</formula>
    </cfRule>
    <cfRule type="containsText" dxfId="0" priority="1554" operator="between" text="库存为">
      <formula>NOT(ISERROR(SEARCH("库存为",AU1067)))</formula>
    </cfRule>
  </conditionalFormatting>
  <conditionalFormatting sqref="AU1068">
    <cfRule type="cellIs" dxfId="2" priority="6783" operator="lessThan">
      <formula>20</formula>
    </cfRule>
    <cfRule type="cellIs" dxfId="1" priority="4168" operator="greaterThan">
      <formula>120</formula>
    </cfRule>
    <cfRule type="containsText" dxfId="0" priority="1553" operator="between" text="库存为">
      <formula>NOT(ISERROR(SEARCH("库存为",AU1068)))</formula>
    </cfRule>
  </conditionalFormatting>
  <conditionalFormatting sqref="AU1069">
    <cfRule type="cellIs" dxfId="2" priority="6782" operator="lessThan">
      <formula>20</formula>
    </cfRule>
    <cfRule type="cellIs" dxfId="1" priority="4167" operator="greaterThan">
      <formula>120</formula>
    </cfRule>
    <cfRule type="containsText" dxfId="0" priority="1552" operator="between" text="库存为">
      <formula>NOT(ISERROR(SEARCH("库存为",AU1069)))</formula>
    </cfRule>
  </conditionalFormatting>
  <conditionalFormatting sqref="AU1070">
    <cfRule type="cellIs" dxfId="2" priority="6781" operator="lessThan">
      <formula>20</formula>
    </cfRule>
    <cfRule type="cellIs" dxfId="1" priority="4166" operator="greaterThan">
      <formula>120</formula>
    </cfRule>
    <cfRule type="containsText" dxfId="0" priority="1551" operator="between" text="库存为">
      <formula>NOT(ISERROR(SEARCH("库存为",AU1070)))</formula>
    </cfRule>
  </conditionalFormatting>
  <conditionalFormatting sqref="AU1071">
    <cfRule type="cellIs" dxfId="2" priority="6780" operator="lessThan">
      <formula>20</formula>
    </cfRule>
    <cfRule type="cellIs" dxfId="1" priority="4165" operator="greaterThan">
      <formula>120</formula>
    </cfRule>
    <cfRule type="containsText" dxfId="0" priority="1550" operator="between" text="库存为">
      <formula>NOT(ISERROR(SEARCH("库存为",AU1071)))</formula>
    </cfRule>
  </conditionalFormatting>
  <conditionalFormatting sqref="AU1072">
    <cfRule type="cellIs" dxfId="2" priority="6779" operator="lessThan">
      <formula>20</formula>
    </cfRule>
    <cfRule type="cellIs" dxfId="1" priority="4164" operator="greaterThan">
      <formula>120</formula>
    </cfRule>
    <cfRule type="containsText" dxfId="0" priority="1549" operator="between" text="库存为">
      <formula>NOT(ISERROR(SEARCH("库存为",AU1072)))</formula>
    </cfRule>
  </conditionalFormatting>
  <conditionalFormatting sqref="AU1073">
    <cfRule type="cellIs" dxfId="2" priority="6778" operator="lessThan">
      <formula>20</formula>
    </cfRule>
    <cfRule type="cellIs" dxfId="1" priority="4163" operator="greaterThan">
      <formula>120</formula>
    </cfRule>
    <cfRule type="containsText" dxfId="0" priority="1548" operator="between" text="库存为">
      <formula>NOT(ISERROR(SEARCH("库存为",AU1073)))</formula>
    </cfRule>
  </conditionalFormatting>
  <conditionalFormatting sqref="AU1074">
    <cfRule type="cellIs" dxfId="2" priority="6777" operator="lessThan">
      <formula>20</formula>
    </cfRule>
    <cfRule type="cellIs" dxfId="1" priority="4162" operator="greaterThan">
      <formula>120</formula>
    </cfRule>
    <cfRule type="containsText" dxfId="0" priority="1547" operator="between" text="库存为">
      <formula>NOT(ISERROR(SEARCH("库存为",AU1074)))</formula>
    </cfRule>
  </conditionalFormatting>
  <conditionalFormatting sqref="AU1075">
    <cfRule type="cellIs" dxfId="2" priority="6776" operator="lessThan">
      <formula>20</formula>
    </cfRule>
    <cfRule type="cellIs" dxfId="1" priority="4161" operator="greaterThan">
      <formula>120</formula>
    </cfRule>
    <cfRule type="containsText" dxfId="0" priority="1546" operator="between" text="库存为">
      <formula>NOT(ISERROR(SEARCH("库存为",AU1075)))</formula>
    </cfRule>
  </conditionalFormatting>
  <conditionalFormatting sqref="AU1076">
    <cfRule type="cellIs" dxfId="2" priority="6775" operator="lessThan">
      <formula>20</formula>
    </cfRule>
    <cfRule type="cellIs" dxfId="1" priority="4160" operator="greaterThan">
      <formula>120</formula>
    </cfRule>
    <cfRule type="containsText" dxfId="0" priority="1545" operator="between" text="库存为">
      <formula>NOT(ISERROR(SEARCH("库存为",AU1076)))</formula>
    </cfRule>
  </conditionalFormatting>
  <conditionalFormatting sqref="AU1077">
    <cfRule type="cellIs" dxfId="2" priority="6774" operator="lessThan">
      <formula>20</formula>
    </cfRule>
    <cfRule type="cellIs" dxfId="1" priority="4159" operator="greaterThan">
      <formula>120</formula>
    </cfRule>
    <cfRule type="containsText" dxfId="0" priority="1544" operator="between" text="库存为">
      <formula>NOT(ISERROR(SEARCH("库存为",AU1077)))</formula>
    </cfRule>
  </conditionalFormatting>
  <conditionalFormatting sqref="AU1078">
    <cfRule type="cellIs" dxfId="2" priority="6773" operator="lessThan">
      <formula>20</formula>
    </cfRule>
    <cfRule type="cellIs" dxfId="1" priority="4158" operator="greaterThan">
      <formula>120</formula>
    </cfRule>
    <cfRule type="containsText" dxfId="0" priority="1543" operator="between" text="库存为">
      <formula>NOT(ISERROR(SEARCH("库存为",AU1078)))</formula>
    </cfRule>
  </conditionalFormatting>
  <conditionalFormatting sqref="AU1079">
    <cfRule type="cellIs" dxfId="2" priority="6772" operator="lessThan">
      <formula>20</formula>
    </cfRule>
    <cfRule type="cellIs" dxfId="1" priority="4157" operator="greaterThan">
      <formula>120</formula>
    </cfRule>
    <cfRule type="containsText" dxfId="0" priority="1542" operator="between" text="库存为">
      <formula>NOT(ISERROR(SEARCH("库存为",AU1079)))</formula>
    </cfRule>
  </conditionalFormatting>
  <conditionalFormatting sqref="AU1080">
    <cfRule type="cellIs" dxfId="2" priority="6771" operator="lessThan">
      <formula>20</formula>
    </cfRule>
    <cfRule type="cellIs" dxfId="1" priority="4156" operator="greaterThan">
      <formula>120</formula>
    </cfRule>
    <cfRule type="containsText" dxfId="0" priority="1541" operator="between" text="库存为">
      <formula>NOT(ISERROR(SEARCH("库存为",AU1080)))</formula>
    </cfRule>
  </conditionalFormatting>
  <conditionalFormatting sqref="AU1081">
    <cfRule type="cellIs" dxfId="2" priority="6770" operator="lessThan">
      <formula>20</formula>
    </cfRule>
    <cfRule type="cellIs" dxfId="1" priority="4155" operator="greaterThan">
      <formula>120</formula>
    </cfRule>
    <cfRule type="containsText" dxfId="0" priority="1540" operator="between" text="库存为">
      <formula>NOT(ISERROR(SEARCH("库存为",AU1081)))</formula>
    </cfRule>
  </conditionalFormatting>
  <conditionalFormatting sqref="AU1082">
    <cfRule type="cellIs" dxfId="2" priority="6769" operator="lessThan">
      <formula>20</formula>
    </cfRule>
    <cfRule type="cellIs" dxfId="1" priority="4154" operator="greaterThan">
      <formula>120</formula>
    </cfRule>
    <cfRule type="containsText" dxfId="0" priority="1539" operator="between" text="库存为">
      <formula>NOT(ISERROR(SEARCH("库存为",AU1082)))</formula>
    </cfRule>
  </conditionalFormatting>
  <conditionalFormatting sqref="AU1083">
    <cfRule type="cellIs" dxfId="2" priority="6768" operator="lessThan">
      <formula>20</formula>
    </cfRule>
    <cfRule type="cellIs" dxfId="1" priority="4153" operator="greaterThan">
      <formula>120</formula>
    </cfRule>
    <cfRule type="containsText" dxfId="0" priority="1538" operator="between" text="库存为">
      <formula>NOT(ISERROR(SEARCH("库存为",AU1083)))</formula>
    </cfRule>
  </conditionalFormatting>
  <conditionalFormatting sqref="AU1084">
    <cfRule type="cellIs" dxfId="2" priority="6767" operator="lessThan">
      <formula>20</formula>
    </cfRule>
    <cfRule type="cellIs" dxfId="1" priority="4152" operator="greaterThan">
      <formula>120</formula>
    </cfRule>
    <cfRule type="containsText" dxfId="0" priority="1537" operator="between" text="库存为">
      <formula>NOT(ISERROR(SEARCH("库存为",AU1084)))</formula>
    </cfRule>
  </conditionalFormatting>
  <conditionalFormatting sqref="AU1085">
    <cfRule type="cellIs" dxfId="2" priority="6766" operator="lessThan">
      <formula>20</formula>
    </cfRule>
    <cfRule type="cellIs" dxfId="1" priority="4151" operator="greaterThan">
      <formula>120</formula>
    </cfRule>
    <cfRule type="containsText" dxfId="0" priority="1536" operator="between" text="库存为">
      <formula>NOT(ISERROR(SEARCH("库存为",AU1085)))</formula>
    </cfRule>
  </conditionalFormatting>
  <conditionalFormatting sqref="AU1086">
    <cfRule type="cellIs" dxfId="2" priority="6765" operator="lessThan">
      <formula>20</formula>
    </cfRule>
    <cfRule type="cellIs" dxfId="1" priority="4150" operator="greaterThan">
      <formula>120</formula>
    </cfRule>
    <cfRule type="containsText" dxfId="0" priority="1535" operator="between" text="库存为">
      <formula>NOT(ISERROR(SEARCH("库存为",AU1086)))</formula>
    </cfRule>
  </conditionalFormatting>
  <conditionalFormatting sqref="AU1087">
    <cfRule type="cellIs" dxfId="2" priority="6764" operator="lessThan">
      <formula>20</formula>
    </cfRule>
    <cfRule type="cellIs" dxfId="1" priority="4149" operator="greaterThan">
      <formula>120</formula>
    </cfRule>
    <cfRule type="containsText" dxfId="0" priority="1534" operator="between" text="库存为">
      <formula>NOT(ISERROR(SEARCH("库存为",AU1087)))</formula>
    </cfRule>
  </conditionalFormatting>
  <conditionalFormatting sqref="AU1088">
    <cfRule type="cellIs" dxfId="2" priority="6763" operator="lessThan">
      <formula>20</formula>
    </cfRule>
    <cfRule type="cellIs" dxfId="1" priority="4148" operator="greaterThan">
      <formula>120</formula>
    </cfRule>
    <cfRule type="containsText" dxfId="0" priority="1533" operator="between" text="库存为">
      <formula>NOT(ISERROR(SEARCH("库存为",AU1088)))</formula>
    </cfRule>
  </conditionalFormatting>
  <conditionalFormatting sqref="AU1089">
    <cfRule type="cellIs" dxfId="2" priority="6762" operator="lessThan">
      <formula>20</formula>
    </cfRule>
    <cfRule type="cellIs" dxfId="1" priority="4147" operator="greaterThan">
      <formula>120</formula>
    </cfRule>
    <cfRule type="containsText" dxfId="0" priority="1532" operator="between" text="库存为">
      <formula>NOT(ISERROR(SEARCH("库存为",AU1089)))</formula>
    </cfRule>
  </conditionalFormatting>
  <conditionalFormatting sqref="AU1090">
    <cfRule type="cellIs" dxfId="2" priority="6761" operator="lessThan">
      <formula>20</formula>
    </cfRule>
    <cfRule type="cellIs" dxfId="1" priority="4146" operator="greaterThan">
      <formula>120</formula>
    </cfRule>
    <cfRule type="containsText" dxfId="0" priority="1531" operator="between" text="库存为">
      <formula>NOT(ISERROR(SEARCH("库存为",AU1090)))</formula>
    </cfRule>
  </conditionalFormatting>
  <conditionalFormatting sqref="AU1091">
    <cfRule type="cellIs" dxfId="2" priority="6760" operator="lessThan">
      <formula>20</formula>
    </cfRule>
    <cfRule type="cellIs" dxfId="1" priority="4145" operator="greaterThan">
      <formula>120</formula>
    </cfRule>
    <cfRule type="containsText" dxfId="0" priority="1530" operator="between" text="库存为">
      <formula>NOT(ISERROR(SEARCH("库存为",AU1091)))</formula>
    </cfRule>
  </conditionalFormatting>
  <conditionalFormatting sqref="AU1092">
    <cfRule type="cellIs" dxfId="2" priority="6759" operator="lessThan">
      <formula>20</formula>
    </cfRule>
    <cfRule type="cellIs" dxfId="1" priority="4144" operator="greaterThan">
      <formula>120</formula>
    </cfRule>
    <cfRule type="containsText" dxfId="0" priority="1529" operator="between" text="库存为">
      <formula>NOT(ISERROR(SEARCH("库存为",AU1092)))</formula>
    </cfRule>
  </conditionalFormatting>
  <conditionalFormatting sqref="AU1093">
    <cfRule type="cellIs" dxfId="2" priority="6758" operator="lessThan">
      <formula>20</formula>
    </cfRule>
    <cfRule type="cellIs" dxfId="1" priority="4143" operator="greaterThan">
      <formula>120</formula>
    </cfRule>
    <cfRule type="containsText" dxfId="0" priority="1528" operator="between" text="库存为">
      <formula>NOT(ISERROR(SEARCH("库存为",AU1093)))</formula>
    </cfRule>
  </conditionalFormatting>
  <conditionalFormatting sqref="AU1094">
    <cfRule type="cellIs" dxfId="2" priority="6757" operator="lessThan">
      <formula>20</formula>
    </cfRule>
    <cfRule type="cellIs" dxfId="1" priority="4142" operator="greaterThan">
      <formula>120</formula>
    </cfRule>
    <cfRule type="containsText" dxfId="0" priority="1527" operator="between" text="库存为">
      <formula>NOT(ISERROR(SEARCH("库存为",AU1094)))</formula>
    </cfRule>
  </conditionalFormatting>
  <conditionalFormatting sqref="AU1095">
    <cfRule type="cellIs" dxfId="2" priority="6756" operator="lessThan">
      <formula>20</formula>
    </cfRule>
    <cfRule type="cellIs" dxfId="1" priority="4141" operator="greaterThan">
      <formula>120</formula>
    </cfRule>
    <cfRule type="containsText" dxfId="0" priority="1526" operator="between" text="库存为">
      <formula>NOT(ISERROR(SEARCH("库存为",AU1095)))</formula>
    </cfRule>
  </conditionalFormatting>
  <conditionalFormatting sqref="AU1096">
    <cfRule type="cellIs" dxfId="2" priority="6755" operator="lessThan">
      <formula>20</formula>
    </cfRule>
    <cfRule type="cellIs" dxfId="1" priority="4140" operator="greaterThan">
      <formula>120</formula>
    </cfRule>
    <cfRule type="containsText" dxfId="0" priority="1525" operator="between" text="库存为">
      <formula>NOT(ISERROR(SEARCH("库存为",AU1096)))</formula>
    </cfRule>
  </conditionalFormatting>
  <conditionalFormatting sqref="AU1097">
    <cfRule type="cellIs" dxfId="2" priority="6754" operator="lessThan">
      <formula>20</formula>
    </cfRule>
    <cfRule type="cellIs" dxfId="1" priority="4139" operator="greaterThan">
      <formula>120</formula>
    </cfRule>
    <cfRule type="containsText" dxfId="0" priority="1524" operator="between" text="库存为">
      <formula>NOT(ISERROR(SEARCH("库存为",AU1097)))</formula>
    </cfRule>
  </conditionalFormatting>
  <conditionalFormatting sqref="AU1098">
    <cfRule type="cellIs" dxfId="2" priority="6753" operator="lessThan">
      <formula>20</formula>
    </cfRule>
    <cfRule type="cellIs" dxfId="1" priority="4138" operator="greaterThan">
      <formula>120</formula>
    </cfRule>
    <cfRule type="containsText" dxfId="0" priority="1523" operator="between" text="库存为">
      <formula>NOT(ISERROR(SEARCH("库存为",AU1098)))</formula>
    </cfRule>
  </conditionalFormatting>
  <conditionalFormatting sqref="AU1099">
    <cfRule type="cellIs" dxfId="2" priority="6752" operator="lessThan">
      <formula>20</formula>
    </cfRule>
    <cfRule type="cellIs" dxfId="1" priority="4137" operator="greaterThan">
      <formula>120</formula>
    </cfRule>
    <cfRule type="containsText" dxfId="0" priority="1522" operator="between" text="库存为">
      <formula>NOT(ISERROR(SEARCH("库存为",AU1099)))</formula>
    </cfRule>
  </conditionalFormatting>
  <conditionalFormatting sqref="AU1100">
    <cfRule type="cellIs" dxfId="2" priority="6751" operator="lessThan">
      <formula>20</formula>
    </cfRule>
    <cfRule type="cellIs" dxfId="1" priority="4136" operator="greaterThan">
      <formula>120</formula>
    </cfRule>
    <cfRule type="containsText" dxfId="0" priority="1521" operator="between" text="库存为">
      <formula>NOT(ISERROR(SEARCH("库存为",AU1100)))</formula>
    </cfRule>
  </conditionalFormatting>
  <conditionalFormatting sqref="AU1101">
    <cfRule type="cellIs" dxfId="2" priority="6750" operator="lessThan">
      <formula>20</formula>
    </cfRule>
    <cfRule type="cellIs" dxfId="1" priority="4135" operator="greaterThan">
      <formula>120</formula>
    </cfRule>
    <cfRule type="containsText" dxfId="0" priority="1520" operator="between" text="库存为">
      <formula>NOT(ISERROR(SEARCH("库存为",AU1101)))</formula>
    </cfRule>
  </conditionalFormatting>
  <conditionalFormatting sqref="AU1102">
    <cfRule type="cellIs" dxfId="2" priority="6749" operator="lessThan">
      <formula>20</formula>
    </cfRule>
    <cfRule type="cellIs" dxfId="1" priority="4134" operator="greaterThan">
      <formula>120</formula>
    </cfRule>
    <cfRule type="containsText" dxfId="0" priority="1519" operator="between" text="库存为">
      <formula>NOT(ISERROR(SEARCH("库存为",AU1102)))</formula>
    </cfRule>
  </conditionalFormatting>
  <conditionalFormatting sqref="AU1103">
    <cfRule type="cellIs" dxfId="2" priority="6748" operator="lessThan">
      <formula>20</formula>
    </cfRule>
    <cfRule type="cellIs" dxfId="1" priority="4133" operator="greaterThan">
      <formula>120</formula>
    </cfRule>
    <cfRule type="containsText" dxfId="0" priority="1518" operator="between" text="库存为">
      <formula>NOT(ISERROR(SEARCH("库存为",AU1103)))</formula>
    </cfRule>
  </conditionalFormatting>
  <conditionalFormatting sqref="AU1104">
    <cfRule type="cellIs" dxfId="2" priority="6747" operator="lessThan">
      <formula>20</formula>
    </cfRule>
    <cfRule type="cellIs" dxfId="1" priority="4132" operator="greaterThan">
      <formula>120</formula>
    </cfRule>
    <cfRule type="containsText" dxfId="0" priority="1517" operator="between" text="库存为">
      <formula>NOT(ISERROR(SEARCH("库存为",AU1104)))</formula>
    </cfRule>
  </conditionalFormatting>
  <conditionalFormatting sqref="AU1105">
    <cfRule type="cellIs" dxfId="2" priority="6746" operator="lessThan">
      <formula>20</formula>
    </cfRule>
    <cfRule type="cellIs" dxfId="1" priority="4131" operator="greaterThan">
      <formula>120</formula>
    </cfRule>
    <cfRule type="containsText" dxfId="0" priority="1516" operator="between" text="库存为">
      <formula>NOT(ISERROR(SEARCH("库存为",AU1105)))</formula>
    </cfRule>
  </conditionalFormatting>
  <conditionalFormatting sqref="AU1106">
    <cfRule type="cellIs" dxfId="2" priority="6745" operator="lessThan">
      <formula>20</formula>
    </cfRule>
    <cfRule type="cellIs" dxfId="1" priority="4130" operator="greaterThan">
      <formula>120</formula>
    </cfRule>
    <cfRule type="containsText" dxfId="0" priority="1515" operator="between" text="库存为">
      <formula>NOT(ISERROR(SEARCH("库存为",AU1106)))</formula>
    </cfRule>
  </conditionalFormatting>
  <conditionalFormatting sqref="AU1107">
    <cfRule type="cellIs" dxfId="2" priority="6744" operator="lessThan">
      <formula>20</formula>
    </cfRule>
    <cfRule type="cellIs" dxfId="1" priority="4129" operator="greaterThan">
      <formula>120</formula>
    </cfRule>
    <cfRule type="containsText" dxfId="0" priority="1514" operator="between" text="库存为">
      <formula>NOT(ISERROR(SEARCH("库存为",AU1107)))</formula>
    </cfRule>
  </conditionalFormatting>
  <conditionalFormatting sqref="AU1108">
    <cfRule type="cellIs" dxfId="2" priority="6743" operator="lessThan">
      <formula>20</formula>
    </cfRule>
    <cfRule type="cellIs" dxfId="1" priority="4128" operator="greaterThan">
      <formula>120</formula>
    </cfRule>
    <cfRule type="containsText" dxfId="0" priority="1513" operator="between" text="库存为">
      <formula>NOT(ISERROR(SEARCH("库存为",AU1108)))</formula>
    </cfRule>
  </conditionalFormatting>
  <conditionalFormatting sqref="AU1109">
    <cfRule type="cellIs" dxfId="2" priority="6742" operator="lessThan">
      <formula>20</formula>
    </cfRule>
    <cfRule type="cellIs" dxfId="1" priority="4127" operator="greaterThan">
      <formula>120</formula>
    </cfRule>
    <cfRule type="containsText" dxfId="0" priority="1512" operator="between" text="库存为">
      <formula>NOT(ISERROR(SEARCH("库存为",AU1109)))</formula>
    </cfRule>
  </conditionalFormatting>
  <conditionalFormatting sqref="AU1110">
    <cfRule type="cellIs" dxfId="2" priority="6741" operator="lessThan">
      <formula>20</formula>
    </cfRule>
    <cfRule type="cellIs" dxfId="1" priority="4126" operator="greaterThan">
      <formula>120</formula>
    </cfRule>
    <cfRule type="containsText" dxfId="0" priority="1511" operator="between" text="库存为">
      <formula>NOT(ISERROR(SEARCH("库存为",AU1110)))</formula>
    </cfRule>
  </conditionalFormatting>
  <conditionalFormatting sqref="AU1111">
    <cfRule type="cellIs" dxfId="2" priority="6740" operator="lessThan">
      <formula>20</formula>
    </cfRule>
    <cfRule type="cellIs" dxfId="1" priority="4125" operator="greaterThan">
      <formula>120</formula>
    </cfRule>
    <cfRule type="containsText" dxfId="0" priority="1510" operator="between" text="库存为">
      <formula>NOT(ISERROR(SEARCH("库存为",AU1111)))</formula>
    </cfRule>
  </conditionalFormatting>
  <conditionalFormatting sqref="AU1112">
    <cfRule type="cellIs" dxfId="2" priority="6739" operator="lessThan">
      <formula>20</formula>
    </cfRule>
    <cfRule type="cellIs" dxfId="1" priority="4124" operator="greaterThan">
      <formula>120</formula>
    </cfRule>
    <cfRule type="containsText" dxfId="0" priority="1509" operator="between" text="库存为">
      <formula>NOT(ISERROR(SEARCH("库存为",AU1112)))</formula>
    </cfRule>
  </conditionalFormatting>
  <conditionalFormatting sqref="AU1113">
    <cfRule type="cellIs" dxfId="2" priority="6738" operator="lessThan">
      <formula>20</formula>
    </cfRule>
    <cfRule type="cellIs" dxfId="1" priority="4123" operator="greaterThan">
      <formula>120</formula>
    </cfRule>
    <cfRule type="containsText" dxfId="0" priority="1508" operator="between" text="库存为">
      <formula>NOT(ISERROR(SEARCH("库存为",AU1113)))</formula>
    </cfRule>
  </conditionalFormatting>
  <conditionalFormatting sqref="AU1114">
    <cfRule type="cellIs" dxfId="2" priority="6737" operator="lessThan">
      <formula>20</formula>
    </cfRule>
    <cfRule type="cellIs" dxfId="1" priority="4122" operator="greaterThan">
      <formula>120</formula>
    </cfRule>
    <cfRule type="containsText" dxfId="0" priority="1507" operator="between" text="库存为">
      <formula>NOT(ISERROR(SEARCH("库存为",AU1114)))</formula>
    </cfRule>
  </conditionalFormatting>
  <conditionalFormatting sqref="AU1115">
    <cfRule type="cellIs" dxfId="2" priority="6736" operator="lessThan">
      <formula>20</formula>
    </cfRule>
    <cfRule type="cellIs" dxfId="1" priority="4121" operator="greaterThan">
      <formula>120</formula>
    </cfRule>
    <cfRule type="containsText" dxfId="0" priority="1506" operator="between" text="库存为">
      <formula>NOT(ISERROR(SEARCH("库存为",AU1115)))</formula>
    </cfRule>
  </conditionalFormatting>
  <conditionalFormatting sqref="AU1116">
    <cfRule type="cellIs" dxfId="2" priority="6735" operator="lessThan">
      <formula>20</formula>
    </cfRule>
    <cfRule type="cellIs" dxfId="1" priority="4120" operator="greaterThan">
      <formula>120</formula>
    </cfRule>
    <cfRule type="containsText" dxfId="0" priority="1505" operator="between" text="库存为">
      <formula>NOT(ISERROR(SEARCH("库存为",AU1116)))</formula>
    </cfRule>
  </conditionalFormatting>
  <conditionalFormatting sqref="AU1117">
    <cfRule type="cellIs" dxfId="2" priority="6734" operator="lessThan">
      <formula>20</formula>
    </cfRule>
    <cfRule type="cellIs" dxfId="1" priority="4119" operator="greaterThan">
      <formula>120</formula>
    </cfRule>
    <cfRule type="containsText" dxfId="0" priority="1504" operator="between" text="库存为">
      <formula>NOT(ISERROR(SEARCH("库存为",AU1117)))</formula>
    </cfRule>
  </conditionalFormatting>
  <conditionalFormatting sqref="AU1118">
    <cfRule type="cellIs" dxfId="2" priority="6733" operator="lessThan">
      <formula>20</formula>
    </cfRule>
    <cfRule type="cellIs" dxfId="1" priority="4118" operator="greaterThan">
      <formula>120</formula>
    </cfRule>
    <cfRule type="containsText" dxfId="0" priority="1503" operator="between" text="库存为">
      <formula>NOT(ISERROR(SEARCH("库存为",AU1118)))</formula>
    </cfRule>
  </conditionalFormatting>
  <conditionalFormatting sqref="AU1119">
    <cfRule type="cellIs" dxfId="2" priority="6732" operator="lessThan">
      <formula>20</formula>
    </cfRule>
    <cfRule type="cellIs" dxfId="1" priority="4117" operator="greaterThan">
      <formula>120</formula>
    </cfRule>
    <cfRule type="containsText" dxfId="0" priority="1502" operator="between" text="库存为">
      <formula>NOT(ISERROR(SEARCH("库存为",AU1119)))</formula>
    </cfRule>
  </conditionalFormatting>
  <conditionalFormatting sqref="AU1120">
    <cfRule type="cellIs" dxfId="2" priority="6731" operator="lessThan">
      <formula>20</formula>
    </cfRule>
    <cfRule type="cellIs" dxfId="1" priority="4116" operator="greaterThan">
      <formula>120</formula>
    </cfRule>
    <cfRule type="containsText" dxfId="0" priority="1501" operator="between" text="库存为">
      <formula>NOT(ISERROR(SEARCH("库存为",AU1120)))</formula>
    </cfRule>
  </conditionalFormatting>
  <conditionalFormatting sqref="AU1121">
    <cfRule type="cellIs" dxfId="2" priority="6730" operator="lessThan">
      <formula>20</formula>
    </cfRule>
    <cfRule type="cellIs" dxfId="1" priority="4115" operator="greaterThan">
      <formula>120</formula>
    </cfRule>
    <cfRule type="containsText" dxfId="0" priority="1500" operator="between" text="库存为">
      <formula>NOT(ISERROR(SEARCH("库存为",AU1121)))</formula>
    </cfRule>
  </conditionalFormatting>
  <conditionalFormatting sqref="AU1122">
    <cfRule type="cellIs" dxfId="2" priority="6729" operator="lessThan">
      <formula>20</formula>
    </cfRule>
    <cfRule type="cellIs" dxfId="1" priority="4114" operator="greaterThan">
      <formula>120</formula>
    </cfRule>
    <cfRule type="containsText" dxfId="0" priority="1499" operator="between" text="库存为">
      <formula>NOT(ISERROR(SEARCH("库存为",AU1122)))</formula>
    </cfRule>
  </conditionalFormatting>
  <conditionalFormatting sqref="AU1123">
    <cfRule type="cellIs" dxfId="2" priority="6728" operator="lessThan">
      <formula>20</formula>
    </cfRule>
    <cfRule type="cellIs" dxfId="1" priority="4113" operator="greaterThan">
      <formula>120</formula>
    </cfRule>
    <cfRule type="containsText" dxfId="0" priority="1498" operator="between" text="库存为">
      <formula>NOT(ISERROR(SEARCH("库存为",AU1123)))</formula>
    </cfRule>
  </conditionalFormatting>
  <conditionalFormatting sqref="AU1124">
    <cfRule type="cellIs" dxfId="2" priority="6727" operator="lessThan">
      <formula>20</formula>
    </cfRule>
    <cfRule type="cellIs" dxfId="1" priority="4112" operator="greaterThan">
      <formula>120</formula>
    </cfRule>
    <cfRule type="containsText" dxfId="0" priority="1497" operator="between" text="库存为">
      <formula>NOT(ISERROR(SEARCH("库存为",AU1124)))</formula>
    </cfRule>
  </conditionalFormatting>
  <conditionalFormatting sqref="AU1125">
    <cfRule type="cellIs" dxfId="2" priority="6726" operator="lessThan">
      <formula>20</formula>
    </cfRule>
    <cfRule type="cellIs" dxfId="1" priority="4111" operator="greaterThan">
      <formula>120</formula>
    </cfRule>
    <cfRule type="containsText" dxfId="0" priority="1496" operator="between" text="库存为">
      <formula>NOT(ISERROR(SEARCH("库存为",AU1125)))</formula>
    </cfRule>
  </conditionalFormatting>
  <conditionalFormatting sqref="AU1126">
    <cfRule type="cellIs" dxfId="2" priority="6725" operator="lessThan">
      <formula>20</formula>
    </cfRule>
    <cfRule type="cellIs" dxfId="1" priority="4110" operator="greaterThan">
      <formula>120</formula>
    </cfRule>
    <cfRule type="containsText" dxfId="0" priority="1495" operator="between" text="库存为">
      <formula>NOT(ISERROR(SEARCH("库存为",AU1126)))</formula>
    </cfRule>
  </conditionalFormatting>
  <conditionalFormatting sqref="AU1127">
    <cfRule type="cellIs" dxfId="2" priority="6724" operator="lessThan">
      <formula>20</formula>
    </cfRule>
    <cfRule type="cellIs" dxfId="1" priority="4109" operator="greaterThan">
      <formula>120</formula>
    </cfRule>
    <cfRule type="containsText" dxfId="0" priority="1494" operator="between" text="库存为">
      <formula>NOT(ISERROR(SEARCH("库存为",AU1127)))</formula>
    </cfRule>
  </conditionalFormatting>
  <conditionalFormatting sqref="AU1128">
    <cfRule type="cellIs" dxfId="2" priority="6723" operator="lessThan">
      <formula>20</formula>
    </cfRule>
    <cfRule type="cellIs" dxfId="1" priority="4108" operator="greaterThan">
      <formula>120</formula>
    </cfRule>
    <cfRule type="containsText" dxfId="0" priority="1493" operator="between" text="库存为">
      <formula>NOT(ISERROR(SEARCH("库存为",AU1128)))</formula>
    </cfRule>
  </conditionalFormatting>
  <conditionalFormatting sqref="AU1129">
    <cfRule type="cellIs" dxfId="2" priority="6722" operator="lessThan">
      <formula>20</formula>
    </cfRule>
    <cfRule type="cellIs" dxfId="1" priority="4107" operator="greaterThan">
      <formula>120</formula>
    </cfRule>
    <cfRule type="containsText" dxfId="0" priority="1492" operator="between" text="库存为">
      <formula>NOT(ISERROR(SEARCH("库存为",AU1129)))</formula>
    </cfRule>
  </conditionalFormatting>
  <conditionalFormatting sqref="AU1130">
    <cfRule type="cellIs" dxfId="2" priority="6721" operator="lessThan">
      <formula>20</formula>
    </cfRule>
    <cfRule type="cellIs" dxfId="1" priority="4106" operator="greaterThan">
      <formula>120</formula>
    </cfRule>
    <cfRule type="containsText" dxfId="0" priority="1491" operator="between" text="库存为">
      <formula>NOT(ISERROR(SEARCH("库存为",AU1130)))</formula>
    </cfRule>
  </conditionalFormatting>
  <conditionalFormatting sqref="AU1131">
    <cfRule type="cellIs" dxfId="2" priority="6720" operator="lessThan">
      <formula>20</formula>
    </cfRule>
    <cfRule type="cellIs" dxfId="1" priority="4105" operator="greaterThan">
      <formula>120</formula>
    </cfRule>
    <cfRule type="containsText" dxfId="0" priority="1490" operator="between" text="库存为">
      <formula>NOT(ISERROR(SEARCH("库存为",AU1131)))</formula>
    </cfRule>
  </conditionalFormatting>
  <conditionalFormatting sqref="AU1132">
    <cfRule type="cellIs" dxfId="2" priority="6719" operator="lessThan">
      <formula>20</formula>
    </cfRule>
    <cfRule type="cellIs" dxfId="1" priority="4104" operator="greaterThan">
      <formula>120</formula>
    </cfRule>
    <cfRule type="containsText" dxfId="0" priority="1489" operator="between" text="库存为">
      <formula>NOT(ISERROR(SEARCH("库存为",AU1132)))</formula>
    </cfRule>
  </conditionalFormatting>
  <conditionalFormatting sqref="AU1133">
    <cfRule type="cellIs" dxfId="2" priority="6718" operator="lessThan">
      <formula>20</formula>
    </cfRule>
    <cfRule type="cellIs" dxfId="1" priority="4103" operator="greaterThan">
      <formula>120</formula>
    </cfRule>
    <cfRule type="containsText" dxfId="0" priority="1488" operator="between" text="库存为">
      <formula>NOT(ISERROR(SEARCH("库存为",AU1133)))</formula>
    </cfRule>
  </conditionalFormatting>
  <conditionalFormatting sqref="AU1134">
    <cfRule type="cellIs" dxfId="2" priority="6717" operator="lessThan">
      <formula>20</formula>
    </cfRule>
    <cfRule type="cellIs" dxfId="1" priority="4102" operator="greaterThan">
      <formula>120</formula>
    </cfRule>
    <cfRule type="containsText" dxfId="0" priority="1487" operator="between" text="库存为">
      <formula>NOT(ISERROR(SEARCH("库存为",AU1134)))</formula>
    </cfRule>
  </conditionalFormatting>
  <conditionalFormatting sqref="AU1135">
    <cfRule type="cellIs" dxfId="2" priority="6716" operator="lessThan">
      <formula>20</formula>
    </cfRule>
    <cfRule type="cellIs" dxfId="1" priority="4101" operator="greaterThan">
      <formula>120</formula>
    </cfRule>
    <cfRule type="containsText" dxfId="0" priority="1486" operator="between" text="库存为">
      <formula>NOT(ISERROR(SEARCH("库存为",AU1135)))</formula>
    </cfRule>
  </conditionalFormatting>
  <conditionalFormatting sqref="AU1136">
    <cfRule type="cellIs" dxfId="2" priority="6715" operator="lessThan">
      <formula>20</formula>
    </cfRule>
    <cfRule type="cellIs" dxfId="1" priority="4100" operator="greaterThan">
      <formula>120</formula>
    </cfRule>
    <cfRule type="containsText" dxfId="0" priority="1485" operator="between" text="库存为">
      <formula>NOT(ISERROR(SEARCH("库存为",AU1136)))</formula>
    </cfRule>
  </conditionalFormatting>
  <conditionalFormatting sqref="AU1137">
    <cfRule type="cellIs" dxfId="2" priority="6714" operator="lessThan">
      <formula>20</formula>
    </cfRule>
    <cfRule type="cellIs" dxfId="1" priority="4099" operator="greaterThan">
      <formula>120</formula>
    </cfRule>
    <cfRule type="containsText" dxfId="0" priority="1484" operator="between" text="库存为">
      <formula>NOT(ISERROR(SEARCH("库存为",AU1137)))</formula>
    </cfRule>
  </conditionalFormatting>
  <conditionalFormatting sqref="AU1138">
    <cfRule type="cellIs" dxfId="2" priority="6713" operator="lessThan">
      <formula>20</formula>
    </cfRule>
    <cfRule type="cellIs" dxfId="1" priority="4098" operator="greaterThan">
      <formula>120</formula>
    </cfRule>
    <cfRule type="containsText" dxfId="0" priority="1483" operator="between" text="库存为">
      <formula>NOT(ISERROR(SEARCH("库存为",AU1138)))</formula>
    </cfRule>
  </conditionalFormatting>
  <conditionalFormatting sqref="AU1139">
    <cfRule type="cellIs" dxfId="2" priority="6712" operator="lessThan">
      <formula>20</formula>
    </cfRule>
    <cfRule type="cellIs" dxfId="1" priority="4097" operator="greaterThan">
      <formula>120</formula>
    </cfRule>
    <cfRule type="containsText" dxfId="0" priority="1482" operator="between" text="库存为">
      <formula>NOT(ISERROR(SEARCH("库存为",AU1139)))</formula>
    </cfRule>
  </conditionalFormatting>
  <conditionalFormatting sqref="AU1140">
    <cfRule type="cellIs" dxfId="2" priority="6711" operator="lessThan">
      <formula>20</formula>
    </cfRule>
    <cfRule type="cellIs" dxfId="1" priority="4096" operator="greaterThan">
      <formula>120</formula>
    </cfRule>
    <cfRule type="containsText" dxfId="0" priority="1481" operator="between" text="库存为">
      <formula>NOT(ISERROR(SEARCH("库存为",AU1140)))</formula>
    </cfRule>
  </conditionalFormatting>
  <conditionalFormatting sqref="AU1141">
    <cfRule type="cellIs" dxfId="2" priority="6710" operator="lessThan">
      <formula>20</formula>
    </cfRule>
    <cfRule type="cellIs" dxfId="1" priority="4095" operator="greaterThan">
      <formula>120</formula>
    </cfRule>
    <cfRule type="containsText" dxfId="0" priority="1480" operator="between" text="库存为">
      <formula>NOT(ISERROR(SEARCH("库存为",AU1141)))</formula>
    </cfRule>
  </conditionalFormatting>
  <conditionalFormatting sqref="AU1142">
    <cfRule type="cellIs" dxfId="2" priority="6709" operator="lessThan">
      <formula>20</formula>
    </cfRule>
    <cfRule type="cellIs" dxfId="1" priority="4094" operator="greaterThan">
      <formula>120</formula>
    </cfRule>
    <cfRule type="containsText" dxfId="0" priority="1479" operator="between" text="库存为">
      <formula>NOT(ISERROR(SEARCH("库存为",AU1142)))</formula>
    </cfRule>
  </conditionalFormatting>
  <conditionalFormatting sqref="AU1143">
    <cfRule type="cellIs" dxfId="2" priority="6708" operator="lessThan">
      <formula>20</formula>
    </cfRule>
    <cfRule type="cellIs" dxfId="1" priority="4093" operator="greaterThan">
      <formula>120</formula>
    </cfRule>
    <cfRule type="containsText" dxfId="0" priority="1478" operator="between" text="库存为">
      <formula>NOT(ISERROR(SEARCH("库存为",AU1143)))</formula>
    </cfRule>
  </conditionalFormatting>
  <conditionalFormatting sqref="AU1144">
    <cfRule type="cellIs" dxfId="2" priority="6707" operator="lessThan">
      <formula>20</formula>
    </cfRule>
    <cfRule type="cellIs" dxfId="1" priority="4092" operator="greaterThan">
      <formula>120</formula>
    </cfRule>
    <cfRule type="containsText" dxfId="0" priority="1477" operator="between" text="库存为">
      <formula>NOT(ISERROR(SEARCH("库存为",AU1144)))</formula>
    </cfRule>
  </conditionalFormatting>
  <conditionalFormatting sqref="AU1145">
    <cfRule type="cellIs" dxfId="2" priority="6706" operator="lessThan">
      <formula>20</formula>
    </cfRule>
    <cfRule type="cellIs" dxfId="1" priority="4091" operator="greaterThan">
      <formula>120</formula>
    </cfRule>
    <cfRule type="containsText" dxfId="0" priority="1476" operator="between" text="库存为">
      <formula>NOT(ISERROR(SEARCH("库存为",AU1145)))</formula>
    </cfRule>
  </conditionalFormatting>
  <conditionalFormatting sqref="AU1146">
    <cfRule type="cellIs" dxfId="2" priority="6705" operator="lessThan">
      <formula>20</formula>
    </cfRule>
    <cfRule type="cellIs" dxfId="1" priority="4090" operator="greaterThan">
      <formula>120</formula>
    </cfRule>
    <cfRule type="containsText" dxfId="0" priority="1475" operator="between" text="库存为">
      <formula>NOT(ISERROR(SEARCH("库存为",AU1146)))</formula>
    </cfRule>
  </conditionalFormatting>
  <conditionalFormatting sqref="AU1147">
    <cfRule type="cellIs" dxfId="2" priority="6704" operator="lessThan">
      <formula>20</formula>
    </cfRule>
    <cfRule type="cellIs" dxfId="1" priority="4089" operator="greaterThan">
      <formula>120</formula>
    </cfRule>
    <cfRule type="containsText" dxfId="0" priority="1474" operator="between" text="库存为">
      <formula>NOT(ISERROR(SEARCH("库存为",AU1147)))</formula>
    </cfRule>
  </conditionalFormatting>
  <conditionalFormatting sqref="AU1148">
    <cfRule type="cellIs" dxfId="2" priority="6703" operator="lessThan">
      <formula>20</formula>
    </cfRule>
    <cfRule type="cellIs" dxfId="1" priority="4088" operator="greaterThan">
      <formula>120</formula>
    </cfRule>
    <cfRule type="containsText" dxfId="0" priority="1473" operator="between" text="库存为">
      <formula>NOT(ISERROR(SEARCH("库存为",AU1148)))</formula>
    </cfRule>
  </conditionalFormatting>
  <conditionalFormatting sqref="AU1149">
    <cfRule type="cellIs" dxfId="2" priority="6702" operator="lessThan">
      <formula>20</formula>
    </cfRule>
    <cfRule type="cellIs" dxfId="1" priority="4087" operator="greaterThan">
      <formula>120</formula>
    </cfRule>
    <cfRule type="containsText" dxfId="0" priority="1472" operator="between" text="库存为">
      <formula>NOT(ISERROR(SEARCH("库存为",AU1149)))</formula>
    </cfRule>
  </conditionalFormatting>
  <conditionalFormatting sqref="AU1150">
    <cfRule type="cellIs" dxfId="2" priority="6701" operator="lessThan">
      <formula>20</formula>
    </cfRule>
    <cfRule type="cellIs" dxfId="1" priority="4086" operator="greaterThan">
      <formula>120</formula>
    </cfRule>
    <cfRule type="containsText" dxfId="0" priority="1471" operator="between" text="库存为">
      <formula>NOT(ISERROR(SEARCH("库存为",AU1150)))</formula>
    </cfRule>
  </conditionalFormatting>
  <conditionalFormatting sqref="AU1151">
    <cfRule type="cellIs" dxfId="2" priority="6700" operator="lessThan">
      <formula>20</formula>
    </cfRule>
    <cfRule type="cellIs" dxfId="1" priority="4085" operator="greaterThan">
      <formula>120</formula>
    </cfRule>
    <cfRule type="containsText" dxfId="0" priority="1470" operator="between" text="库存为">
      <formula>NOT(ISERROR(SEARCH("库存为",AU1151)))</formula>
    </cfRule>
  </conditionalFormatting>
  <conditionalFormatting sqref="AU1152">
    <cfRule type="cellIs" dxfId="2" priority="6699" operator="lessThan">
      <formula>20</formula>
    </cfRule>
    <cfRule type="cellIs" dxfId="1" priority="4084" operator="greaterThan">
      <formula>120</formula>
    </cfRule>
    <cfRule type="containsText" dxfId="0" priority="1469" operator="between" text="库存为">
      <formula>NOT(ISERROR(SEARCH("库存为",AU1152)))</formula>
    </cfRule>
  </conditionalFormatting>
  <conditionalFormatting sqref="AU1153">
    <cfRule type="cellIs" dxfId="2" priority="6698" operator="lessThan">
      <formula>20</formula>
    </cfRule>
    <cfRule type="cellIs" dxfId="1" priority="4083" operator="greaterThan">
      <formula>120</formula>
    </cfRule>
    <cfRule type="containsText" dxfId="0" priority="1468" operator="between" text="库存为">
      <formula>NOT(ISERROR(SEARCH("库存为",AU1153)))</formula>
    </cfRule>
  </conditionalFormatting>
  <conditionalFormatting sqref="AU1154">
    <cfRule type="cellIs" dxfId="2" priority="6697" operator="lessThan">
      <formula>20</formula>
    </cfRule>
    <cfRule type="cellIs" dxfId="1" priority="4082" operator="greaterThan">
      <formula>120</formula>
    </cfRule>
    <cfRule type="containsText" dxfId="0" priority="1467" operator="between" text="库存为">
      <formula>NOT(ISERROR(SEARCH("库存为",AU1154)))</formula>
    </cfRule>
  </conditionalFormatting>
  <conditionalFormatting sqref="AU1155">
    <cfRule type="cellIs" dxfId="2" priority="6696" operator="lessThan">
      <formula>20</formula>
    </cfRule>
    <cfRule type="cellIs" dxfId="1" priority="4081" operator="greaterThan">
      <formula>120</formula>
    </cfRule>
    <cfRule type="containsText" dxfId="0" priority="1466" operator="between" text="库存为">
      <formula>NOT(ISERROR(SEARCH("库存为",AU1155)))</formula>
    </cfRule>
  </conditionalFormatting>
  <conditionalFormatting sqref="AU1156">
    <cfRule type="cellIs" dxfId="2" priority="6695" operator="lessThan">
      <formula>20</formula>
    </cfRule>
    <cfRule type="cellIs" dxfId="1" priority="4080" operator="greaterThan">
      <formula>120</formula>
    </cfRule>
    <cfRule type="containsText" dxfId="0" priority="1465" operator="between" text="库存为">
      <formula>NOT(ISERROR(SEARCH("库存为",AU1156)))</formula>
    </cfRule>
  </conditionalFormatting>
  <conditionalFormatting sqref="AU1157">
    <cfRule type="cellIs" dxfId="2" priority="6694" operator="lessThan">
      <formula>20</formula>
    </cfRule>
    <cfRule type="cellIs" dxfId="1" priority="4079" operator="greaterThan">
      <formula>120</formula>
    </cfRule>
    <cfRule type="containsText" dxfId="0" priority="1464" operator="between" text="库存为">
      <formula>NOT(ISERROR(SEARCH("库存为",AU1157)))</formula>
    </cfRule>
  </conditionalFormatting>
  <conditionalFormatting sqref="AU1158">
    <cfRule type="cellIs" dxfId="2" priority="6693" operator="lessThan">
      <formula>20</formula>
    </cfRule>
    <cfRule type="cellIs" dxfId="1" priority="4078" operator="greaterThan">
      <formula>120</formula>
    </cfRule>
    <cfRule type="containsText" dxfId="0" priority="1463" operator="between" text="库存为">
      <formula>NOT(ISERROR(SEARCH("库存为",AU1158)))</formula>
    </cfRule>
  </conditionalFormatting>
  <conditionalFormatting sqref="AU1159">
    <cfRule type="cellIs" dxfId="2" priority="6692" operator="lessThan">
      <formula>20</formula>
    </cfRule>
    <cfRule type="cellIs" dxfId="1" priority="4077" operator="greaterThan">
      <formula>120</formula>
    </cfRule>
    <cfRule type="containsText" dxfId="0" priority="1462" operator="between" text="库存为">
      <formula>NOT(ISERROR(SEARCH("库存为",AU1159)))</formula>
    </cfRule>
  </conditionalFormatting>
  <conditionalFormatting sqref="AU1160">
    <cfRule type="cellIs" dxfId="2" priority="6691" operator="lessThan">
      <formula>20</formula>
    </cfRule>
    <cfRule type="cellIs" dxfId="1" priority="4076" operator="greaterThan">
      <formula>120</formula>
    </cfRule>
    <cfRule type="containsText" dxfId="0" priority="1461" operator="between" text="库存为">
      <formula>NOT(ISERROR(SEARCH("库存为",AU1160)))</formula>
    </cfRule>
  </conditionalFormatting>
  <conditionalFormatting sqref="AU1161">
    <cfRule type="cellIs" dxfId="2" priority="6690" operator="lessThan">
      <formula>20</formula>
    </cfRule>
    <cfRule type="cellIs" dxfId="1" priority="4075" operator="greaterThan">
      <formula>120</formula>
    </cfRule>
    <cfRule type="containsText" dxfId="0" priority="1460" operator="between" text="库存为">
      <formula>NOT(ISERROR(SEARCH("库存为",AU1161)))</formula>
    </cfRule>
  </conditionalFormatting>
  <conditionalFormatting sqref="AU1162">
    <cfRule type="cellIs" dxfId="2" priority="6689" operator="lessThan">
      <formula>20</formula>
    </cfRule>
    <cfRule type="cellIs" dxfId="1" priority="4074" operator="greaterThan">
      <formula>120</formula>
    </cfRule>
    <cfRule type="containsText" dxfId="0" priority="1459" operator="between" text="库存为">
      <formula>NOT(ISERROR(SEARCH("库存为",AU1162)))</formula>
    </cfRule>
  </conditionalFormatting>
  <conditionalFormatting sqref="AU1163">
    <cfRule type="cellIs" dxfId="2" priority="6688" operator="lessThan">
      <formula>20</formula>
    </cfRule>
    <cfRule type="cellIs" dxfId="1" priority="4073" operator="greaterThan">
      <formula>120</formula>
    </cfRule>
    <cfRule type="containsText" dxfId="0" priority="1458" operator="between" text="库存为">
      <formula>NOT(ISERROR(SEARCH("库存为",AU1163)))</formula>
    </cfRule>
  </conditionalFormatting>
  <conditionalFormatting sqref="AU1164">
    <cfRule type="cellIs" dxfId="2" priority="6687" operator="lessThan">
      <formula>20</formula>
    </cfRule>
    <cfRule type="cellIs" dxfId="1" priority="4072" operator="greaterThan">
      <formula>120</formula>
    </cfRule>
    <cfRule type="containsText" dxfId="0" priority="1457" operator="between" text="库存为">
      <formula>NOT(ISERROR(SEARCH("库存为",AU1164)))</formula>
    </cfRule>
  </conditionalFormatting>
  <conditionalFormatting sqref="AU1165">
    <cfRule type="cellIs" dxfId="2" priority="6686" operator="lessThan">
      <formula>20</formula>
    </cfRule>
    <cfRule type="cellIs" dxfId="1" priority="4071" operator="greaterThan">
      <formula>120</formula>
    </cfRule>
    <cfRule type="containsText" dxfId="0" priority="1456" operator="between" text="库存为">
      <formula>NOT(ISERROR(SEARCH("库存为",AU1165)))</formula>
    </cfRule>
  </conditionalFormatting>
  <conditionalFormatting sqref="AU1166">
    <cfRule type="cellIs" dxfId="2" priority="6685" operator="lessThan">
      <formula>20</formula>
    </cfRule>
    <cfRule type="cellIs" dxfId="1" priority="4070" operator="greaterThan">
      <formula>120</formula>
    </cfRule>
    <cfRule type="containsText" dxfId="0" priority="1455" operator="between" text="库存为">
      <formula>NOT(ISERROR(SEARCH("库存为",AU1166)))</formula>
    </cfRule>
  </conditionalFormatting>
  <conditionalFormatting sqref="AU1167">
    <cfRule type="cellIs" dxfId="2" priority="6684" operator="lessThan">
      <formula>20</formula>
    </cfRule>
    <cfRule type="cellIs" dxfId="1" priority="4069" operator="greaterThan">
      <formula>120</formula>
    </cfRule>
    <cfRule type="containsText" dxfId="0" priority="1454" operator="between" text="库存为">
      <formula>NOT(ISERROR(SEARCH("库存为",AU1167)))</formula>
    </cfRule>
  </conditionalFormatting>
  <conditionalFormatting sqref="AU1168">
    <cfRule type="cellIs" dxfId="2" priority="6683" operator="lessThan">
      <formula>20</formula>
    </cfRule>
    <cfRule type="cellIs" dxfId="1" priority="4068" operator="greaterThan">
      <formula>120</formula>
    </cfRule>
    <cfRule type="containsText" dxfId="0" priority="1453" operator="between" text="库存为">
      <formula>NOT(ISERROR(SEARCH("库存为",AU1168)))</formula>
    </cfRule>
  </conditionalFormatting>
  <conditionalFormatting sqref="AU1169">
    <cfRule type="cellIs" dxfId="2" priority="6682" operator="lessThan">
      <formula>20</formula>
    </cfRule>
    <cfRule type="cellIs" dxfId="1" priority="4067" operator="greaterThan">
      <formula>120</formula>
    </cfRule>
    <cfRule type="containsText" dxfId="0" priority="1452" operator="between" text="库存为">
      <formula>NOT(ISERROR(SEARCH("库存为",AU1169)))</formula>
    </cfRule>
  </conditionalFormatting>
  <conditionalFormatting sqref="AU1170">
    <cfRule type="cellIs" dxfId="2" priority="6681" operator="lessThan">
      <formula>20</formula>
    </cfRule>
    <cfRule type="cellIs" dxfId="1" priority="4066" operator="greaterThan">
      <formula>120</formula>
    </cfRule>
    <cfRule type="containsText" dxfId="0" priority="1451" operator="between" text="库存为">
      <formula>NOT(ISERROR(SEARCH("库存为",AU1170)))</formula>
    </cfRule>
  </conditionalFormatting>
  <conditionalFormatting sqref="AU1171">
    <cfRule type="cellIs" dxfId="2" priority="6680" operator="lessThan">
      <formula>20</formula>
    </cfRule>
    <cfRule type="cellIs" dxfId="1" priority="4065" operator="greaterThan">
      <formula>120</formula>
    </cfRule>
    <cfRule type="containsText" dxfId="0" priority="1450" operator="between" text="库存为">
      <formula>NOT(ISERROR(SEARCH("库存为",AU1171)))</formula>
    </cfRule>
  </conditionalFormatting>
  <conditionalFormatting sqref="AU1172">
    <cfRule type="cellIs" dxfId="2" priority="6679" operator="lessThan">
      <formula>20</formula>
    </cfRule>
    <cfRule type="cellIs" dxfId="1" priority="4064" operator="greaterThan">
      <formula>120</formula>
    </cfRule>
    <cfRule type="containsText" dxfId="0" priority="1449" operator="between" text="库存为">
      <formula>NOT(ISERROR(SEARCH("库存为",AU1172)))</formula>
    </cfRule>
  </conditionalFormatting>
  <conditionalFormatting sqref="AU1173">
    <cfRule type="cellIs" dxfId="2" priority="6678" operator="lessThan">
      <formula>20</formula>
    </cfRule>
    <cfRule type="cellIs" dxfId="1" priority="4063" operator="greaterThan">
      <formula>120</formula>
    </cfRule>
    <cfRule type="containsText" dxfId="0" priority="1448" operator="between" text="库存为">
      <formula>NOT(ISERROR(SEARCH("库存为",AU1173)))</formula>
    </cfRule>
  </conditionalFormatting>
  <conditionalFormatting sqref="AU1174">
    <cfRule type="cellIs" dxfId="2" priority="6677" operator="lessThan">
      <formula>20</formula>
    </cfRule>
    <cfRule type="cellIs" dxfId="1" priority="4062" operator="greaterThan">
      <formula>120</formula>
    </cfRule>
    <cfRule type="containsText" dxfId="0" priority="1447" operator="between" text="库存为">
      <formula>NOT(ISERROR(SEARCH("库存为",AU1174)))</formula>
    </cfRule>
  </conditionalFormatting>
  <conditionalFormatting sqref="AU1175">
    <cfRule type="cellIs" dxfId="2" priority="6676" operator="lessThan">
      <formula>20</formula>
    </cfRule>
    <cfRule type="cellIs" dxfId="1" priority="4061" operator="greaterThan">
      <formula>120</formula>
    </cfRule>
    <cfRule type="containsText" dxfId="0" priority="1446" operator="between" text="库存为">
      <formula>NOT(ISERROR(SEARCH("库存为",AU1175)))</formula>
    </cfRule>
  </conditionalFormatting>
  <conditionalFormatting sqref="AU1176">
    <cfRule type="cellIs" dxfId="2" priority="6675" operator="lessThan">
      <formula>20</formula>
    </cfRule>
    <cfRule type="cellIs" dxfId="1" priority="4060" operator="greaterThan">
      <formula>120</formula>
    </cfRule>
    <cfRule type="containsText" dxfId="0" priority="1445" operator="between" text="库存为">
      <formula>NOT(ISERROR(SEARCH("库存为",AU1176)))</formula>
    </cfRule>
  </conditionalFormatting>
  <conditionalFormatting sqref="AU1177">
    <cfRule type="cellIs" dxfId="2" priority="6674" operator="lessThan">
      <formula>20</formula>
    </cfRule>
    <cfRule type="cellIs" dxfId="1" priority="4059" operator="greaterThan">
      <formula>120</formula>
    </cfRule>
    <cfRule type="containsText" dxfId="0" priority="1444" operator="between" text="库存为">
      <formula>NOT(ISERROR(SEARCH("库存为",AU1177)))</formula>
    </cfRule>
  </conditionalFormatting>
  <conditionalFormatting sqref="AU1178">
    <cfRule type="cellIs" dxfId="2" priority="6673" operator="lessThan">
      <formula>20</formula>
    </cfRule>
    <cfRule type="cellIs" dxfId="1" priority="4058" operator="greaterThan">
      <formula>120</formula>
    </cfRule>
    <cfRule type="containsText" dxfId="0" priority="1443" operator="between" text="库存为">
      <formula>NOT(ISERROR(SEARCH("库存为",AU1178)))</formula>
    </cfRule>
  </conditionalFormatting>
  <conditionalFormatting sqref="AU1179">
    <cfRule type="cellIs" dxfId="2" priority="6672" operator="lessThan">
      <formula>20</formula>
    </cfRule>
    <cfRule type="cellIs" dxfId="1" priority="4057" operator="greaterThan">
      <formula>120</formula>
    </cfRule>
    <cfRule type="containsText" dxfId="0" priority="1442" operator="between" text="库存为">
      <formula>NOT(ISERROR(SEARCH("库存为",AU1179)))</formula>
    </cfRule>
  </conditionalFormatting>
  <conditionalFormatting sqref="AU1180">
    <cfRule type="cellIs" dxfId="2" priority="6671" operator="lessThan">
      <formula>20</formula>
    </cfRule>
    <cfRule type="cellIs" dxfId="1" priority="4056" operator="greaterThan">
      <formula>120</formula>
    </cfRule>
    <cfRule type="containsText" dxfId="0" priority="1441" operator="between" text="库存为">
      <formula>NOT(ISERROR(SEARCH("库存为",AU1180)))</formula>
    </cfRule>
  </conditionalFormatting>
  <conditionalFormatting sqref="AU1181">
    <cfRule type="cellIs" dxfId="2" priority="6670" operator="lessThan">
      <formula>20</formula>
    </cfRule>
    <cfRule type="cellIs" dxfId="1" priority="4055" operator="greaterThan">
      <formula>120</formula>
    </cfRule>
    <cfRule type="containsText" dxfId="0" priority="1440" operator="between" text="库存为">
      <formula>NOT(ISERROR(SEARCH("库存为",AU1181)))</formula>
    </cfRule>
  </conditionalFormatting>
  <conditionalFormatting sqref="AU1182">
    <cfRule type="cellIs" dxfId="2" priority="6669" operator="lessThan">
      <formula>20</formula>
    </cfRule>
    <cfRule type="cellIs" dxfId="1" priority="4054" operator="greaterThan">
      <formula>120</formula>
    </cfRule>
    <cfRule type="containsText" dxfId="0" priority="1439" operator="between" text="库存为">
      <formula>NOT(ISERROR(SEARCH("库存为",AU1182)))</formula>
    </cfRule>
  </conditionalFormatting>
  <conditionalFormatting sqref="AU1183">
    <cfRule type="cellIs" dxfId="2" priority="6668" operator="lessThan">
      <formula>20</formula>
    </cfRule>
    <cfRule type="cellIs" dxfId="1" priority="4053" operator="greaterThan">
      <formula>120</formula>
    </cfRule>
    <cfRule type="containsText" dxfId="0" priority="1438" operator="between" text="库存为">
      <formula>NOT(ISERROR(SEARCH("库存为",AU1183)))</formula>
    </cfRule>
  </conditionalFormatting>
  <conditionalFormatting sqref="AU1184">
    <cfRule type="cellIs" dxfId="2" priority="6667" operator="lessThan">
      <formula>20</formula>
    </cfRule>
    <cfRule type="cellIs" dxfId="1" priority="4052" operator="greaterThan">
      <formula>120</formula>
    </cfRule>
    <cfRule type="containsText" dxfId="0" priority="1437" operator="between" text="库存为">
      <formula>NOT(ISERROR(SEARCH("库存为",AU1184)))</formula>
    </cfRule>
  </conditionalFormatting>
  <conditionalFormatting sqref="AU1185">
    <cfRule type="cellIs" dxfId="2" priority="6666" operator="lessThan">
      <formula>20</formula>
    </cfRule>
    <cfRule type="cellIs" dxfId="1" priority="4051" operator="greaterThan">
      <formula>120</formula>
    </cfRule>
    <cfRule type="containsText" dxfId="0" priority="1436" operator="between" text="库存为">
      <formula>NOT(ISERROR(SEARCH("库存为",AU1185)))</formula>
    </cfRule>
  </conditionalFormatting>
  <conditionalFormatting sqref="AU1186">
    <cfRule type="cellIs" dxfId="2" priority="6665" operator="lessThan">
      <formula>20</formula>
    </cfRule>
    <cfRule type="cellIs" dxfId="1" priority="4050" operator="greaterThan">
      <formula>120</formula>
    </cfRule>
    <cfRule type="containsText" dxfId="0" priority="1435" operator="between" text="库存为">
      <formula>NOT(ISERROR(SEARCH("库存为",AU1186)))</formula>
    </cfRule>
  </conditionalFormatting>
  <conditionalFormatting sqref="AU1187">
    <cfRule type="cellIs" dxfId="2" priority="6664" operator="lessThan">
      <formula>20</formula>
    </cfRule>
    <cfRule type="cellIs" dxfId="1" priority="4049" operator="greaterThan">
      <formula>120</formula>
    </cfRule>
    <cfRule type="containsText" dxfId="0" priority="1434" operator="between" text="库存为">
      <formula>NOT(ISERROR(SEARCH("库存为",AU1187)))</formula>
    </cfRule>
  </conditionalFormatting>
  <conditionalFormatting sqref="AU1188">
    <cfRule type="cellIs" dxfId="2" priority="6663" operator="lessThan">
      <formula>20</formula>
    </cfRule>
    <cfRule type="cellIs" dxfId="1" priority="4048" operator="greaterThan">
      <formula>120</formula>
    </cfRule>
    <cfRule type="containsText" dxfId="0" priority="1433" operator="between" text="库存为">
      <formula>NOT(ISERROR(SEARCH("库存为",AU1188)))</formula>
    </cfRule>
  </conditionalFormatting>
  <conditionalFormatting sqref="AU1189">
    <cfRule type="cellIs" dxfId="2" priority="6662" operator="lessThan">
      <formula>20</formula>
    </cfRule>
    <cfRule type="cellIs" dxfId="1" priority="4047" operator="greaterThan">
      <formula>120</formula>
    </cfRule>
    <cfRule type="containsText" dxfId="0" priority="1432" operator="between" text="库存为">
      <formula>NOT(ISERROR(SEARCH("库存为",AU1189)))</formula>
    </cfRule>
  </conditionalFormatting>
  <conditionalFormatting sqref="AU1190">
    <cfRule type="cellIs" dxfId="2" priority="6661" operator="lessThan">
      <formula>20</formula>
    </cfRule>
    <cfRule type="cellIs" dxfId="1" priority="4046" operator="greaterThan">
      <formula>120</formula>
    </cfRule>
    <cfRule type="containsText" dxfId="0" priority="1431" operator="between" text="库存为">
      <formula>NOT(ISERROR(SEARCH("库存为",AU1190)))</formula>
    </cfRule>
  </conditionalFormatting>
  <conditionalFormatting sqref="AU1191">
    <cfRule type="cellIs" dxfId="2" priority="6660" operator="lessThan">
      <formula>20</formula>
    </cfRule>
    <cfRule type="cellIs" dxfId="1" priority="4045" operator="greaterThan">
      <formula>120</formula>
    </cfRule>
    <cfRule type="containsText" dxfId="0" priority="1430" operator="between" text="库存为">
      <formula>NOT(ISERROR(SEARCH("库存为",AU1191)))</formula>
    </cfRule>
  </conditionalFormatting>
  <conditionalFormatting sqref="AU1192">
    <cfRule type="cellIs" dxfId="2" priority="6659" operator="lessThan">
      <formula>20</formula>
    </cfRule>
    <cfRule type="cellIs" dxfId="1" priority="4044" operator="greaterThan">
      <formula>120</formula>
    </cfRule>
    <cfRule type="containsText" dxfId="0" priority="1429" operator="between" text="库存为">
      <formula>NOT(ISERROR(SEARCH("库存为",AU1192)))</formula>
    </cfRule>
  </conditionalFormatting>
  <conditionalFormatting sqref="AU1193">
    <cfRule type="cellIs" dxfId="2" priority="6658" operator="lessThan">
      <formula>20</formula>
    </cfRule>
    <cfRule type="cellIs" dxfId="1" priority="4043" operator="greaterThan">
      <formula>120</formula>
    </cfRule>
    <cfRule type="containsText" dxfId="0" priority="1428" operator="between" text="库存为">
      <formula>NOT(ISERROR(SEARCH("库存为",AU1193)))</formula>
    </cfRule>
  </conditionalFormatting>
  <conditionalFormatting sqref="AU1194">
    <cfRule type="cellIs" dxfId="2" priority="6657" operator="lessThan">
      <formula>20</formula>
    </cfRule>
    <cfRule type="cellIs" dxfId="1" priority="4042" operator="greaterThan">
      <formula>120</formula>
    </cfRule>
    <cfRule type="containsText" dxfId="0" priority="1427" operator="between" text="库存为">
      <formula>NOT(ISERROR(SEARCH("库存为",AU1194)))</formula>
    </cfRule>
  </conditionalFormatting>
  <conditionalFormatting sqref="AU1195">
    <cfRule type="cellIs" dxfId="2" priority="6656" operator="lessThan">
      <formula>20</formula>
    </cfRule>
    <cfRule type="cellIs" dxfId="1" priority="4041" operator="greaterThan">
      <formula>120</formula>
    </cfRule>
    <cfRule type="containsText" dxfId="0" priority="1426" operator="between" text="库存为">
      <formula>NOT(ISERROR(SEARCH("库存为",AU1195)))</formula>
    </cfRule>
  </conditionalFormatting>
  <conditionalFormatting sqref="AU1196">
    <cfRule type="cellIs" dxfId="2" priority="6655" operator="lessThan">
      <formula>20</formula>
    </cfRule>
    <cfRule type="cellIs" dxfId="1" priority="4040" operator="greaterThan">
      <formula>120</formula>
    </cfRule>
    <cfRule type="containsText" dxfId="0" priority="1425" operator="between" text="库存为">
      <formula>NOT(ISERROR(SEARCH("库存为",AU1196)))</formula>
    </cfRule>
  </conditionalFormatting>
  <conditionalFormatting sqref="AU1197">
    <cfRule type="cellIs" dxfId="2" priority="6654" operator="lessThan">
      <formula>20</formula>
    </cfRule>
    <cfRule type="cellIs" dxfId="1" priority="4039" operator="greaterThan">
      <formula>120</formula>
    </cfRule>
    <cfRule type="containsText" dxfId="0" priority="1424" operator="between" text="库存为">
      <formula>NOT(ISERROR(SEARCH("库存为",AU1197)))</formula>
    </cfRule>
  </conditionalFormatting>
  <conditionalFormatting sqref="AU1198">
    <cfRule type="cellIs" dxfId="2" priority="6653" operator="lessThan">
      <formula>20</formula>
    </cfRule>
    <cfRule type="cellIs" dxfId="1" priority="4038" operator="greaterThan">
      <formula>120</formula>
    </cfRule>
    <cfRule type="containsText" dxfId="0" priority="1423" operator="between" text="库存为">
      <formula>NOT(ISERROR(SEARCH("库存为",AU1198)))</formula>
    </cfRule>
  </conditionalFormatting>
  <conditionalFormatting sqref="AU1199">
    <cfRule type="cellIs" dxfId="2" priority="6652" operator="lessThan">
      <formula>20</formula>
    </cfRule>
    <cfRule type="cellIs" dxfId="1" priority="4037" operator="greaterThan">
      <formula>120</formula>
    </cfRule>
    <cfRule type="containsText" dxfId="0" priority="1422" operator="between" text="库存为">
      <formula>NOT(ISERROR(SEARCH("库存为",AU1199)))</formula>
    </cfRule>
  </conditionalFormatting>
  <conditionalFormatting sqref="AU1200">
    <cfRule type="cellIs" dxfId="2" priority="6651" operator="lessThan">
      <formula>20</formula>
    </cfRule>
    <cfRule type="cellIs" dxfId="1" priority="4036" operator="greaterThan">
      <formula>120</formula>
    </cfRule>
    <cfRule type="containsText" dxfId="0" priority="1421" operator="between" text="库存为">
      <formula>NOT(ISERROR(SEARCH("库存为",AU1200)))</formula>
    </cfRule>
  </conditionalFormatting>
  <conditionalFormatting sqref="AU1201">
    <cfRule type="cellIs" dxfId="2" priority="6650" operator="lessThan">
      <formula>20</formula>
    </cfRule>
    <cfRule type="cellIs" dxfId="1" priority="4035" operator="greaterThan">
      <formula>120</formula>
    </cfRule>
    <cfRule type="containsText" dxfId="0" priority="1420" operator="between" text="库存为">
      <formula>NOT(ISERROR(SEARCH("库存为",AU1201)))</formula>
    </cfRule>
  </conditionalFormatting>
  <conditionalFormatting sqref="AU1202">
    <cfRule type="cellIs" dxfId="2" priority="6649" operator="lessThan">
      <formula>20</formula>
    </cfRule>
    <cfRule type="cellIs" dxfId="1" priority="4034" operator="greaterThan">
      <formula>120</formula>
    </cfRule>
    <cfRule type="containsText" dxfId="0" priority="1419" operator="between" text="库存为">
      <formula>NOT(ISERROR(SEARCH("库存为",AU1202)))</formula>
    </cfRule>
  </conditionalFormatting>
  <conditionalFormatting sqref="AU1203">
    <cfRule type="cellIs" dxfId="2" priority="6648" operator="lessThan">
      <formula>20</formula>
    </cfRule>
    <cfRule type="cellIs" dxfId="1" priority="4033" operator="greaterThan">
      <formula>120</formula>
    </cfRule>
    <cfRule type="containsText" dxfId="0" priority="1418" operator="between" text="库存为">
      <formula>NOT(ISERROR(SEARCH("库存为",AU1203)))</formula>
    </cfRule>
  </conditionalFormatting>
  <conditionalFormatting sqref="AU1204">
    <cfRule type="cellIs" dxfId="2" priority="6647" operator="lessThan">
      <formula>20</formula>
    </cfRule>
    <cfRule type="cellIs" dxfId="1" priority="4032" operator="greaterThan">
      <formula>120</formula>
    </cfRule>
    <cfRule type="containsText" dxfId="0" priority="1417" operator="between" text="库存为">
      <formula>NOT(ISERROR(SEARCH("库存为",AU1204)))</formula>
    </cfRule>
  </conditionalFormatting>
  <conditionalFormatting sqref="AU1205">
    <cfRule type="cellIs" dxfId="2" priority="6646" operator="lessThan">
      <formula>20</formula>
    </cfRule>
    <cfRule type="cellIs" dxfId="1" priority="4031" operator="greaterThan">
      <formula>120</formula>
    </cfRule>
    <cfRule type="containsText" dxfId="0" priority="1416" operator="between" text="库存为">
      <formula>NOT(ISERROR(SEARCH("库存为",AU1205)))</formula>
    </cfRule>
  </conditionalFormatting>
  <conditionalFormatting sqref="AU1206">
    <cfRule type="cellIs" dxfId="2" priority="6645" operator="lessThan">
      <formula>20</formula>
    </cfRule>
    <cfRule type="cellIs" dxfId="1" priority="4030" operator="greaterThan">
      <formula>120</formula>
    </cfRule>
    <cfRule type="containsText" dxfId="0" priority="1415" operator="between" text="库存为">
      <formula>NOT(ISERROR(SEARCH("库存为",AU1206)))</formula>
    </cfRule>
  </conditionalFormatting>
  <conditionalFormatting sqref="AU1207">
    <cfRule type="cellIs" dxfId="2" priority="6644" operator="lessThan">
      <formula>20</formula>
    </cfRule>
    <cfRule type="cellIs" dxfId="1" priority="4029" operator="greaterThan">
      <formula>120</formula>
    </cfRule>
    <cfRule type="containsText" dxfId="0" priority="1414" operator="between" text="库存为">
      <formula>NOT(ISERROR(SEARCH("库存为",AU1207)))</formula>
    </cfRule>
  </conditionalFormatting>
  <conditionalFormatting sqref="AU1208">
    <cfRule type="cellIs" dxfId="2" priority="6643" operator="lessThan">
      <formula>20</formula>
    </cfRule>
    <cfRule type="cellIs" dxfId="1" priority="4028" operator="greaterThan">
      <formula>120</formula>
    </cfRule>
    <cfRule type="containsText" dxfId="0" priority="1413" operator="between" text="库存为">
      <formula>NOT(ISERROR(SEARCH("库存为",AU1208)))</formula>
    </cfRule>
  </conditionalFormatting>
  <conditionalFormatting sqref="AU1209">
    <cfRule type="cellIs" dxfId="2" priority="6642" operator="lessThan">
      <formula>20</formula>
    </cfRule>
    <cfRule type="cellIs" dxfId="1" priority="4027" operator="greaterThan">
      <formula>120</formula>
    </cfRule>
    <cfRule type="containsText" dxfId="0" priority="1412" operator="between" text="库存为">
      <formula>NOT(ISERROR(SEARCH("库存为",AU1209)))</formula>
    </cfRule>
  </conditionalFormatting>
  <conditionalFormatting sqref="AU1210">
    <cfRule type="cellIs" dxfId="2" priority="6641" operator="lessThan">
      <formula>20</formula>
    </cfRule>
    <cfRule type="cellIs" dxfId="1" priority="4026" operator="greaterThan">
      <formula>120</formula>
    </cfRule>
    <cfRule type="containsText" dxfId="0" priority="1411" operator="between" text="库存为">
      <formula>NOT(ISERROR(SEARCH("库存为",AU1210)))</formula>
    </cfRule>
  </conditionalFormatting>
  <conditionalFormatting sqref="AU1211">
    <cfRule type="cellIs" dxfId="2" priority="6640" operator="lessThan">
      <formula>20</formula>
    </cfRule>
    <cfRule type="cellIs" dxfId="1" priority="4025" operator="greaterThan">
      <formula>120</formula>
    </cfRule>
    <cfRule type="containsText" dxfId="0" priority="1410" operator="between" text="库存为">
      <formula>NOT(ISERROR(SEARCH("库存为",AU1211)))</formula>
    </cfRule>
  </conditionalFormatting>
  <conditionalFormatting sqref="AU1212">
    <cfRule type="cellIs" dxfId="2" priority="6639" operator="lessThan">
      <formula>20</formula>
    </cfRule>
    <cfRule type="cellIs" dxfId="1" priority="4024" operator="greaterThan">
      <formula>120</formula>
    </cfRule>
    <cfRule type="containsText" dxfId="0" priority="1409" operator="between" text="库存为">
      <formula>NOT(ISERROR(SEARCH("库存为",AU1212)))</formula>
    </cfRule>
  </conditionalFormatting>
  <conditionalFormatting sqref="AU1213">
    <cfRule type="cellIs" dxfId="2" priority="6638" operator="lessThan">
      <formula>20</formula>
    </cfRule>
    <cfRule type="cellIs" dxfId="1" priority="4023" operator="greaterThan">
      <formula>120</formula>
    </cfRule>
    <cfRule type="containsText" dxfId="0" priority="1408" operator="between" text="库存为">
      <formula>NOT(ISERROR(SEARCH("库存为",AU1213)))</formula>
    </cfRule>
  </conditionalFormatting>
  <conditionalFormatting sqref="AU1214">
    <cfRule type="cellIs" dxfId="2" priority="6637" operator="lessThan">
      <formula>20</formula>
    </cfRule>
    <cfRule type="cellIs" dxfId="1" priority="4022" operator="greaterThan">
      <formula>120</formula>
    </cfRule>
    <cfRule type="containsText" dxfId="0" priority="1407" operator="between" text="库存为">
      <formula>NOT(ISERROR(SEARCH("库存为",AU1214)))</formula>
    </cfRule>
  </conditionalFormatting>
  <conditionalFormatting sqref="AU1215">
    <cfRule type="cellIs" dxfId="2" priority="6636" operator="lessThan">
      <formula>20</formula>
    </cfRule>
    <cfRule type="cellIs" dxfId="1" priority="4021" operator="greaterThan">
      <formula>120</formula>
    </cfRule>
    <cfRule type="containsText" dxfId="0" priority="1406" operator="between" text="库存为">
      <formula>NOT(ISERROR(SEARCH("库存为",AU1215)))</formula>
    </cfRule>
  </conditionalFormatting>
  <conditionalFormatting sqref="AU1216">
    <cfRule type="cellIs" dxfId="2" priority="6635" operator="lessThan">
      <formula>20</formula>
    </cfRule>
    <cfRule type="cellIs" dxfId="1" priority="4020" operator="greaterThan">
      <formula>120</formula>
    </cfRule>
    <cfRule type="containsText" dxfId="0" priority="1405" operator="between" text="库存为">
      <formula>NOT(ISERROR(SEARCH("库存为",AU1216)))</formula>
    </cfRule>
  </conditionalFormatting>
  <conditionalFormatting sqref="AU1217">
    <cfRule type="cellIs" dxfId="2" priority="6634" operator="lessThan">
      <formula>20</formula>
    </cfRule>
    <cfRule type="cellIs" dxfId="1" priority="4019" operator="greaterThan">
      <formula>120</formula>
    </cfRule>
    <cfRule type="containsText" dxfId="0" priority="1404" operator="between" text="库存为">
      <formula>NOT(ISERROR(SEARCH("库存为",AU1217)))</formula>
    </cfRule>
  </conditionalFormatting>
  <conditionalFormatting sqref="AU1218">
    <cfRule type="cellIs" dxfId="2" priority="6633" operator="lessThan">
      <formula>20</formula>
    </cfRule>
    <cfRule type="cellIs" dxfId="1" priority="4018" operator="greaterThan">
      <formula>120</formula>
    </cfRule>
    <cfRule type="containsText" dxfId="0" priority="1403" operator="between" text="库存为">
      <formula>NOT(ISERROR(SEARCH("库存为",AU1218)))</formula>
    </cfRule>
  </conditionalFormatting>
  <conditionalFormatting sqref="AU1219">
    <cfRule type="cellIs" dxfId="2" priority="6632" operator="lessThan">
      <formula>20</formula>
    </cfRule>
    <cfRule type="cellIs" dxfId="1" priority="4017" operator="greaterThan">
      <formula>120</formula>
    </cfRule>
    <cfRule type="containsText" dxfId="0" priority="1402" operator="between" text="库存为">
      <formula>NOT(ISERROR(SEARCH("库存为",AU1219)))</formula>
    </cfRule>
  </conditionalFormatting>
  <conditionalFormatting sqref="AU1220">
    <cfRule type="cellIs" dxfId="2" priority="6631" operator="lessThan">
      <formula>20</formula>
    </cfRule>
    <cfRule type="cellIs" dxfId="1" priority="4016" operator="greaterThan">
      <formula>120</formula>
    </cfRule>
    <cfRule type="containsText" dxfId="0" priority="1401" operator="between" text="库存为">
      <formula>NOT(ISERROR(SEARCH("库存为",AU1220)))</formula>
    </cfRule>
  </conditionalFormatting>
  <conditionalFormatting sqref="AU1221">
    <cfRule type="cellIs" dxfId="2" priority="6630" operator="lessThan">
      <formula>20</formula>
    </cfRule>
    <cfRule type="cellIs" dxfId="1" priority="4015" operator="greaterThan">
      <formula>120</formula>
    </cfRule>
    <cfRule type="containsText" dxfId="0" priority="1400" operator="between" text="库存为">
      <formula>NOT(ISERROR(SEARCH("库存为",AU1221)))</formula>
    </cfRule>
  </conditionalFormatting>
  <conditionalFormatting sqref="AU1222">
    <cfRule type="cellIs" dxfId="2" priority="6629" operator="lessThan">
      <formula>20</formula>
    </cfRule>
    <cfRule type="cellIs" dxfId="1" priority="4014" operator="greaterThan">
      <formula>120</formula>
    </cfRule>
    <cfRule type="containsText" dxfId="0" priority="1399" operator="between" text="库存为">
      <formula>NOT(ISERROR(SEARCH("库存为",AU1222)))</formula>
    </cfRule>
  </conditionalFormatting>
  <conditionalFormatting sqref="AU1223">
    <cfRule type="cellIs" dxfId="2" priority="6628" operator="lessThan">
      <formula>20</formula>
    </cfRule>
    <cfRule type="cellIs" dxfId="1" priority="4013" operator="greaterThan">
      <formula>120</formula>
    </cfRule>
    <cfRule type="containsText" dxfId="0" priority="1398" operator="between" text="库存为">
      <formula>NOT(ISERROR(SEARCH("库存为",AU1223)))</formula>
    </cfRule>
  </conditionalFormatting>
  <conditionalFormatting sqref="AU1224">
    <cfRule type="cellIs" dxfId="2" priority="6627" operator="lessThan">
      <formula>20</formula>
    </cfRule>
    <cfRule type="cellIs" dxfId="1" priority="4012" operator="greaterThan">
      <formula>120</formula>
    </cfRule>
    <cfRule type="containsText" dxfId="0" priority="1397" operator="between" text="库存为">
      <formula>NOT(ISERROR(SEARCH("库存为",AU1224)))</formula>
    </cfRule>
  </conditionalFormatting>
  <conditionalFormatting sqref="AU1225">
    <cfRule type="cellIs" dxfId="2" priority="6626" operator="lessThan">
      <formula>20</formula>
    </cfRule>
    <cfRule type="cellIs" dxfId="1" priority="4011" operator="greaterThan">
      <formula>120</formula>
    </cfRule>
    <cfRule type="containsText" dxfId="0" priority="1396" operator="between" text="库存为">
      <formula>NOT(ISERROR(SEARCH("库存为",AU1225)))</formula>
    </cfRule>
  </conditionalFormatting>
  <conditionalFormatting sqref="AU1226">
    <cfRule type="cellIs" dxfId="2" priority="6625" operator="lessThan">
      <formula>20</formula>
    </cfRule>
    <cfRule type="cellIs" dxfId="1" priority="4010" operator="greaterThan">
      <formula>120</formula>
    </cfRule>
    <cfRule type="containsText" dxfId="0" priority="1395" operator="between" text="库存为">
      <formula>NOT(ISERROR(SEARCH("库存为",AU1226)))</formula>
    </cfRule>
  </conditionalFormatting>
  <conditionalFormatting sqref="AU1227">
    <cfRule type="cellIs" dxfId="2" priority="6624" operator="lessThan">
      <formula>20</formula>
    </cfRule>
    <cfRule type="cellIs" dxfId="1" priority="4009" operator="greaterThan">
      <formula>120</formula>
    </cfRule>
    <cfRule type="containsText" dxfId="0" priority="1394" operator="between" text="库存为">
      <formula>NOT(ISERROR(SEARCH("库存为",AU1227)))</formula>
    </cfRule>
  </conditionalFormatting>
  <conditionalFormatting sqref="AU1228">
    <cfRule type="cellIs" dxfId="2" priority="6623" operator="lessThan">
      <formula>20</formula>
    </cfRule>
    <cfRule type="cellIs" dxfId="1" priority="4008" operator="greaterThan">
      <formula>120</formula>
    </cfRule>
    <cfRule type="containsText" dxfId="0" priority="1393" operator="between" text="库存为">
      <formula>NOT(ISERROR(SEARCH("库存为",AU1228)))</formula>
    </cfRule>
  </conditionalFormatting>
  <conditionalFormatting sqref="AU1229">
    <cfRule type="cellIs" dxfId="2" priority="6622" operator="lessThan">
      <formula>20</formula>
    </cfRule>
    <cfRule type="cellIs" dxfId="1" priority="4007" operator="greaterThan">
      <formula>120</formula>
    </cfRule>
    <cfRule type="containsText" dxfId="0" priority="1392" operator="between" text="库存为">
      <formula>NOT(ISERROR(SEARCH("库存为",AU1229)))</formula>
    </cfRule>
  </conditionalFormatting>
  <conditionalFormatting sqref="AU1230">
    <cfRule type="cellIs" dxfId="2" priority="6621" operator="lessThan">
      <formula>20</formula>
    </cfRule>
    <cfRule type="cellIs" dxfId="1" priority="4006" operator="greaterThan">
      <formula>120</formula>
    </cfRule>
    <cfRule type="containsText" dxfId="0" priority="1391" operator="between" text="库存为">
      <formula>NOT(ISERROR(SEARCH("库存为",AU1230)))</formula>
    </cfRule>
  </conditionalFormatting>
  <conditionalFormatting sqref="AU1231">
    <cfRule type="cellIs" dxfId="2" priority="6620" operator="lessThan">
      <formula>20</formula>
    </cfRule>
    <cfRule type="cellIs" dxfId="1" priority="4005" operator="greaterThan">
      <formula>120</formula>
    </cfRule>
    <cfRule type="containsText" dxfId="0" priority="1390" operator="between" text="库存为">
      <formula>NOT(ISERROR(SEARCH("库存为",AU1231)))</formula>
    </cfRule>
  </conditionalFormatting>
  <conditionalFormatting sqref="AU1232">
    <cfRule type="cellIs" dxfId="2" priority="6619" operator="lessThan">
      <formula>20</formula>
    </cfRule>
    <cfRule type="cellIs" dxfId="1" priority="4004" operator="greaterThan">
      <formula>120</formula>
    </cfRule>
    <cfRule type="containsText" dxfId="0" priority="1389" operator="between" text="库存为">
      <formula>NOT(ISERROR(SEARCH("库存为",AU1232)))</formula>
    </cfRule>
  </conditionalFormatting>
  <conditionalFormatting sqref="AU1233">
    <cfRule type="cellIs" dxfId="2" priority="6618" operator="lessThan">
      <formula>20</formula>
    </cfRule>
    <cfRule type="cellIs" dxfId="1" priority="4003" operator="greaterThan">
      <formula>120</formula>
    </cfRule>
    <cfRule type="containsText" dxfId="0" priority="1388" operator="between" text="库存为">
      <formula>NOT(ISERROR(SEARCH("库存为",AU1233)))</formula>
    </cfRule>
  </conditionalFormatting>
  <conditionalFormatting sqref="AU1234">
    <cfRule type="cellIs" dxfId="2" priority="6617" operator="lessThan">
      <formula>20</formula>
    </cfRule>
    <cfRule type="cellIs" dxfId="1" priority="4002" operator="greaterThan">
      <formula>120</formula>
    </cfRule>
    <cfRule type="containsText" dxfId="0" priority="1387" operator="between" text="库存为">
      <formula>NOT(ISERROR(SEARCH("库存为",AU1234)))</formula>
    </cfRule>
  </conditionalFormatting>
  <conditionalFormatting sqref="AU1235">
    <cfRule type="cellIs" dxfId="2" priority="6616" operator="lessThan">
      <formula>20</formula>
    </cfRule>
    <cfRule type="cellIs" dxfId="1" priority="4001" operator="greaterThan">
      <formula>120</formula>
    </cfRule>
    <cfRule type="containsText" dxfId="0" priority="1386" operator="between" text="库存为">
      <formula>NOT(ISERROR(SEARCH("库存为",AU1235)))</formula>
    </cfRule>
  </conditionalFormatting>
  <conditionalFormatting sqref="AU1236">
    <cfRule type="cellIs" dxfId="2" priority="6615" operator="lessThan">
      <formula>20</formula>
    </cfRule>
    <cfRule type="cellIs" dxfId="1" priority="4000" operator="greaterThan">
      <formula>120</formula>
    </cfRule>
    <cfRule type="containsText" dxfId="0" priority="1385" operator="between" text="库存为">
      <formula>NOT(ISERROR(SEARCH("库存为",AU1236)))</formula>
    </cfRule>
  </conditionalFormatting>
  <conditionalFormatting sqref="AU1237">
    <cfRule type="cellIs" dxfId="2" priority="6614" operator="lessThan">
      <formula>20</formula>
    </cfRule>
    <cfRule type="cellIs" dxfId="1" priority="3999" operator="greaterThan">
      <formula>120</formula>
    </cfRule>
    <cfRule type="containsText" dxfId="0" priority="1384" operator="between" text="库存为">
      <formula>NOT(ISERROR(SEARCH("库存为",AU1237)))</formula>
    </cfRule>
  </conditionalFormatting>
  <conditionalFormatting sqref="AU1238">
    <cfRule type="cellIs" dxfId="2" priority="6613" operator="lessThan">
      <formula>20</formula>
    </cfRule>
    <cfRule type="cellIs" dxfId="1" priority="3998" operator="greaterThan">
      <formula>120</formula>
    </cfRule>
    <cfRule type="containsText" dxfId="0" priority="1383" operator="between" text="库存为">
      <formula>NOT(ISERROR(SEARCH("库存为",AU1238)))</formula>
    </cfRule>
  </conditionalFormatting>
  <conditionalFormatting sqref="AU1239">
    <cfRule type="cellIs" dxfId="2" priority="6612" operator="lessThan">
      <formula>20</formula>
    </cfRule>
    <cfRule type="cellIs" dxfId="1" priority="3997" operator="greaterThan">
      <formula>120</formula>
    </cfRule>
    <cfRule type="containsText" dxfId="0" priority="1382" operator="between" text="库存为">
      <formula>NOT(ISERROR(SEARCH("库存为",AU1239)))</formula>
    </cfRule>
  </conditionalFormatting>
  <conditionalFormatting sqref="AU1240">
    <cfRule type="cellIs" dxfId="2" priority="6611" operator="lessThan">
      <formula>20</formula>
    </cfRule>
    <cfRule type="cellIs" dxfId="1" priority="3996" operator="greaterThan">
      <formula>120</formula>
    </cfRule>
    <cfRule type="containsText" dxfId="0" priority="1381" operator="between" text="库存为">
      <formula>NOT(ISERROR(SEARCH("库存为",AU1240)))</formula>
    </cfRule>
  </conditionalFormatting>
  <conditionalFormatting sqref="AU1241">
    <cfRule type="cellIs" dxfId="2" priority="6610" operator="lessThan">
      <formula>20</formula>
    </cfRule>
    <cfRule type="cellIs" dxfId="1" priority="3995" operator="greaterThan">
      <formula>120</formula>
    </cfRule>
    <cfRule type="containsText" dxfId="0" priority="1380" operator="between" text="库存为">
      <formula>NOT(ISERROR(SEARCH("库存为",AU1241)))</formula>
    </cfRule>
  </conditionalFormatting>
  <conditionalFormatting sqref="AU1242">
    <cfRule type="cellIs" dxfId="2" priority="6609" operator="lessThan">
      <formula>20</formula>
    </cfRule>
    <cfRule type="cellIs" dxfId="1" priority="3994" operator="greaterThan">
      <formula>120</formula>
    </cfRule>
    <cfRule type="containsText" dxfId="0" priority="1379" operator="between" text="库存为">
      <formula>NOT(ISERROR(SEARCH("库存为",AU1242)))</formula>
    </cfRule>
  </conditionalFormatting>
  <conditionalFormatting sqref="AU1243">
    <cfRule type="cellIs" dxfId="2" priority="6608" operator="lessThan">
      <formula>20</formula>
    </cfRule>
    <cfRule type="cellIs" dxfId="1" priority="3993" operator="greaterThan">
      <formula>120</formula>
    </cfRule>
    <cfRule type="containsText" dxfId="0" priority="1378" operator="between" text="库存为">
      <formula>NOT(ISERROR(SEARCH("库存为",AU1243)))</formula>
    </cfRule>
  </conditionalFormatting>
  <conditionalFormatting sqref="AU1244">
    <cfRule type="cellIs" dxfId="2" priority="6607" operator="lessThan">
      <formula>20</formula>
    </cfRule>
    <cfRule type="cellIs" dxfId="1" priority="3992" operator="greaterThan">
      <formula>120</formula>
    </cfRule>
    <cfRule type="containsText" dxfId="0" priority="1377" operator="between" text="库存为">
      <formula>NOT(ISERROR(SEARCH("库存为",AU1244)))</formula>
    </cfRule>
  </conditionalFormatting>
  <conditionalFormatting sqref="AU1245">
    <cfRule type="cellIs" dxfId="2" priority="6606" operator="lessThan">
      <formula>20</formula>
    </cfRule>
    <cfRule type="cellIs" dxfId="1" priority="3991" operator="greaterThan">
      <formula>120</formula>
    </cfRule>
    <cfRule type="containsText" dxfId="0" priority="1376" operator="between" text="库存为">
      <formula>NOT(ISERROR(SEARCH("库存为",AU1245)))</formula>
    </cfRule>
  </conditionalFormatting>
  <conditionalFormatting sqref="AU1246">
    <cfRule type="cellIs" dxfId="2" priority="6605" operator="lessThan">
      <formula>20</formula>
    </cfRule>
    <cfRule type="cellIs" dxfId="1" priority="3990" operator="greaterThan">
      <formula>120</formula>
    </cfRule>
    <cfRule type="containsText" dxfId="0" priority="1375" operator="between" text="库存为">
      <formula>NOT(ISERROR(SEARCH("库存为",AU1246)))</formula>
    </cfRule>
  </conditionalFormatting>
  <conditionalFormatting sqref="AU1247">
    <cfRule type="cellIs" dxfId="2" priority="6604" operator="lessThan">
      <formula>20</formula>
    </cfRule>
    <cfRule type="cellIs" dxfId="1" priority="3989" operator="greaterThan">
      <formula>120</formula>
    </cfRule>
    <cfRule type="containsText" dxfId="0" priority="1374" operator="between" text="库存为">
      <formula>NOT(ISERROR(SEARCH("库存为",AU1247)))</formula>
    </cfRule>
  </conditionalFormatting>
  <conditionalFormatting sqref="AU1248">
    <cfRule type="cellIs" dxfId="2" priority="6603" operator="lessThan">
      <formula>20</formula>
    </cfRule>
    <cfRule type="cellIs" dxfId="1" priority="3988" operator="greaterThan">
      <formula>120</formula>
    </cfRule>
    <cfRule type="containsText" dxfId="0" priority="1373" operator="between" text="库存为">
      <formula>NOT(ISERROR(SEARCH("库存为",AU1248)))</formula>
    </cfRule>
  </conditionalFormatting>
  <conditionalFormatting sqref="AU1249">
    <cfRule type="cellIs" dxfId="2" priority="6602" operator="lessThan">
      <formula>20</formula>
    </cfRule>
    <cfRule type="cellIs" dxfId="1" priority="3987" operator="greaterThan">
      <formula>120</formula>
    </cfRule>
    <cfRule type="containsText" dxfId="0" priority="1372" operator="between" text="库存为">
      <formula>NOT(ISERROR(SEARCH("库存为",AU1249)))</formula>
    </cfRule>
  </conditionalFormatting>
  <conditionalFormatting sqref="AU1250">
    <cfRule type="cellIs" dxfId="2" priority="6601" operator="lessThan">
      <formula>20</formula>
    </cfRule>
    <cfRule type="cellIs" dxfId="1" priority="3986" operator="greaterThan">
      <formula>120</formula>
    </cfRule>
    <cfRule type="containsText" dxfId="0" priority="1371" operator="between" text="库存为">
      <formula>NOT(ISERROR(SEARCH("库存为",AU1250)))</formula>
    </cfRule>
  </conditionalFormatting>
  <conditionalFormatting sqref="AU1251">
    <cfRule type="cellIs" dxfId="2" priority="6600" operator="lessThan">
      <formula>20</formula>
    </cfRule>
    <cfRule type="cellIs" dxfId="1" priority="3985" operator="greaterThan">
      <formula>120</formula>
    </cfRule>
    <cfRule type="containsText" dxfId="0" priority="1370" operator="between" text="库存为">
      <formula>NOT(ISERROR(SEARCH("库存为",AU1251)))</formula>
    </cfRule>
  </conditionalFormatting>
  <conditionalFormatting sqref="AU1252">
    <cfRule type="cellIs" dxfId="2" priority="6599" operator="lessThan">
      <formula>20</formula>
    </cfRule>
    <cfRule type="cellIs" dxfId="1" priority="3984" operator="greaterThan">
      <formula>120</formula>
    </cfRule>
    <cfRule type="containsText" dxfId="0" priority="1369" operator="between" text="库存为">
      <formula>NOT(ISERROR(SEARCH("库存为",AU1252)))</formula>
    </cfRule>
  </conditionalFormatting>
  <conditionalFormatting sqref="AU1253">
    <cfRule type="cellIs" dxfId="2" priority="6598" operator="lessThan">
      <formula>20</formula>
    </cfRule>
    <cfRule type="cellIs" dxfId="1" priority="3983" operator="greaterThan">
      <formula>120</formula>
    </cfRule>
    <cfRule type="containsText" dxfId="0" priority="1368" operator="between" text="库存为">
      <formula>NOT(ISERROR(SEARCH("库存为",AU1253)))</formula>
    </cfRule>
  </conditionalFormatting>
  <conditionalFormatting sqref="AU1254">
    <cfRule type="cellIs" dxfId="2" priority="6597" operator="lessThan">
      <formula>20</formula>
    </cfRule>
    <cfRule type="cellIs" dxfId="1" priority="3982" operator="greaterThan">
      <formula>120</formula>
    </cfRule>
    <cfRule type="containsText" dxfId="0" priority="1367" operator="between" text="库存为">
      <formula>NOT(ISERROR(SEARCH("库存为",AU1254)))</formula>
    </cfRule>
  </conditionalFormatting>
  <conditionalFormatting sqref="AU1255">
    <cfRule type="cellIs" dxfId="2" priority="6596" operator="lessThan">
      <formula>20</formula>
    </cfRule>
    <cfRule type="cellIs" dxfId="1" priority="3981" operator="greaterThan">
      <formula>120</formula>
    </cfRule>
    <cfRule type="containsText" dxfId="0" priority="1366" operator="between" text="库存为">
      <formula>NOT(ISERROR(SEARCH("库存为",AU1255)))</formula>
    </cfRule>
  </conditionalFormatting>
  <conditionalFormatting sqref="AU1256">
    <cfRule type="cellIs" dxfId="2" priority="6595" operator="lessThan">
      <formula>20</formula>
    </cfRule>
    <cfRule type="cellIs" dxfId="1" priority="3980" operator="greaterThan">
      <formula>120</formula>
    </cfRule>
    <cfRule type="containsText" dxfId="0" priority="1365" operator="between" text="库存为">
      <formula>NOT(ISERROR(SEARCH("库存为",AU1256)))</formula>
    </cfRule>
  </conditionalFormatting>
  <conditionalFormatting sqref="AU1257">
    <cfRule type="cellIs" dxfId="2" priority="6594" operator="lessThan">
      <formula>20</formula>
    </cfRule>
    <cfRule type="cellIs" dxfId="1" priority="3979" operator="greaterThan">
      <formula>120</formula>
    </cfRule>
    <cfRule type="containsText" dxfId="0" priority="1364" operator="between" text="库存为">
      <formula>NOT(ISERROR(SEARCH("库存为",AU1257)))</formula>
    </cfRule>
  </conditionalFormatting>
  <conditionalFormatting sqref="AU1258">
    <cfRule type="cellIs" dxfId="2" priority="6593" operator="lessThan">
      <formula>20</formula>
    </cfRule>
    <cfRule type="cellIs" dxfId="1" priority="3978" operator="greaterThan">
      <formula>120</formula>
    </cfRule>
    <cfRule type="containsText" dxfId="0" priority="1363" operator="between" text="库存为">
      <formula>NOT(ISERROR(SEARCH("库存为",AU1258)))</formula>
    </cfRule>
  </conditionalFormatting>
  <conditionalFormatting sqref="AU1259">
    <cfRule type="cellIs" dxfId="2" priority="6592" operator="lessThan">
      <formula>20</formula>
    </cfRule>
    <cfRule type="cellIs" dxfId="1" priority="3977" operator="greaterThan">
      <formula>120</formula>
    </cfRule>
    <cfRule type="containsText" dxfId="0" priority="1362" operator="between" text="库存为">
      <formula>NOT(ISERROR(SEARCH("库存为",AU1259)))</formula>
    </cfRule>
  </conditionalFormatting>
  <conditionalFormatting sqref="AU1260">
    <cfRule type="cellIs" dxfId="2" priority="6591" operator="lessThan">
      <formula>20</formula>
    </cfRule>
    <cfRule type="cellIs" dxfId="1" priority="3976" operator="greaterThan">
      <formula>120</formula>
    </cfRule>
    <cfRule type="containsText" dxfId="0" priority="1361" operator="between" text="库存为">
      <formula>NOT(ISERROR(SEARCH("库存为",AU1260)))</formula>
    </cfRule>
  </conditionalFormatting>
  <conditionalFormatting sqref="AU1261">
    <cfRule type="cellIs" dxfId="2" priority="6590" operator="lessThan">
      <formula>20</formula>
    </cfRule>
    <cfRule type="cellIs" dxfId="1" priority="3975" operator="greaterThan">
      <formula>120</formula>
    </cfRule>
    <cfRule type="containsText" dxfId="0" priority="1360" operator="between" text="库存为">
      <formula>NOT(ISERROR(SEARCH("库存为",AU1261)))</formula>
    </cfRule>
  </conditionalFormatting>
  <conditionalFormatting sqref="AU1262">
    <cfRule type="cellIs" dxfId="2" priority="6589" operator="lessThan">
      <formula>20</formula>
    </cfRule>
    <cfRule type="cellIs" dxfId="1" priority="3974" operator="greaterThan">
      <formula>120</formula>
    </cfRule>
    <cfRule type="containsText" dxfId="0" priority="1359" operator="between" text="库存为">
      <formula>NOT(ISERROR(SEARCH("库存为",AU1262)))</formula>
    </cfRule>
  </conditionalFormatting>
  <conditionalFormatting sqref="AU1263">
    <cfRule type="cellIs" dxfId="2" priority="6588" operator="lessThan">
      <formula>20</formula>
    </cfRule>
    <cfRule type="cellIs" dxfId="1" priority="3973" operator="greaterThan">
      <formula>120</formula>
    </cfRule>
    <cfRule type="containsText" dxfId="0" priority="1358" operator="between" text="库存为">
      <formula>NOT(ISERROR(SEARCH("库存为",AU1263)))</formula>
    </cfRule>
  </conditionalFormatting>
  <conditionalFormatting sqref="AU1264">
    <cfRule type="cellIs" dxfId="2" priority="6587" operator="lessThan">
      <formula>20</formula>
    </cfRule>
    <cfRule type="cellIs" dxfId="1" priority="3972" operator="greaterThan">
      <formula>120</formula>
    </cfRule>
    <cfRule type="containsText" dxfId="0" priority="1357" operator="between" text="库存为">
      <formula>NOT(ISERROR(SEARCH("库存为",AU1264)))</formula>
    </cfRule>
  </conditionalFormatting>
  <conditionalFormatting sqref="AU1265">
    <cfRule type="cellIs" dxfId="2" priority="6586" operator="lessThan">
      <formula>20</formula>
    </cfRule>
    <cfRule type="cellIs" dxfId="1" priority="3971" operator="greaterThan">
      <formula>120</formula>
    </cfRule>
    <cfRule type="containsText" dxfId="0" priority="1356" operator="between" text="库存为">
      <formula>NOT(ISERROR(SEARCH("库存为",AU1265)))</formula>
    </cfRule>
  </conditionalFormatting>
  <conditionalFormatting sqref="AU1266">
    <cfRule type="cellIs" dxfId="2" priority="6585" operator="lessThan">
      <formula>20</formula>
    </cfRule>
    <cfRule type="cellIs" dxfId="1" priority="3970" operator="greaterThan">
      <formula>120</formula>
    </cfRule>
    <cfRule type="containsText" dxfId="0" priority="1355" operator="between" text="库存为">
      <formula>NOT(ISERROR(SEARCH("库存为",AU1266)))</formula>
    </cfRule>
  </conditionalFormatting>
  <conditionalFormatting sqref="AU1267">
    <cfRule type="cellIs" dxfId="2" priority="6584" operator="lessThan">
      <formula>20</formula>
    </cfRule>
    <cfRule type="cellIs" dxfId="1" priority="3969" operator="greaterThan">
      <formula>120</formula>
    </cfRule>
    <cfRule type="containsText" dxfId="0" priority="1354" operator="between" text="库存为">
      <formula>NOT(ISERROR(SEARCH("库存为",AU1267)))</formula>
    </cfRule>
  </conditionalFormatting>
  <conditionalFormatting sqref="AU1268">
    <cfRule type="cellIs" dxfId="2" priority="6583" operator="lessThan">
      <formula>20</formula>
    </cfRule>
    <cfRule type="cellIs" dxfId="1" priority="3968" operator="greaterThan">
      <formula>120</formula>
    </cfRule>
    <cfRule type="containsText" dxfId="0" priority="1353" operator="between" text="库存为">
      <formula>NOT(ISERROR(SEARCH("库存为",AU1268)))</formula>
    </cfRule>
  </conditionalFormatting>
  <conditionalFormatting sqref="AU1269">
    <cfRule type="cellIs" dxfId="2" priority="6582" operator="lessThan">
      <formula>20</formula>
    </cfRule>
    <cfRule type="cellIs" dxfId="1" priority="3967" operator="greaterThan">
      <formula>120</formula>
    </cfRule>
    <cfRule type="containsText" dxfId="0" priority="1352" operator="between" text="库存为">
      <formula>NOT(ISERROR(SEARCH("库存为",AU1269)))</formula>
    </cfRule>
  </conditionalFormatting>
  <conditionalFormatting sqref="AU1270">
    <cfRule type="cellIs" dxfId="2" priority="6581" operator="lessThan">
      <formula>20</formula>
    </cfRule>
    <cfRule type="cellIs" dxfId="1" priority="3966" operator="greaterThan">
      <formula>120</formula>
    </cfRule>
    <cfRule type="containsText" dxfId="0" priority="1351" operator="between" text="库存为">
      <formula>NOT(ISERROR(SEARCH("库存为",AU1270)))</formula>
    </cfRule>
  </conditionalFormatting>
  <conditionalFormatting sqref="AU1271">
    <cfRule type="cellIs" dxfId="2" priority="6580" operator="lessThan">
      <formula>20</formula>
    </cfRule>
    <cfRule type="cellIs" dxfId="1" priority="3965" operator="greaterThan">
      <formula>120</formula>
    </cfRule>
    <cfRule type="containsText" dxfId="0" priority="1350" operator="between" text="库存为">
      <formula>NOT(ISERROR(SEARCH("库存为",AU1271)))</formula>
    </cfRule>
  </conditionalFormatting>
  <conditionalFormatting sqref="AU1272">
    <cfRule type="cellIs" dxfId="2" priority="6579" operator="lessThan">
      <formula>20</formula>
    </cfRule>
    <cfRule type="cellIs" dxfId="1" priority="3964" operator="greaterThan">
      <formula>120</formula>
    </cfRule>
    <cfRule type="containsText" dxfId="0" priority="1349" operator="between" text="库存为">
      <formula>NOT(ISERROR(SEARCH("库存为",AU1272)))</formula>
    </cfRule>
  </conditionalFormatting>
  <conditionalFormatting sqref="AU1273">
    <cfRule type="cellIs" dxfId="2" priority="6578" operator="lessThan">
      <formula>20</formula>
    </cfRule>
    <cfRule type="cellIs" dxfId="1" priority="3963" operator="greaterThan">
      <formula>120</formula>
    </cfRule>
    <cfRule type="containsText" dxfId="0" priority="1348" operator="between" text="库存为">
      <formula>NOT(ISERROR(SEARCH("库存为",AU1273)))</formula>
    </cfRule>
  </conditionalFormatting>
  <conditionalFormatting sqref="AU1274">
    <cfRule type="cellIs" dxfId="2" priority="6577" operator="lessThan">
      <formula>20</formula>
    </cfRule>
    <cfRule type="cellIs" dxfId="1" priority="3962" operator="greaterThan">
      <formula>120</formula>
    </cfRule>
    <cfRule type="containsText" dxfId="0" priority="1347" operator="between" text="库存为">
      <formula>NOT(ISERROR(SEARCH("库存为",AU1274)))</formula>
    </cfRule>
  </conditionalFormatting>
  <conditionalFormatting sqref="AU1275">
    <cfRule type="cellIs" dxfId="2" priority="6576" operator="lessThan">
      <formula>20</formula>
    </cfRule>
    <cfRule type="cellIs" dxfId="1" priority="3961" operator="greaterThan">
      <formula>120</formula>
    </cfRule>
    <cfRule type="containsText" dxfId="0" priority="1346" operator="between" text="库存为">
      <formula>NOT(ISERROR(SEARCH("库存为",AU1275)))</formula>
    </cfRule>
  </conditionalFormatting>
  <conditionalFormatting sqref="AU1276">
    <cfRule type="cellIs" dxfId="2" priority="6575" operator="lessThan">
      <formula>20</formula>
    </cfRule>
    <cfRule type="cellIs" dxfId="1" priority="3960" operator="greaterThan">
      <formula>120</formula>
    </cfRule>
    <cfRule type="containsText" dxfId="0" priority="1345" operator="between" text="库存为">
      <formula>NOT(ISERROR(SEARCH("库存为",AU1276)))</formula>
    </cfRule>
  </conditionalFormatting>
  <conditionalFormatting sqref="AU1277">
    <cfRule type="cellIs" dxfId="2" priority="6574" operator="lessThan">
      <formula>20</formula>
    </cfRule>
    <cfRule type="cellIs" dxfId="1" priority="3959" operator="greaterThan">
      <formula>120</formula>
    </cfRule>
    <cfRule type="containsText" dxfId="0" priority="1344" operator="between" text="库存为">
      <formula>NOT(ISERROR(SEARCH("库存为",AU1277)))</formula>
    </cfRule>
  </conditionalFormatting>
  <conditionalFormatting sqref="AU1278">
    <cfRule type="cellIs" dxfId="2" priority="6573" operator="lessThan">
      <formula>20</formula>
    </cfRule>
    <cfRule type="cellIs" dxfId="1" priority="3958" operator="greaterThan">
      <formula>120</formula>
    </cfRule>
    <cfRule type="containsText" dxfId="0" priority="1343" operator="between" text="库存为">
      <formula>NOT(ISERROR(SEARCH("库存为",AU1278)))</formula>
    </cfRule>
  </conditionalFormatting>
  <conditionalFormatting sqref="AU1279">
    <cfRule type="cellIs" dxfId="2" priority="6572" operator="lessThan">
      <formula>20</formula>
    </cfRule>
    <cfRule type="cellIs" dxfId="1" priority="3957" operator="greaterThan">
      <formula>120</formula>
    </cfRule>
    <cfRule type="containsText" dxfId="0" priority="1342" operator="between" text="库存为">
      <formula>NOT(ISERROR(SEARCH("库存为",AU1279)))</formula>
    </cfRule>
  </conditionalFormatting>
  <conditionalFormatting sqref="AU1280">
    <cfRule type="cellIs" dxfId="2" priority="6571" operator="lessThan">
      <formula>20</formula>
    </cfRule>
    <cfRule type="cellIs" dxfId="1" priority="3956" operator="greaterThan">
      <formula>120</formula>
    </cfRule>
    <cfRule type="containsText" dxfId="0" priority="1341" operator="between" text="库存为">
      <formula>NOT(ISERROR(SEARCH("库存为",AU1280)))</formula>
    </cfRule>
  </conditionalFormatting>
  <conditionalFormatting sqref="AU1281">
    <cfRule type="cellIs" dxfId="2" priority="6570" operator="lessThan">
      <formula>20</formula>
    </cfRule>
    <cfRule type="cellIs" dxfId="1" priority="3955" operator="greaterThan">
      <formula>120</formula>
    </cfRule>
    <cfRule type="containsText" dxfId="0" priority="1340" operator="between" text="库存为">
      <formula>NOT(ISERROR(SEARCH("库存为",AU1281)))</formula>
    </cfRule>
  </conditionalFormatting>
  <conditionalFormatting sqref="AU1282">
    <cfRule type="cellIs" dxfId="2" priority="6569" operator="lessThan">
      <formula>20</formula>
    </cfRule>
    <cfRule type="cellIs" dxfId="1" priority="3954" operator="greaterThan">
      <formula>120</formula>
    </cfRule>
    <cfRule type="containsText" dxfId="0" priority="1339" operator="between" text="库存为">
      <formula>NOT(ISERROR(SEARCH("库存为",AU1282)))</formula>
    </cfRule>
  </conditionalFormatting>
  <conditionalFormatting sqref="AU1283">
    <cfRule type="cellIs" dxfId="2" priority="6568" operator="lessThan">
      <formula>20</formula>
    </cfRule>
    <cfRule type="cellIs" dxfId="1" priority="3953" operator="greaterThan">
      <formula>120</formula>
    </cfRule>
    <cfRule type="containsText" dxfId="0" priority="1338" operator="between" text="库存为">
      <formula>NOT(ISERROR(SEARCH("库存为",AU1283)))</formula>
    </cfRule>
  </conditionalFormatting>
  <conditionalFormatting sqref="AU1284">
    <cfRule type="cellIs" dxfId="2" priority="6567" operator="lessThan">
      <formula>20</formula>
    </cfRule>
    <cfRule type="cellIs" dxfId="1" priority="3952" operator="greaterThan">
      <formula>120</formula>
    </cfRule>
    <cfRule type="containsText" dxfId="0" priority="1337" operator="between" text="库存为">
      <formula>NOT(ISERROR(SEARCH("库存为",AU1284)))</formula>
    </cfRule>
  </conditionalFormatting>
  <conditionalFormatting sqref="AU1285">
    <cfRule type="cellIs" dxfId="2" priority="6566" operator="lessThan">
      <formula>20</formula>
    </cfRule>
    <cfRule type="cellIs" dxfId="1" priority="3951" operator="greaterThan">
      <formula>120</formula>
    </cfRule>
    <cfRule type="containsText" dxfId="0" priority="1336" operator="between" text="库存为">
      <formula>NOT(ISERROR(SEARCH("库存为",AU1285)))</formula>
    </cfRule>
  </conditionalFormatting>
  <conditionalFormatting sqref="AU1286">
    <cfRule type="cellIs" dxfId="2" priority="6565" operator="lessThan">
      <formula>20</formula>
    </cfRule>
    <cfRule type="cellIs" dxfId="1" priority="3950" operator="greaterThan">
      <formula>120</formula>
    </cfRule>
    <cfRule type="containsText" dxfId="0" priority="1335" operator="between" text="库存为">
      <formula>NOT(ISERROR(SEARCH("库存为",AU1286)))</formula>
    </cfRule>
  </conditionalFormatting>
  <conditionalFormatting sqref="AU1287">
    <cfRule type="cellIs" dxfId="2" priority="6564" operator="lessThan">
      <formula>20</formula>
    </cfRule>
    <cfRule type="cellIs" dxfId="1" priority="3949" operator="greaterThan">
      <formula>120</formula>
    </cfRule>
    <cfRule type="containsText" dxfId="0" priority="1334" operator="between" text="库存为">
      <formula>NOT(ISERROR(SEARCH("库存为",AU1287)))</formula>
    </cfRule>
  </conditionalFormatting>
  <conditionalFormatting sqref="AU1288">
    <cfRule type="cellIs" dxfId="2" priority="6563" operator="lessThan">
      <formula>20</formula>
    </cfRule>
    <cfRule type="cellIs" dxfId="1" priority="3948" operator="greaterThan">
      <formula>120</formula>
    </cfRule>
    <cfRule type="containsText" dxfId="0" priority="1333" operator="between" text="库存为">
      <formula>NOT(ISERROR(SEARCH("库存为",AU1288)))</formula>
    </cfRule>
  </conditionalFormatting>
  <conditionalFormatting sqref="AU1289">
    <cfRule type="cellIs" dxfId="2" priority="6562" operator="lessThan">
      <formula>20</formula>
    </cfRule>
    <cfRule type="cellIs" dxfId="1" priority="3947" operator="greaterThan">
      <formula>120</formula>
    </cfRule>
    <cfRule type="containsText" dxfId="0" priority="1332" operator="between" text="库存为">
      <formula>NOT(ISERROR(SEARCH("库存为",AU1289)))</formula>
    </cfRule>
  </conditionalFormatting>
  <conditionalFormatting sqref="AU1290">
    <cfRule type="cellIs" dxfId="2" priority="6561" operator="lessThan">
      <formula>20</formula>
    </cfRule>
    <cfRule type="cellIs" dxfId="1" priority="3946" operator="greaterThan">
      <formula>120</formula>
    </cfRule>
    <cfRule type="containsText" dxfId="0" priority="1331" operator="between" text="库存为">
      <formula>NOT(ISERROR(SEARCH("库存为",AU1290)))</formula>
    </cfRule>
  </conditionalFormatting>
  <conditionalFormatting sqref="AU1291">
    <cfRule type="cellIs" dxfId="2" priority="6560" operator="lessThan">
      <formula>20</formula>
    </cfRule>
    <cfRule type="cellIs" dxfId="1" priority="3945" operator="greaterThan">
      <formula>120</formula>
    </cfRule>
    <cfRule type="containsText" dxfId="0" priority="1330" operator="between" text="库存为">
      <formula>NOT(ISERROR(SEARCH("库存为",AU1291)))</formula>
    </cfRule>
  </conditionalFormatting>
  <conditionalFormatting sqref="AU1292">
    <cfRule type="cellIs" dxfId="2" priority="6559" operator="lessThan">
      <formula>20</formula>
    </cfRule>
    <cfRule type="cellIs" dxfId="1" priority="3944" operator="greaterThan">
      <formula>120</formula>
    </cfRule>
    <cfRule type="containsText" dxfId="0" priority="1329" operator="between" text="库存为">
      <formula>NOT(ISERROR(SEARCH("库存为",AU1292)))</formula>
    </cfRule>
  </conditionalFormatting>
  <conditionalFormatting sqref="AU1293">
    <cfRule type="cellIs" dxfId="2" priority="6558" operator="lessThan">
      <formula>20</formula>
    </cfRule>
    <cfRule type="cellIs" dxfId="1" priority="3943" operator="greaterThan">
      <formula>120</formula>
    </cfRule>
    <cfRule type="containsText" dxfId="0" priority="1328" operator="between" text="库存为">
      <formula>NOT(ISERROR(SEARCH("库存为",AU1293)))</formula>
    </cfRule>
  </conditionalFormatting>
  <conditionalFormatting sqref="AU1294">
    <cfRule type="cellIs" dxfId="2" priority="6557" operator="lessThan">
      <formula>20</formula>
    </cfRule>
    <cfRule type="cellIs" dxfId="1" priority="3942" operator="greaterThan">
      <formula>120</formula>
    </cfRule>
    <cfRule type="containsText" dxfId="0" priority="1327" operator="between" text="库存为">
      <formula>NOT(ISERROR(SEARCH("库存为",AU1294)))</formula>
    </cfRule>
  </conditionalFormatting>
  <conditionalFormatting sqref="AU1295">
    <cfRule type="cellIs" dxfId="2" priority="6556" operator="lessThan">
      <formula>20</formula>
    </cfRule>
    <cfRule type="cellIs" dxfId="1" priority="3941" operator="greaterThan">
      <formula>120</formula>
    </cfRule>
    <cfRule type="containsText" dxfId="0" priority="1326" operator="between" text="库存为">
      <formula>NOT(ISERROR(SEARCH("库存为",AU1295)))</formula>
    </cfRule>
  </conditionalFormatting>
  <conditionalFormatting sqref="AU1296">
    <cfRule type="cellIs" dxfId="2" priority="6555" operator="lessThan">
      <formula>20</formula>
    </cfRule>
    <cfRule type="cellIs" dxfId="1" priority="3940" operator="greaterThan">
      <formula>120</formula>
    </cfRule>
    <cfRule type="containsText" dxfId="0" priority="1325" operator="between" text="库存为">
      <formula>NOT(ISERROR(SEARCH("库存为",AU1296)))</formula>
    </cfRule>
  </conditionalFormatting>
  <conditionalFormatting sqref="AU1297">
    <cfRule type="cellIs" dxfId="2" priority="6554" operator="lessThan">
      <formula>20</formula>
    </cfRule>
    <cfRule type="cellIs" dxfId="1" priority="3939" operator="greaterThan">
      <formula>120</formula>
    </cfRule>
    <cfRule type="containsText" dxfId="0" priority="1324" operator="between" text="库存为">
      <formula>NOT(ISERROR(SEARCH("库存为",AU1297)))</formula>
    </cfRule>
  </conditionalFormatting>
  <conditionalFormatting sqref="AU1298">
    <cfRule type="cellIs" dxfId="2" priority="6553" operator="lessThan">
      <formula>20</formula>
    </cfRule>
    <cfRule type="cellIs" dxfId="1" priority="3938" operator="greaterThan">
      <formula>120</formula>
    </cfRule>
    <cfRule type="containsText" dxfId="0" priority="1323" operator="between" text="库存为">
      <formula>NOT(ISERROR(SEARCH("库存为",AU1298)))</formula>
    </cfRule>
  </conditionalFormatting>
  <conditionalFormatting sqref="AU1299">
    <cfRule type="cellIs" dxfId="2" priority="6552" operator="lessThan">
      <formula>20</formula>
    </cfRule>
    <cfRule type="cellIs" dxfId="1" priority="3937" operator="greaterThan">
      <formula>120</formula>
    </cfRule>
    <cfRule type="containsText" dxfId="0" priority="1322" operator="between" text="库存为">
      <formula>NOT(ISERROR(SEARCH("库存为",AU1299)))</formula>
    </cfRule>
  </conditionalFormatting>
  <conditionalFormatting sqref="AU1300">
    <cfRule type="cellIs" dxfId="2" priority="6551" operator="lessThan">
      <formula>20</formula>
    </cfRule>
    <cfRule type="cellIs" dxfId="1" priority="3936" operator="greaterThan">
      <formula>120</formula>
    </cfRule>
    <cfRule type="containsText" dxfId="0" priority="1321" operator="between" text="库存为">
      <formula>NOT(ISERROR(SEARCH("库存为",AU1300)))</formula>
    </cfRule>
  </conditionalFormatting>
  <conditionalFormatting sqref="AU1301">
    <cfRule type="cellIs" dxfId="2" priority="6550" operator="lessThan">
      <formula>20</formula>
    </cfRule>
    <cfRule type="cellIs" dxfId="1" priority="3935" operator="greaterThan">
      <formula>120</formula>
    </cfRule>
    <cfRule type="containsText" dxfId="0" priority="1320" operator="between" text="库存为">
      <formula>NOT(ISERROR(SEARCH("库存为",AU1301)))</formula>
    </cfRule>
  </conditionalFormatting>
  <conditionalFormatting sqref="AU1302">
    <cfRule type="cellIs" dxfId="2" priority="6549" operator="lessThan">
      <formula>20</formula>
    </cfRule>
    <cfRule type="cellIs" dxfId="1" priority="3934" operator="greaterThan">
      <formula>120</formula>
    </cfRule>
    <cfRule type="containsText" dxfId="0" priority="1319" operator="between" text="库存为">
      <formula>NOT(ISERROR(SEARCH("库存为",AU1302)))</formula>
    </cfRule>
  </conditionalFormatting>
  <conditionalFormatting sqref="AU1303">
    <cfRule type="cellIs" dxfId="2" priority="6548" operator="lessThan">
      <formula>20</formula>
    </cfRule>
    <cfRule type="cellIs" dxfId="1" priority="3933" operator="greaterThan">
      <formula>120</formula>
    </cfRule>
    <cfRule type="containsText" dxfId="0" priority="1318" operator="between" text="库存为">
      <formula>NOT(ISERROR(SEARCH("库存为",AU1303)))</formula>
    </cfRule>
  </conditionalFormatting>
  <conditionalFormatting sqref="AU1304">
    <cfRule type="cellIs" dxfId="2" priority="6547" operator="lessThan">
      <formula>20</formula>
    </cfRule>
    <cfRule type="cellIs" dxfId="1" priority="3932" operator="greaterThan">
      <formula>120</formula>
    </cfRule>
    <cfRule type="containsText" dxfId="0" priority="1317" operator="between" text="库存为">
      <formula>NOT(ISERROR(SEARCH("库存为",AU1304)))</formula>
    </cfRule>
  </conditionalFormatting>
  <conditionalFormatting sqref="AU1305">
    <cfRule type="cellIs" dxfId="2" priority="6546" operator="lessThan">
      <formula>20</formula>
    </cfRule>
    <cfRule type="cellIs" dxfId="1" priority="3931" operator="greaterThan">
      <formula>120</formula>
    </cfRule>
    <cfRule type="containsText" dxfId="0" priority="1316" operator="between" text="库存为">
      <formula>NOT(ISERROR(SEARCH("库存为",AU1305)))</formula>
    </cfRule>
  </conditionalFormatting>
  <conditionalFormatting sqref="AU1306">
    <cfRule type="cellIs" dxfId="2" priority="6545" operator="lessThan">
      <formula>20</formula>
    </cfRule>
    <cfRule type="cellIs" dxfId="1" priority="3930" operator="greaterThan">
      <formula>120</formula>
    </cfRule>
    <cfRule type="containsText" dxfId="0" priority="1315" operator="between" text="库存为">
      <formula>NOT(ISERROR(SEARCH("库存为",AU1306)))</formula>
    </cfRule>
  </conditionalFormatting>
  <conditionalFormatting sqref="AU1307">
    <cfRule type="cellIs" dxfId="2" priority="6544" operator="lessThan">
      <formula>20</formula>
    </cfRule>
    <cfRule type="cellIs" dxfId="1" priority="3929" operator="greaterThan">
      <formula>120</formula>
    </cfRule>
    <cfRule type="containsText" dxfId="0" priority="1314" operator="between" text="库存为">
      <formula>NOT(ISERROR(SEARCH("库存为",AU1307)))</formula>
    </cfRule>
  </conditionalFormatting>
  <conditionalFormatting sqref="AU1308">
    <cfRule type="cellIs" dxfId="2" priority="6543" operator="lessThan">
      <formula>20</formula>
    </cfRule>
    <cfRule type="cellIs" dxfId="1" priority="3928" operator="greaterThan">
      <formula>120</formula>
    </cfRule>
    <cfRule type="containsText" dxfId="0" priority="1313" operator="between" text="库存为">
      <formula>NOT(ISERROR(SEARCH("库存为",AU1308)))</formula>
    </cfRule>
  </conditionalFormatting>
  <conditionalFormatting sqref="AU1309">
    <cfRule type="cellIs" dxfId="2" priority="6542" operator="lessThan">
      <formula>20</formula>
    </cfRule>
    <cfRule type="cellIs" dxfId="1" priority="3927" operator="greaterThan">
      <formula>120</formula>
    </cfRule>
    <cfRule type="containsText" dxfId="0" priority="1312" operator="between" text="库存为">
      <formula>NOT(ISERROR(SEARCH("库存为",AU1309)))</formula>
    </cfRule>
  </conditionalFormatting>
  <conditionalFormatting sqref="AU1310">
    <cfRule type="cellIs" dxfId="2" priority="6541" operator="lessThan">
      <formula>20</formula>
    </cfRule>
    <cfRule type="cellIs" dxfId="1" priority="3926" operator="greaterThan">
      <formula>120</formula>
    </cfRule>
    <cfRule type="containsText" dxfId="0" priority="1311" operator="between" text="库存为">
      <formula>NOT(ISERROR(SEARCH("库存为",AU1310)))</formula>
    </cfRule>
  </conditionalFormatting>
  <conditionalFormatting sqref="AU1311">
    <cfRule type="cellIs" dxfId="2" priority="6540" operator="lessThan">
      <formula>20</formula>
    </cfRule>
    <cfRule type="cellIs" dxfId="1" priority="3925" operator="greaterThan">
      <formula>120</formula>
    </cfRule>
    <cfRule type="containsText" dxfId="0" priority="1310" operator="between" text="库存为">
      <formula>NOT(ISERROR(SEARCH("库存为",AU1311)))</formula>
    </cfRule>
  </conditionalFormatting>
  <conditionalFormatting sqref="AU1312">
    <cfRule type="cellIs" dxfId="2" priority="6539" operator="lessThan">
      <formula>20</formula>
    </cfRule>
    <cfRule type="cellIs" dxfId="1" priority="3924" operator="greaterThan">
      <formula>120</formula>
    </cfRule>
    <cfRule type="containsText" dxfId="0" priority="1309" operator="between" text="库存为">
      <formula>NOT(ISERROR(SEARCH("库存为",AU1312)))</formula>
    </cfRule>
  </conditionalFormatting>
  <conditionalFormatting sqref="AU1313">
    <cfRule type="cellIs" dxfId="2" priority="6538" operator="lessThan">
      <formula>20</formula>
    </cfRule>
    <cfRule type="cellIs" dxfId="1" priority="3923" operator="greaterThan">
      <formula>120</formula>
    </cfRule>
    <cfRule type="containsText" dxfId="0" priority="1308" operator="between" text="库存为">
      <formula>NOT(ISERROR(SEARCH("库存为",AU1313)))</formula>
    </cfRule>
  </conditionalFormatting>
  <conditionalFormatting sqref="AU1314">
    <cfRule type="cellIs" dxfId="2" priority="6537" operator="lessThan">
      <formula>20</formula>
    </cfRule>
    <cfRule type="cellIs" dxfId="1" priority="3922" operator="greaterThan">
      <formula>120</formula>
    </cfRule>
    <cfRule type="containsText" dxfId="0" priority="1307" operator="between" text="库存为">
      <formula>NOT(ISERROR(SEARCH("库存为",AU1314)))</formula>
    </cfRule>
  </conditionalFormatting>
  <conditionalFormatting sqref="AU1315">
    <cfRule type="cellIs" dxfId="2" priority="6536" operator="lessThan">
      <formula>20</formula>
    </cfRule>
    <cfRule type="cellIs" dxfId="1" priority="3921" operator="greaterThan">
      <formula>120</formula>
    </cfRule>
    <cfRule type="containsText" dxfId="0" priority="1306" operator="between" text="库存为">
      <formula>NOT(ISERROR(SEARCH("库存为",AU1315)))</formula>
    </cfRule>
  </conditionalFormatting>
  <conditionalFormatting sqref="AU1316">
    <cfRule type="cellIs" dxfId="2" priority="6535" operator="lessThan">
      <formula>20</formula>
    </cfRule>
    <cfRule type="cellIs" dxfId="1" priority="3920" operator="greaterThan">
      <formula>120</formula>
    </cfRule>
    <cfRule type="containsText" dxfId="0" priority="1305" operator="between" text="库存为">
      <formula>NOT(ISERROR(SEARCH("库存为",AU1316)))</formula>
    </cfRule>
  </conditionalFormatting>
  <conditionalFormatting sqref="AU1317">
    <cfRule type="cellIs" dxfId="2" priority="6534" operator="lessThan">
      <formula>20</formula>
    </cfRule>
    <cfRule type="cellIs" dxfId="1" priority="3919" operator="greaterThan">
      <formula>120</formula>
    </cfRule>
    <cfRule type="containsText" dxfId="0" priority="1304" operator="between" text="库存为">
      <formula>NOT(ISERROR(SEARCH("库存为",AU1317)))</formula>
    </cfRule>
  </conditionalFormatting>
  <conditionalFormatting sqref="AU1318">
    <cfRule type="cellIs" dxfId="2" priority="6533" operator="lessThan">
      <formula>20</formula>
    </cfRule>
    <cfRule type="cellIs" dxfId="1" priority="3918" operator="greaterThan">
      <formula>120</formula>
    </cfRule>
    <cfRule type="containsText" dxfId="0" priority="1303" operator="between" text="库存为">
      <formula>NOT(ISERROR(SEARCH("库存为",AU1318)))</formula>
    </cfRule>
  </conditionalFormatting>
  <conditionalFormatting sqref="AU1319">
    <cfRule type="cellIs" dxfId="2" priority="6532" operator="lessThan">
      <formula>20</formula>
    </cfRule>
    <cfRule type="cellIs" dxfId="1" priority="3917" operator="greaterThan">
      <formula>120</formula>
    </cfRule>
    <cfRule type="containsText" dxfId="0" priority="1302" operator="between" text="库存为">
      <formula>NOT(ISERROR(SEARCH("库存为",AU1319)))</formula>
    </cfRule>
  </conditionalFormatting>
  <conditionalFormatting sqref="AU1320">
    <cfRule type="cellIs" dxfId="2" priority="6531" operator="lessThan">
      <formula>20</formula>
    </cfRule>
    <cfRule type="cellIs" dxfId="1" priority="3916" operator="greaterThan">
      <formula>120</formula>
    </cfRule>
    <cfRule type="containsText" dxfId="0" priority="1301" operator="between" text="库存为">
      <formula>NOT(ISERROR(SEARCH("库存为",AU1320)))</formula>
    </cfRule>
  </conditionalFormatting>
  <conditionalFormatting sqref="AU1321">
    <cfRule type="cellIs" dxfId="2" priority="6530" operator="lessThan">
      <formula>20</formula>
    </cfRule>
    <cfRule type="cellIs" dxfId="1" priority="3915" operator="greaterThan">
      <formula>120</formula>
    </cfRule>
    <cfRule type="containsText" dxfId="0" priority="1300" operator="between" text="库存为">
      <formula>NOT(ISERROR(SEARCH("库存为",AU1321)))</formula>
    </cfRule>
  </conditionalFormatting>
  <conditionalFormatting sqref="AU1322">
    <cfRule type="cellIs" dxfId="2" priority="6529" operator="lessThan">
      <formula>20</formula>
    </cfRule>
    <cfRule type="cellIs" dxfId="1" priority="3914" operator="greaterThan">
      <formula>120</formula>
    </cfRule>
    <cfRule type="containsText" dxfId="0" priority="1299" operator="between" text="库存为">
      <formula>NOT(ISERROR(SEARCH("库存为",AU1322)))</formula>
    </cfRule>
  </conditionalFormatting>
  <conditionalFormatting sqref="AU1323">
    <cfRule type="cellIs" dxfId="2" priority="6528" operator="lessThan">
      <formula>20</formula>
    </cfRule>
    <cfRule type="cellIs" dxfId="1" priority="3913" operator="greaterThan">
      <formula>120</formula>
    </cfRule>
    <cfRule type="containsText" dxfId="0" priority="1298" operator="between" text="库存为">
      <formula>NOT(ISERROR(SEARCH("库存为",AU1323)))</formula>
    </cfRule>
  </conditionalFormatting>
  <conditionalFormatting sqref="AU1324">
    <cfRule type="cellIs" dxfId="2" priority="6527" operator="lessThan">
      <formula>20</formula>
    </cfRule>
    <cfRule type="cellIs" dxfId="1" priority="3912" operator="greaterThan">
      <formula>120</formula>
    </cfRule>
    <cfRule type="containsText" dxfId="0" priority="1297" operator="between" text="库存为">
      <formula>NOT(ISERROR(SEARCH("库存为",AU1324)))</formula>
    </cfRule>
  </conditionalFormatting>
  <conditionalFormatting sqref="AU1325">
    <cfRule type="cellIs" dxfId="2" priority="6526" operator="lessThan">
      <formula>20</formula>
    </cfRule>
    <cfRule type="cellIs" dxfId="1" priority="3911" operator="greaterThan">
      <formula>120</formula>
    </cfRule>
    <cfRule type="containsText" dxfId="0" priority="1296" operator="between" text="库存为">
      <formula>NOT(ISERROR(SEARCH("库存为",AU1325)))</formula>
    </cfRule>
  </conditionalFormatting>
  <conditionalFormatting sqref="AU1326">
    <cfRule type="cellIs" dxfId="2" priority="6525" operator="lessThan">
      <formula>20</formula>
    </cfRule>
    <cfRule type="cellIs" dxfId="1" priority="3910" operator="greaterThan">
      <formula>120</formula>
    </cfRule>
    <cfRule type="containsText" dxfId="0" priority="1295" operator="between" text="库存为">
      <formula>NOT(ISERROR(SEARCH("库存为",AU1326)))</formula>
    </cfRule>
  </conditionalFormatting>
  <conditionalFormatting sqref="AU1327">
    <cfRule type="cellIs" dxfId="2" priority="6524" operator="lessThan">
      <formula>20</formula>
    </cfRule>
    <cfRule type="cellIs" dxfId="1" priority="3909" operator="greaterThan">
      <formula>120</formula>
    </cfRule>
    <cfRule type="containsText" dxfId="0" priority="1294" operator="between" text="库存为">
      <formula>NOT(ISERROR(SEARCH("库存为",AU1327)))</formula>
    </cfRule>
  </conditionalFormatting>
  <conditionalFormatting sqref="AU1328">
    <cfRule type="cellIs" dxfId="2" priority="6523" operator="lessThan">
      <formula>20</formula>
    </cfRule>
    <cfRule type="cellIs" dxfId="1" priority="3908" operator="greaterThan">
      <formula>120</formula>
    </cfRule>
    <cfRule type="containsText" dxfId="0" priority="1293" operator="between" text="库存为">
      <formula>NOT(ISERROR(SEARCH("库存为",AU1328)))</formula>
    </cfRule>
  </conditionalFormatting>
  <conditionalFormatting sqref="AU1329">
    <cfRule type="cellIs" dxfId="2" priority="6522" operator="lessThan">
      <formula>20</formula>
    </cfRule>
    <cfRule type="cellIs" dxfId="1" priority="3907" operator="greaterThan">
      <formula>120</formula>
    </cfRule>
    <cfRule type="containsText" dxfId="0" priority="1292" operator="between" text="库存为">
      <formula>NOT(ISERROR(SEARCH("库存为",AU1329)))</formula>
    </cfRule>
  </conditionalFormatting>
  <conditionalFormatting sqref="AU1330">
    <cfRule type="cellIs" dxfId="2" priority="6521" operator="lessThan">
      <formula>20</formula>
    </cfRule>
    <cfRule type="cellIs" dxfId="1" priority="3906" operator="greaterThan">
      <formula>120</formula>
    </cfRule>
    <cfRule type="containsText" dxfId="0" priority="1291" operator="between" text="库存为">
      <formula>NOT(ISERROR(SEARCH("库存为",AU1330)))</formula>
    </cfRule>
  </conditionalFormatting>
  <conditionalFormatting sqref="AU1331">
    <cfRule type="cellIs" dxfId="2" priority="6520" operator="lessThan">
      <formula>20</formula>
    </cfRule>
    <cfRule type="cellIs" dxfId="1" priority="3905" operator="greaterThan">
      <formula>120</formula>
    </cfRule>
    <cfRule type="containsText" dxfId="0" priority="1290" operator="between" text="库存为">
      <formula>NOT(ISERROR(SEARCH("库存为",AU1331)))</formula>
    </cfRule>
  </conditionalFormatting>
  <conditionalFormatting sqref="AU1332">
    <cfRule type="cellIs" dxfId="2" priority="6519" operator="lessThan">
      <formula>20</formula>
    </cfRule>
    <cfRule type="cellIs" dxfId="1" priority="3904" operator="greaterThan">
      <formula>120</formula>
    </cfRule>
    <cfRule type="containsText" dxfId="0" priority="1289" operator="between" text="库存为">
      <formula>NOT(ISERROR(SEARCH("库存为",AU1332)))</formula>
    </cfRule>
  </conditionalFormatting>
  <conditionalFormatting sqref="AU1333">
    <cfRule type="cellIs" dxfId="2" priority="6518" operator="lessThan">
      <formula>20</formula>
    </cfRule>
    <cfRule type="cellIs" dxfId="1" priority="3903" operator="greaterThan">
      <formula>120</formula>
    </cfRule>
    <cfRule type="containsText" dxfId="0" priority="1288" operator="between" text="库存为">
      <formula>NOT(ISERROR(SEARCH("库存为",AU1333)))</formula>
    </cfRule>
  </conditionalFormatting>
  <conditionalFormatting sqref="AU1334">
    <cfRule type="cellIs" dxfId="2" priority="6517" operator="lessThan">
      <formula>20</formula>
    </cfRule>
    <cfRule type="cellIs" dxfId="1" priority="3902" operator="greaterThan">
      <formula>120</formula>
    </cfRule>
    <cfRule type="containsText" dxfId="0" priority="1287" operator="between" text="库存为">
      <formula>NOT(ISERROR(SEARCH("库存为",AU1334)))</formula>
    </cfRule>
  </conditionalFormatting>
  <conditionalFormatting sqref="AU1335">
    <cfRule type="cellIs" dxfId="2" priority="6516" operator="lessThan">
      <formula>20</formula>
    </cfRule>
    <cfRule type="cellIs" dxfId="1" priority="3901" operator="greaterThan">
      <formula>120</formula>
    </cfRule>
    <cfRule type="containsText" dxfId="0" priority="1286" operator="between" text="库存为">
      <formula>NOT(ISERROR(SEARCH("库存为",AU1335)))</formula>
    </cfRule>
  </conditionalFormatting>
  <conditionalFormatting sqref="AU1336">
    <cfRule type="cellIs" dxfId="2" priority="6515" operator="lessThan">
      <formula>20</formula>
    </cfRule>
    <cfRule type="cellIs" dxfId="1" priority="3900" operator="greaterThan">
      <formula>120</formula>
    </cfRule>
    <cfRule type="containsText" dxfId="0" priority="1285" operator="between" text="库存为">
      <formula>NOT(ISERROR(SEARCH("库存为",AU1336)))</formula>
    </cfRule>
  </conditionalFormatting>
  <conditionalFormatting sqref="AU1337">
    <cfRule type="cellIs" dxfId="2" priority="6514" operator="lessThan">
      <formula>20</formula>
    </cfRule>
    <cfRule type="cellIs" dxfId="1" priority="3899" operator="greaterThan">
      <formula>120</formula>
    </cfRule>
    <cfRule type="containsText" dxfId="0" priority="1284" operator="between" text="库存为">
      <formula>NOT(ISERROR(SEARCH("库存为",AU1337)))</formula>
    </cfRule>
  </conditionalFormatting>
  <conditionalFormatting sqref="AU1338">
    <cfRule type="cellIs" dxfId="2" priority="6513" operator="lessThan">
      <formula>20</formula>
    </cfRule>
    <cfRule type="cellIs" dxfId="1" priority="3898" operator="greaterThan">
      <formula>120</formula>
    </cfRule>
    <cfRule type="containsText" dxfId="0" priority="1283" operator="between" text="库存为">
      <formula>NOT(ISERROR(SEARCH("库存为",AU1338)))</formula>
    </cfRule>
  </conditionalFormatting>
  <conditionalFormatting sqref="AU1339">
    <cfRule type="cellIs" dxfId="2" priority="6512" operator="lessThan">
      <formula>20</formula>
    </cfRule>
    <cfRule type="cellIs" dxfId="1" priority="3897" operator="greaterThan">
      <formula>120</formula>
    </cfRule>
    <cfRule type="containsText" dxfId="0" priority="1282" operator="between" text="库存为">
      <formula>NOT(ISERROR(SEARCH("库存为",AU1339)))</formula>
    </cfRule>
  </conditionalFormatting>
  <conditionalFormatting sqref="AU1340">
    <cfRule type="cellIs" dxfId="2" priority="6511" operator="lessThan">
      <formula>20</formula>
    </cfRule>
    <cfRule type="cellIs" dxfId="1" priority="3896" operator="greaterThan">
      <formula>120</formula>
    </cfRule>
    <cfRule type="containsText" dxfId="0" priority="1281" operator="between" text="库存为">
      <formula>NOT(ISERROR(SEARCH("库存为",AU1340)))</formula>
    </cfRule>
  </conditionalFormatting>
  <conditionalFormatting sqref="AU1341">
    <cfRule type="cellIs" dxfId="2" priority="6510" operator="lessThan">
      <formula>20</formula>
    </cfRule>
    <cfRule type="cellIs" dxfId="1" priority="3895" operator="greaterThan">
      <formula>120</formula>
    </cfRule>
    <cfRule type="containsText" dxfId="0" priority="1280" operator="between" text="库存为">
      <formula>NOT(ISERROR(SEARCH("库存为",AU1341)))</formula>
    </cfRule>
  </conditionalFormatting>
  <conditionalFormatting sqref="AU1342">
    <cfRule type="cellIs" dxfId="2" priority="6509" operator="lessThan">
      <formula>20</formula>
    </cfRule>
    <cfRule type="cellIs" dxfId="1" priority="3894" operator="greaterThan">
      <formula>120</formula>
    </cfRule>
    <cfRule type="containsText" dxfId="0" priority="1279" operator="between" text="库存为">
      <formula>NOT(ISERROR(SEARCH("库存为",AU1342)))</formula>
    </cfRule>
  </conditionalFormatting>
  <conditionalFormatting sqref="AU1343">
    <cfRule type="cellIs" dxfId="2" priority="6508" operator="lessThan">
      <formula>20</formula>
    </cfRule>
    <cfRule type="cellIs" dxfId="1" priority="3893" operator="greaterThan">
      <formula>120</formula>
    </cfRule>
    <cfRule type="containsText" dxfId="0" priority="1278" operator="between" text="库存为">
      <formula>NOT(ISERROR(SEARCH("库存为",AU1343)))</formula>
    </cfRule>
  </conditionalFormatting>
  <conditionalFormatting sqref="AU1344">
    <cfRule type="cellIs" dxfId="2" priority="6507" operator="lessThan">
      <formula>20</formula>
    </cfRule>
    <cfRule type="cellIs" dxfId="1" priority="3892" operator="greaterThan">
      <formula>120</formula>
    </cfRule>
    <cfRule type="containsText" dxfId="0" priority="1277" operator="between" text="库存为">
      <formula>NOT(ISERROR(SEARCH("库存为",AU1344)))</formula>
    </cfRule>
  </conditionalFormatting>
  <conditionalFormatting sqref="AU1345">
    <cfRule type="cellIs" dxfId="2" priority="6506" operator="lessThan">
      <formula>20</formula>
    </cfRule>
    <cfRule type="cellIs" dxfId="1" priority="3891" operator="greaterThan">
      <formula>120</formula>
    </cfRule>
    <cfRule type="containsText" dxfId="0" priority="1276" operator="between" text="库存为">
      <formula>NOT(ISERROR(SEARCH("库存为",AU1345)))</formula>
    </cfRule>
  </conditionalFormatting>
  <conditionalFormatting sqref="AU1346">
    <cfRule type="cellIs" dxfId="2" priority="6505" operator="lessThan">
      <formula>20</formula>
    </cfRule>
    <cfRule type="cellIs" dxfId="1" priority="3890" operator="greaterThan">
      <formula>120</formula>
    </cfRule>
    <cfRule type="containsText" dxfId="0" priority="1275" operator="between" text="库存为">
      <formula>NOT(ISERROR(SEARCH("库存为",AU1346)))</formula>
    </cfRule>
  </conditionalFormatting>
  <conditionalFormatting sqref="AU1347">
    <cfRule type="cellIs" dxfId="2" priority="6504" operator="lessThan">
      <formula>20</formula>
    </cfRule>
    <cfRule type="cellIs" dxfId="1" priority="3889" operator="greaterThan">
      <formula>120</formula>
    </cfRule>
    <cfRule type="containsText" dxfId="0" priority="1274" operator="between" text="库存为">
      <formula>NOT(ISERROR(SEARCH("库存为",AU1347)))</formula>
    </cfRule>
  </conditionalFormatting>
  <conditionalFormatting sqref="AU1348">
    <cfRule type="cellIs" dxfId="2" priority="6503" operator="lessThan">
      <formula>20</formula>
    </cfRule>
    <cfRule type="cellIs" dxfId="1" priority="3888" operator="greaterThan">
      <formula>120</formula>
    </cfRule>
    <cfRule type="containsText" dxfId="0" priority="1273" operator="between" text="库存为">
      <formula>NOT(ISERROR(SEARCH("库存为",AU1348)))</formula>
    </cfRule>
  </conditionalFormatting>
  <conditionalFormatting sqref="AU1349">
    <cfRule type="cellIs" dxfId="2" priority="6502" operator="lessThan">
      <formula>20</formula>
    </cfRule>
    <cfRule type="cellIs" dxfId="1" priority="3887" operator="greaterThan">
      <formula>120</formula>
    </cfRule>
    <cfRule type="containsText" dxfId="0" priority="1272" operator="between" text="库存为">
      <formula>NOT(ISERROR(SEARCH("库存为",AU1349)))</formula>
    </cfRule>
  </conditionalFormatting>
  <conditionalFormatting sqref="AU1350">
    <cfRule type="cellIs" dxfId="2" priority="6501" operator="lessThan">
      <formula>20</formula>
    </cfRule>
    <cfRule type="cellIs" dxfId="1" priority="3886" operator="greaterThan">
      <formula>120</formula>
    </cfRule>
    <cfRule type="containsText" dxfId="0" priority="1271" operator="between" text="库存为">
      <formula>NOT(ISERROR(SEARCH("库存为",AU1350)))</formula>
    </cfRule>
  </conditionalFormatting>
  <conditionalFormatting sqref="AU1351">
    <cfRule type="cellIs" dxfId="2" priority="6500" operator="lessThan">
      <formula>20</formula>
    </cfRule>
    <cfRule type="cellIs" dxfId="1" priority="3885" operator="greaterThan">
      <formula>120</formula>
    </cfRule>
    <cfRule type="containsText" dxfId="0" priority="1270" operator="between" text="库存为">
      <formula>NOT(ISERROR(SEARCH("库存为",AU1351)))</formula>
    </cfRule>
  </conditionalFormatting>
  <conditionalFormatting sqref="AU1352">
    <cfRule type="cellIs" dxfId="2" priority="6499" operator="lessThan">
      <formula>20</formula>
    </cfRule>
    <cfRule type="cellIs" dxfId="1" priority="3884" operator="greaterThan">
      <formula>120</formula>
    </cfRule>
    <cfRule type="containsText" dxfId="0" priority="1269" operator="between" text="库存为">
      <formula>NOT(ISERROR(SEARCH("库存为",AU1352)))</formula>
    </cfRule>
  </conditionalFormatting>
  <conditionalFormatting sqref="AU1353">
    <cfRule type="cellIs" dxfId="2" priority="6498" operator="lessThan">
      <formula>20</formula>
    </cfRule>
    <cfRule type="cellIs" dxfId="1" priority="3883" operator="greaterThan">
      <formula>120</formula>
    </cfRule>
    <cfRule type="containsText" dxfId="0" priority="1268" operator="between" text="库存为">
      <formula>NOT(ISERROR(SEARCH("库存为",AU1353)))</formula>
    </cfRule>
  </conditionalFormatting>
  <conditionalFormatting sqref="AU1354">
    <cfRule type="cellIs" dxfId="2" priority="6497" operator="lessThan">
      <formula>20</formula>
    </cfRule>
    <cfRule type="cellIs" dxfId="1" priority="3882" operator="greaterThan">
      <formula>120</formula>
    </cfRule>
    <cfRule type="containsText" dxfId="0" priority="1267" operator="between" text="库存为">
      <formula>NOT(ISERROR(SEARCH("库存为",AU1354)))</formula>
    </cfRule>
  </conditionalFormatting>
  <conditionalFormatting sqref="AU1355">
    <cfRule type="cellIs" dxfId="2" priority="6496" operator="lessThan">
      <formula>20</formula>
    </cfRule>
    <cfRule type="cellIs" dxfId="1" priority="3881" operator="greaterThan">
      <formula>120</formula>
    </cfRule>
    <cfRule type="containsText" dxfId="0" priority="1266" operator="between" text="库存为">
      <formula>NOT(ISERROR(SEARCH("库存为",AU1355)))</formula>
    </cfRule>
  </conditionalFormatting>
  <conditionalFormatting sqref="AU1356">
    <cfRule type="cellIs" dxfId="2" priority="6495" operator="lessThan">
      <formula>20</formula>
    </cfRule>
    <cfRule type="cellIs" dxfId="1" priority="3880" operator="greaterThan">
      <formula>120</formula>
    </cfRule>
    <cfRule type="containsText" dxfId="0" priority="1265" operator="between" text="库存为">
      <formula>NOT(ISERROR(SEARCH("库存为",AU1356)))</formula>
    </cfRule>
  </conditionalFormatting>
  <conditionalFormatting sqref="AU1357">
    <cfRule type="cellIs" dxfId="2" priority="6494" operator="lessThan">
      <formula>20</formula>
    </cfRule>
    <cfRule type="cellIs" dxfId="1" priority="3879" operator="greaterThan">
      <formula>120</formula>
    </cfRule>
    <cfRule type="containsText" dxfId="0" priority="1264" operator="between" text="库存为">
      <formula>NOT(ISERROR(SEARCH("库存为",AU1357)))</formula>
    </cfRule>
  </conditionalFormatting>
  <conditionalFormatting sqref="AU1358">
    <cfRule type="cellIs" dxfId="2" priority="6493" operator="lessThan">
      <formula>20</formula>
    </cfRule>
    <cfRule type="cellIs" dxfId="1" priority="3878" operator="greaterThan">
      <formula>120</formula>
    </cfRule>
    <cfRule type="containsText" dxfId="0" priority="1263" operator="between" text="库存为">
      <formula>NOT(ISERROR(SEARCH("库存为",AU1358)))</formula>
    </cfRule>
  </conditionalFormatting>
  <conditionalFormatting sqref="AU1359">
    <cfRule type="cellIs" dxfId="2" priority="6492" operator="lessThan">
      <formula>20</formula>
    </cfRule>
    <cfRule type="cellIs" dxfId="1" priority="3877" operator="greaterThan">
      <formula>120</formula>
    </cfRule>
    <cfRule type="containsText" dxfId="0" priority="1262" operator="between" text="库存为">
      <formula>NOT(ISERROR(SEARCH("库存为",AU1359)))</formula>
    </cfRule>
  </conditionalFormatting>
  <conditionalFormatting sqref="AU1360">
    <cfRule type="cellIs" dxfId="2" priority="6491" operator="lessThan">
      <formula>20</formula>
    </cfRule>
    <cfRule type="cellIs" dxfId="1" priority="3876" operator="greaterThan">
      <formula>120</formula>
    </cfRule>
    <cfRule type="containsText" dxfId="0" priority="1261" operator="between" text="库存为">
      <formula>NOT(ISERROR(SEARCH("库存为",AU1360)))</formula>
    </cfRule>
  </conditionalFormatting>
  <conditionalFormatting sqref="AU1361">
    <cfRule type="cellIs" dxfId="2" priority="6490" operator="lessThan">
      <formula>20</formula>
    </cfRule>
    <cfRule type="cellIs" dxfId="1" priority="3875" operator="greaterThan">
      <formula>120</formula>
    </cfRule>
    <cfRule type="containsText" dxfId="0" priority="1260" operator="between" text="库存为">
      <formula>NOT(ISERROR(SEARCH("库存为",AU1361)))</formula>
    </cfRule>
  </conditionalFormatting>
  <conditionalFormatting sqref="AU1362">
    <cfRule type="cellIs" dxfId="2" priority="6489" operator="lessThan">
      <formula>20</formula>
    </cfRule>
    <cfRule type="cellIs" dxfId="1" priority="3874" operator="greaterThan">
      <formula>120</formula>
    </cfRule>
    <cfRule type="containsText" dxfId="0" priority="1259" operator="between" text="库存为">
      <formula>NOT(ISERROR(SEARCH("库存为",AU1362)))</formula>
    </cfRule>
  </conditionalFormatting>
  <conditionalFormatting sqref="AU1363">
    <cfRule type="cellIs" dxfId="2" priority="6488" operator="lessThan">
      <formula>20</formula>
    </cfRule>
    <cfRule type="cellIs" dxfId="1" priority="3873" operator="greaterThan">
      <formula>120</formula>
    </cfRule>
    <cfRule type="containsText" dxfId="0" priority="1258" operator="between" text="库存为">
      <formula>NOT(ISERROR(SEARCH("库存为",AU1363)))</formula>
    </cfRule>
  </conditionalFormatting>
  <conditionalFormatting sqref="AU1364">
    <cfRule type="cellIs" dxfId="2" priority="6487" operator="lessThan">
      <formula>20</formula>
    </cfRule>
    <cfRule type="cellIs" dxfId="1" priority="3872" operator="greaterThan">
      <formula>120</formula>
    </cfRule>
    <cfRule type="containsText" dxfId="0" priority="1257" operator="between" text="库存为">
      <formula>NOT(ISERROR(SEARCH("库存为",AU1364)))</formula>
    </cfRule>
  </conditionalFormatting>
  <conditionalFormatting sqref="AU1365">
    <cfRule type="cellIs" dxfId="2" priority="6486" operator="lessThan">
      <formula>20</formula>
    </cfRule>
    <cfRule type="cellIs" dxfId="1" priority="3871" operator="greaterThan">
      <formula>120</formula>
    </cfRule>
    <cfRule type="containsText" dxfId="0" priority="1256" operator="between" text="库存为">
      <formula>NOT(ISERROR(SEARCH("库存为",AU1365)))</formula>
    </cfRule>
  </conditionalFormatting>
  <conditionalFormatting sqref="AU1366">
    <cfRule type="cellIs" dxfId="2" priority="6485" operator="lessThan">
      <formula>20</formula>
    </cfRule>
    <cfRule type="cellIs" dxfId="1" priority="3870" operator="greaterThan">
      <formula>120</formula>
    </cfRule>
    <cfRule type="containsText" dxfId="0" priority="1255" operator="between" text="库存为">
      <formula>NOT(ISERROR(SEARCH("库存为",AU1366)))</formula>
    </cfRule>
  </conditionalFormatting>
  <conditionalFormatting sqref="AU1367">
    <cfRule type="cellIs" dxfId="2" priority="6484" operator="lessThan">
      <formula>20</formula>
    </cfRule>
    <cfRule type="cellIs" dxfId="1" priority="3869" operator="greaterThan">
      <formula>120</formula>
    </cfRule>
    <cfRule type="containsText" dxfId="0" priority="1254" operator="between" text="库存为">
      <formula>NOT(ISERROR(SEARCH("库存为",AU1367)))</formula>
    </cfRule>
  </conditionalFormatting>
  <conditionalFormatting sqref="AU1368">
    <cfRule type="cellIs" dxfId="2" priority="6483" operator="lessThan">
      <formula>20</formula>
    </cfRule>
    <cfRule type="cellIs" dxfId="1" priority="3868" operator="greaterThan">
      <formula>120</formula>
    </cfRule>
    <cfRule type="containsText" dxfId="0" priority="1253" operator="between" text="库存为">
      <formula>NOT(ISERROR(SEARCH("库存为",AU1368)))</formula>
    </cfRule>
  </conditionalFormatting>
  <conditionalFormatting sqref="AU1369">
    <cfRule type="cellIs" dxfId="2" priority="6482" operator="lessThan">
      <formula>20</formula>
    </cfRule>
    <cfRule type="cellIs" dxfId="1" priority="3867" operator="greaterThan">
      <formula>120</formula>
    </cfRule>
    <cfRule type="containsText" dxfId="0" priority="1252" operator="between" text="库存为">
      <formula>NOT(ISERROR(SEARCH("库存为",AU1369)))</formula>
    </cfRule>
  </conditionalFormatting>
  <conditionalFormatting sqref="AU1370">
    <cfRule type="cellIs" dxfId="2" priority="6481" operator="lessThan">
      <formula>20</formula>
    </cfRule>
    <cfRule type="cellIs" dxfId="1" priority="3866" operator="greaterThan">
      <formula>120</formula>
    </cfRule>
    <cfRule type="containsText" dxfId="0" priority="1251" operator="between" text="库存为">
      <formula>NOT(ISERROR(SEARCH("库存为",AU1370)))</formula>
    </cfRule>
  </conditionalFormatting>
  <conditionalFormatting sqref="AU1371">
    <cfRule type="cellIs" dxfId="2" priority="6480" operator="lessThan">
      <formula>20</formula>
    </cfRule>
    <cfRule type="cellIs" dxfId="1" priority="3865" operator="greaterThan">
      <formula>120</formula>
    </cfRule>
    <cfRule type="containsText" dxfId="0" priority="1250" operator="between" text="库存为">
      <formula>NOT(ISERROR(SEARCH("库存为",AU1371)))</formula>
    </cfRule>
  </conditionalFormatting>
  <conditionalFormatting sqref="AU1372">
    <cfRule type="cellIs" dxfId="2" priority="6479" operator="lessThan">
      <formula>20</formula>
    </cfRule>
    <cfRule type="cellIs" dxfId="1" priority="3864" operator="greaterThan">
      <formula>120</formula>
    </cfRule>
    <cfRule type="containsText" dxfId="0" priority="1249" operator="between" text="库存为">
      <formula>NOT(ISERROR(SEARCH("库存为",AU1372)))</formula>
    </cfRule>
  </conditionalFormatting>
  <conditionalFormatting sqref="AU1373">
    <cfRule type="cellIs" dxfId="2" priority="6478" operator="lessThan">
      <formula>20</formula>
    </cfRule>
    <cfRule type="cellIs" dxfId="1" priority="3863" operator="greaterThan">
      <formula>120</formula>
    </cfRule>
    <cfRule type="containsText" dxfId="0" priority="1248" operator="between" text="库存为">
      <formula>NOT(ISERROR(SEARCH("库存为",AU1373)))</formula>
    </cfRule>
  </conditionalFormatting>
  <conditionalFormatting sqref="AU1374">
    <cfRule type="cellIs" dxfId="2" priority="6477" operator="lessThan">
      <formula>20</formula>
    </cfRule>
    <cfRule type="cellIs" dxfId="1" priority="3862" operator="greaterThan">
      <formula>120</formula>
    </cfRule>
    <cfRule type="containsText" dxfId="0" priority="1247" operator="between" text="库存为">
      <formula>NOT(ISERROR(SEARCH("库存为",AU1374)))</formula>
    </cfRule>
  </conditionalFormatting>
  <conditionalFormatting sqref="AU1375">
    <cfRule type="cellIs" dxfId="2" priority="6476" operator="lessThan">
      <formula>20</formula>
    </cfRule>
    <cfRule type="cellIs" dxfId="1" priority="3861" operator="greaterThan">
      <formula>120</formula>
    </cfRule>
    <cfRule type="containsText" dxfId="0" priority="1246" operator="between" text="库存为">
      <formula>NOT(ISERROR(SEARCH("库存为",AU1375)))</formula>
    </cfRule>
  </conditionalFormatting>
  <conditionalFormatting sqref="AU1376">
    <cfRule type="cellIs" dxfId="2" priority="6475" operator="lessThan">
      <formula>20</formula>
    </cfRule>
    <cfRule type="cellIs" dxfId="1" priority="3860" operator="greaterThan">
      <formula>120</formula>
    </cfRule>
    <cfRule type="containsText" dxfId="0" priority="1245" operator="between" text="库存为">
      <formula>NOT(ISERROR(SEARCH("库存为",AU1376)))</formula>
    </cfRule>
  </conditionalFormatting>
  <conditionalFormatting sqref="AU1377">
    <cfRule type="cellIs" dxfId="2" priority="6474" operator="lessThan">
      <formula>20</formula>
    </cfRule>
    <cfRule type="cellIs" dxfId="1" priority="3859" operator="greaterThan">
      <formula>120</formula>
    </cfRule>
    <cfRule type="containsText" dxfId="0" priority="1244" operator="between" text="库存为">
      <formula>NOT(ISERROR(SEARCH("库存为",AU1377)))</formula>
    </cfRule>
  </conditionalFormatting>
  <conditionalFormatting sqref="AU1378">
    <cfRule type="cellIs" dxfId="2" priority="6473" operator="lessThan">
      <formula>20</formula>
    </cfRule>
    <cfRule type="cellIs" dxfId="1" priority="3858" operator="greaterThan">
      <formula>120</formula>
    </cfRule>
    <cfRule type="containsText" dxfId="0" priority="1243" operator="between" text="库存为">
      <formula>NOT(ISERROR(SEARCH("库存为",AU1378)))</formula>
    </cfRule>
  </conditionalFormatting>
  <conditionalFormatting sqref="AU1379">
    <cfRule type="cellIs" dxfId="2" priority="6472" operator="lessThan">
      <formula>20</formula>
    </cfRule>
    <cfRule type="cellIs" dxfId="1" priority="3857" operator="greaterThan">
      <formula>120</formula>
    </cfRule>
    <cfRule type="containsText" dxfId="0" priority="1242" operator="between" text="库存为">
      <formula>NOT(ISERROR(SEARCH("库存为",AU1379)))</formula>
    </cfRule>
  </conditionalFormatting>
  <conditionalFormatting sqref="AU1380">
    <cfRule type="cellIs" dxfId="2" priority="6471" operator="lessThan">
      <formula>20</formula>
    </cfRule>
    <cfRule type="cellIs" dxfId="1" priority="3856" operator="greaterThan">
      <formula>120</formula>
    </cfRule>
    <cfRule type="containsText" dxfId="0" priority="1241" operator="between" text="库存为">
      <formula>NOT(ISERROR(SEARCH("库存为",AU1380)))</formula>
    </cfRule>
  </conditionalFormatting>
  <conditionalFormatting sqref="AU1381">
    <cfRule type="cellIs" dxfId="2" priority="6470" operator="lessThan">
      <formula>20</formula>
    </cfRule>
    <cfRule type="cellIs" dxfId="1" priority="3855" operator="greaterThan">
      <formula>120</formula>
    </cfRule>
    <cfRule type="containsText" dxfId="0" priority="1240" operator="between" text="库存为">
      <formula>NOT(ISERROR(SEARCH("库存为",AU1381)))</formula>
    </cfRule>
  </conditionalFormatting>
  <conditionalFormatting sqref="AU1382">
    <cfRule type="cellIs" dxfId="2" priority="6469" operator="lessThan">
      <formula>20</formula>
    </cfRule>
    <cfRule type="cellIs" dxfId="1" priority="3854" operator="greaterThan">
      <formula>120</formula>
    </cfRule>
    <cfRule type="containsText" dxfId="0" priority="1239" operator="between" text="库存为">
      <formula>NOT(ISERROR(SEARCH("库存为",AU1382)))</formula>
    </cfRule>
  </conditionalFormatting>
  <conditionalFormatting sqref="AU1383">
    <cfRule type="cellIs" dxfId="2" priority="6468" operator="lessThan">
      <formula>20</formula>
    </cfRule>
    <cfRule type="cellIs" dxfId="1" priority="3853" operator="greaterThan">
      <formula>120</formula>
    </cfRule>
    <cfRule type="containsText" dxfId="0" priority="1238" operator="between" text="库存为">
      <formula>NOT(ISERROR(SEARCH("库存为",AU1383)))</formula>
    </cfRule>
  </conditionalFormatting>
  <conditionalFormatting sqref="AU1384">
    <cfRule type="cellIs" dxfId="2" priority="6467" operator="lessThan">
      <formula>20</formula>
    </cfRule>
    <cfRule type="cellIs" dxfId="1" priority="3852" operator="greaterThan">
      <formula>120</formula>
    </cfRule>
    <cfRule type="containsText" dxfId="0" priority="1237" operator="between" text="库存为">
      <formula>NOT(ISERROR(SEARCH("库存为",AU1384)))</formula>
    </cfRule>
  </conditionalFormatting>
  <conditionalFormatting sqref="AU1385">
    <cfRule type="cellIs" dxfId="2" priority="6466" operator="lessThan">
      <formula>20</formula>
    </cfRule>
    <cfRule type="cellIs" dxfId="1" priority="3851" operator="greaterThan">
      <formula>120</formula>
    </cfRule>
    <cfRule type="containsText" dxfId="0" priority="1236" operator="between" text="库存为">
      <formula>NOT(ISERROR(SEARCH("库存为",AU1385)))</formula>
    </cfRule>
  </conditionalFormatting>
  <conditionalFormatting sqref="AU1386">
    <cfRule type="cellIs" dxfId="2" priority="6465" operator="lessThan">
      <formula>20</formula>
    </cfRule>
    <cfRule type="cellIs" dxfId="1" priority="3850" operator="greaterThan">
      <formula>120</formula>
    </cfRule>
    <cfRule type="containsText" dxfId="0" priority="1235" operator="between" text="库存为">
      <formula>NOT(ISERROR(SEARCH("库存为",AU1386)))</formula>
    </cfRule>
  </conditionalFormatting>
  <conditionalFormatting sqref="AU1387">
    <cfRule type="cellIs" dxfId="2" priority="6464" operator="lessThan">
      <formula>20</formula>
    </cfRule>
    <cfRule type="cellIs" dxfId="1" priority="3849" operator="greaterThan">
      <formula>120</formula>
    </cfRule>
    <cfRule type="containsText" dxfId="0" priority="1234" operator="between" text="库存为">
      <formula>NOT(ISERROR(SEARCH("库存为",AU1387)))</formula>
    </cfRule>
  </conditionalFormatting>
  <conditionalFormatting sqref="AU1388">
    <cfRule type="cellIs" dxfId="2" priority="6463" operator="lessThan">
      <formula>20</formula>
    </cfRule>
    <cfRule type="cellIs" dxfId="1" priority="3848" operator="greaterThan">
      <formula>120</formula>
    </cfRule>
    <cfRule type="containsText" dxfId="0" priority="1233" operator="between" text="库存为">
      <formula>NOT(ISERROR(SEARCH("库存为",AU1388)))</formula>
    </cfRule>
  </conditionalFormatting>
  <conditionalFormatting sqref="AU1389">
    <cfRule type="cellIs" dxfId="2" priority="6462" operator="lessThan">
      <formula>20</formula>
    </cfRule>
    <cfRule type="cellIs" dxfId="1" priority="3847" operator="greaterThan">
      <formula>120</formula>
    </cfRule>
    <cfRule type="containsText" dxfId="0" priority="1232" operator="between" text="库存为">
      <formula>NOT(ISERROR(SEARCH("库存为",AU1389)))</formula>
    </cfRule>
  </conditionalFormatting>
  <conditionalFormatting sqref="AU1390">
    <cfRule type="cellIs" dxfId="2" priority="6461" operator="lessThan">
      <formula>20</formula>
    </cfRule>
    <cfRule type="cellIs" dxfId="1" priority="3846" operator="greaterThan">
      <formula>120</formula>
    </cfRule>
    <cfRule type="containsText" dxfId="0" priority="1231" operator="between" text="库存为">
      <formula>NOT(ISERROR(SEARCH("库存为",AU1390)))</formula>
    </cfRule>
  </conditionalFormatting>
  <conditionalFormatting sqref="AU1391">
    <cfRule type="cellIs" dxfId="2" priority="6460" operator="lessThan">
      <formula>20</formula>
    </cfRule>
    <cfRule type="cellIs" dxfId="1" priority="3845" operator="greaterThan">
      <formula>120</formula>
    </cfRule>
    <cfRule type="containsText" dxfId="0" priority="1230" operator="between" text="库存为">
      <formula>NOT(ISERROR(SEARCH("库存为",AU1391)))</formula>
    </cfRule>
  </conditionalFormatting>
  <conditionalFormatting sqref="AU1392">
    <cfRule type="cellIs" dxfId="2" priority="6459" operator="lessThan">
      <formula>20</formula>
    </cfRule>
    <cfRule type="cellIs" dxfId="1" priority="3844" operator="greaterThan">
      <formula>120</formula>
    </cfRule>
    <cfRule type="containsText" dxfId="0" priority="1229" operator="between" text="库存为">
      <formula>NOT(ISERROR(SEARCH("库存为",AU1392)))</formula>
    </cfRule>
  </conditionalFormatting>
  <conditionalFormatting sqref="AU1393">
    <cfRule type="cellIs" dxfId="2" priority="6458" operator="lessThan">
      <formula>20</formula>
    </cfRule>
    <cfRule type="cellIs" dxfId="1" priority="3843" operator="greaterThan">
      <formula>120</formula>
    </cfRule>
    <cfRule type="containsText" dxfId="0" priority="1228" operator="between" text="库存为">
      <formula>NOT(ISERROR(SEARCH("库存为",AU1393)))</formula>
    </cfRule>
  </conditionalFormatting>
  <conditionalFormatting sqref="AU1394">
    <cfRule type="cellIs" dxfId="2" priority="6457" operator="lessThan">
      <formula>20</formula>
    </cfRule>
    <cfRule type="cellIs" dxfId="1" priority="3842" operator="greaterThan">
      <formula>120</formula>
    </cfRule>
    <cfRule type="containsText" dxfId="0" priority="1227" operator="between" text="库存为">
      <formula>NOT(ISERROR(SEARCH("库存为",AU1394)))</formula>
    </cfRule>
  </conditionalFormatting>
  <conditionalFormatting sqref="AU1395">
    <cfRule type="cellIs" dxfId="2" priority="6456" operator="lessThan">
      <formula>20</formula>
    </cfRule>
    <cfRule type="cellIs" dxfId="1" priority="3841" operator="greaterThan">
      <formula>120</formula>
    </cfRule>
    <cfRule type="containsText" dxfId="0" priority="1226" operator="between" text="库存为">
      <formula>NOT(ISERROR(SEARCH("库存为",AU1395)))</formula>
    </cfRule>
  </conditionalFormatting>
  <conditionalFormatting sqref="AU1396">
    <cfRule type="cellIs" dxfId="2" priority="6455" operator="lessThan">
      <formula>20</formula>
    </cfRule>
    <cfRule type="cellIs" dxfId="1" priority="3840" operator="greaterThan">
      <formula>120</formula>
    </cfRule>
    <cfRule type="containsText" dxfId="0" priority="1225" operator="between" text="库存为">
      <formula>NOT(ISERROR(SEARCH("库存为",AU1396)))</formula>
    </cfRule>
  </conditionalFormatting>
  <conditionalFormatting sqref="AU1397">
    <cfRule type="cellIs" dxfId="2" priority="6454" operator="lessThan">
      <formula>20</formula>
    </cfRule>
    <cfRule type="cellIs" dxfId="1" priority="3839" operator="greaterThan">
      <formula>120</formula>
    </cfRule>
    <cfRule type="containsText" dxfId="0" priority="1224" operator="between" text="库存为">
      <formula>NOT(ISERROR(SEARCH("库存为",AU1397)))</formula>
    </cfRule>
  </conditionalFormatting>
  <conditionalFormatting sqref="AU1398">
    <cfRule type="cellIs" dxfId="2" priority="6453" operator="lessThan">
      <formula>20</formula>
    </cfRule>
    <cfRule type="cellIs" dxfId="1" priority="3838" operator="greaterThan">
      <formula>120</formula>
    </cfRule>
    <cfRule type="containsText" dxfId="0" priority="1223" operator="between" text="库存为">
      <formula>NOT(ISERROR(SEARCH("库存为",AU1398)))</formula>
    </cfRule>
  </conditionalFormatting>
  <conditionalFormatting sqref="AU1399">
    <cfRule type="cellIs" dxfId="2" priority="6452" operator="lessThan">
      <formula>20</formula>
    </cfRule>
    <cfRule type="cellIs" dxfId="1" priority="3837" operator="greaterThan">
      <formula>120</formula>
    </cfRule>
    <cfRule type="containsText" dxfId="0" priority="1222" operator="between" text="库存为">
      <formula>NOT(ISERROR(SEARCH("库存为",AU1399)))</formula>
    </cfRule>
  </conditionalFormatting>
  <conditionalFormatting sqref="AU1400">
    <cfRule type="cellIs" dxfId="2" priority="6451" operator="lessThan">
      <formula>20</formula>
    </cfRule>
    <cfRule type="cellIs" dxfId="1" priority="3836" operator="greaterThan">
      <formula>120</formula>
    </cfRule>
    <cfRule type="containsText" dxfId="0" priority="1221" operator="between" text="库存为">
      <formula>NOT(ISERROR(SEARCH("库存为",AU1400)))</formula>
    </cfRule>
  </conditionalFormatting>
  <conditionalFormatting sqref="AU1401">
    <cfRule type="cellIs" dxfId="2" priority="6450" operator="lessThan">
      <formula>20</formula>
    </cfRule>
    <cfRule type="cellIs" dxfId="1" priority="3835" operator="greaterThan">
      <formula>120</formula>
    </cfRule>
    <cfRule type="containsText" dxfId="0" priority="1220" operator="between" text="库存为">
      <formula>NOT(ISERROR(SEARCH("库存为",AU1401)))</formula>
    </cfRule>
  </conditionalFormatting>
  <conditionalFormatting sqref="AU1402">
    <cfRule type="cellIs" dxfId="2" priority="6449" operator="lessThan">
      <formula>20</formula>
    </cfRule>
    <cfRule type="cellIs" dxfId="1" priority="3834" operator="greaterThan">
      <formula>120</formula>
    </cfRule>
    <cfRule type="containsText" dxfId="0" priority="1219" operator="between" text="库存为">
      <formula>NOT(ISERROR(SEARCH("库存为",AU1402)))</formula>
    </cfRule>
  </conditionalFormatting>
  <conditionalFormatting sqref="AU1403">
    <cfRule type="cellIs" dxfId="2" priority="6448" operator="lessThan">
      <formula>20</formula>
    </cfRule>
    <cfRule type="cellIs" dxfId="1" priority="3833" operator="greaterThan">
      <formula>120</formula>
    </cfRule>
    <cfRule type="containsText" dxfId="0" priority="1218" operator="between" text="库存为">
      <formula>NOT(ISERROR(SEARCH("库存为",AU1403)))</formula>
    </cfRule>
  </conditionalFormatting>
  <conditionalFormatting sqref="AU1404">
    <cfRule type="cellIs" dxfId="2" priority="6447" operator="lessThan">
      <formula>20</formula>
    </cfRule>
    <cfRule type="cellIs" dxfId="1" priority="3832" operator="greaterThan">
      <formula>120</formula>
    </cfRule>
    <cfRule type="containsText" dxfId="0" priority="1217" operator="between" text="库存为">
      <formula>NOT(ISERROR(SEARCH("库存为",AU1404)))</formula>
    </cfRule>
  </conditionalFormatting>
  <conditionalFormatting sqref="AU1405">
    <cfRule type="cellIs" dxfId="2" priority="6446" operator="lessThan">
      <formula>20</formula>
    </cfRule>
    <cfRule type="cellIs" dxfId="1" priority="3831" operator="greaterThan">
      <formula>120</formula>
    </cfRule>
    <cfRule type="containsText" dxfId="0" priority="1216" operator="between" text="库存为">
      <formula>NOT(ISERROR(SEARCH("库存为",AU1405)))</formula>
    </cfRule>
  </conditionalFormatting>
  <conditionalFormatting sqref="AU1406">
    <cfRule type="cellIs" dxfId="2" priority="6445" operator="lessThan">
      <formula>20</formula>
    </cfRule>
    <cfRule type="cellIs" dxfId="1" priority="3830" operator="greaterThan">
      <formula>120</formula>
    </cfRule>
    <cfRule type="containsText" dxfId="0" priority="1215" operator="between" text="库存为">
      <formula>NOT(ISERROR(SEARCH("库存为",AU1406)))</formula>
    </cfRule>
  </conditionalFormatting>
  <conditionalFormatting sqref="AU1407">
    <cfRule type="cellIs" dxfId="2" priority="6444" operator="lessThan">
      <formula>20</formula>
    </cfRule>
    <cfRule type="cellIs" dxfId="1" priority="3829" operator="greaterThan">
      <formula>120</formula>
    </cfRule>
    <cfRule type="containsText" dxfId="0" priority="1214" operator="between" text="库存为">
      <formula>NOT(ISERROR(SEARCH("库存为",AU1407)))</formula>
    </cfRule>
  </conditionalFormatting>
  <conditionalFormatting sqref="AU1408">
    <cfRule type="cellIs" dxfId="2" priority="6443" operator="lessThan">
      <formula>20</formula>
    </cfRule>
    <cfRule type="cellIs" dxfId="1" priority="3828" operator="greaterThan">
      <formula>120</formula>
    </cfRule>
    <cfRule type="containsText" dxfId="0" priority="1213" operator="between" text="库存为">
      <formula>NOT(ISERROR(SEARCH("库存为",AU1408)))</formula>
    </cfRule>
  </conditionalFormatting>
  <conditionalFormatting sqref="AU1409">
    <cfRule type="cellIs" dxfId="2" priority="6442" operator="lessThan">
      <formula>20</formula>
    </cfRule>
    <cfRule type="cellIs" dxfId="1" priority="3827" operator="greaterThan">
      <formula>120</formula>
    </cfRule>
    <cfRule type="containsText" dxfId="0" priority="1212" operator="between" text="库存为">
      <formula>NOT(ISERROR(SEARCH("库存为",AU1409)))</formula>
    </cfRule>
  </conditionalFormatting>
  <conditionalFormatting sqref="AU1410">
    <cfRule type="cellIs" dxfId="2" priority="6441" operator="lessThan">
      <formula>20</formula>
    </cfRule>
    <cfRule type="cellIs" dxfId="1" priority="3826" operator="greaterThan">
      <formula>120</formula>
    </cfRule>
    <cfRule type="containsText" dxfId="0" priority="1211" operator="between" text="库存为">
      <formula>NOT(ISERROR(SEARCH("库存为",AU1410)))</formula>
    </cfRule>
  </conditionalFormatting>
  <conditionalFormatting sqref="AU1411">
    <cfRule type="cellIs" dxfId="2" priority="6440" operator="lessThan">
      <formula>20</formula>
    </cfRule>
    <cfRule type="cellIs" dxfId="1" priority="3825" operator="greaterThan">
      <formula>120</formula>
    </cfRule>
    <cfRule type="containsText" dxfId="0" priority="1210" operator="between" text="库存为">
      <formula>NOT(ISERROR(SEARCH("库存为",AU1411)))</formula>
    </cfRule>
  </conditionalFormatting>
  <conditionalFormatting sqref="AU1412">
    <cfRule type="cellIs" dxfId="2" priority="6439" operator="lessThan">
      <formula>20</formula>
    </cfRule>
    <cfRule type="cellIs" dxfId="1" priority="3824" operator="greaterThan">
      <formula>120</formula>
    </cfRule>
    <cfRule type="containsText" dxfId="0" priority="1209" operator="between" text="库存为">
      <formula>NOT(ISERROR(SEARCH("库存为",AU1412)))</formula>
    </cfRule>
  </conditionalFormatting>
  <conditionalFormatting sqref="AU1413">
    <cfRule type="cellIs" dxfId="2" priority="6438" operator="lessThan">
      <formula>20</formula>
    </cfRule>
    <cfRule type="cellIs" dxfId="1" priority="3823" operator="greaterThan">
      <formula>120</formula>
    </cfRule>
    <cfRule type="containsText" dxfId="0" priority="1208" operator="between" text="库存为">
      <formula>NOT(ISERROR(SEARCH("库存为",AU1413)))</formula>
    </cfRule>
  </conditionalFormatting>
  <conditionalFormatting sqref="AU1414">
    <cfRule type="cellIs" dxfId="2" priority="6437" operator="lessThan">
      <formula>20</formula>
    </cfRule>
    <cfRule type="cellIs" dxfId="1" priority="3822" operator="greaterThan">
      <formula>120</formula>
    </cfRule>
    <cfRule type="containsText" dxfId="0" priority="1207" operator="between" text="库存为">
      <formula>NOT(ISERROR(SEARCH("库存为",AU1414)))</formula>
    </cfRule>
  </conditionalFormatting>
  <conditionalFormatting sqref="AU1415">
    <cfRule type="cellIs" dxfId="2" priority="6436" operator="lessThan">
      <formula>20</formula>
    </cfRule>
    <cfRule type="cellIs" dxfId="1" priority="3821" operator="greaterThan">
      <formula>120</formula>
    </cfRule>
    <cfRule type="containsText" dxfId="0" priority="1206" operator="between" text="库存为">
      <formula>NOT(ISERROR(SEARCH("库存为",AU1415)))</formula>
    </cfRule>
  </conditionalFormatting>
  <conditionalFormatting sqref="AU1416">
    <cfRule type="cellIs" dxfId="2" priority="6435" operator="lessThan">
      <formula>20</formula>
    </cfRule>
    <cfRule type="cellIs" dxfId="1" priority="3820" operator="greaterThan">
      <formula>120</formula>
    </cfRule>
    <cfRule type="containsText" dxfId="0" priority="1205" operator="between" text="库存为">
      <formula>NOT(ISERROR(SEARCH("库存为",AU1416)))</formula>
    </cfRule>
  </conditionalFormatting>
  <conditionalFormatting sqref="AU1417">
    <cfRule type="cellIs" dxfId="2" priority="6434" operator="lessThan">
      <formula>20</formula>
    </cfRule>
    <cfRule type="cellIs" dxfId="1" priority="3819" operator="greaterThan">
      <formula>120</formula>
    </cfRule>
    <cfRule type="containsText" dxfId="0" priority="1204" operator="between" text="库存为">
      <formula>NOT(ISERROR(SEARCH("库存为",AU1417)))</formula>
    </cfRule>
  </conditionalFormatting>
  <conditionalFormatting sqref="AU1418">
    <cfRule type="cellIs" dxfId="2" priority="6433" operator="lessThan">
      <formula>20</formula>
    </cfRule>
    <cfRule type="cellIs" dxfId="1" priority="3818" operator="greaterThan">
      <formula>120</formula>
    </cfRule>
    <cfRule type="containsText" dxfId="0" priority="1203" operator="between" text="库存为">
      <formula>NOT(ISERROR(SEARCH("库存为",AU1418)))</formula>
    </cfRule>
  </conditionalFormatting>
  <conditionalFormatting sqref="AU1419">
    <cfRule type="cellIs" dxfId="2" priority="6432" operator="lessThan">
      <formula>20</formula>
    </cfRule>
    <cfRule type="cellIs" dxfId="1" priority="3817" operator="greaterThan">
      <formula>120</formula>
    </cfRule>
    <cfRule type="containsText" dxfId="0" priority="1202" operator="between" text="库存为">
      <formula>NOT(ISERROR(SEARCH("库存为",AU1419)))</formula>
    </cfRule>
  </conditionalFormatting>
  <conditionalFormatting sqref="AU1420">
    <cfRule type="cellIs" dxfId="2" priority="6431" operator="lessThan">
      <formula>20</formula>
    </cfRule>
    <cfRule type="cellIs" dxfId="1" priority="3816" operator="greaterThan">
      <formula>120</formula>
    </cfRule>
    <cfRule type="containsText" dxfId="0" priority="1201" operator="between" text="库存为">
      <formula>NOT(ISERROR(SEARCH("库存为",AU1420)))</formula>
    </cfRule>
  </conditionalFormatting>
  <conditionalFormatting sqref="AU1421">
    <cfRule type="cellIs" dxfId="2" priority="6430" operator="lessThan">
      <formula>20</formula>
    </cfRule>
    <cfRule type="cellIs" dxfId="1" priority="3815" operator="greaterThan">
      <formula>120</formula>
    </cfRule>
    <cfRule type="containsText" dxfId="0" priority="1200" operator="between" text="库存为">
      <formula>NOT(ISERROR(SEARCH("库存为",AU1421)))</formula>
    </cfRule>
  </conditionalFormatting>
  <conditionalFormatting sqref="AU1422">
    <cfRule type="cellIs" dxfId="2" priority="6429" operator="lessThan">
      <formula>20</formula>
    </cfRule>
    <cfRule type="cellIs" dxfId="1" priority="3814" operator="greaterThan">
      <formula>120</formula>
    </cfRule>
    <cfRule type="containsText" dxfId="0" priority="1199" operator="between" text="库存为">
      <formula>NOT(ISERROR(SEARCH("库存为",AU1422)))</formula>
    </cfRule>
  </conditionalFormatting>
  <conditionalFormatting sqref="AU1423">
    <cfRule type="cellIs" dxfId="2" priority="6428" operator="lessThan">
      <formula>20</formula>
    </cfRule>
    <cfRule type="cellIs" dxfId="1" priority="3813" operator="greaterThan">
      <formula>120</formula>
    </cfRule>
    <cfRule type="containsText" dxfId="0" priority="1198" operator="between" text="库存为">
      <formula>NOT(ISERROR(SEARCH("库存为",AU1423)))</formula>
    </cfRule>
  </conditionalFormatting>
  <conditionalFormatting sqref="AU1424">
    <cfRule type="cellIs" dxfId="2" priority="6427" operator="lessThan">
      <formula>20</formula>
    </cfRule>
    <cfRule type="cellIs" dxfId="1" priority="3812" operator="greaterThan">
      <formula>120</formula>
    </cfRule>
    <cfRule type="containsText" dxfId="0" priority="1197" operator="between" text="库存为">
      <formula>NOT(ISERROR(SEARCH("库存为",AU1424)))</formula>
    </cfRule>
  </conditionalFormatting>
  <conditionalFormatting sqref="AU1425">
    <cfRule type="cellIs" dxfId="2" priority="6426" operator="lessThan">
      <formula>20</formula>
    </cfRule>
    <cfRule type="cellIs" dxfId="1" priority="3811" operator="greaterThan">
      <formula>120</formula>
    </cfRule>
    <cfRule type="containsText" dxfId="0" priority="1196" operator="between" text="库存为">
      <formula>NOT(ISERROR(SEARCH("库存为",AU1425)))</formula>
    </cfRule>
  </conditionalFormatting>
  <conditionalFormatting sqref="AU1426">
    <cfRule type="cellIs" dxfId="2" priority="6425" operator="lessThan">
      <formula>20</formula>
    </cfRule>
    <cfRule type="cellIs" dxfId="1" priority="3810" operator="greaterThan">
      <formula>120</formula>
    </cfRule>
    <cfRule type="containsText" dxfId="0" priority="1195" operator="between" text="库存为">
      <formula>NOT(ISERROR(SEARCH("库存为",AU1426)))</formula>
    </cfRule>
  </conditionalFormatting>
  <conditionalFormatting sqref="AU1427">
    <cfRule type="cellIs" dxfId="2" priority="6424" operator="lessThan">
      <formula>20</formula>
    </cfRule>
    <cfRule type="cellIs" dxfId="1" priority="3809" operator="greaterThan">
      <formula>120</formula>
    </cfRule>
    <cfRule type="containsText" dxfId="0" priority="1194" operator="between" text="库存为">
      <formula>NOT(ISERROR(SEARCH("库存为",AU1427)))</formula>
    </cfRule>
  </conditionalFormatting>
  <conditionalFormatting sqref="AU1428">
    <cfRule type="cellIs" dxfId="2" priority="6423" operator="lessThan">
      <formula>20</formula>
    </cfRule>
    <cfRule type="cellIs" dxfId="1" priority="3808" operator="greaterThan">
      <formula>120</formula>
    </cfRule>
    <cfRule type="containsText" dxfId="0" priority="1193" operator="between" text="库存为">
      <formula>NOT(ISERROR(SEARCH("库存为",AU1428)))</formula>
    </cfRule>
  </conditionalFormatting>
  <conditionalFormatting sqref="AU1429">
    <cfRule type="cellIs" dxfId="2" priority="6422" operator="lessThan">
      <formula>20</formula>
    </cfRule>
    <cfRule type="cellIs" dxfId="1" priority="3807" operator="greaterThan">
      <formula>120</formula>
    </cfRule>
    <cfRule type="containsText" dxfId="0" priority="1192" operator="between" text="库存为">
      <formula>NOT(ISERROR(SEARCH("库存为",AU1429)))</formula>
    </cfRule>
  </conditionalFormatting>
  <conditionalFormatting sqref="AU1430">
    <cfRule type="cellIs" dxfId="2" priority="6421" operator="lessThan">
      <formula>20</formula>
    </cfRule>
    <cfRule type="cellIs" dxfId="1" priority="3806" operator="greaterThan">
      <formula>120</formula>
    </cfRule>
    <cfRule type="containsText" dxfId="0" priority="1191" operator="between" text="库存为">
      <formula>NOT(ISERROR(SEARCH("库存为",AU1430)))</formula>
    </cfRule>
  </conditionalFormatting>
  <conditionalFormatting sqref="AU1431">
    <cfRule type="cellIs" dxfId="2" priority="6420" operator="lessThan">
      <formula>20</formula>
    </cfRule>
    <cfRule type="cellIs" dxfId="1" priority="3805" operator="greaterThan">
      <formula>120</formula>
    </cfRule>
    <cfRule type="containsText" dxfId="0" priority="1190" operator="between" text="库存为">
      <formula>NOT(ISERROR(SEARCH("库存为",AU1431)))</formula>
    </cfRule>
  </conditionalFormatting>
  <conditionalFormatting sqref="AU1432">
    <cfRule type="cellIs" dxfId="2" priority="6419" operator="lessThan">
      <formula>20</formula>
    </cfRule>
    <cfRule type="cellIs" dxfId="1" priority="3804" operator="greaterThan">
      <formula>120</formula>
    </cfRule>
    <cfRule type="containsText" dxfId="0" priority="1189" operator="between" text="库存为">
      <formula>NOT(ISERROR(SEARCH("库存为",AU1432)))</formula>
    </cfRule>
  </conditionalFormatting>
  <conditionalFormatting sqref="AU1433">
    <cfRule type="cellIs" dxfId="2" priority="6418" operator="lessThan">
      <formula>20</formula>
    </cfRule>
    <cfRule type="cellIs" dxfId="1" priority="3803" operator="greaterThan">
      <formula>120</formula>
    </cfRule>
    <cfRule type="containsText" dxfId="0" priority="1188" operator="between" text="库存为">
      <formula>NOT(ISERROR(SEARCH("库存为",AU1433)))</formula>
    </cfRule>
  </conditionalFormatting>
  <conditionalFormatting sqref="AU1434">
    <cfRule type="cellIs" dxfId="2" priority="6417" operator="lessThan">
      <formula>20</formula>
    </cfRule>
    <cfRule type="cellIs" dxfId="1" priority="3802" operator="greaterThan">
      <formula>120</formula>
    </cfRule>
    <cfRule type="containsText" dxfId="0" priority="1187" operator="between" text="库存为">
      <formula>NOT(ISERROR(SEARCH("库存为",AU1434)))</formula>
    </cfRule>
  </conditionalFormatting>
  <conditionalFormatting sqref="AU1435">
    <cfRule type="cellIs" dxfId="2" priority="6416" operator="lessThan">
      <formula>20</formula>
    </cfRule>
    <cfRule type="cellIs" dxfId="1" priority="3801" operator="greaterThan">
      <formula>120</formula>
    </cfRule>
    <cfRule type="containsText" dxfId="0" priority="1186" operator="between" text="库存为">
      <formula>NOT(ISERROR(SEARCH("库存为",AU1435)))</formula>
    </cfRule>
  </conditionalFormatting>
  <conditionalFormatting sqref="AU1436">
    <cfRule type="cellIs" dxfId="2" priority="6415" operator="lessThan">
      <formula>20</formula>
    </cfRule>
    <cfRule type="cellIs" dxfId="1" priority="3800" operator="greaterThan">
      <formula>120</formula>
    </cfRule>
    <cfRule type="containsText" dxfId="0" priority="1185" operator="between" text="库存为">
      <formula>NOT(ISERROR(SEARCH("库存为",AU1436)))</formula>
    </cfRule>
  </conditionalFormatting>
  <conditionalFormatting sqref="AU1437">
    <cfRule type="cellIs" dxfId="2" priority="6414" operator="lessThan">
      <formula>20</formula>
    </cfRule>
    <cfRule type="cellIs" dxfId="1" priority="3799" operator="greaterThan">
      <formula>120</formula>
    </cfRule>
    <cfRule type="containsText" dxfId="0" priority="1184" operator="between" text="库存为">
      <formula>NOT(ISERROR(SEARCH("库存为",AU1437)))</formula>
    </cfRule>
  </conditionalFormatting>
  <conditionalFormatting sqref="AU1438">
    <cfRule type="cellIs" dxfId="2" priority="6413" operator="lessThan">
      <formula>20</formula>
    </cfRule>
    <cfRule type="cellIs" dxfId="1" priority="3798" operator="greaterThan">
      <formula>120</formula>
    </cfRule>
    <cfRule type="containsText" dxfId="0" priority="1183" operator="between" text="库存为">
      <formula>NOT(ISERROR(SEARCH("库存为",AU1438)))</formula>
    </cfRule>
  </conditionalFormatting>
  <conditionalFormatting sqref="AU1439">
    <cfRule type="cellIs" dxfId="2" priority="6412" operator="lessThan">
      <formula>20</formula>
    </cfRule>
    <cfRule type="cellIs" dxfId="1" priority="3797" operator="greaterThan">
      <formula>120</formula>
    </cfRule>
    <cfRule type="containsText" dxfId="0" priority="1182" operator="between" text="库存为">
      <formula>NOT(ISERROR(SEARCH("库存为",AU1439)))</formula>
    </cfRule>
  </conditionalFormatting>
  <conditionalFormatting sqref="AU1440">
    <cfRule type="cellIs" dxfId="2" priority="6411" operator="lessThan">
      <formula>20</formula>
    </cfRule>
    <cfRule type="cellIs" dxfId="1" priority="3796" operator="greaterThan">
      <formula>120</formula>
    </cfRule>
    <cfRule type="containsText" dxfId="0" priority="1181" operator="between" text="库存为">
      <formula>NOT(ISERROR(SEARCH("库存为",AU1440)))</formula>
    </cfRule>
  </conditionalFormatting>
  <conditionalFormatting sqref="AU1441">
    <cfRule type="cellIs" dxfId="2" priority="6410" operator="lessThan">
      <formula>20</formula>
    </cfRule>
    <cfRule type="cellIs" dxfId="1" priority="3795" operator="greaterThan">
      <formula>120</formula>
    </cfRule>
    <cfRule type="containsText" dxfId="0" priority="1180" operator="between" text="库存为">
      <formula>NOT(ISERROR(SEARCH("库存为",AU1441)))</formula>
    </cfRule>
  </conditionalFormatting>
  <conditionalFormatting sqref="AU1442">
    <cfRule type="cellIs" dxfId="2" priority="6409" operator="lessThan">
      <formula>20</formula>
    </cfRule>
    <cfRule type="cellIs" dxfId="1" priority="3794" operator="greaterThan">
      <formula>120</formula>
    </cfRule>
    <cfRule type="containsText" dxfId="0" priority="1179" operator="between" text="库存为">
      <formula>NOT(ISERROR(SEARCH("库存为",AU1442)))</formula>
    </cfRule>
  </conditionalFormatting>
  <conditionalFormatting sqref="AU1443">
    <cfRule type="cellIs" dxfId="2" priority="6408" operator="lessThan">
      <formula>20</formula>
    </cfRule>
    <cfRule type="cellIs" dxfId="1" priority="3793" operator="greaterThan">
      <formula>120</formula>
    </cfRule>
    <cfRule type="containsText" dxfId="0" priority="1178" operator="between" text="库存为">
      <formula>NOT(ISERROR(SEARCH("库存为",AU1443)))</formula>
    </cfRule>
  </conditionalFormatting>
  <conditionalFormatting sqref="AU1444">
    <cfRule type="cellIs" dxfId="2" priority="6407" operator="lessThan">
      <formula>20</formula>
    </cfRule>
    <cfRule type="cellIs" dxfId="1" priority="3792" operator="greaterThan">
      <formula>120</formula>
    </cfRule>
    <cfRule type="containsText" dxfId="0" priority="1177" operator="between" text="库存为">
      <formula>NOT(ISERROR(SEARCH("库存为",AU1444)))</formula>
    </cfRule>
  </conditionalFormatting>
  <conditionalFormatting sqref="AU1445">
    <cfRule type="cellIs" dxfId="2" priority="6406" operator="lessThan">
      <formula>20</formula>
    </cfRule>
    <cfRule type="cellIs" dxfId="1" priority="3791" operator="greaterThan">
      <formula>120</formula>
    </cfRule>
    <cfRule type="containsText" dxfId="0" priority="1176" operator="between" text="库存为">
      <formula>NOT(ISERROR(SEARCH("库存为",AU1445)))</formula>
    </cfRule>
  </conditionalFormatting>
  <conditionalFormatting sqref="AU1446">
    <cfRule type="cellIs" dxfId="2" priority="6405" operator="lessThan">
      <formula>20</formula>
    </cfRule>
    <cfRule type="cellIs" dxfId="1" priority="3790" operator="greaterThan">
      <formula>120</formula>
    </cfRule>
    <cfRule type="containsText" dxfId="0" priority="1175" operator="between" text="库存为">
      <formula>NOT(ISERROR(SEARCH("库存为",AU1446)))</formula>
    </cfRule>
  </conditionalFormatting>
  <conditionalFormatting sqref="AU1447">
    <cfRule type="cellIs" dxfId="2" priority="6404" operator="lessThan">
      <formula>20</formula>
    </cfRule>
    <cfRule type="cellIs" dxfId="1" priority="3789" operator="greaterThan">
      <formula>120</formula>
    </cfRule>
    <cfRule type="containsText" dxfId="0" priority="1174" operator="between" text="库存为">
      <formula>NOT(ISERROR(SEARCH("库存为",AU1447)))</formula>
    </cfRule>
  </conditionalFormatting>
  <conditionalFormatting sqref="AU1448">
    <cfRule type="cellIs" dxfId="2" priority="6403" operator="lessThan">
      <formula>20</formula>
    </cfRule>
    <cfRule type="cellIs" dxfId="1" priority="3788" operator="greaterThan">
      <formula>120</formula>
    </cfRule>
    <cfRule type="containsText" dxfId="0" priority="1173" operator="between" text="库存为">
      <formula>NOT(ISERROR(SEARCH("库存为",AU1448)))</formula>
    </cfRule>
  </conditionalFormatting>
  <conditionalFormatting sqref="AU1449">
    <cfRule type="cellIs" dxfId="2" priority="6402" operator="lessThan">
      <formula>20</formula>
    </cfRule>
    <cfRule type="cellIs" dxfId="1" priority="3787" operator="greaterThan">
      <formula>120</formula>
    </cfRule>
    <cfRule type="containsText" dxfId="0" priority="1172" operator="between" text="库存为">
      <formula>NOT(ISERROR(SEARCH("库存为",AU1449)))</formula>
    </cfRule>
  </conditionalFormatting>
  <conditionalFormatting sqref="AU1450">
    <cfRule type="cellIs" dxfId="2" priority="6401" operator="lessThan">
      <formula>20</formula>
    </cfRule>
    <cfRule type="cellIs" dxfId="1" priority="3786" operator="greaterThan">
      <formula>120</formula>
    </cfRule>
    <cfRule type="containsText" dxfId="0" priority="1171" operator="between" text="库存为">
      <formula>NOT(ISERROR(SEARCH("库存为",AU1450)))</formula>
    </cfRule>
  </conditionalFormatting>
  <conditionalFormatting sqref="AU1451">
    <cfRule type="cellIs" dxfId="2" priority="6400" operator="lessThan">
      <formula>20</formula>
    </cfRule>
    <cfRule type="cellIs" dxfId="1" priority="3785" operator="greaterThan">
      <formula>120</formula>
    </cfRule>
    <cfRule type="containsText" dxfId="0" priority="1170" operator="between" text="库存为">
      <formula>NOT(ISERROR(SEARCH("库存为",AU1451)))</formula>
    </cfRule>
  </conditionalFormatting>
  <conditionalFormatting sqref="AU1452">
    <cfRule type="cellIs" dxfId="2" priority="6399" operator="lessThan">
      <formula>20</formula>
    </cfRule>
    <cfRule type="cellIs" dxfId="1" priority="3784" operator="greaterThan">
      <formula>120</formula>
    </cfRule>
    <cfRule type="containsText" dxfId="0" priority="1169" operator="between" text="库存为">
      <formula>NOT(ISERROR(SEARCH("库存为",AU1452)))</formula>
    </cfRule>
  </conditionalFormatting>
  <conditionalFormatting sqref="AU1453">
    <cfRule type="cellIs" dxfId="2" priority="6398" operator="lessThan">
      <formula>20</formula>
    </cfRule>
    <cfRule type="cellIs" dxfId="1" priority="3783" operator="greaterThan">
      <formula>120</formula>
    </cfRule>
    <cfRule type="containsText" dxfId="0" priority="1168" operator="between" text="库存为">
      <formula>NOT(ISERROR(SEARCH("库存为",AU1453)))</formula>
    </cfRule>
  </conditionalFormatting>
  <conditionalFormatting sqref="AU1454">
    <cfRule type="cellIs" dxfId="2" priority="6397" operator="lessThan">
      <formula>20</formula>
    </cfRule>
    <cfRule type="cellIs" dxfId="1" priority="3782" operator="greaterThan">
      <formula>120</formula>
    </cfRule>
    <cfRule type="containsText" dxfId="0" priority="1167" operator="between" text="库存为">
      <formula>NOT(ISERROR(SEARCH("库存为",AU1454)))</formula>
    </cfRule>
  </conditionalFormatting>
  <conditionalFormatting sqref="AU1455">
    <cfRule type="cellIs" dxfId="2" priority="6396" operator="lessThan">
      <formula>20</formula>
    </cfRule>
    <cfRule type="cellIs" dxfId="1" priority="3781" operator="greaterThan">
      <formula>120</formula>
    </cfRule>
    <cfRule type="containsText" dxfId="0" priority="1166" operator="between" text="库存为">
      <formula>NOT(ISERROR(SEARCH("库存为",AU1455)))</formula>
    </cfRule>
  </conditionalFormatting>
  <conditionalFormatting sqref="AU1456">
    <cfRule type="cellIs" dxfId="2" priority="6395" operator="lessThan">
      <formula>20</formula>
    </cfRule>
    <cfRule type="cellIs" dxfId="1" priority="3780" operator="greaterThan">
      <formula>120</formula>
    </cfRule>
    <cfRule type="containsText" dxfId="0" priority="1165" operator="between" text="库存为">
      <formula>NOT(ISERROR(SEARCH("库存为",AU1456)))</formula>
    </cfRule>
  </conditionalFormatting>
  <conditionalFormatting sqref="AU1457">
    <cfRule type="cellIs" dxfId="2" priority="6394" operator="lessThan">
      <formula>20</formula>
    </cfRule>
    <cfRule type="cellIs" dxfId="1" priority="3779" operator="greaterThan">
      <formula>120</formula>
    </cfRule>
    <cfRule type="containsText" dxfId="0" priority="1164" operator="between" text="库存为">
      <formula>NOT(ISERROR(SEARCH("库存为",AU1457)))</formula>
    </cfRule>
  </conditionalFormatting>
  <conditionalFormatting sqref="AU1458">
    <cfRule type="cellIs" dxfId="2" priority="6393" operator="lessThan">
      <formula>20</formula>
    </cfRule>
    <cfRule type="cellIs" dxfId="1" priority="3778" operator="greaterThan">
      <formula>120</formula>
    </cfRule>
    <cfRule type="containsText" dxfId="0" priority="1163" operator="between" text="库存为">
      <formula>NOT(ISERROR(SEARCH("库存为",AU1458)))</formula>
    </cfRule>
  </conditionalFormatting>
  <conditionalFormatting sqref="AU1459">
    <cfRule type="cellIs" dxfId="2" priority="6392" operator="lessThan">
      <formula>20</formula>
    </cfRule>
    <cfRule type="cellIs" dxfId="1" priority="3777" operator="greaterThan">
      <formula>120</formula>
    </cfRule>
    <cfRule type="containsText" dxfId="0" priority="1162" operator="between" text="库存为">
      <formula>NOT(ISERROR(SEARCH("库存为",AU1459)))</formula>
    </cfRule>
  </conditionalFormatting>
  <conditionalFormatting sqref="AU1460">
    <cfRule type="cellIs" dxfId="2" priority="6391" operator="lessThan">
      <formula>20</formula>
    </cfRule>
    <cfRule type="cellIs" dxfId="1" priority="3776" operator="greaterThan">
      <formula>120</formula>
    </cfRule>
    <cfRule type="containsText" dxfId="0" priority="1161" operator="between" text="库存为">
      <formula>NOT(ISERROR(SEARCH("库存为",AU1460)))</formula>
    </cfRule>
  </conditionalFormatting>
  <conditionalFormatting sqref="AU1461">
    <cfRule type="cellIs" dxfId="2" priority="6390" operator="lessThan">
      <formula>20</formula>
    </cfRule>
    <cfRule type="cellIs" dxfId="1" priority="3775" operator="greaterThan">
      <formula>120</formula>
    </cfRule>
    <cfRule type="containsText" dxfId="0" priority="1160" operator="between" text="库存为">
      <formula>NOT(ISERROR(SEARCH("库存为",AU1461)))</formula>
    </cfRule>
  </conditionalFormatting>
  <conditionalFormatting sqref="AU1462">
    <cfRule type="cellIs" dxfId="2" priority="6389" operator="lessThan">
      <formula>20</formula>
    </cfRule>
    <cfRule type="cellIs" dxfId="1" priority="3774" operator="greaterThan">
      <formula>120</formula>
    </cfRule>
    <cfRule type="containsText" dxfId="0" priority="1159" operator="between" text="库存为">
      <formula>NOT(ISERROR(SEARCH("库存为",AU1462)))</formula>
    </cfRule>
  </conditionalFormatting>
  <conditionalFormatting sqref="AU1463">
    <cfRule type="cellIs" dxfId="2" priority="6388" operator="lessThan">
      <formula>20</formula>
    </cfRule>
    <cfRule type="cellIs" dxfId="1" priority="3773" operator="greaterThan">
      <formula>120</formula>
    </cfRule>
    <cfRule type="containsText" dxfId="0" priority="1158" operator="between" text="库存为">
      <formula>NOT(ISERROR(SEARCH("库存为",AU1463)))</formula>
    </cfRule>
  </conditionalFormatting>
  <conditionalFormatting sqref="AU1464">
    <cfRule type="cellIs" dxfId="2" priority="6387" operator="lessThan">
      <formula>20</formula>
    </cfRule>
    <cfRule type="cellIs" dxfId="1" priority="3772" operator="greaterThan">
      <formula>120</formula>
    </cfRule>
    <cfRule type="containsText" dxfId="0" priority="1157" operator="between" text="库存为">
      <formula>NOT(ISERROR(SEARCH("库存为",AU1464)))</formula>
    </cfRule>
  </conditionalFormatting>
  <conditionalFormatting sqref="AU1465">
    <cfRule type="cellIs" dxfId="2" priority="6386" operator="lessThan">
      <formula>20</formula>
    </cfRule>
    <cfRule type="cellIs" dxfId="1" priority="3771" operator="greaterThan">
      <formula>120</formula>
    </cfRule>
    <cfRule type="containsText" dxfId="0" priority="1156" operator="between" text="库存为">
      <formula>NOT(ISERROR(SEARCH("库存为",AU1465)))</formula>
    </cfRule>
  </conditionalFormatting>
  <conditionalFormatting sqref="AU1466">
    <cfRule type="cellIs" dxfId="2" priority="6385" operator="lessThan">
      <formula>20</formula>
    </cfRule>
    <cfRule type="cellIs" dxfId="1" priority="3770" operator="greaterThan">
      <formula>120</formula>
    </cfRule>
    <cfRule type="containsText" dxfId="0" priority="1155" operator="between" text="库存为">
      <formula>NOT(ISERROR(SEARCH("库存为",AU1466)))</formula>
    </cfRule>
  </conditionalFormatting>
  <conditionalFormatting sqref="AU1467">
    <cfRule type="cellIs" dxfId="2" priority="6384" operator="lessThan">
      <formula>20</formula>
    </cfRule>
    <cfRule type="cellIs" dxfId="1" priority="3769" operator="greaterThan">
      <formula>120</formula>
    </cfRule>
    <cfRule type="containsText" dxfId="0" priority="1154" operator="between" text="库存为">
      <formula>NOT(ISERROR(SEARCH("库存为",AU1467)))</formula>
    </cfRule>
  </conditionalFormatting>
  <conditionalFormatting sqref="AU1468">
    <cfRule type="cellIs" dxfId="2" priority="6383" operator="lessThan">
      <formula>20</formula>
    </cfRule>
    <cfRule type="cellIs" dxfId="1" priority="3768" operator="greaterThan">
      <formula>120</formula>
    </cfRule>
    <cfRule type="containsText" dxfId="0" priority="1153" operator="between" text="库存为">
      <formula>NOT(ISERROR(SEARCH("库存为",AU1468)))</formula>
    </cfRule>
  </conditionalFormatting>
  <conditionalFormatting sqref="AU1469">
    <cfRule type="cellIs" dxfId="2" priority="6382" operator="lessThan">
      <formula>20</formula>
    </cfRule>
    <cfRule type="cellIs" dxfId="1" priority="3767" operator="greaterThan">
      <formula>120</formula>
    </cfRule>
    <cfRule type="containsText" dxfId="0" priority="1152" operator="between" text="库存为">
      <formula>NOT(ISERROR(SEARCH("库存为",AU1469)))</formula>
    </cfRule>
  </conditionalFormatting>
  <conditionalFormatting sqref="AU1470">
    <cfRule type="cellIs" dxfId="2" priority="6381" operator="lessThan">
      <formula>20</formula>
    </cfRule>
    <cfRule type="cellIs" dxfId="1" priority="3766" operator="greaterThan">
      <formula>120</formula>
    </cfRule>
    <cfRule type="containsText" dxfId="0" priority="1151" operator="between" text="库存为">
      <formula>NOT(ISERROR(SEARCH("库存为",AU1470)))</formula>
    </cfRule>
  </conditionalFormatting>
  <conditionalFormatting sqref="AU1471">
    <cfRule type="cellIs" dxfId="2" priority="6380" operator="lessThan">
      <formula>20</formula>
    </cfRule>
    <cfRule type="cellIs" dxfId="1" priority="3765" operator="greaterThan">
      <formula>120</formula>
    </cfRule>
    <cfRule type="containsText" dxfId="0" priority="1150" operator="between" text="库存为">
      <formula>NOT(ISERROR(SEARCH("库存为",AU1471)))</formula>
    </cfRule>
  </conditionalFormatting>
  <conditionalFormatting sqref="AU1472">
    <cfRule type="cellIs" dxfId="2" priority="6379" operator="lessThan">
      <formula>20</formula>
    </cfRule>
    <cfRule type="cellIs" dxfId="1" priority="3764" operator="greaterThan">
      <formula>120</formula>
    </cfRule>
    <cfRule type="containsText" dxfId="0" priority="1149" operator="between" text="库存为">
      <formula>NOT(ISERROR(SEARCH("库存为",AU1472)))</formula>
    </cfRule>
  </conditionalFormatting>
  <conditionalFormatting sqref="AU1473">
    <cfRule type="cellIs" dxfId="2" priority="6378" operator="lessThan">
      <formula>20</formula>
    </cfRule>
    <cfRule type="cellIs" dxfId="1" priority="3763" operator="greaterThan">
      <formula>120</formula>
    </cfRule>
    <cfRule type="containsText" dxfId="0" priority="1148" operator="between" text="库存为">
      <formula>NOT(ISERROR(SEARCH("库存为",AU1473)))</formula>
    </cfRule>
  </conditionalFormatting>
  <conditionalFormatting sqref="AU1474">
    <cfRule type="cellIs" dxfId="2" priority="6377" operator="lessThan">
      <formula>20</formula>
    </cfRule>
    <cfRule type="cellIs" dxfId="1" priority="3762" operator="greaterThan">
      <formula>120</formula>
    </cfRule>
    <cfRule type="containsText" dxfId="0" priority="1147" operator="between" text="库存为">
      <formula>NOT(ISERROR(SEARCH("库存为",AU1474)))</formula>
    </cfRule>
  </conditionalFormatting>
  <conditionalFormatting sqref="AU1475">
    <cfRule type="cellIs" dxfId="2" priority="6376" operator="lessThan">
      <formula>20</formula>
    </cfRule>
    <cfRule type="cellIs" dxfId="1" priority="3761" operator="greaterThan">
      <formula>120</formula>
    </cfRule>
    <cfRule type="containsText" dxfId="0" priority="1146" operator="between" text="库存为">
      <formula>NOT(ISERROR(SEARCH("库存为",AU1475)))</formula>
    </cfRule>
  </conditionalFormatting>
  <conditionalFormatting sqref="AU1476">
    <cfRule type="cellIs" dxfId="2" priority="6375" operator="lessThan">
      <formula>20</formula>
    </cfRule>
    <cfRule type="cellIs" dxfId="1" priority="3760" operator="greaterThan">
      <formula>120</formula>
    </cfRule>
    <cfRule type="containsText" dxfId="0" priority="1145" operator="between" text="库存为">
      <formula>NOT(ISERROR(SEARCH("库存为",AU1476)))</formula>
    </cfRule>
  </conditionalFormatting>
  <conditionalFormatting sqref="AU1477">
    <cfRule type="cellIs" dxfId="2" priority="6374" operator="lessThan">
      <formula>20</formula>
    </cfRule>
    <cfRule type="cellIs" dxfId="1" priority="3759" operator="greaterThan">
      <formula>120</formula>
    </cfRule>
    <cfRule type="containsText" dxfId="0" priority="1144" operator="between" text="库存为">
      <formula>NOT(ISERROR(SEARCH("库存为",AU1477)))</formula>
    </cfRule>
  </conditionalFormatting>
  <conditionalFormatting sqref="AU1478">
    <cfRule type="cellIs" dxfId="2" priority="6373" operator="lessThan">
      <formula>20</formula>
    </cfRule>
    <cfRule type="cellIs" dxfId="1" priority="3758" operator="greaterThan">
      <formula>120</formula>
    </cfRule>
    <cfRule type="containsText" dxfId="0" priority="1143" operator="between" text="库存为">
      <formula>NOT(ISERROR(SEARCH("库存为",AU1478)))</formula>
    </cfRule>
  </conditionalFormatting>
  <conditionalFormatting sqref="AU1479">
    <cfRule type="cellIs" dxfId="2" priority="6372" operator="lessThan">
      <formula>20</formula>
    </cfRule>
    <cfRule type="cellIs" dxfId="1" priority="3757" operator="greaterThan">
      <formula>120</formula>
    </cfRule>
    <cfRule type="containsText" dxfId="0" priority="1142" operator="between" text="库存为">
      <formula>NOT(ISERROR(SEARCH("库存为",AU1479)))</formula>
    </cfRule>
  </conditionalFormatting>
  <conditionalFormatting sqref="AU1480">
    <cfRule type="cellIs" dxfId="2" priority="6371" operator="lessThan">
      <formula>20</formula>
    </cfRule>
    <cfRule type="cellIs" dxfId="1" priority="3756" operator="greaterThan">
      <formula>120</formula>
    </cfRule>
    <cfRule type="containsText" dxfId="0" priority="1141" operator="between" text="库存为">
      <formula>NOT(ISERROR(SEARCH("库存为",AU1480)))</formula>
    </cfRule>
  </conditionalFormatting>
  <conditionalFormatting sqref="AU1481">
    <cfRule type="cellIs" dxfId="2" priority="6370" operator="lessThan">
      <formula>20</formula>
    </cfRule>
    <cfRule type="cellIs" dxfId="1" priority="3755" operator="greaterThan">
      <formula>120</formula>
    </cfRule>
    <cfRule type="containsText" dxfId="0" priority="1140" operator="between" text="库存为">
      <formula>NOT(ISERROR(SEARCH("库存为",AU1481)))</formula>
    </cfRule>
  </conditionalFormatting>
  <conditionalFormatting sqref="AU1482">
    <cfRule type="cellIs" dxfId="2" priority="6369" operator="lessThan">
      <formula>20</formula>
    </cfRule>
    <cfRule type="cellIs" dxfId="1" priority="3754" operator="greaterThan">
      <formula>120</formula>
    </cfRule>
    <cfRule type="containsText" dxfId="0" priority="1139" operator="between" text="库存为">
      <formula>NOT(ISERROR(SEARCH("库存为",AU1482)))</formula>
    </cfRule>
  </conditionalFormatting>
  <conditionalFormatting sqref="AU1483">
    <cfRule type="cellIs" dxfId="2" priority="6368" operator="lessThan">
      <formula>20</formula>
    </cfRule>
    <cfRule type="cellIs" dxfId="1" priority="3753" operator="greaterThan">
      <formula>120</formula>
    </cfRule>
    <cfRule type="containsText" dxfId="0" priority="1138" operator="between" text="库存为">
      <formula>NOT(ISERROR(SEARCH("库存为",AU1483)))</formula>
    </cfRule>
  </conditionalFormatting>
  <conditionalFormatting sqref="AU1484">
    <cfRule type="cellIs" dxfId="2" priority="6367" operator="lessThan">
      <formula>20</formula>
    </cfRule>
    <cfRule type="cellIs" dxfId="1" priority="3752" operator="greaterThan">
      <formula>120</formula>
    </cfRule>
    <cfRule type="containsText" dxfId="0" priority="1137" operator="between" text="库存为">
      <formula>NOT(ISERROR(SEARCH("库存为",AU1484)))</formula>
    </cfRule>
  </conditionalFormatting>
  <conditionalFormatting sqref="AU1485">
    <cfRule type="cellIs" dxfId="2" priority="6366" operator="lessThan">
      <formula>20</formula>
    </cfRule>
    <cfRule type="cellIs" dxfId="1" priority="3751" operator="greaterThan">
      <formula>120</formula>
    </cfRule>
    <cfRule type="containsText" dxfId="0" priority="1136" operator="between" text="库存为">
      <formula>NOT(ISERROR(SEARCH("库存为",AU1485)))</formula>
    </cfRule>
  </conditionalFormatting>
  <conditionalFormatting sqref="AU1486">
    <cfRule type="cellIs" dxfId="2" priority="6365" operator="lessThan">
      <formula>20</formula>
    </cfRule>
    <cfRule type="cellIs" dxfId="1" priority="3750" operator="greaterThan">
      <formula>120</formula>
    </cfRule>
    <cfRule type="containsText" dxfId="0" priority="1135" operator="between" text="库存为">
      <formula>NOT(ISERROR(SEARCH("库存为",AU1486)))</formula>
    </cfRule>
  </conditionalFormatting>
  <conditionalFormatting sqref="AU1487">
    <cfRule type="cellIs" dxfId="2" priority="6364" operator="lessThan">
      <formula>20</formula>
    </cfRule>
    <cfRule type="cellIs" dxfId="1" priority="3749" operator="greaterThan">
      <formula>120</formula>
    </cfRule>
    <cfRule type="containsText" dxfId="0" priority="1134" operator="between" text="库存为">
      <formula>NOT(ISERROR(SEARCH("库存为",AU1487)))</formula>
    </cfRule>
  </conditionalFormatting>
  <conditionalFormatting sqref="AU1488">
    <cfRule type="cellIs" dxfId="2" priority="6363" operator="lessThan">
      <formula>20</formula>
    </cfRule>
    <cfRule type="cellIs" dxfId="1" priority="3748" operator="greaterThan">
      <formula>120</formula>
    </cfRule>
    <cfRule type="containsText" dxfId="0" priority="1133" operator="between" text="库存为">
      <formula>NOT(ISERROR(SEARCH("库存为",AU1488)))</formula>
    </cfRule>
  </conditionalFormatting>
  <conditionalFormatting sqref="AU1489">
    <cfRule type="cellIs" dxfId="2" priority="6362" operator="lessThan">
      <formula>20</formula>
    </cfRule>
    <cfRule type="cellIs" dxfId="1" priority="3747" operator="greaterThan">
      <formula>120</formula>
    </cfRule>
    <cfRule type="containsText" dxfId="0" priority="1132" operator="between" text="库存为">
      <formula>NOT(ISERROR(SEARCH("库存为",AU1489)))</formula>
    </cfRule>
  </conditionalFormatting>
  <conditionalFormatting sqref="AU1490">
    <cfRule type="cellIs" dxfId="2" priority="6361" operator="lessThan">
      <formula>20</formula>
    </cfRule>
    <cfRule type="cellIs" dxfId="1" priority="3746" operator="greaterThan">
      <formula>120</formula>
    </cfRule>
    <cfRule type="containsText" dxfId="0" priority="1131" operator="between" text="库存为">
      <formula>NOT(ISERROR(SEARCH("库存为",AU1490)))</formula>
    </cfRule>
  </conditionalFormatting>
  <conditionalFormatting sqref="AU1491">
    <cfRule type="cellIs" dxfId="2" priority="6360" operator="lessThan">
      <formula>20</formula>
    </cfRule>
    <cfRule type="cellIs" dxfId="1" priority="3745" operator="greaterThan">
      <formula>120</formula>
    </cfRule>
    <cfRule type="containsText" dxfId="0" priority="1130" operator="between" text="库存为">
      <formula>NOT(ISERROR(SEARCH("库存为",AU1491)))</formula>
    </cfRule>
  </conditionalFormatting>
  <conditionalFormatting sqref="AU1492">
    <cfRule type="cellIs" dxfId="2" priority="6359" operator="lessThan">
      <formula>20</formula>
    </cfRule>
    <cfRule type="cellIs" dxfId="1" priority="3744" operator="greaterThan">
      <formula>120</formula>
    </cfRule>
    <cfRule type="containsText" dxfId="0" priority="1129" operator="between" text="库存为">
      <formula>NOT(ISERROR(SEARCH("库存为",AU1492)))</formula>
    </cfRule>
  </conditionalFormatting>
  <conditionalFormatting sqref="AU1493">
    <cfRule type="cellIs" dxfId="2" priority="6358" operator="lessThan">
      <formula>20</formula>
    </cfRule>
    <cfRule type="cellIs" dxfId="1" priority="3743" operator="greaterThan">
      <formula>120</formula>
    </cfRule>
    <cfRule type="containsText" dxfId="0" priority="1128" operator="between" text="库存为">
      <formula>NOT(ISERROR(SEARCH("库存为",AU1493)))</formula>
    </cfRule>
  </conditionalFormatting>
  <conditionalFormatting sqref="AU1494">
    <cfRule type="cellIs" dxfId="2" priority="6357" operator="lessThan">
      <formula>20</formula>
    </cfRule>
    <cfRule type="cellIs" dxfId="1" priority="3742" operator="greaterThan">
      <formula>120</formula>
    </cfRule>
    <cfRule type="containsText" dxfId="0" priority="1127" operator="between" text="库存为">
      <formula>NOT(ISERROR(SEARCH("库存为",AU1494)))</formula>
    </cfRule>
  </conditionalFormatting>
  <conditionalFormatting sqref="AU1495">
    <cfRule type="cellIs" dxfId="2" priority="6356" operator="lessThan">
      <formula>20</formula>
    </cfRule>
    <cfRule type="cellIs" dxfId="1" priority="3741" operator="greaterThan">
      <formula>120</formula>
    </cfRule>
    <cfRule type="containsText" dxfId="0" priority="1126" operator="between" text="库存为">
      <formula>NOT(ISERROR(SEARCH("库存为",AU1495)))</formula>
    </cfRule>
  </conditionalFormatting>
  <conditionalFormatting sqref="AU1496">
    <cfRule type="cellIs" dxfId="2" priority="6355" operator="lessThan">
      <formula>20</formula>
    </cfRule>
    <cfRule type="cellIs" dxfId="1" priority="3740" operator="greaterThan">
      <formula>120</formula>
    </cfRule>
    <cfRule type="containsText" dxfId="0" priority="1125" operator="between" text="库存为">
      <formula>NOT(ISERROR(SEARCH("库存为",AU1496)))</formula>
    </cfRule>
  </conditionalFormatting>
  <conditionalFormatting sqref="AU1497">
    <cfRule type="cellIs" dxfId="2" priority="6354" operator="lessThan">
      <formula>20</formula>
    </cfRule>
    <cfRule type="cellIs" dxfId="1" priority="3739" operator="greaterThan">
      <formula>120</formula>
    </cfRule>
    <cfRule type="containsText" dxfId="0" priority="1124" operator="between" text="库存为">
      <formula>NOT(ISERROR(SEARCH("库存为",AU1497)))</formula>
    </cfRule>
  </conditionalFormatting>
  <conditionalFormatting sqref="AU1498">
    <cfRule type="cellIs" dxfId="2" priority="6353" operator="lessThan">
      <formula>20</formula>
    </cfRule>
    <cfRule type="cellIs" dxfId="1" priority="3738" operator="greaterThan">
      <formula>120</formula>
    </cfRule>
    <cfRule type="containsText" dxfId="0" priority="1123" operator="between" text="库存为">
      <formula>NOT(ISERROR(SEARCH("库存为",AU1498)))</formula>
    </cfRule>
  </conditionalFormatting>
  <conditionalFormatting sqref="AU1499">
    <cfRule type="cellIs" dxfId="2" priority="6352" operator="lessThan">
      <formula>20</formula>
    </cfRule>
    <cfRule type="cellIs" dxfId="1" priority="3737" operator="greaterThan">
      <formula>120</formula>
    </cfRule>
    <cfRule type="containsText" dxfId="0" priority="1122" operator="between" text="库存为">
      <formula>NOT(ISERROR(SEARCH("库存为",AU1499)))</formula>
    </cfRule>
  </conditionalFormatting>
  <conditionalFormatting sqref="AU1500">
    <cfRule type="cellIs" dxfId="2" priority="6351" operator="lessThan">
      <formula>20</formula>
    </cfRule>
    <cfRule type="cellIs" dxfId="1" priority="3736" operator="greaterThan">
      <formula>120</formula>
    </cfRule>
    <cfRule type="containsText" dxfId="0" priority="1121" operator="between" text="库存为">
      <formula>NOT(ISERROR(SEARCH("库存为",AU1500)))</formula>
    </cfRule>
  </conditionalFormatting>
  <conditionalFormatting sqref="AU1501">
    <cfRule type="cellIs" dxfId="2" priority="6350" operator="lessThan">
      <formula>20</formula>
    </cfRule>
    <cfRule type="cellIs" dxfId="1" priority="3735" operator="greaterThan">
      <formula>120</formula>
    </cfRule>
    <cfRule type="containsText" dxfId="0" priority="1120" operator="between" text="库存为">
      <formula>NOT(ISERROR(SEARCH("库存为",AU1501)))</formula>
    </cfRule>
  </conditionalFormatting>
  <conditionalFormatting sqref="AU1502">
    <cfRule type="cellIs" dxfId="2" priority="6349" operator="lessThan">
      <formula>20</formula>
    </cfRule>
    <cfRule type="cellIs" dxfId="1" priority="3734" operator="greaterThan">
      <formula>120</formula>
    </cfRule>
    <cfRule type="containsText" dxfId="0" priority="1119" operator="between" text="库存为">
      <formula>NOT(ISERROR(SEARCH("库存为",AU1502)))</formula>
    </cfRule>
  </conditionalFormatting>
  <conditionalFormatting sqref="AU1503">
    <cfRule type="cellIs" dxfId="2" priority="6348" operator="lessThan">
      <formula>20</formula>
    </cfRule>
    <cfRule type="cellIs" dxfId="1" priority="3733" operator="greaterThan">
      <formula>120</formula>
    </cfRule>
    <cfRule type="containsText" dxfId="0" priority="1118" operator="between" text="库存为">
      <formula>NOT(ISERROR(SEARCH("库存为",AU1503)))</formula>
    </cfRule>
  </conditionalFormatting>
  <conditionalFormatting sqref="AU1504">
    <cfRule type="cellIs" dxfId="2" priority="6347" operator="lessThan">
      <formula>20</formula>
    </cfRule>
    <cfRule type="cellIs" dxfId="1" priority="3732" operator="greaterThan">
      <formula>120</formula>
    </cfRule>
    <cfRule type="containsText" dxfId="0" priority="1117" operator="between" text="库存为">
      <formula>NOT(ISERROR(SEARCH("库存为",AU1504)))</formula>
    </cfRule>
  </conditionalFormatting>
  <conditionalFormatting sqref="AU1505">
    <cfRule type="cellIs" dxfId="2" priority="6346" operator="lessThan">
      <formula>20</formula>
    </cfRule>
    <cfRule type="cellIs" dxfId="1" priority="3731" operator="greaterThan">
      <formula>120</formula>
    </cfRule>
    <cfRule type="containsText" dxfId="0" priority="1116" operator="between" text="库存为">
      <formula>NOT(ISERROR(SEARCH("库存为",AU1505)))</formula>
    </cfRule>
  </conditionalFormatting>
  <conditionalFormatting sqref="AU1506">
    <cfRule type="cellIs" dxfId="2" priority="6345" operator="lessThan">
      <formula>20</formula>
    </cfRule>
    <cfRule type="cellIs" dxfId="1" priority="3730" operator="greaterThan">
      <formula>120</formula>
    </cfRule>
    <cfRule type="containsText" dxfId="0" priority="1115" operator="between" text="库存为">
      <formula>NOT(ISERROR(SEARCH("库存为",AU1506)))</formula>
    </cfRule>
  </conditionalFormatting>
  <conditionalFormatting sqref="AU1507">
    <cfRule type="cellIs" dxfId="2" priority="6344" operator="lessThan">
      <formula>20</formula>
    </cfRule>
    <cfRule type="cellIs" dxfId="1" priority="3729" operator="greaterThan">
      <formula>120</formula>
    </cfRule>
    <cfRule type="containsText" dxfId="0" priority="1114" operator="between" text="库存为">
      <formula>NOT(ISERROR(SEARCH("库存为",AU1507)))</formula>
    </cfRule>
  </conditionalFormatting>
  <conditionalFormatting sqref="AU1508">
    <cfRule type="cellIs" dxfId="2" priority="6343" operator="lessThan">
      <formula>20</formula>
    </cfRule>
    <cfRule type="cellIs" dxfId="1" priority="3728" operator="greaterThan">
      <formula>120</formula>
    </cfRule>
    <cfRule type="containsText" dxfId="0" priority="1113" operator="between" text="库存为">
      <formula>NOT(ISERROR(SEARCH("库存为",AU1508)))</formula>
    </cfRule>
  </conditionalFormatting>
  <conditionalFormatting sqref="AU1509">
    <cfRule type="cellIs" dxfId="2" priority="6342" operator="lessThan">
      <formula>20</formula>
    </cfRule>
    <cfRule type="cellIs" dxfId="1" priority="3727" operator="greaterThan">
      <formula>120</formula>
    </cfRule>
    <cfRule type="containsText" dxfId="0" priority="1112" operator="between" text="库存为">
      <formula>NOT(ISERROR(SEARCH("库存为",AU1509)))</formula>
    </cfRule>
  </conditionalFormatting>
  <conditionalFormatting sqref="AU1510">
    <cfRule type="cellIs" dxfId="2" priority="6341" operator="lessThan">
      <formula>20</formula>
    </cfRule>
    <cfRule type="cellIs" dxfId="1" priority="3726" operator="greaterThan">
      <formula>120</formula>
    </cfRule>
    <cfRule type="containsText" dxfId="0" priority="1111" operator="between" text="库存为">
      <formula>NOT(ISERROR(SEARCH("库存为",AU1510)))</formula>
    </cfRule>
  </conditionalFormatting>
  <conditionalFormatting sqref="AU1511">
    <cfRule type="cellIs" dxfId="2" priority="6340" operator="lessThan">
      <formula>20</formula>
    </cfRule>
    <cfRule type="cellIs" dxfId="1" priority="3725" operator="greaterThan">
      <formula>120</formula>
    </cfRule>
    <cfRule type="containsText" dxfId="0" priority="1110" operator="between" text="库存为">
      <formula>NOT(ISERROR(SEARCH("库存为",AU1511)))</formula>
    </cfRule>
  </conditionalFormatting>
  <conditionalFormatting sqref="AU1512">
    <cfRule type="cellIs" dxfId="2" priority="6339" operator="lessThan">
      <formula>20</formula>
    </cfRule>
    <cfRule type="cellIs" dxfId="1" priority="3724" operator="greaterThan">
      <formula>120</formula>
    </cfRule>
    <cfRule type="containsText" dxfId="0" priority="1109" operator="between" text="库存为">
      <formula>NOT(ISERROR(SEARCH("库存为",AU1512)))</formula>
    </cfRule>
  </conditionalFormatting>
  <conditionalFormatting sqref="AU1513">
    <cfRule type="cellIs" dxfId="2" priority="6338" operator="lessThan">
      <formula>20</formula>
    </cfRule>
    <cfRule type="cellIs" dxfId="1" priority="3723" operator="greaterThan">
      <formula>120</formula>
    </cfRule>
    <cfRule type="containsText" dxfId="0" priority="1108" operator="between" text="库存为">
      <formula>NOT(ISERROR(SEARCH("库存为",AU1513)))</formula>
    </cfRule>
  </conditionalFormatting>
  <conditionalFormatting sqref="AU1514">
    <cfRule type="cellIs" dxfId="2" priority="6337" operator="lessThan">
      <formula>20</formula>
    </cfRule>
    <cfRule type="cellIs" dxfId="1" priority="3722" operator="greaterThan">
      <formula>120</formula>
    </cfRule>
    <cfRule type="containsText" dxfId="0" priority="1107" operator="between" text="库存为">
      <formula>NOT(ISERROR(SEARCH("库存为",AU1514)))</formula>
    </cfRule>
  </conditionalFormatting>
  <conditionalFormatting sqref="AU1515">
    <cfRule type="cellIs" dxfId="2" priority="6336" operator="lessThan">
      <formula>20</formula>
    </cfRule>
    <cfRule type="cellIs" dxfId="1" priority="3721" operator="greaterThan">
      <formula>120</formula>
    </cfRule>
    <cfRule type="containsText" dxfId="0" priority="1106" operator="between" text="库存为">
      <formula>NOT(ISERROR(SEARCH("库存为",AU1515)))</formula>
    </cfRule>
  </conditionalFormatting>
  <conditionalFormatting sqref="AU1516">
    <cfRule type="cellIs" dxfId="2" priority="6335" operator="lessThan">
      <formula>20</formula>
    </cfRule>
    <cfRule type="cellIs" dxfId="1" priority="3720" operator="greaterThan">
      <formula>120</formula>
    </cfRule>
    <cfRule type="containsText" dxfId="0" priority="1105" operator="between" text="库存为">
      <formula>NOT(ISERROR(SEARCH("库存为",AU1516)))</formula>
    </cfRule>
  </conditionalFormatting>
  <conditionalFormatting sqref="AU1517">
    <cfRule type="cellIs" dxfId="2" priority="6334" operator="lessThan">
      <formula>20</formula>
    </cfRule>
    <cfRule type="cellIs" dxfId="1" priority="3719" operator="greaterThan">
      <formula>120</formula>
    </cfRule>
    <cfRule type="containsText" dxfId="0" priority="1104" operator="between" text="库存为">
      <formula>NOT(ISERROR(SEARCH("库存为",AU1517)))</formula>
    </cfRule>
  </conditionalFormatting>
  <conditionalFormatting sqref="AU1518">
    <cfRule type="cellIs" dxfId="2" priority="6333" operator="lessThan">
      <formula>20</formula>
    </cfRule>
    <cfRule type="cellIs" dxfId="1" priority="3718" operator="greaterThan">
      <formula>120</formula>
    </cfRule>
    <cfRule type="containsText" dxfId="0" priority="1103" operator="between" text="库存为">
      <formula>NOT(ISERROR(SEARCH("库存为",AU1518)))</formula>
    </cfRule>
  </conditionalFormatting>
  <conditionalFormatting sqref="AU1519">
    <cfRule type="cellIs" dxfId="2" priority="6332" operator="lessThan">
      <formula>20</formula>
    </cfRule>
    <cfRule type="cellIs" dxfId="1" priority="3717" operator="greaterThan">
      <formula>120</formula>
    </cfRule>
    <cfRule type="containsText" dxfId="0" priority="1102" operator="between" text="库存为">
      <formula>NOT(ISERROR(SEARCH("库存为",AU1519)))</formula>
    </cfRule>
  </conditionalFormatting>
  <conditionalFormatting sqref="AU1520">
    <cfRule type="cellIs" dxfId="2" priority="6331" operator="lessThan">
      <formula>20</formula>
    </cfRule>
    <cfRule type="cellIs" dxfId="1" priority="3716" operator="greaterThan">
      <formula>120</formula>
    </cfRule>
    <cfRule type="containsText" dxfId="0" priority="1101" operator="between" text="库存为">
      <formula>NOT(ISERROR(SEARCH("库存为",AU1520)))</formula>
    </cfRule>
  </conditionalFormatting>
  <conditionalFormatting sqref="AU1521">
    <cfRule type="cellIs" dxfId="2" priority="6330" operator="lessThan">
      <formula>20</formula>
    </cfRule>
    <cfRule type="cellIs" dxfId="1" priority="3715" operator="greaterThan">
      <formula>120</formula>
    </cfRule>
    <cfRule type="containsText" dxfId="0" priority="1100" operator="between" text="库存为">
      <formula>NOT(ISERROR(SEARCH("库存为",AU1521)))</formula>
    </cfRule>
  </conditionalFormatting>
  <conditionalFormatting sqref="AU1522">
    <cfRule type="cellIs" dxfId="2" priority="6329" operator="lessThan">
      <formula>20</formula>
    </cfRule>
    <cfRule type="cellIs" dxfId="1" priority="3714" operator="greaterThan">
      <formula>120</formula>
    </cfRule>
    <cfRule type="containsText" dxfId="0" priority="1099" operator="between" text="库存为">
      <formula>NOT(ISERROR(SEARCH("库存为",AU1522)))</formula>
    </cfRule>
  </conditionalFormatting>
  <conditionalFormatting sqref="AU1523">
    <cfRule type="cellIs" dxfId="2" priority="6328" operator="lessThan">
      <formula>20</formula>
    </cfRule>
    <cfRule type="cellIs" dxfId="1" priority="3713" operator="greaterThan">
      <formula>120</formula>
    </cfRule>
    <cfRule type="containsText" dxfId="0" priority="1098" operator="between" text="库存为">
      <formula>NOT(ISERROR(SEARCH("库存为",AU1523)))</formula>
    </cfRule>
  </conditionalFormatting>
  <conditionalFormatting sqref="AU1524">
    <cfRule type="cellIs" dxfId="2" priority="6327" operator="lessThan">
      <formula>20</formula>
    </cfRule>
    <cfRule type="cellIs" dxfId="1" priority="3712" operator="greaterThan">
      <formula>120</formula>
    </cfRule>
    <cfRule type="containsText" dxfId="0" priority="1097" operator="between" text="库存为">
      <formula>NOT(ISERROR(SEARCH("库存为",AU1524)))</formula>
    </cfRule>
  </conditionalFormatting>
  <conditionalFormatting sqref="AU1525">
    <cfRule type="cellIs" dxfId="2" priority="6326" operator="lessThan">
      <formula>20</formula>
    </cfRule>
    <cfRule type="cellIs" dxfId="1" priority="3711" operator="greaterThan">
      <formula>120</formula>
    </cfRule>
    <cfRule type="containsText" dxfId="0" priority="1096" operator="between" text="库存为">
      <formula>NOT(ISERROR(SEARCH("库存为",AU1525)))</formula>
    </cfRule>
  </conditionalFormatting>
  <conditionalFormatting sqref="AU1526">
    <cfRule type="cellIs" dxfId="2" priority="6325" operator="lessThan">
      <formula>20</formula>
    </cfRule>
    <cfRule type="cellIs" dxfId="1" priority="3710" operator="greaterThan">
      <formula>120</formula>
    </cfRule>
    <cfRule type="containsText" dxfId="0" priority="1095" operator="between" text="库存为">
      <formula>NOT(ISERROR(SEARCH("库存为",AU1526)))</formula>
    </cfRule>
  </conditionalFormatting>
  <conditionalFormatting sqref="AU1527">
    <cfRule type="cellIs" dxfId="2" priority="6324" operator="lessThan">
      <formula>20</formula>
    </cfRule>
    <cfRule type="cellIs" dxfId="1" priority="3709" operator="greaterThan">
      <formula>120</formula>
    </cfRule>
    <cfRule type="containsText" dxfId="0" priority="1094" operator="between" text="库存为">
      <formula>NOT(ISERROR(SEARCH("库存为",AU1527)))</formula>
    </cfRule>
  </conditionalFormatting>
  <conditionalFormatting sqref="AU1528">
    <cfRule type="cellIs" dxfId="2" priority="6323" operator="lessThan">
      <formula>20</formula>
    </cfRule>
    <cfRule type="cellIs" dxfId="1" priority="3708" operator="greaterThan">
      <formula>120</formula>
    </cfRule>
    <cfRule type="containsText" dxfId="0" priority="1093" operator="between" text="库存为">
      <formula>NOT(ISERROR(SEARCH("库存为",AU1528)))</formula>
    </cfRule>
  </conditionalFormatting>
  <conditionalFormatting sqref="AU1529">
    <cfRule type="cellIs" dxfId="2" priority="6322" operator="lessThan">
      <formula>20</formula>
    </cfRule>
    <cfRule type="cellIs" dxfId="1" priority="3707" operator="greaterThan">
      <formula>120</formula>
    </cfRule>
    <cfRule type="containsText" dxfId="0" priority="1092" operator="between" text="库存为">
      <formula>NOT(ISERROR(SEARCH("库存为",AU1529)))</formula>
    </cfRule>
  </conditionalFormatting>
  <conditionalFormatting sqref="AU1530">
    <cfRule type="cellIs" dxfId="2" priority="6321" operator="lessThan">
      <formula>20</formula>
    </cfRule>
    <cfRule type="cellIs" dxfId="1" priority="3706" operator="greaterThan">
      <formula>120</formula>
    </cfRule>
    <cfRule type="containsText" dxfId="0" priority="1091" operator="between" text="库存为">
      <formula>NOT(ISERROR(SEARCH("库存为",AU1530)))</formula>
    </cfRule>
  </conditionalFormatting>
  <conditionalFormatting sqref="AU1531">
    <cfRule type="cellIs" dxfId="2" priority="6320" operator="lessThan">
      <formula>20</formula>
    </cfRule>
    <cfRule type="cellIs" dxfId="1" priority="3705" operator="greaterThan">
      <formula>120</formula>
    </cfRule>
    <cfRule type="containsText" dxfId="0" priority="1090" operator="between" text="库存为">
      <formula>NOT(ISERROR(SEARCH("库存为",AU1531)))</formula>
    </cfRule>
  </conditionalFormatting>
  <conditionalFormatting sqref="AU1532">
    <cfRule type="cellIs" dxfId="2" priority="6319" operator="lessThan">
      <formula>20</formula>
    </cfRule>
    <cfRule type="cellIs" dxfId="1" priority="3704" operator="greaterThan">
      <formula>120</formula>
    </cfRule>
    <cfRule type="containsText" dxfId="0" priority="1089" operator="between" text="库存为">
      <formula>NOT(ISERROR(SEARCH("库存为",AU1532)))</formula>
    </cfRule>
  </conditionalFormatting>
  <conditionalFormatting sqref="AU1533">
    <cfRule type="cellIs" dxfId="2" priority="6318" operator="lessThan">
      <formula>20</formula>
    </cfRule>
    <cfRule type="cellIs" dxfId="1" priority="3703" operator="greaterThan">
      <formula>120</formula>
    </cfRule>
    <cfRule type="containsText" dxfId="0" priority="1088" operator="between" text="库存为">
      <formula>NOT(ISERROR(SEARCH("库存为",AU1533)))</formula>
    </cfRule>
  </conditionalFormatting>
  <conditionalFormatting sqref="AU1534">
    <cfRule type="cellIs" dxfId="2" priority="6317" operator="lessThan">
      <formula>20</formula>
    </cfRule>
    <cfRule type="cellIs" dxfId="1" priority="3702" operator="greaterThan">
      <formula>120</formula>
    </cfRule>
    <cfRule type="containsText" dxfId="0" priority="1087" operator="between" text="库存为">
      <formula>NOT(ISERROR(SEARCH("库存为",AU1534)))</formula>
    </cfRule>
  </conditionalFormatting>
  <conditionalFormatting sqref="AU1535">
    <cfRule type="cellIs" dxfId="2" priority="6316" operator="lessThan">
      <formula>20</formula>
    </cfRule>
    <cfRule type="cellIs" dxfId="1" priority="3701" operator="greaterThan">
      <formula>120</formula>
    </cfRule>
    <cfRule type="containsText" dxfId="0" priority="1086" operator="between" text="库存为">
      <formula>NOT(ISERROR(SEARCH("库存为",AU1535)))</formula>
    </cfRule>
  </conditionalFormatting>
  <conditionalFormatting sqref="AU1536">
    <cfRule type="cellIs" dxfId="2" priority="6315" operator="lessThan">
      <formula>20</formula>
    </cfRule>
    <cfRule type="cellIs" dxfId="1" priority="3700" operator="greaterThan">
      <formula>120</formula>
    </cfRule>
    <cfRule type="containsText" dxfId="0" priority="1085" operator="between" text="库存为">
      <formula>NOT(ISERROR(SEARCH("库存为",AU1536)))</formula>
    </cfRule>
  </conditionalFormatting>
  <conditionalFormatting sqref="AU1537">
    <cfRule type="cellIs" dxfId="2" priority="6314" operator="lessThan">
      <formula>20</formula>
    </cfRule>
    <cfRule type="cellIs" dxfId="1" priority="3699" operator="greaterThan">
      <formula>120</formula>
    </cfRule>
    <cfRule type="containsText" dxfId="0" priority="1084" operator="between" text="库存为">
      <formula>NOT(ISERROR(SEARCH("库存为",AU1537)))</formula>
    </cfRule>
  </conditionalFormatting>
  <conditionalFormatting sqref="AU1538">
    <cfRule type="cellIs" dxfId="2" priority="6313" operator="lessThan">
      <formula>20</formula>
    </cfRule>
    <cfRule type="cellIs" dxfId="1" priority="3698" operator="greaterThan">
      <formula>120</formula>
    </cfRule>
    <cfRule type="containsText" dxfId="0" priority="1083" operator="between" text="库存为">
      <formula>NOT(ISERROR(SEARCH("库存为",AU1538)))</formula>
    </cfRule>
  </conditionalFormatting>
  <conditionalFormatting sqref="AU1539">
    <cfRule type="cellIs" dxfId="2" priority="6312" operator="lessThan">
      <formula>20</formula>
    </cfRule>
    <cfRule type="cellIs" dxfId="1" priority="3697" operator="greaterThan">
      <formula>120</formula>
    </cfRule>
    <cfRule type="containsText" dxfId="0" priority="1082" operator="between" text="库存为">
      <formula>NOT(ISERROR(SEARCH("库存为",AU1539)))</formula>
    </cfRule>
  </conditionalFormatting>
  <conditionalFormatting sqref="AU1540">
    <cfRule type="cellIs" dxfId="2" priority="6311" operator="lessThan">
      <formula>20</formula>
    </cfRule>
    <cfRule type="cellIs" dxfId="1" priority="3696" operator="greaterThan">
      <formula>120</formula>
    </cfRule>
    <cfRule type="containsText" dxfId="0" priority="1081" operator="between" text="库存为">
      <formula>NOT(ISERROR(SEARCH("库存为",AU1540)))</formula>
    </cfRule>
  </conditionalFormatting>
  <conditionalFormatting sqref="AU1541">
    <cfRule type="cellIs" dxfId="2" priority="6310" operator="lessThan">
      <formula>20</formula>
    </cfRule>
    <cfRule type="cellIs" dxfId="1" priority="3695" operator="greaterThan">
      <formula>120</formula>
    </cfRule>
    <cfRule type="containsText" dxfId="0" priority="1080" operator="between" text="库存为">
      <formula>NOT(ISERROR(SEARCH("库存为",AU1541)))</formula>
    </cfRule>
  </conditionalFormatting>
  <conditionalFormatting sqref="AU1542">
    <cfRule type="cellIs" dxfId="2" priority="6309" operator="lessThan">
      <formula>20</formula>
    </cfRule>
    <cfRule type="cellIs" dxfId="1" priority="3694" operator="greaterThan">
      <formula>120</formula>
    </cfRule>
    <cfRule type="containsText" dxfId="0" priority="1079" operator="between" text="库存为">
      <formula>NOT(ISERROR(SEARCH("库存为",AU1542)))</formula>
    </cfRule>
  </conditionalFormatting>
  <conditionalFormatting sqref="AU1543">
    <cfRule type="cellIs" dxfId="2" priority="6308" operator="lessThan">
      <formula>20</formula>
    </cfRule>
    <cfRule type="cellIs" dxfId="1" priority="3693" operator="greaterThan">
      <formula>120</formula>
    </cfRule>
    <cfRule type="containsText" dxfId="0" priority="1078" operator="between" text="库存为">
      <formula>NOT(ISERROR(SEARCH("库存为",AU1543)))</formula>
    </cfRule>
  </conditionalFormatting>
  <conditionalFormatting sqref="AU1544">
    <cfRule type="cellIs" dxfId="2" priority="6307" operator="lessThan">
      <formula>20</formula>
    </cfRule>
    <cfRule type="cellIs" dxfId="1" priority="3692" operator="greaterThan">
      <formula>120</formula>
    </cfRule>
    <cfRule type="containsText" dxfId="0" priority="1077" operator="between" text="库存为">
      <formula>NOT(ISERROR(SEARCH("库存为",AU1544)))</formula>
    </cfRule>
  </conditionalFormatting>
  <conditionalFormatting sqref="AU1545">
    <cfRule type="cellIs" dxfId="2" priority="6306" operator="lessThan">
      <formula>20</formula>
    </cfRule>
    <cfRule type="cellIs" dxfId="1" priority="3691" operator="greaterThan">
      <formula>120</formula>
    </cfRule>
    <cfRule type="containsText" dxfId="0" priority="1076" operator="between" text="库存为">
      <formula>NOT(ISERROR(SEARCH("库存为",AU1545)))</formula>
    </cfRule>
  </conditionalFormatting>
  <conditionalFormatting sqref="AU1546">
    <cfRule type="cellIs" dxfId="2" priority="6305" operator="lessThan">
      <formula>20</formula>
    </cfRule>
    <cfRule type="cellIs" dxfId="1" priority="3690" operator="greaterThan">
      <formula>120</formula>
    </cfRule>
    <cfRule type="containsText" dxfId="0" priority="1075" operator="between" text="库存为">
      <formula>NOT(ISERROR(SEARCH("库存为",AU1546)))</formula>
    </cfRule>
  </conditionalFormatting>
  <conditionalFormatting sqref="AU1547">
    <cfRule type="cellIs" dxfId="2" priority="6304" operator="lessThan">
      <formula>20</formula>
    </cfRule>
    <cfRule type="cellIs" dxfId="1" priority="3689" operator="greaterThan">
      <formula>120</formula>
    </cfRule>
    <cfRule type="containsText" dxfId="0" priority="1074" operator="between" text="库存为">
      <formula>NOT(ISERROR(SEARCH("库存为",AU1547)))</formula>
    </cfRule>
  </conditionalFormatting>
  <conditionalFormatting sqref="AU1548">
    <cfRule type="cellIs" dxfId="2" priority="6303" operator="lessThan">
      <formula>20</formula>
    </cfRule>
    <cfRule type="cellIs" dxfId="1" priority="3688" operator="greaterThan">
      <formula>120</formula>
    </cfRule>
    <cfRule type="containsText" dxfId="0" priority="1073" operator="between" text="库存为">
      <formula>NOT(ISERROR(SEARCH("库存为",AU1548)))</formula>
    </cfRule>
  </conditionalFormatting>
  <conditionalFormatting sqref="AU1549">
    <cfRule type="cellIs" dxfId="2" priority="6302" operator="lessThan">
      <formula>20</formula>
    </cfRule>
    <cfRule type="cellIs" dxfId="1" priority="3687" operator="greaterThan">
      <formula>120</formula>
    </cfRule>
    <cfRule type="containsText" dxfId="0" priority="1072" operator="between" text="库存为">
      <formula>NOT(ISERROR(SEARCH("库存为",AU1549)))</formula>
    </cfRule>
  </conditionalFormatting>
  <conditionalFormatting sqref="AU1550">
    <cfRule type="cellIs" dxfId="2" priority="6301" operator="lessThan">
      <formula>20</formula>
    </cfRule>
    <cfRule type="cellIs" dxfId="1" priority="3686" operator="greaterThan">
      <formula>120</formula>
    </cfRule>
    <cfRule type="containsText" dxfId="0" priority="1071" operator="between" text="库存为">
      <formula>NOT(ISERROR(SEARCH("库存为",AU1550)))</formula>
    </cfRule>
  </conditionalFormatting>
  <conditionalFormatting sqref="AU1551">
    <cfRule type="cellIs" dxfId="2" priority="6300" operator="lessThan">
      <formula>20</formula>
    </cfRule>
    <cfRule type="cellIs" dxfId="1" priority="3685" operator="greaterThan">
      <formula>120</formula>
    </cfRule>
    <cfRule type="containsText" dxfId="0" priority="1070" operator="between" text="库存为">
      <formula>NOT(ISERROR(SEARCH("库存为",AU1551)))</formula>
    </cfRule>
  </conditionalFormatting>
  <conditionalFormatting sqref="AU1552">
    <cfRule type="cellIs" dxfId="2" priority="6299" operator="lessThan">
      <formula>20</formula>
    </cfRule>
    <cfRule type="cellIs" dxfId="1" priority="3684" operator="greaterThan">
      <formula>120</formula>
    </cfRule>
    <cfRule type="containsText" dxfId="0" priority="1069" operator="between" text="库存为">
      <formula>NOT(ISERROR(SEARCH("库存为",AU1552)))</formula>
    </cfRule>
  </conditionalFormatting>
  <conditionalFormatting sqref="AU1553">
    <cfRule type="cellIs" dxfId="2" priority="6298" operator="lessThan">
      <formula>20</formula>
    </cfRule>
    <cfRule type="cellIs" dxfId="1" priority="3683" operator="greaterThan">
      <formula>120</formula>
    </cfRule>
    <cfRule type="containsText" dxfId="0" priority="1068" operator="between" text="库存为">
      <formula>NOT(ISERROR(SEARCH("库存为",AU1553)))</formula>
    </cfRule>
  </conditionalFormatting>
  <conditionalFormatting sqref="AU1554">
    <cfRule type="cellIs" dxfId="2" priority="6297" operator="lessThan">
      <formula>20</formula>
    </cfRule>
    <cfRule type="cellIs" dxfId="1" priority="3682" operator="greaterThan">
      <formula>120</formula>
    </cfRule>
    <cfRule type="containsText" dxfId="0" priority="1067" operator="between" text="库存为">
      <formula>NOT(ISERROR(SEARCH("库存为",AU1554)))</formula>
    </cfRule>
  </conditionalFormatting>
  <conditionalFormatting sqref="AU1555">
    <cfRule type="cellIs" dxfId="2" priority="6296" operator="lessThan">
      <formula>20</formula>
    </cfRule>
    <cfRule type="cellIs" dxfId="1" priority="3681" operator="greaterThan">
      <formula>120</formula>
    </cfRule>
    <cfRule type="containsText" dxfId="0" priority="1066" operator="between" text="库存为">
      <formula>NOT(ISERROR(SEARCH("库存为",AU1555)))</formula>
    </cfRule>
  </conditionalFormatting>
  <conditionalFormatting sqref="AU1556">
    <cfRule type="cellIs" dxfId="2" priority="6295" operator="lessThan">
      <formula>20</formula>
    </cfRule>
    <cfRule type="cellIs" dxfId="1" priority="3680" operator="greaterThan">
      <formula>120</formula>
    </cfRule>
    <cfRule type="containsText" dxfId="0" priority="1065" operator="between" text="库存为">
      <formula>NOT(ISERROR(SEARCH("库存为",AU1556)))</formula>
    </cfRule>
  </conditionalFormatting>
  <conditionalFormatting sqref="AU1557">
    <cfRule type="cellIs" dxfId="2" priority="6294" operator="lessThan">
      <formula>20</formula>
    </cfRule>
    <cfRule type="cellIs" dxfId="1" priority="3679" operator="greaterThan">
      <formula>120</formula>
    </cfRule>
    <cfRule type="containsText" dxfId="0" priority="1064" operator="between" text="库存为">
      <formula>NOT(ISERROR(SEARCH("库存为",AU1557)))</formula>
    </cfRule>
  </conditionalFormatting>
  <conditionalFormatting sqref="AU1558">
    <cfRule type="cellIs" dxfId="2" priority="6293" operator="lessThan">
      <formula>20</formula>
    </cfRule>
    <cfRule type="cellIs" dxfId="1" priority="3678" operator="greaterThan">
      <formula>120</formula>
    </cfRule>
    <cfRule type="containsText" dxfId="0" priority="1063" operator="between" text="库存为">
      <formula>NOT(ISERROR(SEARCH("库存为",AU1558)))</formula>
    </cfRule>
  </conditionalFormatting>
  <conditionalFormatting sqref="AU1559">
    <cfRule type="cellIs" dxfId="2" priority="6292" operator="lessThan">
      <formula>20</formula>
    </cfRule>
    <cfRule type="cellIs" dxfId="1" priority="3677" operator="greaterThan">
      <formula>120</formula>
    </cfRule>
    <cfRule type="containsText" dxfId="0" priority="1062" operator="between" text="库存为">
      <formula>NOT(ISERROR(SEARCH("库存为",AU1559)))</formula>
    </cfRule>
  </conditionalFormatting>
  <conditionalFormatting sqref="AU1560">
    <cfRule type="cellIs" dxfId="2" priority="6291" operator="lessThan">
      <formula>20</formula>
    </cfRule>
    <cfRule type="cellIs" dxfId="1" priority="3676" operator="greaterThan">
      <formula>120</formula>
    </cfRule>
    <cfRule type="containsText" dxfId="0" priority="1061" operator="between" text="库存为">
      <formula>NOT(ISERROR(SEARCH("库存为",AU1560)))</formula>
    </cfRule>
  </conditionalFormatting>
  <conditionalFormatting sqref="AU1561">
    <cfRule type="cellIs" dxfId="2" priority="6290" operator="lessThan">
      <formula>20</formula>
    </cfRule>
    <cfRule type="cellIs" dxfId="1" priority="3675" operator="greaterThan">
      <formula>120</formula>
    </cfRule>
    <cfRule type="containsText" dxfId="0" priority="1060" operator="between" text="库存为">
      <formula>NOT(ISERROR(SEARCH("库存为",AU1561)))</formula>
    </cfRule>
  </conditionalFormatting>
  <conditionalFormatting sqref="AU1562">
    <cfRule type="cellIs" dxfId="2" priority="6289" operator="lessThan">
      <formula>20</formula>
    </cfRule>
    <cfRule type="cellIs" dxfId="1" priority="3674" operator="greaterThan">
      <formula>120</formula>
    </cfRule>
    <cfRule type="containsText" dxfId="0" priority="1059" operator="between" text="库存为">
      <formula>NOT(ISERROR(SEARCH("库存为",AU1562)))</formula>
    </cfRule>
  </conditionalFormatting>
  <conditionalFormatting sqref="AU1563">
    <cfRule type="cellIs" dxfId="2" priority="6288" operator="lessThan">
      <formula>20</formula>
    </cfRule>
    <cfRule type="cellIs" dxfId="1" priority="3673" operator="greaterThan">
      <formula>120</formula>
    </cfRule>
    <cfRule type="containsText" dxfId="0" priority="1058" operator="between" text="库存为">
      <formula>NOT(ISERROR(SEARCH("库存为",AU1563)))</formula>
    </cfRule>
  </conditionalFormatting>
  <conditionalFormatting sqref="AU1564">
    <cfRule type="cellIs" dxfId="2" priority="6287" operator="lessThan">
      <formula>20</formula>
    </cfRule>
    <cfRule type="cellIs" dxfId="1" priority="3672" operator="greaterThan">
      <formula>120</formula>
    </cfRule>
    <cfRule type="containsText" dxfId="0" priority="1057" operator="between" text="库存为">
      <formula>NOT(ISERROR(SEARCH("库存为",AU1564)))</formula>
    </cfRule>
  </conditionalFormatting>
  <conditionalFormatting sqref="AU1565">
    <cfRule type="cellIs" dxfId="2" priority="6286" operator="lessThan">
      <formula>20</formula>
    </cfRule>
    <cfRule type="cellIs" dxfId="1" priority="3671" operator="greaterThan">
      <formula>120</formula>
    </cfRule>
    <cfRule type="containsText" dxfId="0" priority="1056" operator="between" text="库存为">
      <formula>NOT(ISERROR(SEARCH("库存为",AU1565)))</formula>
    </cfRule>
  </conditionalFormatting>
  <conditionalFormatting sqref="AU1566">
    <cfRule type="cellIs" dxfId="2" priority="6285" operator="lessThan">
      <formula>20</formula>
    </cfRule>
    <cfRule type="cellIs" dxfId="1" priority="3670" operator="greaterThan">
      <formula>120</formula>
    </cfRule>
    <cfRule type="containsText" dxfId="0" priority="1055" operator="between" text="库存为">
      <formula>NOT(ISERROR(SEARCH("库存为",AU1566)))</formula>
    </cfRule>
  </conditionalFormatting>
  <conditionalFormatting sqref="AU1567">
    <cfRule type="cellIs" dxfId="2" priority="6284" operator="lessThan">
      <formula>20</formula>
    </cfRule>
    <cfRule type="cellIs" dxfId="1" priority="3669" operator="greaterThan">
      <formula>120</formula>
    </cfRule>
    <cfRule type="containsText" dxfId="0" priority="1054" operator="between" text="库存为">
      <formula>NOT(ISERROR(SEARCH("库存为",AU1567)))</formula>
    </cfRule>
  </conditionalFormatting>
  <conditionalFormatting sqref="AU1568">
    <cfRule type="cellIs" dxfId="2" priority="6283" operator="lessThan">
      <formula>20</formula>
    </cfRule>
    <cfRule type="cellIs" dxfId="1" priority="3668" operator="greaterThan">
      <formula>120</formula>
    </cfRule>
    <cfRule type="containsText" dxfId="0" priority="1053" operator="between" text="库存为">
      <formula>NOT(ISERROR(SEARCH("库存为",AU1568)))</formula>
    </cfRule>
  </conditionalFormatting>
  <conditionalFormatting sqref="AU1569">
    <cfRule type="cellIs" dxfId="2" priority="6282" operator="lessThan">
      <formula>20</formula>
    </cfRule>
    <cfRule type="cellIs" dxfId="1" priority="3667" operator="greaterThan">
      <formula>120</formula>
    </cfRule>
    <cfRule type="containsText" dxfId="0" priority="1052" operator="between" text="库存为">
      <formula>NOT(ISERROR(SEARCH("库存为",AU1569)))</formula>
    </cfRule>
  </conditionalFormatting>
  <conditionalFormatting sqref="AU1570">
    <cfRule type="cellIs" dxfId="2" priority="6281" operator="lessThan">
      <formula>20</formula>
    </cfRule>
    <cfRule type="cellIs" dxfId="1" priority="3666" operator="greaterThan">
      <formula>120</formula>
    </cfRule>
    <cfRule type="containsText" dxfId="0" priority="1051" operator="between" text="库存为">
      <formula>NOT(ISERROR(SEARCH("库存为",AU1570)))</formula>
    </cfRule>
  </conditionalFormatting>
  <conditionalFormatting sqref="AU1571">
    <cfRule type="cellIs" dxfId="2" priority="6280" operator="lessThan">
      <formula>20</formula>
    </cfRule>
    <cfRule type="cellIs" dxfId="1" priority="3665" operator="greaterThan">
      <formula>120</formula>
    </cfRule>
    <cfRule type="containsText" dxfId="0" priority="1050" operator="between" text="库存为">
      <formula>NOT(ISERROR(SEARCH("库存为",AU1571)))</formula>
    </cfRule>
  </conditionalFormatting>
  <conditionalFormatting sqref="AU1572">
    <cfRule type="cellIs" dxfId="2" priority="6279" operator="lessThan">
      <formula>20</formula>
    </cfRule>
    <cfRule type="cellIs" dxfId="1" priority="3664" operator="greaterThan">
      <formula>120</formula>
    </cfRule>
    <cfRule type="containsText" dxfId="0" priority="1049" operator="between" text="库存为">
      <formula>NOT(ISERROR(SEARCH("库存为",AU1572)))</formula>
    </cfRule>
  </conditionalFormatting>
  <conditionalFormatting sqref="AU1573">
    <cfRule type="cellIs" dxfId="2" priority="6278" operator="lessThan">
      <formula>20</formula>
    </cfRule>
    <cfRule type="cellIs" dxfId="1" priority="3663" operator="greaterThan">
      <formula>120</formula>
    </cfRule>
    <cfRule type="containsText" dxfId="0" priority="1048" operator="between" text="库存为">
      <formula>NOT(ISERROR(SEARCH("库存为",AU1573)))</formula>
    </cfRule>
  </conditionalFormatting>
  <conditionalFormatting sqref="AU1574">
    <cfRule type="cellIs" dxfId="2" priority="6277" operator="lessThan">
      <formula>20</formula>
    </cfRule>
    <cfRule type="cellIs" dxfId="1" priority="3662" operator="greaterThan">
      <formula>120</formula>
    </cfRule>
    <cfRule type="containsText" dxfId="0" priority="1047" operator="between" text="库存为">
      <formula>NOT(ISERROR(SEARCH("库存为",AU1574)))</formula>
    </cfRule>
  </conditionalFormatting>
  <conditionalFormatting sqref="AU1575">
    <cfRule type="cellIs" dxfId="2" priority="6276" operator="lessThan">
      <formula>20</formula>
    </cfRule>
    <cfRule type="cellIs" dxfId="1" priority="3661" operator="greaterThan">
      <formula>120</formula>
    </cfRule>
    <cfRule type="containsText" dxfId="0" priority="1046" operator="between" text="库存为">
      <formula>NOT(ISERROR(SEARCH("库存为",AU1575)))</formula>
    </cfRule>
  </conditionalFormatting>
  <conditionalFormatting sqref="AU1576">
    <cfRule type="cellIs" dxfId="2" priority="6275" operator="lessThan">
      <formula>20</formula>
    </cfRule>
    <cfRule type="cellIs" dxfId="1" priority="3660" operator="greaterThan">
      <formula>120</formula>
    </cfRule>
    <cfRule type="containsText" dxfId="0" priority="1045" operator="between" text="库存为">
      <formula>NOT(ISERROR(SEARCH("库存为",AU1576)))</formula>
    </cfRule>
  </conditionalFormatting>
  <conditionalFormatting sqref="AU1577">
    <cfRule type="cellIs" dxfId="2" priority="6274" operator="lessThan">
      <formula>20</formula>
    </cfRule>
    <cfRule type="cellIs" dxfId="1" priority="3659" operator="greaterThan">
      <formula>120</formula>
    </cfRule>
    <cfRule type="containsText" dxfId="0" priority="1044" operator="between" text="库存为">
      <formula>NOT(ISERROR(SEARCH("库存为",AU1577)))</formula>
    </cfRule>
  </conditionalFormatting>
  <conditionalFormatting sqref="AU1578">
    <cfRule type="cellIs" dxfId="2" priority="6273" operator="lessThan">
      <formula>20</formula>
    </cfRule>
    <cfRule type="cellIs" dxfId="1" priority="3658" operator="greaterThan">
      <formula>120</formula>
    </cfRule>
    <cfRule type="containsText" dxfId="0" priority="1043" operator="between" text="库存为">
      <formula>NOT(ISERROR(SEARCH("库存为",AU1578)))</formula>
    </cfRule>
  </conditionalFormatting>
  <conditionalFormatting sqref="AU1579">
    <cfRule type="cellIs" dxfId="2" priority="6272" operator="lessThan">
      <formula>20</formula>
    </cfRule>
    <cfRule type="cellIs" dxfId="1" priority="3657" operator="greaterThan">
      <formula>120</formula>
    </cfRule>
    <cfRule type="containsText" dxfId="0" priority="1042" operator="between" text="库存为">
      <formula>NOT(ISERROR(SEARCH("库存为",AU1579)))</formula>
    </cfRule>
  </conditionalFormatting>
  <conditionalFormatting sqref="AU1580">
    <cfRule type="cellIs" dxfId="2" priority="6271" operator="lessThan">
      <formula>20</formula>
    </cfRule>
    <cfRule type="cellIs" dxfId="1" priority="3656" operator="greaterThan">
      <formula>120</formula>
    </cfRule>
    <cfRule type="containsText" dxfId="0" priority="1041" operator="between" text="库存为">
      <formula>NOT(ISERROR(SEARCH("库存为",AU1580)))</formula>
    </cfRule>
  </conditionalFormatting>
  <conditionalFormatting sqref="AU1581">
    <cfRule type="cellIs" dxfId="2" priority="6270" operator="lessThan">
      <formula>20</formula>
    </cfRule>
    <cfRule type="cellIs" dxfId="1" priority="3655" operator="greaterThan">
      <formula>120</formula>
    </cfRule>
    <cfRule type="containsText" dxfId="0" priority="1040" operator="between" text="库存为">
      <formula>NOT(ISERROR(SEARCH("库存为",AU1581)))</formula>
    </cfRule>
  </conditionalFormatting>
  <conditionalFormatting sqref="AU1582">
    <cfRule type="cellIs" dxfId="2" priority="6269" operator="lessThan">
      <formula>20</formula>
    </cfRule>
    <cfRule type="cellIs" dxfId="1" priority="3654" operator="greaterThan">
      <formula>120</formula>
    </cfRule>
    <cfRule type="containsText" dxfId="0" priority="1039" operator="between" text="库存为">
      <formula>NOT(ISERROR(SEARCH("库存为",AU1582)))</formula>
    </cfRule>
  </conditionalFormatting>
  <conditionalFormatting sqref="AU1583">
    <cfRule type="cellIs" dxfId="2" priority="6268" operator="lessThan">
      <formula>20</formula>
    </cfRule>
    <cfRule type="cellIs" dxfId="1" priority="3653" operator="greaterThan">
      <formula>120</formula>
    </cfRule>
    <cfRule type="containsText" dxfId="0" priority="1038" operator="between" text="库存为">
      <formula>NOT(ISERROR(SEARCH("库存为",AU1583)))</formula>
    </cfRule>
  </conditionalFormatting>
  <conditionalFormatting sqref="AU1584">
    <cfRule type="cellIs" dxfId="2" priority="6267" operator="lessThan">
      <formula>20</formula>
    </cfRule>
    <cfRule type="cellIs" dxfId="1" priority="3652" operator="greaterThan">
      <formula>120</formula>
    </cfRule>
    <cfRule type="containsText" dxfId="0" priority="1037" operator="between" text="库存为">
      <formula>NOT(ISERROR(SEARCH("库存为",AU1584)))</formula>
    </cfRule>
  </conditionalFormatting>
  <conditionalFormatting sqref="AU1585">
    <cfRule type="cellIs" dxfId="2" priority="6266" operator="lessThan">
      <formula>20</formula>
    </cfRule>
    <cfRule type="cellIs" dxfId="1" priority="3651" operator="greaterThan">
      <formula>120</formula>
    </cfRule>
    <cfRule type="containsText" dxfId="0" priority="1036" operator="between" text="库存为">
      <formula>NOT(ISERROR(SEARCH("库存为",AU1585)))</formula>
    </cfRule>
  </conditionalFormatting>
  <conditionalFormatting sqref="AU1586">
    <cfRule type="cellIs" dxfId="2" priority="6265" operator="lessThan">
      <formula>20</formula>
    </cfRule>
    <cfRule type="cellIs" dxfId="1" priority="3650" operator="greaterThan">
      <formula>120</formula>
    </cfRule>
    <cfRule type="containsText" dxfId="0" priority="1035" operator="between" text="库存为">
      <formula>NOT(ISERROR(SEARCH("库存为",AU1586)))</formula>
    </cfRule>
  </conditionalFormatting>
  <conditionalFormatting sqref="AU1587">
    <cfRule type="cellIs" dxfId="2" priority="6264" operator="lessThan">
      <formula>20</formula>
    </cfRule>
    <cfRule type="cellIs" dxfId="1" priority="3649" operator="greaterThan">
      <formula>120</formula>
    </cfRule>
    <cfRule type="containsText" dxfId="0" priority="1034" operator="between" text="库存为">
      <formula>NOT(ISERROR(SEARCH("库存为",AU1587)))</formula>
    </cfRule>
  </conditionalFormatting>
  <conditionalFormatting sqref="AU1588">
    <cfRule type="cellIs" dxfId="2" priority="6263" operator="lessThan">
      <formula>20</formula>
    </cfRule>
    <cfRule type="cellIs" dxfId="1" priority="3648" operator="greaterThan">
      <formula>120</formula>
    </cfRule>
    <cfRule type="containsText" dxfId="0" priority="1033" operator="between" text="库存为">
      <formula>NOT(ISERROR(SEARCH("库存为",AU1588)))</formula>
    </cfRule>
  </conditionalFormatting>
  <conditionalFormatting sqref="AU1589">
    <cfRule type="cellIs" dxfId="2" priority="6262" operator="lessThan">
      <formula>20</formula>
    </cfRule>
    <cfRule type="cellIs" dxfId="1" priority="3647" operator="greaterThan">
      <formula>120</formula>
    </cfRule>
    <cfRule type="containsText" dxfId="0" priority="1032" operator="between" text="库存为">
      <formula>NOT(ISERROR(SEARCH("库存为",AU1589)))</formula>
    </cfRule>
  </conditionalFormatting>
  <conditionalFormatting sqref="AU1590">
    <cfRule type="cellIs" dxfId="2" priority="6261" operator="lessThan">
      <formula>20</formula>
    </cfRule>
    <cfRule type="cellIs" dxfId="1" priority="3646" operator="greaterThan">
      <formula>120</formula>
    </cfRule>
    <cfRule type="containsText" dxfId="0" priority="1031" operator="between" text="库存为">
      <formula>NOT(ISERROR(SEARCH("库存为",AU1590)))</formula>
    </cfRule>
  </conditionalFormatting>
  <conditionalFormatting sqref="AU1591">
    <cfRule type="cellIs" dxfId="2" priority="6260" operator="lessThan">
      <formula>20</formula>
    </cfRule>
    <cfRule type="cellIs" dxfId="1" priority="3645" operator="greaterThan">
      <formula>120</formula>
    </cfRule>
    <cfRule type="containsText" dxfId="0" priority="1030" operator="between" text="库存为">
      <formula>NOT(ISERROR(SEARCH("库存为",AU1591)))</formula>
    </cfRule>
  </conditionalFormatting>
  <conditionalFormatting sqref="AU1592">
    <cfRule type="cellIs" dxfId="2" priority="6259" operator="lessThan">
      <formula>20</formula>
    </cfRule>
    <cfRule type="cellIs" dxfId="1" priority="3644" operator="greaterThan">
      <formula>120</formula>
    </cfRule>
    <cfRule type="containsText" dxfId="0" priority="1029" operator="between" text="库存为">
      <formula>NOT(ISERROR(SEARCH("库存为",AU1592)))</formula>
    </cfRule>
  </conditionalFormatting>
  <conditionalFormatting sqref="AU1593">
    <cfRule type="cellIs" dxfId="2" priority="6258" operator="lessThan">
      <formula>20</formula>
    </cfRule>
    <cfRule type="cellIs" dxfId="1" priority="3643" operator="greaterThan">
      <formula>120</formula>
    </cfRule>
    <cfRule type="containsText" dxfId="0" priority="1028" operator="between" text="库存为">
      <formula>NOT(ISERROR(SEARCH("库存为",AU1593)))</formula>
    </cfRule>
  </conditionalFormatting>
  <conditionalFormatting sqref="AU1594">
    <cfRule type="cellIs" dxfId="2" priority="6257" operator="lessThan">
      <formula>20</formula>
    </cfRule>
    <cfRule type="cellIs" dxfId="1" priority="3642" operator="greaterThan">
      <formula>120</formula>
    </cfRule>
    <cfRule type="containsText" dxfId="0" priority="1027" operator="between" text="库存为">
      <formula>NOT(ISERROR(SEARCH("库存为",AU1594)))</formula>
    </cfRule>
  </conditionalFormatting>
  <conditionalFormatting sqref="AU1595">
    <cfRule type="cellIs" dxfId="2" priority="6256" operator="lessThan">
      <formula>20</formula>
    </cfRule>
    <cfRule type="cellIs" dxfId="1" priority="3641" operator="greaterThan">
      <formula>120</formula>
    </cfRule>
    <cfRule type="containsText" dxfId="0" priority="1026" operator="between" text="库存为">
      <formula>NOT(ISERROR(SEARCH("库存为",AU1595)))</formula>
    </cfRule>
  </conditionalFormatting>
  <conditionalFormatting sqref="AU1596">
    <cfRule type="cellIs" dxfId="2" priority="6255" operator="lessThan">
      <formula>20</formula>
    </cfRule>
    <cfRule type="cellIs" dxfId="1" priority="3640" operator="greaterThan">
      <formula>120</formula>
    </cfRule>
    <cfRule type="containsText" dxfId="0" priority="1025" operator="between" text="库存为">
      <formula>NOT(ISERROR(SEARCH("库存为",AU1596)))</formula>
    </cfRule>
  </conditionalFormatting>
  <conditionalFormatting sqref="AU1597">
    <cfRule type="cellIs" dxfId="2" priority="6254" operator="lessThan">
      <formula>20</formula>
    </cfRule>
    <cfRule type="cellIs" dxfId="1" priority="3639" operator="greaterThan">
      <formula>120</formula>
    </cfRule>
    <cfRule type="containsText" dxfId="0" priority="1024" operator="between" text="库存为">
      <formula>NOT(ISERROR(SEARCH("库存为",AU1597)))</formula>
    </cfRule>
  </conditionalFormatting>
  <conditionalFormatting sqref="AU1598">
    <cfRule type="cellIs" dxfId="2" priority="6253" operator="lessThan">
      <formula>20</formula>
    </cfRule>
    <cfRule type="cellIs" dxfId="1" priority="3638" operator="greaterThan">
      <formula>120</formula>
    </cfRule>
    <cfRule type="containsText" dxfId="0" priority="1023" operator="between" text="库存为">
      <formula>NOT(ISERROR(SEARCH("库存为",AU1598)))</formula>
    </cfRule>
  </conditionalFormatting>
  <conditionalFormatting sqref="AU1599">
    <cfRule type="cellIs" dxfId="2" priority="6252" operator="lessThan">
      <formula>20</formula>
    </cfRule>
    <cfRule type="cellIs" dxfId="1" priority="3637" operator="greaterThan">
      <formula>120</formula>
    </cfRule>
    <cfRule type="containsText" dxfId="0" priority="1022" operator="between" text="库存为">
      <formula>NOT(ISERROR(SEARCH("库存为",AU1599)))</formula>
    </cfRule>
  </conditionalFormatting>
  <conditionalFormatting sqref="AU1600">
    <cfRule type="cellIs" dxfId="2" priority="6251" operator="lessThan">
      <formula>20</formula>
    </cfRule>
    <cfRule type="cellIs" dxfId="1" priority="3636" operator="greaterThan">
      <formula>120</formula>
    </cfRule>
    <cfRule type="containsText" dxfId="0" priority="1021" operator="between" text="库存为">
      <formula>NOT(ISERROR(SEARCH("库存为",AU1600)))</formula>
    </cfRule>
  </conditionalFormatting>
  <conditionalFormatting sqref="AU1601">
    <cfRule type="cellIs" dxfId="2" priority="6250" operator="lessThan">
      <formula>20</formula>
    </cfRule>
    <cfRule type="cellIs" dxfId="1" priority="3635" operator="greaterThan">
      <formula>120</formula>
    </cfRule>
    <cfRule type="containsText" dxfId="0" priority="1020" operator="between" text="库存为">
      <formula>NOT(ISERROR(SEARCH("库存为",AU1601)))</formula>
    </cfRule>
  </conditionalFormatting>
  <conditionalFormatting sqref="AU1602">
    <cfRule type="cellIs" dxfId="2" priority="6249" operator="lessThan">
      <formula>20</formula>
    </cfRule>
    <cfRule type="cellIs" dxfId="1" priority="3634" operator="greaterThan">
      <formula>120</formula>
    </cfRule>
    <cfRule type="containsText" dxfId="0" priority="1019" operator="between" text="库存为">
      <formula>NOT(ISERROR(SEARCH("库存为",AU1602)))</formula>
    </cfRule>
  </conditionalFormatting>
  <conditionalFormatting sqref="AU1603">
    <cfRule type="cellIs" dxfId="2" priority="6248" operator="lessThan">
      <formula>20</formula>
    </cfRule>
    <cfRule type="cellIs" dxfId="1" priority="3633" operator="greaterThan">
      <formula>120</formula>
    </cfRule>
    <cfRule type="containsText" dxfId="0" priority="1018" operator="between" text="库存为">
      <formula>NOT(ISERROR(SEARCH("库存为",AU1603)))</formula>
    </cfRule>
  </conditionalFormatting>
  <conditionalFormatting sqref="AU1604">
    <cfRule type="cellIs" dxfId="2" priority="6247" operator="lessThan">
      <formula>20</formula>
    </cfRule>
    <cfRule type="cellIs" dxfId="1" priority="3632" operator="greaterThan">
      <formula>120</formula>
    </cfRule>
    <cfRule type="containsText" dxfId="0" priority="1017" operator="between" text="库存为">
      <formula>NOT(ISERROR(SEARCH("库存为",AU1604)))</formula>
    </cfRule>
  </conditionalFormatting>
  <conditionalFormatting sqref="AU1605">
    <cfRule type="cellIs" dxfId="2" priority="6246" operator="lessThan">
      <formula>20</formula>
    </cfRule>
    <cfRule type="cellIs" dxfId="1" priority="3631" operator="greaterThan">
      <formula>120</formula>
    </cfRule>
    <cfRule type="containsText" dxfId="0" priority="1016" operator="between" text="库存为">
      <formula>NOT(ISERROR(SEARCH("库存为",AU1605)))</formula>
    </cfRule>
  </conditionalFormatting>
  <conditionalFormatting sqref="AU1606">
    <cfRule type="cellIs" dxfId="2" priority="6245" operator="lessThan">
      <formula>20</formula>
    </cfRule>
    <cfRule type="cellIs" dxfId="1" priority="3630" operator="greaterThan">
      <formula>120</formula>
    </cfRule>
    <cfRule type="containsText" dxfId="0" priority="1015" operator="between" text="库存为">
      <formula>NOT(ISERROR(SEARCH("库存为",AU1606)))</formula>
    </cfRule>
  </conditionalFormatting>
  <conditionalFormatting sqref="AU1607">
    <cfRule type="cellIs" dxfId="2" priority="6244" operator="lessThan">
      <formula>20</formula>
    </cfRule>
    <cfRule type="cellIs" dxfId="1" priority="3629" operator="greaterThan">
      <formula>120</formula>
    </cfRule>
    <cfRule type="containsText" dxfId="0" priority="1014" operator="between" text="库存为">
      <formula>NOT(ISERROR(SEARCH("库存为",AU1607)))</formula>
    </cfRule>
  </conditionalFormatting>
  <conditionalFormatting sqref="AU1608">
    <cfRule type="cellIs" dxfId="2" priority="6243" operator="lessThan">
      <formula>20</formula>
    </cfRule>
    <cfRule type="cellIs" dxfId="1" priority="3628" operator="greaterThan">
      <formula>120</formula>
    </cfRule>
    <cfRule type="containsText" dxfId="0" priority="1013" operator="between" text="库存为">
      <formula>NOT(ISERROR(SEARCH("库存为",AU1608)))</formula>
    </cfRule>
  </conditionalFormatting>
  <conditionalFormatting sqref="AU1609">
    <cfRule type="cellIs" dxfId="2" priority="6242" operator="lessThan">
      <formula>20</formula>
    </cfRule>
    <cfRule type="cellIs" dxfId="1" priority="3627" operator="greaterThan">
      <formula>120</formula>
    </cfRule>
    <cfRule type="containsText" dxfId="0" priority="1012" operator="between" text="库存为">
      <formula>NOT(ISERROR(SEARCH("库存为",AU1609)))</formula>
    </cfRule>
  </conditionalFormatting>
  <conditionalFormatting sqref="AU1610">
    <cfRule type="cellIs" dxfId="2" priority="6241" operator="lessThan">
      <formula>20</formula>
    </cfRule>
    <cfRule type="cellIs" dxfId="1" priority="3626" operator="greaterThan">
      <formula>120</formula>
    </cfRule>
    <cfRule type="containsText" dxfId="0" priority="1011" operator="between" text="库存为">
      <formula>NOT(ISERROR(SEARCH("库存为",AU1610)))</formula>
    </cfRule>
  </conditionalFormatting>
  <conditionalFormatting sqref="AU1611">
    <cfRule type="cellIs" dxfId="2" priority="6240" operator="lessThan">
      <formula>20</formula>
    </cfRule>
    <cfRule type="cellIs" dxfId="1" priority="3625" operator="greaterThan">
      <formula>120</formula>
    </cfRule>
    <cfRule type="containsText" dxfId="0" priority="1010" operator="between" text="库存为">
      <formula>NOT(ISERROR(SEARCH("库存为",AU1611)))</formula>
    </cfRule>
  </conditionalFormatting>
  <conditionalFormatting sqref="AU1612">
    <cfRule type="cellIs" dxfId="2" priority="6239" operator="lessThan">
      <formula>20</formula>
    </cfRule>
    <cfRule type="cellIs" dxfId="1" priority="3624" operator="greaterThan">
      <formula>120</formula>
    </cfRule>
    <cfRule type="containsText" dxfId="0" priority="1009" operator="between" text="库存为">
      <formula>NOT(ISERROR(SEARCH("库存为",AU1612)))</formula>
    </cfRule>
  </conditionalFormatting>
  <conditionalFormatting sqref="AU1613">
    <cfRule type="cellIs" dxfId="2" priority="6238" operator="lessThan">
      <formula>20</formula>
    </cfRule>
    <cfRule type="cellIs" dxfId="1" priority="3623" operator="greaterThan">
      <formula>120</formula>
    </cfRule>
    <cfRule type="containsText" dxfId="0" priority="1008" operator="between" text="库存为">
      <formula>NOT(ISERROR(SEARCH("库存为",AU1613)))</formula>
    </cfRule>
  </conditionalFormatting>
  <conditionalFormatting sqref="AU1614">
    <cfRule type="cellIs" dxfId="2" priority="6237" operator="lessThan">
      <formula>20</formula>
    </cfRule>
    <cfRule type="cellIs" dxfId="1" priority="3622" operator="greaterThan">
      <formula>120</formula>
    </cfRule>
    <cfRule type="containsText" dxfId="0" priority="1007" operator="between" text="库存为">
      <formula>NOT(ISERROR(SEARCH("库存为",AU1614)))</formula>
    </cfRule>
  </conditionalFormatting>
  <conditionalFormatting sqref="AU1615">
    <cfRule type="cellIs" dxfId="2" priority="6236" operator="lessThan">
      <formula>20</formula>
    </cfRule>
    <cfRule type="cellIs" dxfId="1" priority="3621" operator="greaterThan">
      <formula>120</formula>
    </cfRule>
    <cfRule type="containsText" dxfId="0" priority="1006" operator="between" text="库存为">
      <formula>NOT(ISERROR(SEARCH("库存为",AU1615)))</formula>
    </cfRule>
  </conditionalFormatting>
  <conditionalFormatting sqref="AU1616">
    <cfRule type="cellIs" dxfId="2" priority="6235" operator="lessThan">
      <formula>20</formula>
    </cfRule>
    <cfRule type="cellIs" dxfId="1" priority="3620" operator="greaterThan">
      <formula>120</formula>
    </cfRule>
    <cfRule type="containsText" dxfId="0" priority="1005" operator="between" text="库存为">
      <formula>NOT(ISERROR(SEARCH("库存为",AU1616)))</formula>
    </cfRule>
  </conditionalFormatting>
  <conditionalFormatting sqref="AU1617">
    <cfRule type="cellIs" dxfId="2" priority="6234" operator="lessThan">
      <formula>20</formula>
    </cfRule>
    <cfRule type="cellIs" dxfId="1" priority="3619" operator="greaterThan">
      <formula>120</formula>
    </cfRule>
    <cfRule type="containsText" dxfId="0" priority="1004" operator="between" text="库存为">
      <formula>NOT(ISERROR(SEARCH("库存为",AU1617)))</formula>
    </cfRule>
  </conditionalFormatting>
  <conditionalFormatting sqref="AU1618">
    <cfRule type="cellIs" dxfId="2" priority="6233" operator="lessThan">
      <formula>20</formula>
    </cfRule>
    <cfRule type="cellIs" dxfId="1" priority="3618" operator="greaterThan">
      <formula>120</formula>
    </cfRule>
    <cfRule type="containsText" dxfId="0" priority="1003" operator="between" text="库存为">
      <formula>NOT(ISERROR(SEARCH("库存为",AU1618)))</formula>
    </cfRule>
  </conditionalFormatting>
  <conditionalFormatting sqref="AU1619">
    <cfRule type="cellIs" dxfId="2" priority="6232" operator="lessThan">
      <formula>20</formula>
    </cfRule>
    <cfRule type="cellIs" dxfId="1" priority="3617" operator="greaterThan">
      <formula>120</formula>
    </cfRule>
    <cfRule type="containsText" dxfId="0" priority="1002" operator="between" text="库存为">
      <formula>NOT(ISERROR(SEARCH("库存为",AU1619)))</formula>
    </cfRule>
  </conditionalFormatting>
  <conditionalFormatting sqref="AU1620">
    <cfRule type="cellIs" dxfId="2" priority="6231" operator="lessThan">
      <formula>20</formula>
    </cfRule>
    <cfRule type="cellIs" dxfId="1" priority="3616" operator="greaterThan">
      <formula>120</formula>
    </cfRule>
    <cfRule type="containsText" dxfId="0" priority="1001" operator="between" text="库存为">
      <formula>NOT(ISERROR(SEARCH("库存为",AU1620)))</formula>
    </cfRule>
  </conditionalFormatting>
  <conditionalFormatting sqref="AU1621">
    <cfRule type="cellIs" dxfId="2" priority="6230" operator="lessThan">
      <formula>20</formula>
    </cfRule>
    <cfRule type="cellIs" dxfId="1" priority="3615" operator="greaterThan">
      <formula>120</formula>
    </cfRule>
    <cfRule type="containsText" dxfId="0" priority="1000" operator="between" text="库存为">
      <formula>NOT(ISERROR(SEARCH("库存为",AU1621)))</formula>
    </cfRule>
  </conditionalFormatting>
  <conditionalFormatting sqref="AU1622">
    <cfRule type="cellIs" dxfId="2" priority="6229" operator="lessThan">
      <formula>20</formula>
    </cfRule>
    <cfRule type="cellIs" dxfId="1" priority="3614" operator="greaterThan">
      <formula>120</formula>
    </cfRule>
    <cfRule type="containsText" dxfId="0" priority="999" operator="between" text="库存为">
      <formula>NOT(ISERROR(SEARCH("库存为",AU1622)))</formula>
    </cfRule>
  </conditionalFormatting>
  <conditionalFormatting sqref="AU1623">
    <cfRule type="cellIs" dxfId="2" priority="6228" operator="lessThan">
      <formula>20</formula>
    </cfRule>
    <cfRule type="cellIs" dxfId="1" priority="3613" operator="greaterThan">
      <formula>120</formula>
    </cfRule>
    <cfRule type="containsText" dxfId="0" priority="998" operator="between" text="库存为">
      <formula>NOT(ISERROR(SEARCH("库存为",AU1623)))</formula>
    </cfRule>
  </conditionalFormatting>
  <conditionalFormatting sqref="AU1624">
    <cfRule type="cellIs" dxfId="2" priority="6227" operator="lessThan">
      <formula>20</formula>
    </cfRule>
    <cfRule type="cellIs" dxfId="1" priority="3612" operator="greaterThan">
      <formula>120</formula>
    </cfRule>
    <cfRule type="containsText" dxfId="0" priority="997" operator="between" text="库存为">
      <formula>NOT(ISERROR(SEARCH("库存为",AU1624)))</formula>
    </cfRule>
  </conditionalFormatting>
  <conditionalFormatting sqref="AU1625">
    <cfRule type="cellIs" dxfId="2" priority="6226" operator="lessThan">
      <formula>20</formula>
    </cfRule>
    <cfRule type="cellIs" dxfId="1" priority="3611" operator="greaterThan">
      <formula>120</formula>
    </cfRule>
    <cfRule type="containsText" dxfId="0" priority="996" operator="between" text="库存为">
      <formula>NOT(ISERROR(SEARCH("库存为",AU1625)))</formula>
    </cfRule>
  </conditionalFormatting>
  <conditionalFormatting sqref="AU1626">
    <cfRule type="cellIs" dxfId="2" priority="6225" operator="lessThan">
      <formula>20</formula>
    </cfRule>
    <cfRule type="cellIs" dxfId="1" priority="3610" operator="greaterThan">
      <formula>120</formula>
    </cfRule>
    <cfRule type="containsText" dxfId="0" priority="995" operator="between" text="库存为">
      <formula>NOT(ISERROR(SEARCH("库存为",AU1626)))</formula>
    </cfRule>
  </conditionalFormatting>
  <conditionalFormatting sqref="AU1627">
    <cfRule type="cellIs" dxfId="2" priority="6224" operator="lessThan">
      <formula>20</formula>
    </cfRule>
    <cfRule type="cellIs" dxfId="1" priority="3609" operator="greaterThan">
      <formula>120</formula>
    </cfRule>
    <cfRule type="containsText" dxfId="0" priority="994" operator="between" text="库存为">
      <formula>NOT(ISERROR(SEARCH("库存为",AU1627)))</formula>
    </cfRule>
  </conditionalFormatting>
  <conditionalFormatting sqref="AU1628">
    <cfRule type="cellIs" dxfId="2" priority="6223" operator="lessThan">
      <formula>20</formula>
    </cfRule>
    <cfRule type="cellIs" dxfId="1" priority="3608" operator="greaterThan">
      <formula>120</formula>
    </cfRule>
    <cfRule type="containsText" dxfId="0" priority="993" operator="between" text="库存为">
      <formula>NOT(ISERROR(SEARCH("库存为",AU1628)))</formula>
    </cfRule>
  </conditionalFormatting>
  <conditionalFormatting sqref="AU1629">
    <cfRule type="cellIs" dxfId="2" priority="6222" operator="lessThan">
      <formula>20</formula>
    </cfRule>
    <cfRule type="cellIs" dxfId="1" priority="3607" operator="greaterThan">
      <formula>120</formula>
    </cfRule>
    <cfRule type="containsText" dxfId="0" priority="992" operator="between" text="库存为">
      <formula>NOT(ISERROR(SEARCH("库存为",AU1629)))</formula>
    </cfRule>
  </conditionalFormatting>
  <conditionalFormatting sqref="AU1630">
    <cfRule type="cellIs" dxfId="2" priority="6221" operator="lessThan">
      <formula>20</formula>
    </cfRule>
    <cfRule type="cellIs" dxfId="1" priority="3606" operator="greaterThan">
      <formula>120</formula>
    </cfRule>
    <cfRule type="containsText" dxfId="0" priority="991" operator="between" text="库存为">
      <formula>NOT(ISERROR(SEARCH("库存为",AU1630)))</formula>
    </cfRule>
  </conditionalFormatting>
  <conditionalFormatting sqref="AU1631">
    <cfRule type="cellIs" dxfId="2" priority="6220" operator="lessThan">
      <formula>20</formula>
    </cfRule>
    <cfRule type="cellIs" dxfId="1" priority="3605" operator="greaterThan">
      <formula>120</formula>
    </cfRule>
    <cfRule type="containsText" dxfId="0" priority="990" operator="between" text="库存为">
      <formula>NOT(ISERROR(SEARCH("库存为",AU1631)))</formula>
    </cfRule>
  </conditionalFormatting>
  <conditionalFormatting sqref="AU1632">
    <cfRule type="cellIs" dxfId="2" priority="6219" operator="lessThan">
      <formula>20</formula>
    </cfRule>
    <cfRule type="cellIs" dxfId="1" priority="3604" operator="greaterThan">
      <formula>120</formula>
    </cfRule>
    <cfRule type="containsText" dxfId="0" priority="989" operator="between" text="库存为">
      <formula>NOT(ISERROR(SEARCH("库存为",AU1632)))</formula>
    </cfRule>
  </conditionalFormatting>
  <conditionalFormatting sqref="AU1633">
    <cfRule type="cellIs" dxfId="2" priority="6218" operator="lessThan">
      <formula>20</formula>
    </cfRule>
    <cfRule type="cellIs" dxfId="1" priority="3603" operator="greaterThan">
      <formula>120</formula>
    </cfRule>
    <cfRule type="containsText" dxfId="0" priority="988" operator="between" text="库存为">
      <formula>NOT(ISERROR(SEARCH("库存为",AU1633)))</formula>
    </cfRule>
  </conditionalFormatting>
  <conditionalFormatting sqref="AU1634">
    <cfRule type="cellIs" dxfId="2" priority="6217" operator="lessThan">
      <formula>20</formula>
    </cfRule>
    <cfRule type="cellIs" dxfId="1" priority="3602" operator="greaterThan">
      <formula>120</formula>
    </cfRule>
    <cfRule type="containsText" dxfId="0" priority="987" operator="between" text="库存为">
      <formula>NOT(ISERROR(SEARCH("库存为",AU1634)))</formula>
    </cfRule>
  </conditionalFormatting>
  <conditionalFormatting sqref="AU1635">
    <cfRule type="cellIs" dxfId="2" priority="6216" operator="lessThan">
      <formula>20</formula>
    </cfRule>
    <cfRule type="cellIs" dxfId="1" priority="3601" operator="greaterThan">
      <formula>120</formula>
    </cfRule>
    <cfRule type="containsText" dxfId="0" priority="986" operator="between" text="库存为">
      <formula>NOT(ISERROR(SEARCH("库存为",AU1635)))</formula>
    </cfRule>
  </conditionalFormatting>
  <conditionalFormatting sqref="AU1636">
    <cfRule type="cellIs" dxfId="2" priority="6215" operator="lessThan">
      <formula>20</formula>
    </cfRule>
    <cfRule type="cellIs" dxfId="1" priority="3600" operator="greaterThan">
      <formula>120</formula>
    </cfRule>
    <cfRule type="containsText" dxfId="0" priority="985" operator="between" text="库存为">
      <formula>NOT(ISERROR(SEARCH("库存为",AU1636)))</formula>
    </cfRule>
  </conditionalFormatting>
  <conditionalFormatting sqref="AU1637">
    <cfRule type="cellIs" dxfId="2" priority="6214" operator="lessThan">
      <formula>20</formula>
    </cfRule>
    <cfRule type="cellIs" dxfId="1" priority="3599" operator="greaterThan">
      <formula>120</formula>
    </cfRule>
    <cfRule type="containsText" dxfId="0" priority="984" operator="between" text="库存为">
      <formula>NOT(ISERROR(SEARCH("库存为",AU1637)))</formula>
    </cfRule>
  </conditionalFormatting>
  <conditionalFormatting sqref="AU1638">
    <cfRule type="cellIs" dxfId="2" priority="6213" operator="lessThan">
      <formula>20</formula>
    </cfRule>
    <cfRule type="cellIs" dxfId="1" priority="3598" operator="greaterThan">
      <formula>120</formula>
    </cfRule>
    <cfRule type="containsText" dxfId="0" priority="983" operator="between" text="库存为">
      <formula>NOT(ISERROR(SEARCH("库存为",AU1638)))</formula>
    </cfRule>
  </conditionalFormatting>
  <conditionalFormatting sqref="AU1639">
    <cfRule type="cellIs" dxfId="2" priority="6212" operator="lessThan">
      <formula>20</formula>
    </cfRule>
    <cfRule type="cellIs" dxfId="1" priority="3597" operator="greaterThan">
      <formula>120</formula>
    </cfRule>
    <cfRule type="containsText" dxfId="0" priority="982" operator="between" text="库存为">
      <formula>NOT(ISERROR(SEARCH("库存为",AU1639)))</formula>
    </cfRule>
  </conditionalFormatting>
  <conditionalFormatting sqref="AU1640">
    <cfRule type="cellIs" dxfId="2" priority="6211" operator="lessThan">
      <formula>20</formula>
    </cfRule>
    <cfRule type="cellIs" dxfId="1" priority="3596" operator="greaterThan">
      <formula>120</formula>
    </cfRule>
    <cfRule type="containsText" dxfId="0" priority="981" operator="between" text="库存为">
      <formula>NOT(ISERROR(SEARCH("库存为",AU1640)))</formula>
    </cfRule>
  </conditionalFormatting>
  <conditionalFormatting sqref="AU1641">
    <cfRule type="cellIs" dxfId="2" priority="6210" operator="lessThan">
      <formula>20</formula>
    </cfRule>
    <cfRule type="cellIs" dxfId="1" priority="3595" operator="greaterThan">
      <formula>120</formula>
    </cfRule>
    <cfRule type="containsText" dxfId="0" priority="980" operator="between" text="库存为">
      <formula>NOT(ISERROR(SEARCH("库存为",AU1641)))</formula>
    </cfRule>
  </conditionalFormatting>
  <conditionalFormatting sqref="AU1642">
    <cfRule type="cellIs" dxfId="2" priority="6209" operator="lessThan">
      <formula>20</formula>
    </cfRule>
    <cfRule type="cellIs" dxfId="1" priority="3594" operator="greaterThan">
      <formula>120</formula>
    </cfRule>
    <cfRule type="containsText" dxfId="0" priority="979" operator="between" text="库存为">
      <formula>NOT(ISERROR(SEARCH("库存为",AU1642)))</formula>
    </cfRule>
  </conditionalFormatting>
  <conditionalFormatting sqref="AU1643">
    <cfRule type="cellIs" dxfId="2" priority="6208" operator="lessThan">
      <formula>20</formula>
    </cfRule>
    <cfRule type="cellIs" dxfId="1" priority="3593" operator="greaterThan">
      <formula>120</formula>
    </cfRule>
    <cfRule type="containsText" dxfId="0" priority="978" operator="between" text="库存为">
      <formula>NOT(ISERROR(SEARCH("库存为",AU1643)))</formula>
    </cfRule>
  </conditionalFormatting>
  <conditionalFormatting sqref="AU1644">
    <cfRule type="cellIs" dxfId="2" priority="6207" operator="lessThan">
      <formula>20</formula>
    </cfRule>
    <cfRule type="cellIs" dxfId="1" priority="3592" operator="greaterThan">
      <formula>120</formula>
    </cfRule>
    <cfRule type="containsText" dxfId="0" priority="977" operator="between" text="库存为">
      <formula>NOT(ISERROR(SEARCH("库存为",AU1644)))</formula>
    </cfRule>
  </conditionalFormatting>
  <conditionalFormatting sqref="AU1645">
    <cfRule type="cellIs" dxfId="2" priority="6206" operator="lessThan">
      <formula>20</formula>
    </cfRule>
    <cfRule type="cellIs" dxfId="1" priority="3591" operator="greaterThan">
      <formula>120</formula>
    </cfRule>
    <cfRule type="containsText" dxfId="0" priority="976" operator="between" text="库存为">
      <formula>NOT(ISERROR(SEARCH("库存为",AU1645)))</formula>
    </cfRule>
  </conditionalFormatting>
  <conditionalFormatting sqref="AU1646">
    <cfRule type="cellIs" dxfId="2" priority="6205" operator="lessThan">
      <formula>20</formula>
    </cfRule>
    <cfRule type="cellIs" dxfId="1" priority="3590" operator="greaterThan">
      <formula>120</formula>
    </cfRule>
    <cfRule type="containsText" dxfId="0" priority="975" operator="between" text="库存为">
      <formula>NOT(ISERROR(SEARCH("库存为",AU1646)))</formula>
    </cfRule>
  </conditionalFormatting>
  <conditionalFormatting sqref="AU1647">
    <cfRule type="cellIs" dxfId="2" priority="6204" operator="lessThan">
      <formula>20</formula>
    </cfRule>
    <cfRule type="cellIs" dxfId="1" priority="3589" operator="greaterThan">
      <formula>120</formula>
    </cfRule>
    <cfRule type="containsText" dxfId="0" priority="974" operator="between" text="库存为">
      <formula>NOT(ISERROR(SEARCH("库存为",AU1647)))</formula>
    </cfRule>
  </conditionalFormatting>
  <conditionalFormatting sqref="AU1648">
    <cfRule type="cellIs" dxfId="2" priority="6203" operator="lessThan">
      <formula>20</formula>
    </cfRule>
    <cfRule type="cellIs" dxfId="1" priority="3588" operator="greaterThan">
      <formula>120</formula>
    </cfRule>
    <cfRule type="containsText" dxfId="0" priority="973" operator="between" text="库存为">
      <formula>NOT(ISERROR(SEARCH("库存为",AU1648)))</formula>
    </cfRule>
  </conditionalFormatting>
  <conditionalFormatting sqref="AU1649">
    <cfRule type="cellIs" dxfId="2" priority="6202" operator="lessThan">
      <formula>20</formula>
    </cfRule>
    <cfRule type="cellIs" dxfId="1" priority="3587" operator="greaterThan">
      <formula>120</formula>
    </cfRule>
    <cfRule type="containsText" dxfId="0" priority="972" operator="between" text="库存为">
      <formula>NOT(ISERROR(SEARCH("库存为",AU1649)))</formula>
    </cfRule>
  </conditionalFormatting>
  <conditionalFormatting sqref="AU1650">
    <cfRule type="cellIs" dxfId="2" priority="6201" operator="lessThan">
      <formula>20</formula>
    </cfRule>
    <cfRule type="cellIs" dxfId="1" priority="3586" operator="greaterThan">
      <formula>120</formula>
    </cfRule>
    <cfRule type="containsText" dxfId="0" priority="971" operator="between" text="库存为">
      <formula>NOT(ISERROR(SEARCH("库存为",AU1650)))</formula>
    </cfRule>
  </conditionalFormatting>
  <conditionalFormatting sqref="AU1651">
    <cfRule type="cellIs" dxfId="2" priority="6200" operator="lessThan">
      <formula>20</formula>
    </cfRule>
    <cfRule type="cellIs" dxfId="1" priority="3585" operator="greaterThan">
      <formula>120</formula>
    </cfRule>
    <cfRule type="containsText" dxfId="0" priority="970" operator="between" text="库存为">
      <formula>NOT(ISERROR(SEARCH("库存为",AU1651)))</formula>
    </cfRule>
  </conditionalFormatting>
  <conditionalFormatting sqref="AU1652">
    <cfRule type="cellIs" dxfId="2" priority="6199" operator="lessThan">
      <formula>20</formula>
    </cfRule>
    <cfRule type="cellIs" dxfId="1" priority="3584" operator="greaterThan">
      <formula>120</formula>
    </cfRule>
    <cfRule type="containsText" dxfId="0" priority="969" operator="between" text="库存为">
      <formula>NOT(ISERROR(SEARCH("库存为",AU1652)))</formula>
    </cfRule>
  </conditionalFormatting>
  <conditionalFormatting sqref="AU1653">
    <cfRule type="cellIs" dxfId="2" priority="6198" operator="lessThan">
      <formula>20</formula>
    </cfRule>
    <cfRule type="cellIs" dxfId="1" priority="3583" operator="greaterThan">
      <formula>120</formula>
    </cfRule>
    <cfRule type="containsText" dxfId="0" priority="968" operator="between" text="库存为">
      <formula>NOT(ISERROR(SEARCH("库存为",AU1653)))</formula>
    </cfRule>
  </conditionalFormatting>
  <conditionalFormatting sqref="AU1654">
    <cfRule type="cellIs" dxfId="2" priority="6197" operator="lessThan">
      <formula>20</formula>
    </cfRule>
    <cfRule type="cellIs" dxfId="1" priority="3582" operator="greaterThan">
      <formula>120</formula>
    </cfRule>
    <cfRule type="containsText" dxfId="0" priority="967" operator="between" text="库存为">
      <formula>NOT(ISERROR(SEARCH("库存为",AU1654)))</formula>
    </cfRule>
  </conditionalFormatting>
  <conditionalFormatting sqref="AU1655">
    <cfRule type="cellIs" dxfId="2" priority="6196" operator="lessThan">
      <formula>20</formula>
    </cfRule>
    <cfRule type="cellIs" dxfId="1" priority="3581" operator="greaterThan">
      <formula>120</formula>
    </cfRule>
    <cfRule type="containsText" dxfId="0" priority="966" operator="between" text="库存为">
      <formula>NOT(ISERROR(SEARCH("库存为",AU1655)))</formula>
    </cfRule>
  </conditionalFormatting>
  <conditionalFormatting sqref="AU1656">
    <cfRule type="cellIs" dxfId="2" priority="6195" operator="lessThan">
      <formula>20</formula>
    </cfRule>
    <cfRule type="cellIs" dxfId="1" priority="3580" operator="greaterThan">
      <formula>120</formula>
    </cfRule>
    <cfRule type="containsText" dxfId="0" priority="965" operator="between" text="库存为">
      <formula>NOT(ISERROR(SEARCH("库存为",AU1656)))</formula>
    </cfRule>
  </conditionalFormatting>
  <conditionalFormatting sqref="AU1657">
    <cfRule type="cellIs" dxfId="2" priority="6194" operator="lessThan">
      <formula>20</formula>
    </cfRule>
    <cfRule type="cellIs" dxfId="1" priority="3579" operator="greaterThan">
      <formula>120</formula>
    </cfRule>
    <cfRule type="containsText" dxfId="0" priority="964" operator="between" text="库存为">
      <formula>NOT(ISERROR(SEARCH("库存为",AU1657)))</formula>
    </cfRule>
  </conditionalFormatting>
  <conditionalFormatting sqref="AU1658">
    <cfRule type="cellIs" dxfId="2" priority="6193" operator="lessThan">
      <formula>20</formula>
    </cfRule>
    <cfRule type="cellIs" dxfId="1" priority="3578" operator="greaterThan">
      <formula>120</formula>
    </cfRule>
    <cfRule type="containsText" dxfId="0" priority="963" operator="between" text="库存为">
      <formula>NOT(ISERROR(SEARCH("库存为",AU1658)))</formula>
    </cfRule>
  </conditionalFormatting>
  <conditionalFormatting sqref="AU1659">
    <cfRule type="cellIs" dxfId="2" priority="6192" operator="lessThan">
      <formula>20</formula>
    </cfRule>
    <cfRule type="cellIs" dxfId="1" priority="3577" operator="greaterThan">
      <formula>120</formula>
    </cfRule>
    <cfRule type="containsText" dxfId="0" priority="962" operator="between" text="库存为">
      <formula>NOT(ISERROR(SEARCH("库存为",AU1659)))</formula>
    </cfRule>
  </conditionalFormatting>
  <conditionalFormatting sqref="AU1660">
    <cfRule type="cellIs" dxfId="2" priority="6191" operator="lessThan">
      <formula>20</formula>
    </cfRule>
    <cfRule type="cellIs" dxfId="1" priority="3576" operator="greaterThan">
      <formula>120</formula>
    </cfRule>
    <cfRule type="containsText" dxfId="0" priority="961" operator="between" text="库存为">
      <formula>NOT(ISERROR(SEARCH("库存为",AU1660)))</formula>
    </cfRule>
  </conditionalFormatting>
  <conditionalFormatting sqref="AU1661">
    <cfRule type="cellIs" dxfId="2" priority="6190" operator="lessThan">
      <formula>20</formula>
    </cfRule>
    <cfRule type="cellIs" dxfId="1" priority="3575" operator="greaterThan">
      <formula>120</formula>
    </cfRule>
    <cfRule type="containsText" dxfId="0" priority="960" operator="between" text="库存为">
      <formula>NOT(ISERROR(SEARCH("库存为",AU1661)))</formula>
    </cfRule>
  </conditionalFormatting>
  <conditionalFormatting sqref="AU1662">
    <cfRule type="cellIs" dxfId="2" priority="6189" operator="lessThan">
      <formula>20</formula>
    </cfRule>
    <cfRule type="cellIs" dxfId="1" priority="3574" operator="greaterThan">
      <formula>120</formula>
    </cfRule>
    <cfRule type="containsText" dxfId="0" priority="959" operator="between" text="库存为">
      <formula>NOT(ISERROR(SEARCH("库存为",AU1662)))</formula>
    </cfRule>
  </conditionalFormatting>
  <conditionalFormatting sqref="AU1663">
    <cfRule type="cellIs" dxfId="2" priority="6188" operator="lessThan">
      <formula>20</formula>
    </cfRule>
    <cfRule type="cellIs" dxfId="1" priority="3573" operator="greaterThan">
      <formula>120</formula>
    </cfRule>
    <cfRule type="containsText" dxfId="0" priority="958" operator="between" text="库存为">
      <formula>NOT(ISERROR(SEARCH("库存为",AU1663)))</formula>
    </cfRule>
  </conditionalFormatting>
  <conditionalFormatting sqref="AU1664">
    <cfRule type="cellIs" dxfId="2" priority="6187" operator="lessThan">
      <formula>20</formula>
    </cfRule>
    <cfRule type="cellIs" dxfId="1" priority="3572" operator="greaterThan">
      <formula>120</formula>
    </cfRule>
    <cfRule type="containsText" dxfId="0" priority="957" operator="between" text="库存为">
      <formula>NOT(ISERROR(SEARCH("库存为",AU1664)))</formula>
    </cfRule>
  </conditionalFormatting>
  <conditionalFormatting sqref="AU1665">
    <cfRule type="cellIs" dxfId="2" priority="6186" operator="lessThan">
      <formula>20</formula>
    </cfRule>
    <cfRule type="cellIs" dxfId="1" priority="3571" operator="greaterThan">
      <formula>120</formula>
    </cfRule>
    <cfRule type="containsText" dxfId="0" priority="956" operator="between" text="库存为">
      <formula>NOT(ISERROR(SEARCH("库存为",AU1665)))</formula>
    </cfRule>
  </conditionalFormatting>
  <conditionalFormatting sqref="AU1666">
    <cfRule type="cellIs" dxfId="2" priority="6185" operator="lessThan">
      <formula>20</formula>
    </cfRule>
    <cfRule type="cellIs" dxfId="1" priority="3570" operator="greaterThan">
      <formula>120</formula>
    </cfRule>
    <cfRule type="containsText" dxfId="0" priority="955" operator="between" text="库存为">
      <formula>NOT(ISERROR(SEARCH("库存为",AU1666)))</formula>
    </cfRule>
  </conditionalFormatting>
  <conditionalFormatting sqref="AU1667">
    <cfRule type="cellIs" dxfId="2" priority="6184" operator="lessThan">
      <formula>20</formula>
    </cfRule>
    <cfRule type="cellIs" dxfId="1" priority="3569" operator="greaterThan">
      <formula>120</formula>
    </cfRule>
    <cfRule type="containsText" dxfId="0" priority="954" operator="between" text="库存为">
      <formula>NOT(ISERROR(SEARCH("库存为",AU1667)))</formula>
    </cfRule>
  </conditionalFormatting>
  <conditionalFormatting sqref="AU1668">
    <cfRule type="cellIs" dxfId="2" priority="6183" operator="lessThan">
      <formula>20</formula>
    </cfRule>
    <cfRule type="cellIs" dxfId="1" priority="3568" operator="greaterThan">
      <formula>120</formula>
    </cfRule>
    <cfRule type="containsText" dxfId="0" priority="953" operator="between" text="库存为">
      <formula>NOT(ISERROR(SEARCH("库存为",AU1668)))</formula>
    </cfRule>
  </conditionalFormatting>
  <conditionalFormatting sqref="AU1669">
    <cfRule type="cellIs" dxfId="2" priority="6182" operator="lessThan">
      <formula>20</formula>
    </cfRule>
    <cfRule type="cellIs" dxfId="1" priority="3567" operator="greaterThan">
      <formula>120</formula>
    </cfRule>
    <cfRule type="containsText" dxfId="0" priority="952" operator="between" text="库存为">
      <formula>NOT(ISERROR(SEARCH("库存为",AU1669)))</formula>
    </cfRule>
  </conditionalFormatting>
  <conditionalFormatting sqref="AU1670">
    <cfRule type="cellIs" dxfId="2" priority="6181" operator="lessThan">
      <formula>20</formula>
    </cfRule>
    <cfRule type="cellIs" dxfId="1" priority="3566" operator="greaterThan">
      <formula>120</formula>
    </cfRule>
    <cfRule type="containsText" dxfId="0" priority="951" operator="between" text="库存为">
      <formula>NOT(ISERROR(SEARCH("库存为",AU1670)))</formula>
    </cfRule>
  </conditionalFormatting>
  <conditionalFormatting sqref="AU1671">
    <cfRule type="cellIs" dxfId="2" priority="6180" operator="lessThan">
      <formula>20</formula>
    </cfRule>
    <cfRule type="cellIs" dxfId="1" priority="3565" operator="greaterThan">
      <formula>120</formula>
    </cfRule>
    <cfRule type="containsText" dxfId="0" priority="950" operator="between" text="库存为">
      <formula>NOT(ISERROR(SEARCH("库存为",AU1671)))</formula>
    </cfRule>
  </conditionalFormatting>
  <conditionalFormatting sqref="AU1672">
    <cfRule type="cellIs" dxfId="2" priority="6179" operator="lessThan">
      <formula>20</formula>
    </cfRule>
    <cfRule type="cellIs" dxfId="1" priority="3564" operator="greaterThan">
      <formula>120</formula>
    </cfRule>
    <cfRule type="containsText" dxfId="0" priority="949" operator="between" text="库存为">
      <formula>NOT(ISERROR(SEARCH("库存为",AU1672)))</formula>
    </cfRule>
  </conditionalFormatting>
  <conditionalFormatting sqref="AU1673">
    <cfRule type="cellIs" dxfId="2" priority="6178" operator="lessThan">
      <formula>20</formula>
    </cfRule>
    <cfRule type="cellIs" dxfId="1" priority="3563" operator="greaterThan">
      <formula>120</formula>
    </cfRule>
    <cfRule type="containsText" dxfId="0" priority="948" operator="between" text="库存为">
      <formula>NOT(ISERROR(SEARCH("库存为",AU1673)))</formula>
    </cfRule>
  </conditionalFormatting>
  <conditionalFormatting sqref="AU1674">
    <cfRule type="cellIs" dxfId="2" priority="6177" operator="lessThan">
      <formula>20</formula>
    </cfRule>
    <cfRule type="cellIs" dxfId="1" priority="3562" operator="greaterThan">
      <formula>120</formula>
    </cfRule>
    <cfRule type="containsText" dxfId="0" priority="947" operator="between" text="库存为">
      <formula>NOT(ISERROR(SEARCH("库存为",AU1674)))</formula>
    </cfRule>
  </conditionalFormatting>
  <conditionalFormatting sqref="AU1675">
    <cfRule type="cellIs" dxfId="2" priority="6176" operator="lessThan">
      <formula>20</formula>
    </cfRule>
    <cfRule type="cellIs" dxfId="1" priority="3561" operator="greaterThan">
      <formula>120</formula>
    </cfRule>
    <cfRule type="containsText" dxfId="0" priority="946" operator="between" text="库存为">
      <formula>NOT(ISERROR(SEARCH("库存为",AU1675)))</formula>
    </cfRule>
  </conditionalFormatting>
  <conditionalFormatting sqref="AU1676">
    <cfRule type="cellIs" dxfId="2" priority="6175" operator="lessThan">
      <formula>20</formula>
    </cfRule>
    <cfRule type="cellIs" dxfId="1" priority="3560" operator="greaterThan">
      <formula>120</formula>
    </cfRule>
    <cfRule type="containsText" dxfId="0" priority="945" operator="between" text="库存为">
      <formula>NOT(ISERROR(SEARCH("库存为",AU1676)))</formula>
    </cfRule>
  </conditionalFormatting>
  <conditionalFormatting sqref="AU1677">
    <cfRule type="cellIs" dxfId="2" priority="6174" operator="lessThan">
      <formula>20</formula>
    </cfRule>
    <cfRule type="cellIs" dxfId="1" priority="3559" operator="greaterThan">
      <formula>120</formula>
    </cfRule>
    <cfRule type="containsText" dxfId="0" priority="944" operator="between" text="库存为">
      <formula>NOT(ISERROR(SEARCH("库存为",AU1677)))</formula>
    </cfRule>
  </conditionalFormatting>
  <conditionalFormatting sqref="AU1678">
    <cfRule type="cellIs" dxfId="2" priority="6173" operator="lessThan">
      <formula>20</formula>
    </cfRule>
    <cfRule type="cellIs" dxfId="1" priority="3558" operator="greaterThan">
      <formula>120</formula>
    </cfRule>
    <cfRule type="containsText" dxfId="0" priority="943" operator="between" text="库存为">
      <formula>NOT(ISERROR(SEARCH("库存为",AU1678)))</formula>
    </cfRule>
  </conditionalFormatting>
  <conditionalFormatting sqref="AU1679">
    <cfRule type="cellIs" dxfId="2" priority="6172" operator="lessThan">
      <formula>20</formula>
    </cfRule>
    <cfRule type="cellIs" dxfId="1" priority="3557" operator="greaterThan">
      <formula>120</formula>
    </cfRule>
    <cfRule type="containsText" dxfId="0" priority="942" operator="between" text="库存为">
      <formula>NOT(ISERROR(SEARCH("库存为",AU1679)))</formula>
    </cfRule>
  </conditionalFormatting>
  <conditionalFormatting sqref="AU1680">
    <cfRule type="cellIs" dxfId="2" priority="6171" operator="lessThan">
      <formula>20</formula>
    </cfRule>
    <cfRule type="cellIs" dxfId="1" priority="3556" operator="greaterThan">
      <formula>120</formula>
    </cfRule>
    <cfRule type="containsText" dxfId="0" priority="941" operator="between" text="库存为">
      <formula>NOT(ISERROR(SEARCH("库存为",AU1680)))</formula>
    </cfRule>
  </conditionalFormatting>
  <conditionalFormatting sqref="AU1681">
    <cfRule type="cellIs" dxfId="2" priority="6170" operator="lessThan">
      <formula>20</formula>
    </cfRule>
    <cfRule type="cellIs" dxfId="1" priority="3555" operator="greaterThan">
      <formula>120</formula>
    </cfRule>
    <cfRule type="containsText" dxfId="0" priority="940" operator="between" text="库存为">
      <formula>NOT(ISERROR(SEARCH("库存为",AU1681)))</formula>
    </cfRule>
  </conditionalFormatting>
  <conditionalFormatting sqref="AU1682">
    <cfRule type="cellIs" dxfId="2" priority="6169" operator="lessThan">
      <formula>20</formula>
    </cfRule>
    <cfRule type="cellIs" dxfId="1" priority="3554" operator="greaterThan">
      <formula>120</formula>
    </cfRule>
    <cfRule type="containsText" dxfId="0" priority="939" operator="between" text="库存为">
      <formula>NOT(ISERROR(SEARCH("库存为",AU1682)))</formula>
    </cfRule>
  </conditionalFormatting>
  <conditionalFormatting sqref="AU1683">
    <cfRule type="cellIs" dxfId="2" priority="6168" operator="lessThan">
      <formula>20</formula>
    </cfRule>
    <cfRule type="cellIs" dxfId="1" priority="3553" operator="greaterThan">
      <formula>120</formula>
    </cfRule>
    <cfRule type="containsText" dxfId="0" priority="938" operator="between" text="库存为">
      <formula>NOT(ISERROR(SEARCH("库存为",AU1683)))</formula>
    </cfRule>
  </conditionalFormatting>
  <conditionalFormatting sqref="AU1684">
    <cfRule type="cellIs" dxfId="2" priority="6167" operator="lessThan">
      <formula>20</formula>
    </cfRule>
    <cfRule type="cellIs" dxfId="1" priority="3552" operator="greaterThan">
      <formula>120</formula>
    </cfRule>
    <cfRule type="containsText" dxfId="0" priority="937" operator="between" text="库存为">
      <formula>NOT(ISERROR(SEARCH("库存为",AU1684)))</formula>
    </cfRule>
  </conditionalFormatting>
  <conditionalFormatting sqref="AU1685">
    <cfRule type="cellIs" dxfId="2" priority="6166" operator="lessThan">
      <formula>20</formula>
    </cfRule>
    <cfRule type="cellIs" dxfId="1" priority="3551" operator="greaterThan">
      <formula>120</formula>
    </cfRule>
    <cfRule type="containsText" dxfId="0" priority="936" operator="between" text="库存为">
      <formula>NOT(ISERROR(SEARCH("库存为",AU1685)))</formula>
    </cfRule>
  </conditionalFormatting>
  <conditionalFormatting sqref="AU1686">
    <cfRule type="cellIs" dxfId="2" priority="6165" operator="lessThan">
      <formula>20</formula>
    </cfRule>
    <cfRule type="cellIs" dxfId="1" priority="3550" operator="greaterThan">
      <formula>120</formula>
    </cfRule>
    <cfRule type="containsText" dxfId="0" priority="935" operator="between" text="库存为">
      <formula>NOT(ISERROR(SEARCH("库存为",AU1686)))</formula>
    </cfRule>
  </conditionalFormatting>
  <conditionalFormatting sqref="AU1687">
    <cfRule type="cellIs" dxfId="2" priority="6164" operator="lessThan">
      <formula>20</formula>
    </cfRule>
    <cfRule type="cellIs" dxfId="1" priority="3549" operator="greaterThan">
      <formula>120</formula>
    </cfRule>
    <cfRule type="containsText" dxfId="0" priority="934" operator="between" text="库存为">
      <formula>NOT(ISERROR(SEARCH("库存为",AU1687)))</formula>
    </cfRule>
  </conditionalFormatting>
  <conditionalFormatting sqref="AU1688">
    <cfRule type="cellIs" dxfId="2" priority="6163" operator="lessThan">
      <formula>20</formula>
    </cfRule>
    <cfRule type="cellIs" dxfId="1" priority="3548" operator="greaterThan">
      <formula>120</formula>
    </cfRule>
    <cfRule type="containsText" dxfId="0" priority="933" operator="between" text="库存为">
      <formula>NOT(ISERROR(SEARCH("库存为",AU1688)))</formula>
    </cfRule>
  </conditionalFormatting>
  <conditionalFormatting sqref="AU1689">
    <cfRule type="cellIs" dxfId="2" priority="6162" operator="lessThan">
      <formula>20</formula>
    </cfRule>
    <cfRule type="cellIs" dxfId="1" priority="3547" operator="greaterThan">
      <formula>120</formula>
    </cfRule>
    <cfRule type="containsText" dxfId="0" priority="932" operator="between" text="库存为">
      <formula>NOT(ISERROR(SEARCH("库存为",AU1689)))</formula>
    </cfRule>
  </conditionalFormatting>
  <conditionalFormatting sqref="AU1690">
    <cfRule type="cellIs" dxfId="2" priority="6161" operator="lessThan">
      <formula>20</formula>
    </cfRule>
    <cfRule type="cellIs" dxfId="1" priority="3546" operator="greaterThan">
      <formula>120</formula>
    </cfRule>
    <cfRule type="containsText" dxfId="0" priority="931" operator="between" text="库存为">
      <formula>NOT(ISERROR(SEARCH("库存为",AU1690)))</formula>
    </cfRule>
  </conditionalFormatting>
  <conditionalFormatting sqref="AU1691">
    <cfRule type="cellIs" dxfId="2" priority="6160" operator="lessThan">
      <formula>20</formula>
    </cfRule>
    <cfRule type="cellIs" dxfId="1" priority="3545" operator="greaterThan">
      <formula>120</formula>
    </cfRule>
    <cfRule type="containsText" dxfId="0" priority="930" operator="between" text="库存为">
      <formula>NOT(ISERROR(SEARCH("库存为",AU1691)))</formula>
    </cfRule>
  </conditionalFormatting>
  <conditionalFormatting sqref="AU1692">
    <cfRule type="cellIs" dxfId="2" priority="6159" operator="lessThan">
      <formula>20</formula>
    </cfRule>
    <cfRule type="cellIs" dxfId="1" priority="3544" operator="greaterThan">
      <formula>120</formula>
    </cfRule>
    <cfRule type="containsText" dxfId="0" priority="929" operator="between" text="库存为">
      <formula>NOT(ISERROR(SEARCH("库存为",AU1692)))</formula>
    </cfRule>
  </conditionalFormatting>
  <conditionalFormatting sqref="AU1693">
    <cfRule type="cellIs" dxfId="2" priority="6158" operator="lessThan">
      <formula>20</formula>
    </cfRule>
    <cfRule type="cellIs" dxfId="1" priority="3543" operator="greaterThan">
      <formula>120</formula>
    </cfRule>
    <cfRule type="containsText" dxfId="0" priority="928" operator="between" text="库存为">
      <formula>NOT(ISERROR(SEARCH("库存为",AU1693)))</formula>
    </cfRule>
  </conditionalFormatting>
  <conditionalFormatting sqref="AU1694">
    <cfRule type="cellIs" dxfId="2" priority="6157" operator="lessThan">
      <formula>20</formula>
    </cfRule>
    <cfRule type="cellIs" dxfId="1" priority="3542" operator="greaterThan">
      <formula>120</formula>
    </cfRule>
    <cfRule type="containsText" dxfId="0" priority="927" operator="between" text="库存为">
      <formula>NOT(ISERROR(SEARCH("库存为",AU1694)))</formula>
    </cfRule>
  </conditionalFormatting>
  <conditionalFormatting sqref="AU1695">
    <cfRule type="cellIs" dxfId="2" priority="6156" operator="lessThan">
      <formula>20</formula>
    </cfRule>
    <cfRule type="cellIs" dxfId="1" priority="3541" operator="greaterThan">
      <formula>120</formula>
    </cfRule>
    <cfRule type="containsText" dxfId="0" priority="926" operator="between" text="库存为">
      <formula>NOT(ISERROR(SEARCH("库存为",AU1695)))</formula>
    </cfRule>
  </conditionalFormatting>
  <conditionalFormatting sqref="AU1696">
    <cfRule type="cellIs" dxfId="2" priority="6155" operator="lessThan">
      <formula>20</formula>
    </cfRule>
    <cfRule type="cellIs" dxfId="1" priority="3540" operator="greaterThan">
      <formula>120</formula>
    </cfRule>
    <cfRule type="containsText" dxfId="0" priority="925" operator="between" text="库存为">
      <formula>NOT(ISERROR(SEARCH("库存为",AU1696)))</formula>
    </cfRule>
  </conditionalFormatting>
  <conditionalFormatting sqref="AU1697">
    <cfRule type="cellIs" dxfId="2" priority="6154" operator="lessThan">
      <formula>20</formula>
    </cfRule>
    <cfRule type="cellIs" dxfId="1" priority="3539" operator="greaterThan">
      <formula>120</formula>
    </cfRule>
    <cfRule type="containsText" dxfId="0" priority="924" operator="between" text="库存为">
      <formula>NOT(ISERROR(SEARCH("库存为",AU1697)))</formula>
    </cfRule>
  </conditionalFormatting>
  <conditionalFormatting sqref="AU1698">
    <cfRule type="cellIs" dxfId="2" priority="6153" operator="lessThan">
      <formula>20</formula>
    </cfRule>
    <cfRule type="cellIs" dxfId="1" priority="3538" operator="greaterThan">
      <formula>120</formula>
    </cfRule>
    <cfRule type="containsText" dxfId="0" priority="923" operator="between" text="库存为">
      <formula>NOT(ISERROR(SEARCH("库存为",AU1698)))</formula>
    </cfRule>
  </conditionalFormatting>
  <conditionalFormatting sqref="AU1699">
    <cfRule type="cellIs" dxfId="2" priority="6152" operator="lessThan">
      <formula>20</formula>
    </cfRule>
    <cfRule type="cellIs" dxfId="1" priority="3537" operator="greaterThan">
      <formula>120</formula>
    </cfRule>
    <cfRule type="containsText" dxfId="0" priority="922" operator="between" text="库存为">
      <formula>NOT(ISERROR(SEARCH("库存为",AU1699)))</formula>
    </cfRule>
  </conditionalFormatting>
  <conditionalFormatting sqref="AU1700">
    <cfRule type="cellIs" dxfId="2" priority="6151" operator="lessThan">
      <formula>20</formula>
    </cfRule>
    <cfRule type="cellIs" dxfId="1" priority="3536" operator="greaterThan">
      <formula>120</formula>
    </cfRule>
    <cfRule type="containsText" dxfId="0" priority="921" operator="between" text="库存为">
      <formula>NOT(ISERROR(SEARCH("库存为",AU1700)))</formula>
    </cfRule>
  </conditionalFormatting>
  <conditionalFormatting sqref="AU1701">
    <cfRule type="cellIs" dxfId="2" priority="6150" operator="lessThan">
      <formula>20</formula>
    </cfRule>
    <cfRule type="cellIs" dxfId="1" priority="3535" operator="greaterThan">
      <formula>120</formula>
    </cfRule>
    <cfRule type="containsText" dxfId="0" priority="920" operator="between" text="库存为">
      <formula>NOT(ISERROR(SEARCH("库存为",AU1701)))</formula>
    </cfRule>
  </conditionalFormatting>
  <conditionalFormatting sqref="AU1702">
    <cfRule type="cellIs" dxfId="2" priority="6149" operator="lessThan">
      <formula>20</formula>
    </cfRule>
    <cfRule type="cellIs" dxfId="1" priority="3534" operator="greaterThan">
      <formula>120</formula>
    </cfRule>
    <cfRule type="containsText" dxfId="0" priority="919" operator="between" text="库存为">
      <formula>NOT(ISERROR(SEARCH("库存为",AU1702)))</formula>
    </cfRule>
  </conditionalFormatting>
  <conditionalFormatting sqref="AU1703">
    <cfRule type="cellIs" dxfId="2" priority="6148" operator="lessThan">
      <formula>20</formula>
    </cfRule>
    <cfRule type="cellIs" dxfId="1" priority="3533" operator="greaterThan">
      <formula>120</formula>
    </cfRule>
    <cfRule type="containsText" dxfId="0" priority="918" operator="between" text="库存为">
      <formula>NOT(ISERROR(SEARCH("库存为",AU1703)))</formula>
    </cfRule>
  </conditionalFormatting>
  <conditionalFormatting sqref="AU1704">
    <cfRule type="cellIs" dxfId="2" priority="6147" operator="lessThan">
      <formula>20</formula>
    </cfRule>
    <cfRule type="cellIs" dxfId="1" priority="3532" operator="greaterThan">
      <formula>120</formula>
    </cfRule>
    <cfRule type="containsText" dxfId="0" priority="917" operator="between" text="库存为">
      <formula>NOT(ISERROR(SEARCH("库存为",AU1704)))</formula>
    </cfRule>
  </conditionalFormatting>
  <conditionalFormatting sqref="AU1705">
    <cfRule type="cellIs" dxfId="2" priority="6146" operator="lessThan">
      <formula>20</formula>
    </cfRule>
    <cfRule type="cellIs" dxfId="1" priority="3531" operator="greaterThan">
      <formula>120</formula>
    </cfRule>
    <cfRule type="containsText" dxfId="0" priority="916" operator="between" text="库存为">
      <formula>NOT(ISERROR(SEARCH("库存为",AU1705)))</formula>
    </cfRule>
  </conditionalFormatting>
  <conditionalFormatting sqref="AU1706">
    <cfRule type="cellIs" dxfId="2" priority="6145" operator="lessThan">
      <formula>20</formula>
    </cfRule>
    <cfRule type="cellIs" dxfId="1" priority="3530" operator="greaterThan">
      <formula>120</formula>
    </cfRule>
    <cfRule type="containsText" dxfId="0" priority="915" operator="between" text="库存为">
      <formula>NOT(ISERROR(SEARCH("库存为",AU1706)))</formula>
    </cfRule>
  </conditionalFormatting>
  <conditionalFormatting sqref="AU1707">
    <cfRule type="cellIs" dxfId="2" priority="6144" operator="lessThan">
      <formula>20</formula>
    </cfRule>
    <cfRule type="cellIs" dxfId="1" priority="3529" operator="greaterThan">
      <formula>120</formula>
    </cfRule>
    <cfRule type="containsText" dxfId="0" priority="914" operator="between" text="库存为">
      <formula>NOT(ISERROR(SEARCH("库存为",AU1707)))</formula>
    </cfRule>
  </conditionalFormatting>
  <conditionalFormatting sqref="AU1708">
    <cfRule type="cellIs" dxfId="2" priority="6143" operator="lessThan">
      <formula>20</formula>
    </cfRule>
    <cfRule type="cellIs" dxfId="1" priority="3528" operator="greaterThan">
      <formula>120</formula>
    </cfRule>
    <cfRule type="containsText" dxfId="0" priority="913" operator="between" text="库存为">
      <formula>NOT(ISERROR(SEARCH("库存为",AU1708)))</formula>
    </cfRule>
  </conditionalFormatting>
  <conditionalFormatting sqref="AU1709">
    <cfRule type="cellIs" dxfId="2" priority="6142" operator="lessThan">
      <formula>20</formula>
    </cfRule>
    <cfRule type="cellIs" dxfId="1" priority="3527" operator="greaterThan">
      <formula>120</formula>
    </cfRule>
    <cfRule type="containsText" dxfId="0" priority="912" operator="between" text="库存为">
      <formula>NOT(ISERROR(SEARCH("库存为",AU1709)))</formula>
    </cfRule>
  </conditionalFormatting>
  <conditionalFormatting sqref="AU1710">
    <cfRule type="cellIs" dxfId="2" priority="6141" operator="lessThan">
      <formula>20</formula>
    </cfRule>
    <cfRule type="cellIs" dxfId="1" priority="3526" operator="greaterThan">
      <formula>120</formula>
    </cfRule>
    <cfRule type="containsText" dxfId="0" priority="911" operator="between" text="库存为">
      <formula>NOT(ISERROR(SEARCH("库存为",AU1710)))</formula>
    </cfRule>
  </conditionalFormatting>
  <conditionalFormatting sqref="AU1711">
    <cfRule type="cellIs" dxfId="2" priority="6140" operator="lessThan">
      <formula>20</formula>
    </cfRule>
    <cfRule type="cellIs" dxfId="1" priority="3525" operator="greaterThan">
      <formula>120</formula>
    </cfRule>
    <cfRule type="containsText" dxfId="0" priority="910" operator="between" text="库存为">
      <formula>NOT(ISERROR(SEARCH("库存为",AU1711)))</formula>
    </cfRule>
  </conditionalFormatting>
  <conditionalFormatting sqref="AU1712">
    <cfRule type="cellIs" dxfId="2" priority="6139" operator="lessThan">
      <formula>20</formula>
    </cfRule>
    <cfRule type="cellIs" dxfId="1" priority="3524" operator="greaterThan">
      <formula>120</formula>
    </cfRule>
    <cfRule type="containsText" dxfId="0" priority="909" operator="between" text="库存为">
      <formula>NOT(ISERROR(SEARCH("库存为",AU1712)))</formula>
    </cfRule>
  </conditionalFormatting>
  <conditionalFormatting sqref="AU1713">
    <cfRule type="cellIs" dxfId="2" priority="6138" operator="lessThan">
      <formula>20</formula>
    </cfRule>
    <cfRule type="cellIs" dxfId="1" priority="3523" operator="greaterThan">
      <formula>120</formula>
    </cfRule>
    <cfRule type="containsText" dxfId="0" priority="908" operator="between" text="库存为">
      <formula>NOT(ISERROR(SEARCH("库存为",AU1713)))</formula>
    </cfRule>
  </conditionalFormatting>
  <conditionalFormatting sqref="AU1714">
    <cfRule type="cellIs" dxfId="2" priority="6137" operator="lessThan">
      <formula>20</formula>
    </cfRule>
    <cfRule type="cellIs" dxfId="1" priority="3522" operator="greaterThan">
      <formula>120</formula>
    </cfRule>
    <cfRule type="containsText" dxfId="0" priority="907" operator="between" text="库存为">
      <formula>NOT(ISERROR(SEARCH("库存为",AU1714)))</formula>
    </cfRule>
  </conditionalFormatting>
  <conditionalFormatting sqref="AU1715">
    <cfRule type="cellIs" dxfId="2" priority="6136" operator="lessThan">
      <formula>20</formula>
    </cfRule>
    <cfRule type="cellIs" dxfId="1" priority="3521" operator="greaterThan">
      <formula>120</formula>
    </cfRule>
    <cfRule type="containsText" dxfId="0" priority="906" operator="between" text="库存为">
      <formula>NOT(ISERROR(SEARCH("库存为",AU1715)))</formula>
    </cfRule>
  </conditionalFormatting>
  <conditionalFormatting sqref="AU1716">
    <cfRule type="cellIs" dxfId="2" priority="6135" operator="lessThan">
      <formula>20</formula>
    </cfRule>
    <cfRule type="cellIs" dxfId="1" priority="3520" operator="greaterThan">
      <formula>120</formula>
    </cfRule>
    <cfRule type="containsText" dxfId="0" priority="905" operator="between" text="库存为">
      <formula>NOT(ISERROR(SEARCH("库存为",AU1716)))</formula>
    </cfRule>
  </conditionalFormatting>
  <conditionalFormatting sqref="AU1717">
    <cfRule type="cellIs" dxfId="2" priority="6134" operator="lessThan">
      <formula>20</formula>
    </cfRule>
    <cfRule type="cellIs" dxfId="1" priority="3519" operator="greaterThan">
      <formula>120</formula>
    </cfRule>
    <cfRule type="containsText" dxfId="0" priority="904" operator="between" text="库存为">
      <formula>NOT(ISERROR(SEARCH("库存为",AU1717)))</formula>
    </cfRule>
  </conditionalFormatting>
  <conditionalFormatting sqref="AU1718">
    <cfRule type="cellIs" dxfId="2" priority="6133" operator="lessThan">
      <formula>20</formula>
    </cfRule>
    <cfRule type="cellIs" dxfId="1" priority="3518" operator="greaterThan">
      <formula>120</formula>
    </cfRule>
    <cfRule type="containsText" dxfId="0" priority="903" operator="between" text="库存为">
      <formula>NOT(ISERROR(SEARCH("库存为",AU1718)))</formula>
    </cfRule>
  </conditionalFormatting>
  <conditionalFormatting sqref="AU1719">
    <cfRule type="cellIs" dxfId="2" priority="6132" operator="lessThan">
      <formula>20</formula>
    </cfRule>
    <cfRule type="cellIs" dxfId="1" priority="3517" operator="greaterThan">
      <formula>120</formula>
    </cfRule>
    <cfRule type="containsText" dxfId="0" priority="902" operator="between" text="库存为">
      <formula>NOT(ISERROR(SEARCH("库存为",AU1719)))</formula>
    </cfRule>
  </conditionalFormatting>
  <conditionalFormatting sqref="AU1720">
    <cfRule type="cellIs" dxfId="2" priority="6131" operator="lessThan">
      <formula>20</formula>
    </cfRule>
    <cfRule type="cellIs" dxfId="1" priority="3516" operator="greaterThan">
      <formula>120</formula>
    </cfRule>
    <cfRule type="containsText" dxfId="0" priority="901" operator="between" text="库存为">
      <formula>NOT(ISERROR(SEARCH("库存为",AU1720)))</formula>
    </cfRule>
  </conditionalFormatting>
  <conditionalFormatting sqref="AU1721">
    <cfRule type="cellIs" dxfId="2" priority="6130" operator="lessThan">
      <formula>20</formula>
    </cfRule>
    <cfRule type="cellIs" dxfId="1" priority="3515" operator="greaterThan">
      <formula>120</formula>
    </cfRule>
    <cfRule type="containsText" dxfId="0" priority="900" operator="between" text="库存为">
      <formula>NOT(ISERROR(SEARCH("库存为",AU1721)))</formula>
    </cfRule>
  </conditionalFormatting>
  <conditionalFormatting sqref="AU1722">
    <cfRule type="cellIs" dxfId="2" priority="6129" operator="lessThan">
      <formula>20</formula>
    </cfRule>
    <cfRule type="cellIs" dxfId="1" priority="3514" operator="greaterThan">
      <formula>120</formula>
    </cfRule>
    <cfRule type="containsText" dxfId="0" priority="899" operator="between" text="库存为">
      <formula>NOT(ISERROR(SEARCH("库存为",AU1722)))</formula>
    </cfRule>
  </conditionalFormatting>
  <conditionalFormatting sqref="AU1723">
    <cfRule type="cellIs" dxfId="2" priority="6128" operator="lessThan">
      <formula>20</formula>
    </cfRule>
    <cfRule type="cellIs" dxfId="1" priority="3513" operator="greaterThan">
      <formula>120</formula>
    </cfRule>
    <cfRule type="containsText" dxfId="0" priority="898" operator="between" text="库存为">
      <formula>NOT(ISERROR(SEARCH("库存为",AU1723)))</formula>
    </cfRule>
  </conditionalFormatting>
  <conditionalFormatting sqref="AU1724">
    <cfRule type="cellIs" dxfId="2" priority="6127" operator="lessThan">
      <formula>20</formula>
    </cfRule>
    <cfRule type="cellIs" dxfId="1" priority="3512" operator="greaterThan">
      <formula>120</formula>
    </cfRule>
    <cfRule type="containsText" dxfId="0" priority="897" operator="between" text="库存为">
      <formula>NOT(ISERROR(SEARCH("库存为",AU1724)))</formula>
    </cfRule>
  </conditionalFormatting>
  <conditionalFormatting sqref="AU1725">
    <cfRule type="cellIs" dxfId="2" priority="6126" operator="lessThan">
      <formula>20</formula>
    </cfRule>
    <cfRule type="cellIs" dxfId="1" priority="3511" operator="greaterThan">
      <formula>120</formula>
    </cfRule>
    <cfRule type="containsText" dxfId="0" priority="896" operator="between" text="库存为">
      <formula>NOT(ISERROR(SEARCH("库存为",AU1725)))</formula>
    </cfRule>
  </conditionalFormatting>
  <conditionalFormatting sqref="AU1726">
    <cfRule type="cellIs" dxfId="2" priority="6125" operator="lessThan">
      <formula>20</formula>
    </cfRule>
    <cfRule type="cellIs" dxfId="1" priority="3510" operator="greaterThan">
      <formula>120</formula>
    </cfRule>
    <cfRule type="containsText" dxfId="0" priority="895" operator="between" text="库存为">
      <formula>NOT(ISERROR(SEARCH("库存为",AU1726)))</formula>
    </cfRule>
  </conditionalFormatting>
  <conditionalFormatting sqref="AU1727">
    <cfRule type="cellIs" dxfId="2" priority="6124" operator="lessThan">
      <formula>20</formula>
    </cfRule>
    <cfRule type="cellIs" dxfId="1" priority="3509" operator="greaterThan">
      <formula>120</formula>
    </cfRule>
    <cfRule type="containsText" dxfId="0" priority="894" operator="between" text="库存为">
      <formula>NOT(ISERROR(SEARCH("库存为",AU1727)))</formula>
    </cfRule>
  </conditionalFormatting>
  <conditionalFormatting sqref="AU1728">
    <cfRule type="cellIs" dxfId="2" priority="6123" operator="lessThan">
      <formula>20</formula>
    </cfRule>
    <cfRule type="cellIs" dxfId="1" priority="3508" operator="greaterThan">
      <formula>120</formula>
    </cfRule>
    <cfRule type="containsText" dxfId="0" priority="893" operator="between" text="库存为">
      <formula>NOT(ISERROR(SEARCH("库存为",AU1728)))</formula>
    </cfRule>
  </conditionalFormatting>
  <conditionalFormatting sqref="AU1729">
    <cfRule type="cellIs" dxfId="2" priority="6122" operator="lessThan">
      <formula>20</formula>
    </cfRule>
    <cfRule type="cellIs" dxfId="1" priority="3507" operator="greaterThan">
      <formula>120</formula>
    </cfRule>
    <cfRule type="containsText" dxfId="0" priority="892" operator="between" text="库存为">
      <formula>NOT(ISERROR(SEARCH("库存为",AU1729)))</formula>
    </cfRule>
  </conditionalFormatting>
  <conditionalFormatting sqref="AU1730">
    <cfRule type="cellIs" dxfId="2" priority="6121" operator="lessThan">
      <formula>20</formula>
    </cfRule>
    <cfRule type="cellIs" dxfId="1" priority="3506" operator="greaterThan">
      <formula>120</formula>
    </cfRule>
    <cfRule type="containsText" dxfId="0" priority="891" operator="between" text="库存为">
      <formula>NOT(ISERROR(SEARCH("库存为",AU1730)))</formula>
    </cfRule>
  </conditionalFormatting>
  <conditionalFormatting sqref="AU1731">
    <cfRule type="cellIs" dxfId="2" priority="6120" operator="lessThan">
      <formula>20</formula>
    </cfRule>
    <cfRule type="cellIs" dxfId="1" priority="3505" operator="greaterThan">
      <formula>120</formula>
    </cfRule>
    <cfRule type="containsText" dxfId="0" priority="890" operator="between" text="库存为">
      <formula>NOT(ISERROR(SEARCH("库存为",AU1731)))</formula>
    </cfRule>
  </conditionalFormatting>
  <conditionalFormatting sqref="AU1732">
    <cfRule type="cellIs" dxfId="2" priority="6119" operator="lessThan">
      <formula>20</formula>
    </cfRule>
    <cfRule type="cellIs" dxfId="1" priority="3504" operator="greaterThan">
      <formula>120</formula>
    </cfRule>
    <cfRule type="containsText" dxfId="0" priority="889" operator="between" text="库存为">
      <formula>NOT(ISERROR(SEARCH("库存为",AU1732)))</formula>
    </cfRule>
  </conditionalFormatting>
  <conditionalFormatting sqref="AU1733">
    <cfRule type="cellIs" dxfId="2" priority="6118" operator="lessThan">
      <formula>20</formula>
    </cfRule>
    <cfRule type="cellIs" dxfId="1" priority="3503" operator="greaterThan">
      <formula>120</formula>
    </cfRule>
    <cfRule type="containsText" dxfId="0" priority="888" operator="between" text="库存为">
      <formula>NOT(ISERROR(SEARCH("库存为",AU1733)))</formula>
    </cfRule>
  </conditionalFormatting>
  <conditionalFormatting sqref="AU1734">
    <cfRule type="cellIs" dxfId="2" priority="6117" operator="lessThan">
      <formula>20</formula>
    </cfRule>
    <cfRule type="cellIs" dxfId="1" priority="3502" operator="greaterThan">
      <formula>120</formula>
    </cfRule>
    <cfRule type="containsText" dxfId="0" priority="887" operator="between" text="库存为">
      <formula>NOT(ISERROR(SEARCH("库存为",AU1734)))</formula>
    </cfRule>
  </conditionalFormatting>
  <conditionalFormatting sqref="AU1735">
    <cfRule type="cellIs" dxfId="2" priority="6116" operator="lessThan">
      <formula>20</formula>
    </cfRule>
    <cfRule type="cellIs" dxfId="1" priority="3501" operator="greaterThan">
      <formula>120</formula>
    </cfRule>
    <cfRule type="containsText" dxfId="0" priority="886" operator="between" text="库存为">
      <formula>NOT(ISERROR(SEARCH("库存为",AU1735)))</formula>
    </cfRule>
  </conditionalFormatting>
  <conditionalFormatting sqref="AU1736">
    <cfRule type="cellIs" dxfId="2" priority="6115" operator="lessThan">
      <formula>20</formula>
    </cfRule>
    <cfRule type="cellIs" dxfId="1" priority="3500" operator="greaterThan">
      <formula>120</formula>
    </cfRule>
    <cfRule type="containsText" dxfId="0" priority="885" operator="between" text="库存为">
      <formula>NOT(ISERROR(SEARCH("库存为",AU1736)))</formula>
    </cfRule>
  </conditionalFormatting>
  <conditionalFormatting sqref="AU1737">
    <cfRule type="cellIs" dxfId="2" priority="6114" operator="lessThan">
      <formula>20</formula>
    </cfRule>
    <cfRule type="cellIs" dxfId="1" priority="3499" operator="greaterThan">
      <formula>120</formula>
    </cfRule>
    <cfRule type="containsText" dxfId="0" priority="884" operator="between" text="库存为">
      <formula>NOT(ISERROR(SEARCH("库存为",AU1737)))</formula>
    </cfRule>
  </conditionalFormatting>
  <conditionalFormatting sqref="AU1738">
    <cfRule type="cellIs" dxfId="2" priority="6113" operator="lessThan">
      <formula>20</formula>
    </cfRule>
    <cfRule type="cellIs" dxfId="1" priority="3498" operator="greaterThan">
      <formula>120</formula>
    </cfRule>
    <cfRule type="containsText" dxfId="0" priority="883" operator="between" text="库存为">
      <formula>NOT(ISERROR(SEARCH("库存为",AU1738)))</formula>
    </cfRule>
  </conditionalFormatting>
  <conditionalFormatting sqref="AU1739">
    <cfRule type="cellIs" dxfId="2" priority="6112" operator="lessThan">
      <formula>20</formula>
    </cfRule>
    <cfRule type="cellIs" dxfId="1" priority="3497" operator="greaterThan">
      <formula>120</formula>
    </cfRule>
    <cfRule type="containsText" dxfId="0" priority="882" operator="between" text="库存为">
      <formula>NOT(ISERROR(SEARCH("库存为",AU1739)))</formula>
    </cfRule>
  </conditionalFormatting>
  <conditionalFormatting sqref="AU1740">
    <cfRule type="cellIs" dxfId="2" priority="6111" operator="lessThan">
      <formula>20</formula>
    </cfRule>
    <cfRule type="cellIs" dxfId="1" priority="3496" operator="greaterThan">
      <formula>120</formula>
    </cfRule>
    <cfRule type="containsText" dxfId="0" priority="881" operator="between" text="库存为">
      <formula>NOT(ISERROR(SEARCH("库存为",AU1740)))</formula>
    </cfRule>
  </conditionalFormatting>
  <conditionalFormatting sqref="AU1741">
    <cfRule type="cellIs" dxfId="2" priority="6110" operator="lessThan">
      <formula>20</formula>
    </cfRule>
    <cfRule type="cellIs" dxfId="1" priority="3495" operator="greaterThan">
      <formula>120</formula>
    </cfRule>
    <cfRule type="containsText" dxfId="0" priority="880" operator="between" text="库存为">
      <formula>NOT(ISERROR(SEARCH("库存为",AU1741)))</formula>
    </cfRule>
  </conditionalFormatting>
  <conditionalFormatting sqref="AU1742">
    <cfRule type="cellIs" dxfId="2" priority="6109" operator="lessThan">
      <formula>20</formula>
    </cfRule>
    <cfRule type="cellIs" dxfId="1" priority="3494" operator="greaterThan">
      <formula>120</formula>
    </cfRule>
    <cfRule type="containsText" dxfId="0" priority="879" operator="between" text="库存为">
      <formula>NOT(ISERROR(SEARCH("库存为",AU1742)))</formula>
    </cfRule>
  </conditionalFormatting>
  <conditionalFormatting sqref="AU1743">
    <cfRule type="cellIs" dxfId="2" priority="6108" operator="lessThan">
      <formula>20</formula>
    </cfRule>
    <cfRule type="cellIs" dxfId="1" priority="3493" operator="greaterThan">
      <formula>120</formula>
    </cfRule>
    <cfRule type="containsText" dxfId="0" priority="878" operator="between" text="库存为">
      <formula>NOT(ISERROR(SEARCH("库存为",AU1743)))</formula>
    </cfRule>
  </conditionalFormatting>
  <conditionalFormatting sqref="AU1744">
    <cfRule type="cellIs" dxfId="2" priority="6107" operator="lessThan">
      <formula>20</formula>
    </cfRule>
    <cfRule type="cellIs" dxfId="1" priority="3492" operator="greaterThan">
      <formula>120</formula>
    </cfRule>
    <cfRule type="containsText" dxfId="0" priority="877" operator="between" text="库存为">
      <formula>NOT(ISERROR(SEARCH("库存为",AU1744)))</formula>
    </cfRule>
  </conditionalFormatting>
  <conditionalFormatting sqref="AU1745">
    <cfRule type="cellIs" dxfId="2" priority="6106" operator="lessThan">
      <formula>20</formula>
    </cfRule>
    <cfRule type="cellIs" dxfId="1" priority="3491" operator="greaterThan">
      <formula>120</formula>
    </cfRule>
    <cfRule type="containsText" dxfId="0" priority="876" operator="between" text="库存为">
      <formula>NOT(ISERROR(SEARCH("库存为",AU1745)))</formula>
    </cfRule>
  </conditionalFormatting>
  <conditionalFormatting sqref="AU1746">
    <cfRule type="cellIs" dxfId="2" priority="6105" operator="lessThan">
      <formula>20</formula>
    </cfRule>
    <cfRule type="cellIs" dxfId="1" priority="3490" operator="greaterThan">
      <formula>120</formula>
    </cfRule>
    <cfRule type="containsText" dxfId="0" priority="875" operator="between" text="库存为">
      <formula>NOT(ISERROR(SEARCH("库存为",AU1746)))</formula>
    </cfRule>
  </conditionalFormatting>
  <conditionalFormatting sqref="AU1747">
    <cfRule type="cellIs" dxfId="2" priority="6104" operator="lessThan">
      <formula>20</formula>
    </cfRule>
    <cfRule type="cellIs" dxfId="1" priority="3489" operator="greaterThan">
      <formula>120</formula>
    </cfRule>
    <cfRule type="containsText" dxfId="0" priority="874" operator="between" text="库存为">
      <formula>NOT(ISERROR(SEARCH("库存为",AU1747)))</formula>
    </cfRule>
  </conditionalFormatting>
  <conditionalFormatting sqref="AU1748">
    <cfRule type="cellIs" dxfId="2" priority="6103" operator="lessThan">
      <formula>20</formula>
    </cfRule>
    <cfRule type="cellIs" dxfId="1" priority="3488" operator="greaterThan">
      <formula>120</formula>
    </cfRule>
    <cfRule type="containsText" dxfId="0" priority="873" operator="between" text="库存为">
      <formula>NOT(ISERROR(SEARCH("库存为",AU1748)))</formula>
    </cfRule>
  </conditionalFormatting>
  <conditionalFormatting sqref="AU1749">
    <cfRule type="cellIs" dxfId="2" priority="6102" operator="lessThan">
      <formula>20</formula>
    </cfRule>
    <cfRule type="cellIs" dxfId="1" priority="3487" operator="greaterThan">
      <formula>120</formula>
    </cfRule>
    <cfRule type="containsText" dxfId="0" priority="872" operator="between" text="库存为">
      <formula>NOT(ISERROR(SEARCH("库存为",AU1749)))</formula>
    </cfRule>
  </conditionalFormatting>
  <conditionalFormatting sqref="AU1750">
    <cfRule type="cellIs" dxfId="2" priority="6101" operator="lessThan">
      <formula>20</formula>
    </cfRule>
    <cfRule type="cellIs" dxfId="1" priority="3486" operator="greaterThan">
      <formula>120</formula>
    </cfRule>
    <cfRule type="containsText" dxfId="0" priority="871" operator="between" text="库存为">
      <formula>NOT(ISERROR(SEARCH("库存为",AU1750)))</formula>
    </cfRule>
  </conditionalFormatting>
  <conditionalFormatting sqref="AU1751">
    <cfRule type="cellIs" dxfId="2" priority="6100" operator="lessThan">
      <formula>20</formula>
    </cfRule>
    <cfRule type="cellIs" dxfId="1" priority="3485" operator="greaterThan">
      <formula>120</formula>
    </cfRule>
    <cfRule type="containsText" dxfId="0" priority="870" operator="between" text="库存为">
      <formula>NOT(ISERROR(SEARCH("库存为",AU1751)))</formula>
    </cfRule>
  </conditionalFormatting>
  <conditionalFormatting sqref="AU1752">
    <cfRule type="cellIs" dxfId="2" priority="6099" operator="lessThan">
      <formula>20</formula>
    </cfRule>
    <cfRule type="cellIs" dxfId="1" priority="3484" operator="greaterThan">
      <formula>120</formula>
    </cfRule>
    <cfRule type="containsText" dxfId="0" priority="869" operator="between" text="库存为">
      <formula>NOT(ISERROR(SEARCH("库存为",AU1752)))</formula>
    </cfRule>
  </conditionalFormatting>
  <conditionalFormatting sqref="AU1753">
    <cfRule type="cellIs" dxfId="2" priority="6098" operator="lessThan">
      <formula>20</formula>
    </cfRule>
    <cfRule type="cellIs" dxfId="1" priority="3483" operator="greaterThan">
      <formula>120</formula>
    </cfRule>
    <cfRule type="containsText" dxfId="0" priority="868" operator="between" text="库存为">
      <formula>NOT(ISERROR(SEARCH("库存为",AU1753)))</formula>
    </cfRule>
  </conditionalFormatting>
  <conditionalFormatting sqref="AU1754">
    <cfRule type="cellIs" dxfId="2" priority="6097" operator="lessThan">
      <formula>20</formula>
    </cfRule>
    <cfRule type="cellIs" dxfId="1" priority="3482" operator="greaterThan">
      <formula>120</formula>
    </cfRule>
    <cfRule type="containsText" dxfId="0" priority="867" operator="between" text="库存为">
      <formula>NOT(ISERROR(SEARCH("库存为",AU1754)))</formula>
    </cfRule>
  </conditionalFormatting>
  <conditionalFormatting sqref="AU1755">
    <cfRule type="cellIs" dxfId="2" priority="6096" operator="lessThan">
      <formula>20</formula>
    </cfRule>
    <cfRule type="cellIs" dxfId="1" priority="3481" operator="greaterThan">
      <formula>120</formula>
    </cfRule>
    <cfRule type="containsText" dxfId="0" priority="866" operator="between" text="库存为">
      <formula>NOT(ISERROR(SEARCH("库存为",AU1755)))</formula>
    </cfRule>
  </conditionalFormatting>
  <conditionalFormatting sqref="AU1756">
    <cfRule type="cellIs" dxfId="2" priority="6095" operator="lessThan">
      <formula>20</formula>
    </cfRule>
    <cfRule type="cellIs" dxfId="1" priority="3480" operator="greaterThan">
      <formula>120</formula>
    </cfRule>
    <cfRule type="containsText" dxfId="0" priority="865" operator="between" text="库存为">
      <formula>NOT(ISERROR(SEARCH("库存为",AU1756)))</formula>
    </cfRule>
  </conditionalFormatting>
  <conditionalFormatting sqref="AU1757">
    <cfRule type="cellIs" dxfId="2" priority="6094" operator="lessThan">
      <formula>20</formula>
    </cfRule>
    <cfRule type="cellIs" dxfId="1" priority="3479" operator="greaterThan">
      <formula>120</formula>
    </cfRule>
    <cfRule type="containsText" dxfId="0" priority="864" operator="between" text="库存为">
      <formula>NOT(ISERROR(SEARCH("库存为",AU1757)))</formula>
    </cfRule>
  </conditionalFormatting>
  <conditionalFormatting sqref="AU1758">
    <cfRule type="cellIs" dxfId="2" priority="6093" operator="lessThan">
      <formula>20</formula>
    </cfRule>
    <cfRule type="cellIs" dxfId="1" priority="3478" operator="greaterThan">
      <formula>120</formula>
    </cfRule>
    <cfRule type="containsText" dxfId="0" priority="863" operator="between" text="库存为">
      <formula>NOT(ISERROR(SEARCH("库存为",AU1758)))</formula>
    </cfRule>
  </conditionalFormatting>
  <conditionalFormatting sqref="AU1759">
    <cfRule type="cellIs" dxfId="2" priority="6092" operator="lessThan">
      <formula>20</formula>
    </cfRule>
    <cfRule type="cellIs" dxfId="1" priority="3477" operator="greaterThan">
      <formula>120</formula>
    </cfRule>
    <cfRule type="containsText" dxfId="0" priority="862" operator="between" text="库存为">
      <formula>NOT(ISERROR(SEARCH("库存为",AU1759)))</formula>
    </cfRule>
  </conditionalFormatting>
  <conditionalFormatting sqref="AU1760">
    <cfRule type="cellIs" dxfId="2" priority="6091" operator="lessThan">
      <formula>20</formula>
    </cfRule>
    <cfRule type="cellIs" dxfId="1" priority="3476" operator="greaterThan">
      <formula>120</formula>
    </cfRule>
    <cfRule type="containsText" dxfId="0" priority="861" operator="between" text="库存为">
      <formula>NOT(ISERROR(SEARCH("库存为",AU1760)))</formula>
    </cfRule>
  </conditionalFormatting>
  <conditionalFormatting sqref="AU1761">
    <cfRule type="cellIs" dxfId="2" priority="6090" operator="lessThan">
      <formula>20</formula>
    </cfRule>
    <cfRule type="cellIs" dxfId="1" priority="3475" operator="greaterThan">
      <formula>120</formula>
    </cfRule>
    <cfRule type="containsText" dxfId="0" priority="860" operator="between" text="库存为">
      <formula>NOT(ISERROR(SEARCH("库存为",AU1761)))</formula>
    </cfRule>
  </conditionalFormatting>
  <conditionalFormatting sqref="AU1762">
    <cfRule type="cellIs" dxfId="2" priority="6089" operator="lessThan">
      <formula>20</formula>
    </cfRule>
    <cfRule type="cellIs" dxfId="1" priority="3474" operator="greaterThan">
      <formula>120</formula>
    </cfRule>
    <cfRule type="containsText" dxfId="0" priority="859" operator="between" text="库存为">
      <formula>NOT(ISERROR(SEARCH("库存为",AU1762)))</formula>
    </cfRule>
  </conditionalFormatting>
  <conditionalFormatting sqref="AU1763">
    <cfRule type="cellIs" dxfId="2" priority="6088" operator="lessThan">
      <formula>20</formula>
    </cfRule>
    <cfRule type="cellIs" dxfId="1" priority="3473" operator="greaterThan">
      <formula>120</formula>
    </cfRule>
    <cfRule type="containsText" dxfId="0" priority="858" operator="between" text="库存为">
      <formula>NOT(ISERROR(SEARCH("库存为",AU1763)))</formula>
    </cfRule>
  </conditionalFormatting>
  <conditionalFormatting sqref="AU1764">
    <cfRule type="cellIs" dxfId="2" priority="6087" operator="lessThan">
      <formula>20</formula>
    </cfRule>
    <cfRule type="cellIs" dxfId="1" priority="3472" operator="greaterThan">
      <formula>120</formula>
    </cfRule>
    <cfRule type="containsText" dxfId="0" priority="857" operator="between" text="库存为">
      <formula>NOT(ISERROR(SEARCH("库存为",AU1764)))</formula>
    </cfRule>
  </conditionalFormatting>
  <conditionalFormatting sqref="AU1765">
    <cfRule type="cellIs" dxfId="2" priority="6086" operator="lessThan">
      <formula>20</formula>
    </cfRule>
    <cfRule type="cellIs" dxfId="1" priority="3471" operator="greaterThan">
      <formula>120</formula>
    </cfRule>
    <cfRule type="containsText" dxfId="0" priority="856" operator="between" text="库存为">
      <formula>NOT(ISERROR(SEARCH("库存为",AU1765)))</formula>
    </cfRule>
  </conditionalFormatting>
  <conditionalFormatting sqref="AU1766">
    <cfRule type="cellIs" dxfId="2" priority="6085" operator="lessThan">
      <formula>20</formula>
    </cfRule>
    <cfRule type="cellIs" dxfId="1" priority="3470" operator="greaterThan">
      <formula>120</formula>
    </cfRule>
    <cfRule type="containsText" dxfId="0" priority="855" operator="between" text="库存为">
      <formula>NOT(ISERROR(SEARCH("库存为",AU1766)))</formula>
    </cfRule>
  </conditionalFormatting>
  <conditionalFormatting sqref="AU1767">
    <cfRule type="cellIs" dxfId="2" priority="6084" operator="lessThan">
      <formula>20</formula>
    </cfRule>
    <cfRule type="cellIs" dxfId="1" priority="3469" operator="greaterThan">
      <formula>120</formula>
    </cfRule>
    <cfRule type="containsText" dxfId="0" priority="854" operator="between" text="库存为">
      <formula>NOT(ISERROR(SEARCH("库存为",AU1767)))</formula>
    </cfRule>
  </conditionalFormatting>
  <conditionalFormatting sqref="AU1768">
    <cfRule type="cellIs" dxfId="2" priority="6083" operator="lessThan">
      <formula>20</formula>
    </cfRule>
    <cfRule type="cellIs" dxfId="1" priority="3468" operator="greaterThan">
      <formula>120</formula>
    </cfRule>
    <cfRule type="containsText" dxfId="0" priority="853" operator="between" text="库存为">
      <formula>NOT(ISERROR(SEARCH("库存为",AU1768)))</formula>
    </cfRule>
  </conditionalFormatting>
  <conditionalFormatting sqref="AU1769">
    <cfRule type="cellIs" dxfId="2" priority="6082" operator="lessThan">
      <formula>20</formula>
    </cfRule>
    <cfRule type="cellIs" dxfId="1" priority="3467" operator="greaterThan">
      <formula>120</formula>
    </cfRule>
    <cfRule type="containsText" dxfId="0" priority="852" operator="between" text="库存为">
      <formula>NOT(ISERROR(SEARCH("库存为",AU1769)))</formula>
    </cfRule>
  </conditionalFormatting>
  <conditionalFormatting sqref="AU1770">
    <cfRule type="cellIs" dxfId="2" priority="6081" operator="lessThan">
      <formula>20</formula>
    </cfRule>
    <cfRule type="cellIs" dxfId="1" priority="3466" operator="greaterThan">
      <formula>120</formula>
    </cfRule>
    <cfRule type="containsText" dxfId="0" priority="851" operator="between" text="库存为">
      <formula>NOT(ISERROR(SEARCH("库存为",AU1770)))</formula>
    </cfRule>
  </conditionalFormatting>
  <conditionalFormatting sqref="AU1771">
    <cfRule type="cellIs" dxfId="2" priority="6080" operator="lessThan">
      <formula>20</formula>
    </cfRule>
    <cfRule type="cellIs" dxfId="1" priority="3465" operator="greaterThan">
      <formula>120</formula>
    </cfRule>
    <cfRule type="containsText" dxfId="0" priority="850" operator="between" text="库存为">
      <formula>NOT(ISERROR(SEARCH("库存为",AU1771)))</formula>
    </cfRule>
  </conditionalFormatting>
  <conditionalFormatting sqref="AU1772">
    <cfRule type="cellIs" dxfId="2" priority="6079" operator="lessThan">
      <formula>20</formula>
    </cfRule>
    <cfRule type="cellIs" dxfId="1" priority="3464" operator="greaterThan">
      <formula>120</formula>
    </cfRule>
    <cfRule type="containsText" dxfId="0" priority="849" operator="between" text="库存为">
      <formula>NOT(ISERROR(SEARCH("库存为",AU1772)))</formula>
    </cfRule>
  </conditionalFormatting>
  <conditionalFormatting sqref="AU1773">
    <cfRule type="cellIs" dxfId="2" priority="6078" operator="lessThan">
      <formula>20</formula>
    </cfRule>
    <cfRule type="cellIs" dxfId="1" priority="3463" operator="greaterThan">
      <formula>120</formula>
    </cfRule>
    <cfRule type="containsText" dxfId="0" priority="848" operator="between" text="库存为">
      <formula>NOT(ISERROR(SEARCH("库存为",AU1773)))</formula>
    </cfRule>
  </conditionalFormatting>
  <conditionalFormatting sqref="AU1774">
    <cfRule type="cellIs" dxfId="2" priority="6077" operator="lessThan">
      <formula>20</formula>
    </cfRule>
    <cfRule type="cellIs" dxfId="1" priority="3462" operator="greaterThan">
      <formula>120</formula>
    </cfRule>
    <cfRule type="containsText" dxfId="0" priority="847" operator="between" text="库存为">
      <formula>NOT(ISERROR(SEARCH("库存为",AU1774)))</formula>
    </cfRule>
  </conditionalFormatting>
  <conditionalFormatting sqref="AU1775">
    <cfRule type="cellIs" dxfId="2" priority="6076" operator="lessThan">
      <formula>20</formula>
    </cfRule>
    <cfRule type="cellIs" dxfId="1" priority="3461" operator="greaterThan">
      <formula>120</formula>
    </cfRule>
    <cfRule type="containsText" dxfId="0" priority="846" operator="between" text="库存为">
      <formula>NOT(ISERROR(SEARCH("库存为",AU1775)))</formula>
    </cfRule>
  </conditionalFormatting>
  <conditionalFormatting sqref="AU1776">
    <cfRule type="cellIs" dxfId="2" priority="6075" operator="lessThan">
      <formula>20</formula>
    </cfRule>
    <cfRule type="cellIs" dxfId="1" priority="3460" operator="greaterThan">
      <formula>120</formula>
    </cfRule>
    <cfRule type="containsText" dxfId="0" priority="845" operator="between" text="库存为">
      <formula>NOT(ISERROR(SEARCH("库存为",AU1776)))</formula>
    </cfRule>
  </conditionalFormatting>
  <conditionalFormatting sqref="AU1777">
    <cfRule type="cellIs" dxfId="2" priority="6074" operator="lessThan">
      <formula>20</formula>
    </cfRule>
    <cfRule type="cellIs" dxfId="1" priority="3459" operator="greaterThan">
      <formula>120</formula>
    </cfRule>
    <cfRule type="containsText" dxfId="0" priority="844" operator="between" text="库存为">
      <formula>NOT(ISERROR(SEARCH("库存为",AU1777)))</formula>
    </cfRule>
  </conditionalFormatting>
  <conditionalFormatting sqref="AU1778">
    <cfRule type="cellIs" dxfId="2" priority="6073" operator="lessThan">
      <formula>20</formula>
    </cfRule>
    <cfRule type="cellIs" dxfId="1" priority="3458" operator="greaterThan">
      <formula>120</formula>
    </cfRule>
    <cfRule type="containsText" dxfId="0" priority="843" operator="between" text="库存为">
      <formula>NOT(ISERROR(SEARCH("库存为",AU1778)))</formula>
    </cfRule>
  </conditionalFormatting>
  <conditionalFormatting sqref="AU1779">
    <cfRule type="cellIs" dxfId="2" priority="6072" operator="lessThan">
      <formula>20</formula>
    </cfRule>
    <cfRule type="cellIs" dxfId="1" priority="3457" operator="greaterThan">
      <formula>120</formula>
    </cfRule>
    <cfRule type="containsText" dxfId="0" priority="842" operator="between" text="库存为">
      <formula>NOT(ISERROR(SEARCH("库存为",AU1779)))</formula>
    </cfRule>
  </conditionalFormatting>
  <conditionalFormatting sqref="AU1780">
    <cfRule type="cellIs" dxfId="2" priority="6071" operator="lessThan">
      <formula>20</formula>
    </cfRule>
    <cfRule type="cellIs" dxfId="1" priority="3456" operator="greaterThan">
      <formula>120</formula>
    </cfRule>
    <cfRule type="containsText" dxfId="0" priority="841" operator="between" text="库存为">
      <formula>NOT(ISERROR(SEARCH("库存为",AU1780)))</formula>
    </cfRule>
  </conditionalFormatting>
  <conditionalFormatting sqref="AU1781">
    <cfRule type="cellIs" dxfId="2" priority="6070" operator="lessThan">
      <formula>20</formula>
    </cfRule>
    <cfRule type="cellIs" dxfId="1" priority="3455" operator="greaterThan">
      <formula>120</formula>
    </cfRule>
    <cfRule type="containsText" dxfId="0" priority="840" operator="between" text="库存为">
      <formula>NOT(ISERROR(SEARCH("库存为",AU1781)))</formula>
    </cfRule>
  </conditionalFormatting>
  <conditionalFormatting sqref="AU1782">
    <cfRule type="cellIs" dxfId="2" priority="6069" operator="lessThan">
      <formula>20</formula>
    </cfRule>
    <cfRule type="cellIs" dxfId="1" priority="3454" operator="greaterThan">
      <formula>120</formula>
    </cfRule>
    <cfRule type="containsText" dxfId="0" priority="839" operator="between" text="库存为">
      <formula>NOT(ISERROR(SEARCH("库存为",AU1782)))</formula>
    </cfRule>
  </conditionalFormatting>
  <conditionalFormatting sqref="AU1783">
    <cfRule type="cellIs" dxfId="2" priority="6068" operator="lessThan">
      <formula>20</formula>
    </cfRule>
    <cfRule type="cellIs" dxfId="1" priority="3453" operator="greaterThan">
      <formula>120</formula>
    </cfRule>
    <cfRule type="containsText" dxfId="0" priority="838" operator="between" text="库存为">
      <formula>NOT(ISERROR(SEARCH("库存为",AU1783)))</formula>
    </cfRule>
  </conditionalFormatting>
  <conditionalFormatting sqref="AU1784">
    <cfRule type="cellIs" dxfId="2" priority="6067" operator="lessThan">
      <formula>20</formula>
    </cfRule>
    <cfRule type="cellIs" dxfId="1" priority="3452" operator="greaterThan">
      <formula>120</formula>
    </cfRule>
    <cfRule type="containsText" dxfId="0" priority="837" operator="between" text="库存为">
      <formula>NOT(ISERROR(SEARCH("库存为",AU1784)))</formula>
    </cfRule>
  </conditionalFormatting>
  <conditionalFormatting sqref="AU1785">
    <cfRule type="cellIs" dxfId="2" priority="6066" operator="lessThan">
      <formula>20</formula>
    </cfRule>
    <cfRule type="cellIs" dxfId="1" priority="3451" operator="greaterThan">
      <formula>120</formula>
    </cfRule>
    <cfRule type="containsText" dxfId="0" priority="836" operator="between" text="库存为">
      <formula>NOT(ISERROR(SEARCH("库存为",AU1785)))</formula>
    </cfRule>
  </conditionalFormatting>
  <conditionalFormatting sqref="AU1786">
    <cfRule type="cellIs" dxfId="2" priority="6065" operator="lessThan">
      <formula>20</formula>
    </cfRule>
    <cfRule type="cellIs" dxfId="1" priority="3450" operator="greaterThan">
      <formula>120</formula>
    </cfRule>
    <cfRule type="containsText" dxfId="0" priority="835" operator="between" text="库存为">
      <formula>NOT(ISERROR(SEARCH("库存为",AU1786)))</formula>
    </cfRule>
  </conditionalFormatting>
  <conditionalFormatting sqref="AU1787">
    <cfRule type="cellIs" dxfId="2" priority="6064" operator="lessThan">
      <formula>20</formula>
    </cfRule>
    <cfRule type="cellIs" dxfId="1" priority="3449" operator="greaterThan">
      <formula>120</formula>
    </cfRule>
    <cfRule type="containsText" dxfId="0" priority="834" operator="between" text="库存为">
      <formula>NOT(ISERROR(SEARCH("库存为",AU1787)))</formula>
    </cfRule>
  </conditionalFormatting>
  <conditionalFormatting sqref="AU1788">
    <cfRule type="cellIs" dxfId="2" priority="6063" operator="lessThan">
      <formula>20</formula>
    </cfRule>
    <cfRule type="cellIs" dxfId="1" priority="3448" operator="greaterThan">
      <formula>120</formula>
    </cfRule>
    <cfRule type="containsText" dxfId="0" priority="833" operator="between" text="库存为">
      <formula>NOT(ISERROR(SEARCH("库存为",AU1788)))</formula>
    </cfRule>
  </conditionalFormatting>
  <conditionalFormatting sqref="AU1789">
    <cfRule type="cellIs" dxfId="2" priority="6062" operator="lessThan">
      <formula>20</formula>
    </cfRule>
    <cfRule type="cellIs" dxfId="1" priority="3447" operator="greaterThan">
      <formula>120</formula>
    </cfRule>
    <cfRule type="containsText" dxfId="0" priority="832" operator="between" text="库存为">
      <formula>NOT(ISERROR(SEARCH("库存为",AU1789)))</formula>
    </cfRule>
  </conditionalFormatting>
  <conditionalFormatting sqref="AU1790">
    <cfRule type="cellIs" dxfId="2" priority="6061" operator="lessThan">
      <formula>20</formula>
    </cfRule>
    <cfRule type="cellIs" dxfId="1" priority="3446" operator="greaterThan">
      <formula>120</formula>
    </cfRule>
    <cfRule type="containsText" dxfId="0" priority="831" operator="between" text="库存为">
      <formula>NOT(ISERROR(SEARCH("库存为",AU1790)))</formula>
    </cfRule>
  </conditionalFormatting>
  <conditionalFormatting sqref="AU1791">
    <cfRule type="cellIs" dxfId="2" priority="6060" operator="lessThan">
      <formula>20</formula>
    </cfRule>
    <cfRule type="cellIs" dxfId="1" priority="3445" operator="greaterThan">
      <formula>120</formula>
    </cfRule>
    <cfRule type="containsText" dxfId="0" priority="830" operator="between" text="库存为">
      <formula>NOT(ISERROR(SEARCH("库存为",AU1791)))</formula>
    </cfRule>
  </conditionalFormatting>
  <conditionalFormatting sqref="AU1792">
    <cfRule type="cellIs" dxfId="2" priority="6059" operator="lessThan">
      <formula>20</formula>
    </cfRule>
    <cfRule type="cellIs" dxfId="1" priority="3444" operator="greaterThan">
      <formula>120</formula>
    </cfRule>
    <cfRule type="containsText" dxfId="0" priority="829" operator="between" text="库存为">
      <formula>NOT(ISERROR(SEARCH("库存为",AU1792)))</formula>
    </cfRule>
  </conditionalFormatting>
  <conditionalFormatting sqref="AU1793">
    <cfRule type="cellIs" dxfId="2" priority="6058" operator="lessThan">
      <formula>20</formula>
    </cfRule>
    <cfRule type="cellIs" dxfId="1" priority="3443" operator="greaterThan">
      <formula>120</formula>
    </cfRule>
    <cfRule type="containsText" dxfId="0" priority="828" operator="between" text="库存为">
      <formula>NOT(ISERROR(SEARCH("库存为",AU1793)))</formula>
    </cfRule>
  </conditionalFormatting>
  <conditionalFormatting sqref="AU1794">
    <cfRule type="cellIs" dxfId="2" priority="6057" operator="lessThan">
      <formula>20</formula>
    </cfRule>
    <cfRule type="cellIs" dxfId="1" priority="3442" operator="greaterThan">
      <formula>120</formula>
    </cfRule>
    <cfRule type="containsText" dxfId="0" priority="827" operator="between" text="库存为">
      <formula>NOT(ISERROR(SEARCH("库存为",AU1794)))</formula>
    </cfRule>
  </conditionalFormatting>
  <conditionalFormatting sqref="AU1795">
    <cfRule type="cellIs" dxfId="2" priority="6056" operator="lessThan">
      <formula>20</formula>
    </cfRule>
    <cfRule type="cellIs" dxfId="1" priority="3441" operator="greaterThan">
      <formula>120</formula>
    </cfRule>
    <cfRule type="containsText" dxfId="0" priority="826" operator="between" text="库存为">
      <formula>NOT(ISERROR(SEARCH("库存为",AU1795)))</formula>
    </cfRule>
  </conditionalFormatting>
  <conditionalFormatting sqref="AU1796">
    <cfRule type="cellIs" dxfId="2" priority="6055" operator="lessThan">
      <formula>20</formula>
    </cfRule>
    <cfRule type="cellIs" dxfId="1" priority="3440" operator="greaterThan">
      <formula>120</formula>
    </cfRule>
    <cfRule type="containsText" dxfId="0" priority="825" operator="between" text="库存为">
      <formula>NOT(ISERROR(SEARCH("库存为",AU1796)))</formula>
    </cfRule>
  </conditionalFormatting>
  <conditionalFormatting sqref="AU1797">
    <cfRule type="cellIs" dxfId="2" priority="6054" operator="lessThan">
      <formula>20</formula>
    </cfRule>
    <cfRule type="cellIs" dxfId="1" priority="3439" operator="greaterThan">
      <formula>120</formula>
    </cfRule>
    <cfRule type="containsText" dxfId="0" priority="824" operator="between" text="库存为">
      <formula>NOT(ISERROR(SEARCH("库存为",AU1797)))</formula>
    </cfRule>
  </conditionalFormatting>
  <conditionalFormatting sqref="AU1798">
    <cfRule type="cellIs" dxfId="2" priority="6053" operator="lessThan">
      <formula>20</formula>
    </cfRule>
    <cfRule type="cellIs" dxfId="1" priority="3438" operator="greaterThan">
      <formula>120</formula>
    </cfRule>
    <cfRule type="containsText" dxfId="0" priority="823" operator="between" text="库存为">
      <formula>NOT(ISERROR(SEARCH("库存为",AU1798)))</formula>
    </cfRule>
  </conditionalFormatting>
  <conditionalFormatting sqref="AU1799">
    <cfRule type="cellIs" dxfId="2" priority="6052" operator="lessThan">
      <formula>20</formula>
    </cfRule>
    <cfRule type="cellIs" dxfId="1" priority="3437" operator="greaterThan">
      <formula>120</formula>
    </cfRule>
    <cfRule type="containsText" dxfId="0" priority="822" operator="between" text="库存为">
      <formula>NOT(ISERROR(SEARCH("库存为",AU1799)))</formula>
    </cfRule>
  </conditionalFormatting>
  <conditionalFormatting sqref="AU1800">
    <cfRule type="cellIs" dxfId="2" priority="6051" operator="lessThan">
      <formula>20</formula>
    </cfRule>
    <cfRule type="cellIs" dxfId="1" priority="3436" operator="greaterThan">
      <formula>120</formula>
    </cfRule>
    <cfRule type="containsText" dxfId="0" priority="821" operator="between" text="库存为">
      <formula>NOT(ISERROR(SEARCH("库存为",AU1800)))</formula>
    </cfRule>
  </conditionalFormatting>
  <conditionalFormatting sqref="AU1801">
    <cfRule type="cellIs" dxfId="2" priority="6050" operator="lessThan">
      <formula>20</formula>
    </cfRule>
    <cfRule type="cellIs" dxfId="1" priority="3435" operator="greaterThan">
      <formula>120</formula>
    </cfRule>
    <cfRule type="containsText" dxfId="0" priority="820" operator="between" text="库存为">
      <formula>NOT(ISERROR(SEARCH("库存为",AU1801)))</formula>
    </cfRule>
  </conditionalFormatting>
  <conditionalFormatting sqref="AU1802">
    <cfRule type="cellIs" dxfId="2" priority="6049" operator="lessThan">
      <formula>20</formula>
    </cfRule>
    <cfRule type="cellIs" dxfId="1" priority="3434" operator="greaterThan">
      <formula>120</formula>
    </cfRule>
    <cfRule type="containsText" dxfId="0" priority="819" operator="between" text="库存为">
      <formula>NOT(ISERROR(SEARCH("库存为",AU1802)))</formula>
    </cfRule>
  </conditionalFormatting>
  <conditionalFormatting sqref="AU1803">
    <cfRule type="cellIs" dxfId="2" priority="6048" operator="lessThan">
      <formula>20</formula>
    </cfRule>
    <cfRule type="cellIs" dxfId="1" priority="3433" operator="greaterThan">
      <formula>120</formula>
    </cfRule>
    <cfRule type="containsText" dxfId="0" priority="818" operator="between" text="库存为">
      <formula>NOT(ISERROR(SEARCH("库存为",AU1803)))</formula>
    </cfRule>
  </conditionalFormatting>
  <conditionalFormatting sqref="AU1804">
    <cfRule type="cellIs" dxfId="2" priority="6047" operator="lessThan">
      <formula>20</formula>
    </cfRule>
    <cfRule type="cellIs" dxfId="1" priority="3432" operator="greaterThan">
      <formula>120</formula>
    </cfRule>
    <cfRule type="containsText" dxfId="0" priority="817" operator="between" text="库存为">
      <formula>NOT(ISERROR(SEARCH("库存为",AU1804)))</formula>
    </cfRule>
  </conditionalFormatting>
  <conditionalFormatting sqref="AU1805">
    <cfRule type="cellIs" dxfId="2" priority="6046" operator="lessThan">
      <formula>20</formula>
    </cfRule>
    <cfRule type="cellIs" dxfId="1" priority="3431" operator="greaterThan">
      <formula>120</formula>
    </cfRule>
    <cfRule type="containsText" dxfId="0" priority="816" operator="between" text="库存为">
      <formula>NOT(ISERROR(SEARCH("库存为",AU1805)))</formula>
    </cfRule>
  </conditionalFormatting>
  <conditionalFormatting sqref="AU1806">
    <cfRule type="cellIs" dxfId="2" priority="6045" operator="lessThan">
      <formula>20</formula>
    </cfRule>
    <cfRule type="cellIs" dxfId="1" priority="3430" operator="greaterThan">
      <formula>120</formula>
    </cfRule>
    <cfRule type="containsText" dxfId="0" priority="815" operator="between" text="库存为">
      <formula>NOT(ISERROR(SEARCH("库存为",AU1806)))</formula>
    </cfRule>
  </conditionalFormatting>
  <conditionalFormatting sqref="AU1807">
    <cfRule type="cellIs" dxfId="2" priority="6044" operator="lessThan">
      <formula>20</formula>
    </cfRule>
    <cfRule type="cellIs" dxfId="1" priority="3429" operator="greaterThan">
      <formula>120</formula>
    </cfRule>
    <cfRule type="containsText" dxfId="0" priority="814" operator="between" text="库存为">
      <formula>NOT(ISERROR(SEARCH("库存为",AU1807)))</formula>
    </cfRule>
  </conditionalFormatting>
  <conditionalFormatting sqref="AU1808">
    <cfRule type="cellIs" dxfId="2" priority="6043" operator="lessThan">
      <formula>20</formula>
    </cfRule>
    <cfRule type="cellIs" dxfId="1" priority="3428" operator="greaterThan">
      <formula>120</formula>
    </cfRule>
    <cfRule type="containsText" dxfId="0" priority="813" operator="between" text="库存为">
      <formula>NOT(ISERROR(SEARCH("库存为",AU1808)))</formula>
    </cfRule>
  </conditionalFormatting>
  <conditionalFormatting sqref="AU1809">
    <cfRule type="cellIs" dxfId="2" priority="6042" operator="lessThan">
      <formula>20</formula>
    </cfRule>
    <cfRule type="cellIs" dxfId="1" priority="3427" operator="greaterThan">
      <formula>120</formula>
    </cfRule>
    <cfRule type="containsText" dxfId="0" priority="812" operator="between" text="库存为">
      <formula>NOT(ISERROR(SEARCH("库存为",AU1809)))</formula>
    </cfRule>
  </conditionalFormatting>
  <conditionalFormatting sqref="AU1810">
    <cfRule type="cellIs" dxfId="2" priority="6041" operator="lessThan">
      <formula>20</formula>
    </cfRule>
    <cfRule type="cellIs" dxfId="1" priority="3426" operator="greaterThan">
      <formula>120</formula>
    </cfRule>
    <cfRule type="containsText" dxfId="0" priority="811" operator="between" text="库存为">
      <formula>NOT(ISERROR(SEARCH("库存为",AU1810)))</formula>
    </cfRule>
  </conditionalFormatting>
  <conditionalFormatting sqref="AU1811">
    <cfRule type="cellIs" dxfId="2" priority="6040" operator="lessThan">
      <formula>20</formula>
    </cfRule>
    <cfRule type="cellIs" dxfId="1" priority="3425" operator="greaterThan">
      <formula>120</formula>
    </cfRule>
    <cfRule type="containsText" dxfId="0" priority="810" operator="between" text="库存为">
      <formula>NOT(ISERROR(SEARCH("库存为",AU1811)))</formula>
    </cfRule>
  </conditionalFormatting>
  <conditionalFormatting sqref="AU1812">
    <cfRule type="cellIs" dxfId="2" priority="6039" operator="lessThan">
      <formula>20</formula>
    </cfRule>
    <cfRule type="cellIs" dxfId="1" priority="3424" operator="greaterThan">
      <formula>120</formula>
    </cfRule>
    <cfRule type="containsText" dxfId="0" priority="809" operator="between" text="库存为">
      <formula>NOT(ISERROR(SEARCH("库存为",AU1812)))</formula>
    </cfRule>
  </conditionalFormatting>
  <conditionalFormatting sqref="AU1813">
    <cfRule type="cellIs" dxfId="2" priority="6038" operator="lessThan">
      <formula>20</formula>
    </cfRule>
    <cfRule type="cellIs" dxfId="1" priority="3423" operator="greaterThan">
      <formula>120</formula>
    </cfRule>
    <cfRule type="containsText" dxfId="0" priority="808" operator="between" text="库存为">
      <formula>NOT(ISERROR(SEARCH("库存为",AU1813)))</formula>
    </cfRule>
  </conditionalFormatting>
  <conditionalFormatting sqref="AU1814">
    <cfRule type="cellIs" dxfId="2" priority="6037" operator="lessThan">
      <formula>20</formula>
    </cfRule>
    <cfRule type="cellIs" dxfId="1" priority="3422" operator="greaterThan">
      <formula>120</formula>
    </cfRule>
    <cfRule type="containsText" dxfId="0" priority="807" operator="between" text="库存为">
      <formula>NOT(ISERROR(SEARCH("库存为",AU1814)))</formula>
    </cfRule>
  </conditionalFormatting>
  <conditionalFormatting sqref="AU1815">
    <cfRule type="cellIs" dxfId="2" priority="6036" operator="lessThan">
      <formula>20</formula>
    </cfRule>
    <cfRule type="cellIs" dxfId="1" priority="3421" operator="greaterThan">
      <formula>120</formula>
    </cfRule>
    <cfRule type="containsText" dxfId="0" priority="806" operator="between" text="库存为">
      <formula>NOT(ISERROR(SEARCH("库存为",AU1815)))</formula>
    </cfRule>
  </conditionalFormatting>
  <conditionalFormatting sqref="AU1816">
    <cfRule type="cellIs" dxfId="2" priority="6035" operator="lessThan">
      <formula>20</formula>
    </cfRule>
    <cfRule type="cellIs" dxfId="1" priority="3420" operator="greaterThan">
      <formula>120</formula>
    </cfRule>
    <cfRule type="containsText" dxfId="0" priority="805" operator="between" text="库存为">
      <formula>NOT(ISERROR(SEARCH("库存为",AU1816)))</formula>
    </cfRule>
  </conditionalFormatting>
  <conditionalFormatting sqref="AU1817">
    <cfRule type="cellIs" dxfId="2" priority="6034" operator="lessThan">
      <formula>20</formula>
    </cfRule>
    <cfRule type="cellIs" dxfId="1" priority="3419" operator="greaterThan">
      <formula>120</formula>
    </cfRule>
    <cfRule type="containsText" dxfId="0" priority="804" operator="between" text="库存为">
      <formula>NOT(ISERROR(SEARCH("库存为",AU1817)))</formula>
    </cfRule>
  </conditionalFormatting>
  <conditionalFormatting sqref="AU1818">
    <cfRule type="cellIs" dxfId="2" priority="6033" operator="lessThan">
      <formula>20</formula>
    </cfRule>
    <cfRule type="cellIs" dxfId="1" priority="3418" operator="greaterThan">
      <formula>120</formula>
    </cfRule>
    <cfRule type="containsText" dxfId="0" priority="803" operator="between" text="库存为">
      <formula>NOT(ISERROR(SEARCH("库存为",AU1818)))</formula>
    </cfRule>
  </conditionalFormatting>
  <conditionalFormatting sqref="AU1819">
    <cfRule type="cellIs" dxfId="2" priority="6032" operator="lessThan">
      <formula>20</formula>
    </cfRule>
    <cfRule type="cellIs" dxfId="1" priority="3417" operator="greaterThan">
      <formula>120</formula>
    </cfRule>
    <cfRule type="containsText" dxfId="0" priority="802" operator="between" text="库存为">
      <formula>NOT(ISERROR(SEARCH("库存为",AU1819)))</formula>
    </cfRule>
  </conditionalFormatting>
  <conditionalFormatting sqref="AU1820">
    <cfRule type="cellIs" dxfId="2" priority="6031" operator="lessThan">
      <formula>20</formula>
    </cfRule>
    <cfRule type="cellIs" dxfId="1" priority="3416" operator="greaterThan">
      <formula>120</formula>
    </cfRule>
    <cfRule type="containsText" dxfId="0" priority="801" operator="between" text="库存为">
      <formula>NOT(ISERROR(SEARCH("库存为",AU1820)))</formula>
    </cfRule>
  </conditionalFormatting>
  <conditionalFormatting sqref="AU1821">
    <cfRule type="cellIs" dxfId="2" priority="6030" operator="lessThan">
      <formula>20</formula>
    </cfRule>
    <cfRule type="cellIs" dxfId="1" priority="3415" operator="greaterThan">
      <formula>120</formula>
    </cfRule>
    <cfRule type="containsText" dxfId="0" priority="800" operator="between" text="库存为">
      <formula>NOT(ISERROR(SEARCH("库存为",AU1821)))</formula>
    </cfRule>
  </conditionalFormatting>
  <conditionalFormatting sqref="AU1822">
    <cfRule type="cellIs" dxfId="2" priority="6029" operator="lessThan">
      <formula>20</formula>
    </cfRule>
    <cfRule type="cellIs" dxfId="1" priority="3414" operator="greaterThan">
      <formula>120</formula>
    </cfRule>
    <cfRule type="containsText" dxfId="0" priority="799" operator="between" text="库存为">
      <formula>NOT(ISERROR(SEARCH("库存为",AU1822)))</formula>
    </cfRule>
  </conditionalFormatting>
  <conditionalFormatting sqref="AU1823">
    <cfRule type="cellIs" dxfId="2" priority="6028" operator="lessThan">
      <formula>20</formula>
    </cfRule>
    <cfRule type="cellIs" dxfId="1" priority="3413" operator="greaterThan">
      <formula>120</formula>
    </cfRule>
    <cfRule type="containsText" dxfId="0" priority="798" operator="between" text="库存为">
      <formula>NOT(ISERROR(SEARCH("库存为",AU1823)))</formula>
    </cfRule>
  </conditionalFormatting>
  <conditionalFormatting sqref="AU1824">
    <cfRule type="cellIs" dxfId="2" priority="6027" operator="lessThan">
      <formula>20</formula>
    </cfRule>
    <cfRule type="cellIs" dxfId="1" priority="3412" operator="greaterThan">
      <formula>120</formula>
    </cfRule>
    <cfRule type="containsText" dxfId="0" priority="797" operator="between" text="库存为">
      <formula>NOT(ISERROR(SEARCH("库存为",AU1824)))</formula>
    </cfRule>
  </conditionalFormatting>
  <conditionalFormatting sqref="AU1825">
    <cfRule type="cellIs" dxfId="2" priority="6026" operator="lessThan">
      <formula>20</formula>
    </cfRule>
    <cfRule type="cellIs" dxfId="1" priority="3411" operator="greaterThan">
      <formula>120</formula>
    </cfRule>
    <cfRule type="containsText" dxfId="0" priority="796" operator="between" text="库存为">
      <formula>NOT(ISERROR(SEARCH("库存为",AU1825)))</formula>
    </cfRule>
  </conditionalFormatting>
  <conditionalFormatting sqref="AU1826">
    <cfRule type="cellIs" dxfId="2" priority="6025" operator="lessThan">
      <formula>20</formula>
    </cfRule>
    <cfRule type="cellIs" dxfId="1" priority="3410" operator="greaterThan">
      <formula>120</formula>
    </cfRule>
    <cfRule type="containsText" dxfId="0" priority="795" operator="between" text="库存为">
      <formula>NOT(ISERROR(SEARCH("库存为",AU1826)))</formula>
    </cfRule>
  </conditionalFormatting>
  <conditionalFormatting sqref="AU1827">
    <cfRule type="cellIs" dxfId="2" priority="6024" operator="lessThan">
      <formula>20</formula>
    </cfRule>
    <cfRule type="cellIs" dxfId="1" priority="3409" operator="greaterThan">
      <formula>120</formula>
    </cfRule>
    <cfRule type="containsText" dxfId="0" priority="794" operator="between" text="库存为">
      <formula>NOT(ISERROR(SEARCH("库存为",AU1827)))</formula>
    </cfRule>
  </conditionalFormatting>
  <conditionalFormatting sqref="AU1828">
    <cfRule type="cellIs" dxfId="2" priority="6023" operator="lessThan">
      <formula>20</formula>
    </cfRule>
    <cfRule type="cellIs" dxfId="1" priority="3408" operator="greaterThan">
      <formula>120</formula>
    </cfRule>
    <cfRule type="containsText" dxfId="0" priority="793" operator="between" text="库存为">
      <formula>NOT(ISERROR(SEARCH("库存为",AU1828)))</formula>
    </cfRule>
  </conditionalFormatting>
  <conditionalFormatting sqref="AU1829">
    <cfRule type="cellIs" dxfId="2" priority="6022" operator="lessThan">
      <formula>20</formula>
    </cfRule>
    <cfRule type="cellIs" dxfId="1" priority="3407" operator="greaterThan">
      <formula>120</formula>
    </cfRule>
    <cfRule type="containsText" dxfId="0" priority="792" operator="between" text="库存为">
      <formula>NOT(ISERROR(SEARCH("库存为",AU1829)))</formula>
    </cfRule>
  </conditionalFormatting>
  <conditionalFormatting sqref="AU1830">
    <cfRule type="cellIs" dxfId="2" priority="6021" operator="lessThan">
      <formula>20</formula>
    </cfRule>
    <cfRule type="cellIs" dxfId="1" priority="3406" operator="greaterThan">
      <formula>120</formula>
    </cfRule>
    <cfRule type="containsText" dxfId="0" priority="791" operator="between" text="库存为">
      <formula>NOT(ISERROR(SEARCH("库存为",AU1830)))</formula>
    </cfRule>
  </conditionalFormatting>
  <conditionalFormatting sqref="AU1831">
    <cfRule type="cellIs" dxfId="2" priority="6020" operator="lessThan">
      <formula>20</formula>
    </cfRule>
    <cfRule type="cellIs" dxfId="1" priority="3405" operator="greaterThan">
      <formula>120</formula>
    </cfRule>
    <cfRule type="containsText" dxfId="0" priority="790" operator="between" text="库存为">
      <formula>NOT(ISERROR(SEARCH("库存为",AU1831)))</formula>
    </cfRule>
  </conditionalFormatting>
  <conditionalFormatting sqref="AU1832">
    <cfRule type="cellIs" dxfId="2" priority="6019" operator="lessThan">
      <formula>20</formula>
    </cfRule>
    <cfRule type="cellIs" dxfId="1" priority="3404" operator="greaterThan">
      <formula>120</formula>
    </cfRule>
    <cfRule type="containsText" dxfId="0" priority="789" operator="between" text="库存为">
      <formula>NOT(ISERROR(SEARCH("库存为",AU1832)))</formula>
    </cfRule>
  </conditionalFormatting>
  <conditionalFormatting sqref="AU1833">
    <cfRule type="cellIs" dxfId="2" priority="6018" operator="lessThan">
      <formula>20</formula>
    </cfRule>
    <cfRule type="cellIs" dxfId="1" priority="3403" operator="greaterThan">
      <formula>120</formula>
    </cfRule>
    <cfRule type="containsText" dxfId="0" priority="788" operator="between" text="库存为">
      <formula>NOT(ISERROR(SEARCH("库存为",AU1833)))</formula>
    </cfRule>
  </conditionalFormatting>
  <conditionalFormatting sqref="AU1834">
    <cfRule type="cellIs" dxfId="2" priority="6017" operator="lessThan">
      <formula>20</formula>
    </cfRule>
    <cfRule type="cellIs" dxfId="1" priority="3402" operator="greaterThan">
      <formula>120</formula>
    </cfRule>
    <cfRule type="containsText" dxfId="0" priority="787" operator="between" text="库存为">
      <formula>NOT(ISERROR(SEARCH("库存为",AU1834)))</formula>
    </cfRule>
  </conditionalFormatting>
  <conditionalFormatting sqref="AU1835">
    <cfRule type="cellIs" dxfId="2" priority="6016" operator="lessThan">
      <formula>20</formula>
    </cfRule>
    <cfRule type="cellIs" dxfId="1" priority="3401" operator="greaterThan">
      <formula>120</formula>
    </cfRule>
    <cfRule type="containsText" dxfId="0" priority="786" operator="between" text="库存为">
      <formula>NOT(ISERROR(SEARCH("库存为",AU1835)))</formula>
    </cfRule>
  </conditionalFormatting>
  <conditionalFormatting sqref="AU1836">
    <cfRule type="cellIs" dxfId="2" priority="6015" operator="lessThan">
      <formula>20</formula>
    </cfRule>
    <cfRule type="cellIs" dxfId="1" priority="3400" operator="greaterThan">
      <formula>120</formula>
    </cfRule>
    <cfRule type="containsText" dxfId="0" priority="785" operator="between" text="库存为">
      <formula>NOT(ISERROR(SEARCH("库存为",AU1836)))</formula>
    </cfRule>
  </conditionalFormatting>
  <conditionalFormatting sqref="AU1837">
    <cfRule type="cellIs" dxfId="2" priority="6014" operator="lessThan">
      <formula>20</formula>
    </cfRule>
    <cfRule type="cellIs" dxfId="1" priority="3399" operator="greaterThan">
      <formula>120</formula>
    </cfRule>
    <cfRule type="containsText" dxfId="0" priority="784" operator="between" text="库存为">
      <formula>NOT(ISERROR(SEARCH("库存为",AU1837)))</formula>
    </cfRule>
  </conditionalFormatting>
  <conditionalFormatting sqref="AU1838">
    <cfRule type="cellIs" dxfId="2" priority="6013" operator="lessThan">
      <formula>20</formula>
    </cfRule>
    <cfRule type="cellIs" dxfId="1" priority="3398" operator="greaterThan">
      <formula>120</formula>
    </cfRule>
    <cfRule type="containsText" dxfId="0" priority="783" operator="between" text="库存为">
      <formula>NOT(ISERROR(SEARCH("库存为",AU1838)))</formula>
    </cfRule>
  </conditionalFormatting>
  <conditionalFormatting sqref="AU1839">
    <cfRule type="cellIs" dxfId="2" priority="6012" operator="lessThan">
      <formula>20</formula>
    </cfRule>
    <cfRule type="cellIs" dxfId="1" priority="3397" operator="greaterThan">
      <formula>120</formula>
    </cfRule>
    <cfRule type="containsText" dxfId="0" priority="782" operator="between" text="库存为">
      <formula>NOT(ISERROR(SEARCH("库存为",AU1839)))</formula>
    </cfRule>
  </conditionalFormatting>
  <conditionalFormatting sqref="AU1840">
    <cfRule type="cellIs" dxfId="2" priority="6011" operator="lessThan">
      <formula>20</formula>
    </cfRule>
    <cfRule type="cellIs" dxfId="1" priority="3396" operator="greaterThan">
      <formula>120</formula>
    </cfRule>
    <cfRule type="containsText" dxfId="0" priority="781" operator="between" text="库存为">
      <formula>NOT(ISERROR(SEARCH("库存为",AU1840)))</formula>
    </cfRule>
  </conditionalFormatting>
  <conditionalFormatting sqref="AU1841">
    <cfRule type="cellIs" dxfId="2" priority="6010" operator="lessThan">
      <formula>20</formula>
    </cfRule>
    <cfRule type="cellIs" dxfId="1" priority="3395" operator="greaterThan">
      <formula>120</formula>
    </cfRule>
    <cfRule type="containsText" dxfId="0" priority="780" operator="between" text="库存为">
      <formula>NOT(ISERROR(SEARCH("库存为",AU1841)))</formula>
    </cfRule>
  </conditionalFormatting>
  <conditionalFormatting sqref="AU1842">
    <cfRule type="cellIs" dxfId="2" priority="6009" operator="lessThan">
      <formula>20</formula>
    </cfRule>
    <cfRule type="cellIs" dxfId="1" priority="3394" operator="greaterThan">
      <formula>120</formula>
    </cfRule>
    <cfRule type="containsText" dxfId="0" priority="779" operator="between" text="库存为">
      <formula>NOT(ISERROR(SEARCH("库存为",AU1842)))</formula>
    </cfRule>
  </conditionalFormatting>
  <conditionalFormatting sqref="AU1843">
    <cfRule type="cellIs" dxfId="2" priority="6008" operator="lessThan">
      <formula>20</formula>
    </cfRule>
    <cfRule type="cellIs" dxfId="1" priority="3393" operator="greaterThan">
      <formula>120</formula>
    </cfRule>
    <cfRule type="containsText" dxfId="0" priority="778" operator="between" text="库存为">
      <formula>NOT(ISERROR(SEARCH("库存为",AU1843)))</formula>
    </cfRule>
  </conditionalFormatting>
  <conditionalFormatting sqref="AU1844">
    <cfRule type="cellIs" dxfId="2" priority="6007" operator="lessThan">
      <formula>20</formula>
    </cfRule>
    <cfRule type="cellIs" dxfId="1" priority="3392" operator="greaterThan">
      <formula>120</formula>
    </cfRule>
    <cfRule type="containsText" dxfId="0" priority="777" operator="between" text="库存为">
      <formula>NOT(ISERROR(SEARCH("库存为",AU1844)))</formula>
    </cfRule>
  </conditionalFormatting>
  <conditionalFormatting sqref="AU1845">
    <cfRule type="cellIs" dxfId="2" priority="6006" operator="lessThan">
      <formula>20</formula>
    </cfRule>
    <cfRule type="cellIs" dxfId="1" priority="3391" operator="greaterThan">
      <formula>120</formula>
    </cfRule>
    <cfRule type="containsText" dxfId="0" priority="776" operator="between" text="库存为">
      <formula>NOT(ISERROR(SEARCH("库存为",AU1845)))</formula>
    </cfRule>
  </conditionalFormatting>
  <conditionalFormatting sqref="AU1846">
    <cfRule type="cellIs" dxfId="2" priority="6005" operator="lessThan">
      <formula>20</formula>
    </cfRule>
    <cfRule type="cellIs" dxfId="1" priority="3390" operator="greaterThan">
      <formula>120</formula>
    </cfRule>
    <cfRule type="containsText" dxfId="0" priority="775" operator="between" text="库存为">
      <formula>NOT(ISERROR(SEARCH("库存为",AU1846)))</formula>
    </cfRule>
  </conditionalFormatting>
  <conditionalFormatting sqref="AU1847">
    <cfRule type="cellIs" dxfId="2" priority="6004" operator="lessThan">
      <formula>20</formula>
    </cfRule>
    <cfRule type="cellIs" dxfId="1" priority="3389" operator="greaterThan">
      <formula>120</formula>
    </cfRule>
    <cfRule type="containsText" dxfId="0" priority="774" operator="between" text="库存为">
      <formula>NOT(ISERROR(SEARCH("库存为",AU1847)))</formula>
    </cfRule>
  </conditionalFormatting>
  <conditionalFormatting sqref="AU1848">
    <cfRule type="cellIs" dxfId="2" priority="6003" operator="lessThan">
      <formula>20</formula>
    </cfRule>
    <cfRule type="cellIs" dxfId="1" priority="3388" operator="greaterThan">
      <formula>120</formula>
    </cfRule>
    <cfRule type="containsText" dxfId="0" priority="773" operator="between" text="库存为">
      <formula>NOT(ISERROR(SEARCH("库存为",AU1848)))</formula>
    </cfRule>
  </conditionalFormatting>
  <conditionalFormatting sqref="AU1849">
    <cfRule type="cellIs" dxfId="2" priority="6002" operator="lessThan">
      <formula>20</formula>
    </cfRule>
    <cfRule type="cellIs" dxfId="1" priority="3387" operator="greaterThan">
      <formula>120</formula>
    </cfRule>
    <cfRule type="containsText" dxfId="0" priority="772" operator="between" text="库存为">
      <formula>NOT(ISERROR(SEARCH("库存为",AU1849)))</formula>
    </cfRule>
  </conditionalFormatting>
  <conditionalFormatting sqref="AU1850">
    <cfRule type="cellIs" dxfId="2" priority="6001" operator="lessThan">
      <formula>20</formula>
    </cfRule>
    <cfRule type="cellIs" dxfId="1" priority="3386" operator="greaterThan">
      <formula>120</formula>
    </cfRule>
    <cfRule type="containsText" dxfId="0" priority="771" operator="between" text="库存为">
      <formula>NOT(ISERROR(SEARCH("库存为",AU1850)))</formula>
    </cfRule>
  </conditionalFormatting>
  <conditionalFormatting sqref="AU1851">
    <cfRule type="cellIs" dxfId="2" priority="6000" operator="lessThan">
      <formula>20</formula>
    </cfRule>
    <cfRule type="cellIs" dxfId="1" priority="3385" operator="greaterThan">
      <formula>120</formula>
    </cfRule>
    <cfRule type="containsText" dxfId="0" priority="770" operator="between" text="库存为">
      <formula>NOT(ISERROR(SEARCH("库存为",AU1851)))</formula>
    </cfRule>
  </conditionalFormatting>
  <conditionalFormatting sqref="AU1852">
    <cfRule type="cellIs" dxfId="2" priority="5999" operator="lessThan">
      <formula>20</formula>
    </cfRule>
    <cfRule type="cellIs" dxfId="1" priority="3384" operator="greaterThan">
      <formula>120</formula>
    </cfRule>
    <cfRule type="containsText" dxfId="0" priority="769" operator="between" text="库存为">
      <formula>NOT(ISERROR(SEARCH("库存为",AU1852)))</formula>
    </cfRule>
  </conditionalFormatting>
  <conditionalFormatting sqref="AU1853">
    <cfRule type="cellIs" dxfId="2" priority="5998" operator="lessThan">
      <formula>20</formula>
    </cfRule>
    <cfRule type="cellIs" dxfId="1" priority="3383" operator="greaterThan">
      <formula>120</formula>
    </cfRule>
    <cfRule type="containsText" dxfId="0" priority="768" operator="between" text="库存为">
      <formula>NOT(ISERROR(SEARCH("库存为",AU1853)))</formula>
    </cfRule>
  </conditionalFormatting>
  <conditionalFormatting sqref="AU1854">
    <cfRule type="cellIs" dxfId="2" priority="5997" operator="lessThan">
      <formula>20</formula>
    </cfRule>
    <cfRule type="cellIs" dxfId="1" priority="3382" operator="greaterThan">
      <formula>120</formula>
    </cfRule>
    <cfRule type="containsText" dxfId="0" priority="767" operator="between" text="库存为">
      <formula>NOT(ISERROR(SEARCH("库存为",AU1854)))</formula>
    </cfRule>
  </conditionalFormatting>
  <conditionalFormatting sqref="AU1855">
    <cfRule type="cellIs" dxfId="2" priority="5996" operator="lessThan">
      <formula>20</formula>
    </cfRule>
    <cfRule type="cellIs" dxfId="1" priority="3381" operator="greaterThan">
      <formula>120</formula>
    </cfRule>
    <cfRule type="containsText" dxfId="0" priority="766" operator="between" text="库存为">
      <formula>NOT(ISERROR(SEARCH("库存为",AU1855)))</formula>
    </cfRule>
  </conditionalFormatting>
  <conditionalFormatting sqref="AU1856">
    <cfRule type="cellIs" dxfId="2" priority="5995" operator="lessThan">
      <formula>20</formula>
    </cfRule>
    <cfRule type="cellIs" dxfId="1" priority="3380" operator="greaterThan">
      <formula>120</formula>
    </cfRule>
    <cfRule type="containsText" dxfId="0" priority="765" operator="between" text="库存为">
      <formula>NOT(ISERROR(SEARCH("库存为",AU1856)))</formula>
    </cfRule>
  </conditionalFormatting>
  <conditionalFormatting sqref="AU1857">
    <cfRule type="cellIs" dxfId="2" priority="5994" operator="lessThan">
      <formula>20</formula>
    </cfRule>
    <cfRule type="cellIs" dxfId="1" priority="3379" operator="greaterThan">
      <formula>120</formula>
    </cfRule>
    <cfRule type="containsText" dxfId="0" priority="764" operator="between" text="库存为">
      <formula>NOT(ISERROR(SEARCH("库存为",AU1857)))</formula>
    </cfRule>
  </conditionalFormatting>
  <conditionalFormatting sqref="AU1858">
    <cfRule type="cellIs" dxfId="2" priority="5993" operator="lessThan">
      <formula>20</formula>
    </cfRule>
    <cfRule type="cellIs" dxfId="1" priority="3378" operator="greaterThan">
      <formula>120</formula>
    </cfRule>
    <cfRule type="containsText" dxfId="0" priority="763" operator="between" text="库存为">
      <formula>NOT(ISERROR(SEARCH("库存为",AU1858)))</formula>
    </cfRule>
  </conditionalFormatting>
  <conditionalFormatting sqref="AU1859">
    <cfRule type="cellIs" dxfId="2" priority="5992" operator="lessThan">
      <formula>20</formula>
    </cfRule>
    <cfRule type="cellIs" dxfId="1" priority="3377" operator="greaterThan">
      <formula>120</formula>
    </cfRule>
    <cfRule type="containsText" dxfId="0" priority="762" operator="between" text="库存为">
      <formula>NOT(ISERROR(SEARCH("库存为",AU1859)))</formula>
    </cfRule>
  </conditionalFormatting>
  <conditionalFormatting sqref="AU1860">
    <cfRule type="cellIs" dxfId="2" priority="5991" operator="lessThan">
      <formula>20</formula>
    </cfRule>
    <cfRule type="cellIs" dxfId="1" priority="3376" operator="greaterThan">
      <formula>120</formula>
    </cfRule>
    <cfRule type="containsText" dxfId="0" priority="761" operator="between" text="库存为">
      <formula>NOT(ISERROR(SEARCH("库存为",AU1860)))</formula>
    </cfRule>
  </conditionalFormatting>
  <conditionalFormatting sqref="AU1861">
    <cfRule type="cellIs" dxfId="2" priority="5990" operator="lessThan">
      <formula>20</formula>
    </cfRule>
    <cfRule type="cellIs" dxfId="1" priority="3375" operator="greaterThan">
      <formula>120</formula>
    </cfRule>
    <cfRule type="containsText" dxfId="0" priority="760" operator="between" text="库存为">
      <formula>NOT(ISERROR(SEARCH("库存为",AU1861)))</formula>
    </cfRule>
  </conditionalFormatting>
  <conditionalFormatting sqref="AU1862">
    <cfRule type="cellIs" dxfId="2" priority="5989" operator="lessThan">
      <formula>20</formula>
    </cfRule>
    <cfRule type="cellIs" dxfId="1" priority="3374" operator="greaterThan">
      <formula>120</formula>
    </cfRule>
    <cfRule type="containsText" dxfId="0" priority="759" operator="between" text="库存为">
      <formula>NOT(ISERROR(SEARCH("库存为",AU1862)))</formula>
    </cfRule>
  </conditionalFormatting>
  <conditionalFormatting sqref="AU1863">
    <cfRule type="cellIs" dxfId="2" priority="5988" operator="lessThan">
      <formula>20</formula>
    </cfRule>
    <cfRule type="cellIs" dxfId="1" priority="3373" operator="greaterThan">
      <formula>120</formula>
    </cfRule>
    <cfRule type="containsText" dxfId="0" priority="758" operator="between" text="库存为">
      <formula>NOT(ISERROR(SEARCH("库存为",AU1863)))</formula>
    </cfRule>
  </conditionalFormatting>
  <conditionalFormatting sqref="AU1864">
    <cfRule type="cellIs" dxfId="2" priority="5987" operator="lessThan">
      <formula>20</formula>
    </cfRule>
    <cfRule type="cellIs" dxfId="1" priority="3372" operator="greaterThan">
      <formula>120</formula>
    </cfRule>
    <cfRule type="containsText" dxfId="0" priority="757" operator="between" text="库存为">
      <formula>NOT(ISERROR(SEARCH("库存为",AU1864)))</formula>
    </cfRule>
  </conditionalFormatting>
  <conditionalFormatting sqref="AU1865">
    <cfRule type="cellIs" dxfId="2" priority="5986" operator="lessThan">
      <formula>20</formula>
    </cfRule>
    <cfRule type="cellIs" dxfId="1" priority="3371" operator="greaterThan">
      <formula>120</formula>
    </cfRule>
    <cfRule type="containsText" dxfId="0" priority="756" operator="between" text="库存为">
      <formula>NOT(ISERROR(SEARCH("库存为",AU1865)))</formula>
    </cfRule>
  </conditionalFormatting>
  <conditionalFormatting sqref="AU1866">
    <cfRule type="cellIs" dxfId="2" priority="5985" operator="lessThan">
      <formula>20</formula>
    </cfRule>
    <cfRule type="cellIs" dxfId="1" priority="3370" operator="greaterThan">
      <formula>120</formula>
    </cfRule>
    <cfRule type="containsText" dxfId="0" priority="755" operator="between" text="库存为">
      <formula>NOT(ISERROR(SEARCH("库存为",AU1866)))</formula>
    </cfRule>
  </conditionalFormatting>
  <conditionalFormatting sqref="AU1867">
    <cfRule type="cellIs" dxfId="2" priority="5984" operator="lessThan">
      <formula>20</formula>
    </cfRule>
    <cfRule type="cellIs" dxfId="1" priority="3369" operator="greaterThan">
      <formula>120</formula>
    </cfRule>
    <cfRule type="containsText" dxfId="0" priority="754" operator="between" text="库存为">
      <formula>NOT(ISERROR(SEARCH("库存为",AU1867)))</formula>
    </cfRule>
  </conditionalFormatting>
  <conditionalFormatting sqref="AU1868">
    <cfRule type="cellIs" dxfId="2" priority="5983" operator="lessThan">
      <formula>20</formula>
    </cfRule>
    <cfRule type="cellIs" dxfId="1" priority="3368" operator="greaterThan">
      <formula>120</formula>
    </cfRule>
    <cfRule type="containsText" dxfId="0" priority="753" operator="between" text="库存为">
      <formula>NOT(ISERROR(SEARCH("库存为",AU1868)))</formula>
    </cfRule>
  </conditionalFormatting>
  <conditionalFormatting sqref="AU1869">
    <cfRule type="cellIs" dxfId="2" priority="5982" operator="lessThan">
      <formula>20</formula>
    </cfRule>
    <cfRule type="cellIs" dxfId="1" priority="3367" operator="greaterThan">
      <formula>120</formula>
    </cfRule>
    <cfRule type="containsText" dxfId="0" priority="752" operator="between" text="库存为">
      <formula>NOT(ISERROR(SEARCH("库存为",AU1869)))</formula>
    </cfRule>
  </conditionalFormatting>
  <conditionalFormatting sqref="AU1870">
    <cfRule type="cellIs" dxfId="2" priority="5981" operator="lessThan">
      <formula>20</formula>
    </cfRule>
    <cfRule type="cellIs" dxfId="1" priority="3366" operator="greaterThan">
      <formula>120</formula>
    </cfRule>
    <cfRule type="containsText" dxfId="0" priority="751" operator="between" text="库存为">
      <formula>NOT(ISERROR(SEARCH("库存为",AU1870)))</formula>
    </cfRule>
  </conditionalFormatting>
  <conditionalFormatting sqref="AU1871">
    <cfRule type="cellIs" dxfId="2" priority="5980" operator="lessThan">
      <formula>20</formula>
    </cfRule>
    <cfRule type="cellIs" dxfId="1" priority="3365" operator="greaterThan">
      <formula>120</formula>
    </cfRule>
    <cfRule type="containsText" dxfId="0" priority="750" operator="between" text="库存为">
      <formula>NOT(ISERROR(SEARCH("库存为",AU1871)))</formula>
    </cfRule>
  </conditionalFormatting>
  <conditionalFormatting sqref="AU1872">
    <cfRule type="cellIs" dxfId="2" priority="5979" operator="lessThan">
      <formula>20</formula>
    </cfRule>
    <cfRule type="cellIs" dxfId="1" priority="3364" operator="greaterThan">
      <formula>120</formula>
    </cfRule>
    <cfRule type="containsText" dxfId="0" priority="749" operator="between" text="库存为">
      <formula>NOT(ISERROR(SEARCH("库存为",AU1872)))</formula>
    </cfRule>
  </conditionalFormatting>
  <conditionalFormatting sqref="AU1873">
    <cfRule type="cellIs" dxfId="2" priority="5978" operator="lessThan">
      <formula>20</formula>
    </cfRule>
    <cfRule type="cellIs" dxfId="1" priority="3363" operator="greaterThan">
      <formula>120</formula>
    </cfRule>
    <cfRule type="containsText" dxfId="0" priority="748" operator="between" text="库存为">
      <formula>NOT(ISERROR(SEARCH("库存为",AU1873)))</formula>
    </cfRule>
  </conditionalFormatting>
  <conditionalFormatting sqref="AU1874">
    <cfRule type="cellIs" dxfId="2" priority="5977" operator="lessThan">
      <formula>20</formula>
    </cfRule>
    <cfRule type="cellIs" dxfId="1" priority="3362" operator="greaterThan">
      <formula>120</formula>
    </cfRule>
    <cfRule type="containsText" dxfId="0" priority="747" operator="between" text="库存为">
      <formula>NOT(ISERROR(SEARCH("库存为",AU1874)))</formula>
    </cfRule>
  </conditionalFormatting>
  <conditionalFormatting sqref="AU1875">
    <cfRule type="cellIs" dxfId="2" priority="5976" operator="lessThan">
      <formula>20</formula>
    </cfRule>
    <cfRule type="cellIs" dxfId="1" priority="3361" operator="greaterThan">
      <formula>120</formula>
    </cfRule>
    <cfRule type="containsText" dxfId="0" priority="746" operator="between" text="库存为">
      <formula>NOT(ISERROR(SEARCH("库存为",AU1875)))</formula>
    </cfRule>
  </conditionalFormatting>
  <conditionalFormatting sqref="AU1876">
    <cfRule type="cellIs" dxfId="2" priority="5975" operator="lessThan">
      <formula>20</formula>
    </cfRule>
    <cfRule type="cellIs" dxfId="1" priority="3360" operator="greaterThan">
      <formula>120</formula>
    </cfRule>
    <cfRule type="containsText" dxfId="0" priority="745" operator="between" text="库存为">
      <formula>NOT(ISERROR(SEARCH("库存为",AU1876)))</formula>
    </cfRule>
  </conditionalFormatting>
  <conditionalFormatting sqref="AU1877">
    <cfRule type="cellIs" dxfId="2" priority="5974" operator="lessThan">
      <formula>20</formula>
    </cfRule>
    <cfRule type="cellIs" dxfId="1" priority="3359" operator="greaterThan">
      <formula>120</formula>
    </cfRule>
    <cfRule type="containsText" dxfId="0" priority="744" operator="between" text="库存为">
      <formula>NOT(ISERROR(SEARCH("库存为",AU1877)))</formula>
    </cfRule>
  </conditionalFormatting>
  <conditionalFormatting sqref="AU1878">
    <cfRule type="cellIs" dxfId="2" priority="5973" operator="lessThan">
      <formula>20</formula>
    </cfRule>
    <cfRule type="cellIs" dxfId="1" priority="3358" operator="greaterThan">
      <formula>120</formula>
    </cfRule>
    <cfRule type="containsText" dxfId="0" priority="743" operator="between" text="库存为">
      <formula>NOT(ISERROR(SEARCH("库存为",AU1878)))</formula>
    </cfRule>
  </conditionalFormatting>
  <conditionalFormatting sqref="AU1879">
    <cfRule type="cellIs" dxfId="2" priority="5972" operator="lessThan">
      <formula>20</formula>
    </cfRule>
    <cfRule type="cellIs" dxfId="1" priority="3357" operator="greaterThan">
      <formula>120</formula>
    </cfRule>
    <cfRule type="containsText" dxfId="0" priority="742" operator="between" text="库存为">
      <formula>NOT(ISERROR(SEARCH("库存为",AU1879)))</formula>
    </cfRule>
  </conditionalFormatting>
  <conditionalFormatting sqref="AU1880">
    <cfRule type="cellIs" dxfId="2" priority="5971" operator="lessThan">
      <formula>20</formula>
    </cfRule>
    <cfRule type="cellIs" dxfId="1" priority="3356" operator="greaterThan">
      <formula>120</formula>
    </cfRule>
    <cfRule type="containsText" dxfId="0" priority="741" operator="between" text="库存为">
      <formula>NOT(ISERROR(SEARCH("库存为",AU1880)))</formula>
    </cfRule>
  </conditionalFormatting>
  <conditionalFormatting sqref="AU1881">
    <cfRule type="cellIs" dxfId="2" priority="5970" operator="lessThan">
      <formula>20</formula>
    </cfRule>
    <cfRule type="cellIs" dxfId="1" priority="3355" operator="greaterThan">
      <formula>120</formula>
    </cfRule>
    <cfRule type="containsText" dxfId="0" priority="740" operator="between" text="库存为">
      <formula>NOT(ISERROR(SEARCH("库存为",AU1881)))</formula>
    </cfRule>
  </conditionalFormatting>
  <conditionalFormatting sqref="AU1882">
    <cfRule type="cellIs" dxfId="2" priority="5969" operator="lessThan">
      <formula>20</formula>
    </cfRule>
    <cfRule type="cellIs" dxfId="1" priority="3354" operator="greaterThan">
      <formula>120</formula>
    </cfRule>
    <cfRule type="containsText" dxfId="0" priority="739" operator="between" text="库存为">
      <formula>NOT(ISERROR(SEARCH("库存为",AU1882)))</formula>
    </cfRule>
  </conditionalFormatting>
  <conditionalFormatting sqref="AU1883">
    <cfRule type="cellIs" dxfId="2" priority="5968" operator="lessThan">
      <formula>20</formula>
    </cfRule>
    <cfRule type="cellIs" dxfId="1" priority="3353" operator="greaterThan">
      <formula>120</formula>
    </cfRule>
    <cfRule type="containsText" dxfId="0" priority="738" operator="between" text="库存为">
      <formula>NOT(ISERROR(SEARCH("库存为",AU1883)))</formula>
    </cfRule>
  </conditionalFormatting>
  <conditionalFormatting sqref="AU1884">
    <cfRule type="cellIs" dxfId="2" priority="5967" operator="lessThan">
      <formula>20</formula>
    </cfRule>
    <cfRule type="cellIs" dxfId="1" priority="3352" operator="greaterThan">
      <formula>120</formula>
    </cfRule>
    <cfRule type="containsText" dxfId="0" priority="737" operator="between" text="库存为">
      <formula>NOT(ISERROR(SEARCH("库存为",AU1884)))</formula>
    </cfRule>
  </conditionalFormatting>
  <conditionalFormatting sqref="AU1885">
    <cfRule type="cellIs" dxfId="2" priority="5966" operator="lessThan">
      <formula>20</formula>
    </cfRule>
    <cfRule type="cellIs" dxfId="1" priority="3351" operator="greaterThan">
      <formula>120</formula>
    </cfRule>
    <cfRule type="containsText" dxfId="0" priority="736" operator="between" text="库存为">
      <formula>NOT(ISERROR(SEARCH("库存为",AU1885)))</formula>
    </cfRule>
  </conditionalFormatting>
  <conditionalFormatting sqref="AU1886">
    <cfRule type="cellIs" dxfId="2" priority="5965" operator="lessThan">
      <formula>20</formula>
    </cfRule>
    <cfRule type="cellIs" dxfId="1" priority="3350" operator="greaterThan">
      <formula>120</formula>
    </cfRule>
    <cfRule type="containsText" dxfId="0" priority="735" operator="between" text="库存为">
      <formula>NOT(ISERROR(SEARCH("库存为",AU1886)))</formula>
    </cfRule>
  </conditionalFormatting>
  <conditionalFormatting sqref="AU1887">
    <cfRule type="cellIs" dxfId="2" priority="5964" operator="lessThan">
      <formula>20</formula>
    </cfRule>
    <cfRule type="cellIs" dxfId="1" priority="3349" operator="greaterThan">
      <formula>120</formula>
    </cfRule>
    <cfRule type="containsText" dxfId="0" priority="734" operator="between" text="库存为">
      <formula>NOT(ISERROR(SEARCH("库存为",AU1887)))</formula>
    </cfRule>
  </conditionalFormatting>
  <conditionalFormatting sqref="AU1888">
    <cfRule type="cellIs" dxfId="2" priority="5963" operator="lessThan">
      <formula>20</formula>
    </cfRule>
    <cfRule type="cellIs" dxfId="1" priority="3348" operator="greaterThan">
      <formula>120</formula>
    </cfRule>
    <cfRule type="containsText" dxfId="0" priority="733" operator="between" text="库存为">
      <formula>NOT(ISERROR(SEARCH("库存为",AU1888)))</formula>
    </cfRule>
  </conditionalFormatting>
  <conditionalFormatting sqref="AU1889">
    <cfRule type="cellIs" dxfId="2" priority="5962" operator="lessThan">
      <formula>20</formula>
    </cfRule>
    <cfRule type="cellIs" dxfId="1" priority="3347" operator="greaterThan">
      <formula>120</formula>
    </cfRule>
    <cfRule type="containsText" dxfId="0" priority="732" operator="between" text="库存为">
      <formula>NOT(ISERROR(SEARCH("库存为",AU1889)))</formula>
    </cfRule>
  </conditionalFormatting>
  <conditionalFormatting sqref="AU1890">
    <cfRule type="cellIs" dxfId="2" priority="5961" operator="lessThan">
      <formula>20</formula>
    </cfRule>
    <cfRule type="cellIs" dxfId="1" priority="3346" operator="greaterThan">
      <formula>120</formula>
    </cfRule>
    <cfRule type="containsText" dxfId="0" priority="731" operator="between" text="库存为">
      <formula>NOT(ISERROR(SEARCH("库存为",AU1890)))</formula>
    </cfRule>
  </conditionalFormatting>
  <conditionalFormatting sqref="AU1891">
    <cfRule type="cellIs" dxfId="2" priority="5960" operator="lessThan">
      <formula>20</formula>
    </cfRule>
    <cfRule type="cellIs" dxfId="1" priority="3345" operator="greaterThan">
      <formula>120</formula>
    </cfRule>
    <cfRule type="containsText" dxfId="0" priority="730" operator="between" text="库存为">
      <formula>NOT(ISERROR(SEARCH("库存为",AU1891)))</formula>
    </cfRule>
  </conditionalFormatting>
  <conditionalFormatting sqref="AU1892">
    <cfRule type="cellIs" dxfId="2" priority="5959" operator="lessThan">
      <formula>20</formula>
    </cfRule>
    <cfRule type="cellIs" dxfId="1" priority="3344" operator="greaterThan">
      <formula>120</formula>
    </cfRule>
    <cfRule type="containsText" dxfId="0" priority="729" operator="between" text="库存为">
      <formula>NOT(ISERROR(SEARCH("库存为",AU1892)))</formula>
    </cfRule>
  </conditionalFormatting>
  <conditionalFormatting sqref="AU1893">
    <cfRule type="cellIs" dxfId="2" priority="5958" operator="lessThan">
      <formula>20</formula>
    </cfRule>
    <cfRule type="cellIs" dxfId="1" priority="3343" operator="greaterThan">
      <formula>120</formula>
    </cfRule>
    <cfRule type="containsText" dxfId="0" priority="728" operator="between" text="库存为">
      <formula>NOT(ISERROR(SEARCH("库存为",AU1893)))</formula>
    </cfRule>
  </conditionalFormatting>
  <conditionalFormatting sqref="AU1894">
    <cfRule type="cellIs" dxfId="2" priority="5957" operator="lessThan">
      <formula>20</formula>
    </cfRule>
    <cfRule type="cellIs" dxfId="1" priority="3342" operator="greaterThan">
      <formula>120</formula>
    </cfRule>
    <cfRule type="containsText" dxfId="0" priority="727" operator="between" text="库存为">
      <formula>NOT(ISERROR(SEARCH("库存为",AU1894)))</formula>
    </cfRule>
  </conditionalFormatting>
  <conditionalFormatting sqref="AU1895">
    <cfRule type="cellIs" dxfId="2" priority="5956" operator="lessThan">
      <formula>20</formula>
    </cfRule>
    <cfRule type="cellIs" dxfId="1" priority="3341" operator="greaterThan">
      <formula>120</formula>
    </cfRule>
    <cfRule type="containsText" dxfId="0" priority="726" operator="between" text="库存为">
      <formula>NOT(ISERROR(SEARCH("库存为",AU1895)))</formula>
    </cfRule>
  </conditionalFormatting>
  <conditionalFormatting sqref="AU1896">
    <cfRule type="cellIs" dxfId="2" priority="5955" operator="lessThan">
      <formula>20</formula>
    </cfRule>
    <cfRule type="cellIs" dxfId="1" priority="3340" operator="greaterThan">
      <formula>120</formula>
    </cfRule>
    <cfRule type="containsText" dxfId="0" priority="725" operator="between" text="库存为">
      <formula>NOT(ISERROR(SEARCH("库存为",AU1896)))</formula>
    </cfRule>
  </conditionalFormatting>
  <conditionalFormatting sqref="AU1897">
    <cfRule type="cellIs" dxfId="2" priority="5954" operator="lessThan">
      <formula>20</formula>
    </cfRule>
    <cfRule type="cellIs" dxfId="1" priority="3339" operator="greaterThan">
      <formula>120</formula>
    </cfRule>
    <cfRule type="containsText" dxfId="0" priority="724" operator="between" text="库存为">
      <formula>NOT(ISERROR(SEARCH("库存为",AU1897)))</formula>
    </cfRule>
  </conditionalFormatting>
  <conditionalFormatting sqref="AU1898">
    <cfRule type="cellIs" dxfId="2" priority="5953" operator="lessThan">
      <formula>20</formula>
    </cfRule>
    <cfRule type="cellIs" dxfId="1" priority="3338" operator="greaterThan">
      <formula>120</formula>
    </cfRule>
    <cfRule type="containsText" dxfId="0" priority="723" operator="between" text="库存为">
      <formula>NOT(ISERROR(SEARCH("库存为",AU1898)))</formula>
    </cfRule>
  </conditionalFormatting>
  <conditionalFormatting sqref="AU1899">
    <cfRule type="cellIs" dxfId="2" priority="5952" operator="lessThan">
      <formula>20</formula>
    </cfRule>
    <cfRule type="cellIs" dxfId="1" priority="3337" operator="greaterThan">
      <formula>120</formula>
    </cfRule>
    <cfRule type="containsText" dxfId="0" priority="722" operator="between" text="库存为">
      <formula>NOT(ISERROR(SEARCH("库存为",AU1899)))</formula>
    </cfRule>
  </conditionalFormatting>
  <conditionalFormatting sqref="AU1900">
    <cfRule type="cellIs" dxfId="2" priority="5951" operator="lessThan">
      <formula>20</formula>
    </cfRule>
    <cfRule type="cellIs" dxfId="1" priority="3336" operator="greaterThan">
      <formula>120</formula>
    </cfRule>
    <cfRule type="containsText" dxfId="0" priority="721" operator="between" text="库存为">
      <formula>NOT(ISERROR(SEARCH("库存为",AU1900)))</formula>
    </cfRule>
  </conditionalFormatting>
  <conditionalFormatting sqref="AU1901">
    <cfRule type="cellIs" dxfId="2" priority="5950" operator="lessThan">
      <formula>20</formula>
    </cfRule>
    <cfRule type="cellIs" dxfId="1" priority="3335" operator="greaterThan">
      <formula>120</formula>
    </cfRule>
    <cfRule type="containsText" dxfId="0" priority="720" operator="between" text="库存为">
      <formula>NOT(ISERROR(SEARCH("库存为",AU1901)))</formula>
    </cfRule>
  </conditionalFormatting>
  <conditionalFormatting sqref="AU1902">
    <cfRule type="cellIs" dxfId="2" priority="5949" operator="lessThan">
      <formula>20</formula>
    </cfRule>
    <cfRule type="cellIs" dxfId="1" priority="3334" operator="greaterThan">
      <formula>120</formula>
    </cfRule>
    <cfRule type="containsText" dxfId="0" priority="719" operator="between" text="库存为">
      <formula>NOT(ISERROR(SEARCH("库存为",AU1902)))</formula>
    </cfRule>
  </conditionalFormatting>
  <conditionalFormatting sqref="AU1903">
    <cfRule type="cellIs" dxfId="2" priority="5948" operator="lessThan">
      <formula>20</formula>
    </cfRule>
    <cfRule type="cellIs" dxfId="1" priority="3333" operator="greaterThan">
      <formula>120</formula>
    </cfRule>
    <cfRule type="containsText" dxfId="0" priority="718" operator="between" text="库存为">
      <formula>NOT(ISERROR(SEARCH("库存为",AU1903)))</formula>
    </cfRule>
  </conditionalFormatting>
  <conditionalFormatting sqref="AU1904">
    <cfRule type="cellIs" dxfId="2" priority="5947" operator="lessThan">
      <formula>20</formula>
    </cfRule>
    <cfRule type="cellIs" dxfId="1" priority="3332" operator="greaterThan">
      <formula>120</formula>
    </cfRule>
    <cfRule type="containsText" dxfId="0" priority="717" operator="between" text="库存为">
      <formula>NOT(ISERROR(SEARCH("库存为",AU1904)))</formula>
    </cfRule>
  </conditionalFormatting>
  <conditionalFormatting sqref="AU1905">
    <cfRule type="cellIs" dxfId="2" priority="5946" operator="lessThan">
      <formula>20</formula>
    </cfRule>
    <cfRule type="cellIs" dxfId="1" priority="3331" operator="greaterThan">
      <formula>120</formula>
    </cfRule>
    <cfRule type="containsText" dxfId="0" priority="716" operator="between" text="库存为">
      <formula>NOT(ISERROR(SEARCH("库存为",AU1905)))</formula>
    </cfRule>
  </conditionalFormatting>
  <conditionalFormatting sqref="AU1906">
    <cfRule type="cellIs" dxfId="2" priority="5945" operator="lessThan">
      <formula>20</formula>
    </cfRule>
    <cfRule type="cellIs" dxfId="1" priority="3330" operator="greaterThan">
      <formula>120</formula>
    </cfRule>
    <cfRule type="containsText" dxfId="0" priority="715" operator="between" text="库存为">
      <formula>NOT(ISERROR(SEARCH("库存为",AU1906)))</formula>
    </cfRule>
  </conditionalFormatting>
  <conditionalFormatting sqref="AU1907">
    <cfRule type="cellIs" dxfId="2" priority="5944" operator="lessThan">
      <formula>20</formula>
    </cfRule>
    <cfRule type="cellIs" dxfId="1" priority="3329" operator="greaterThan">
      <formula>120</formula>
    </cfRule>
    <cfRule type="containsText" dxfId="0" priority="714" operator="between" text="库存为">
      <formula>NOT(ISERROR(SEARCH("库存为",AU1907)))</formula>
    </cfRule>
  </conditionalFormatting>
  <conditionalFormatting sqref="AU1908">
    <cfRule type="cellIs" dxfId="2" priority="5943" operator="lessThan">
      <formula>20</formula>
    </cfRule>
    <cfRule type="cellIs" dxfId="1" priority="3328" operator="greaterThan">
      <formula>120</formula>
    </cfRule>
    <cfRule type="containsText" dxfId="0" priority="713" operator="between" text="库存为">
      <formula>NOT(ISERROR(SEARCH("库存为",AU1908)))</formula>
    </cfRule>
  </conditionalFormatting>
  <conditionalFormatting sqref="AU1909">
    <cfRule type="cellIs" dxfId="2" priority="5942" operator="lessThan">
      <formula>20</formula>
    </cfRule>
    <cfRule type="cellIs" dxfId="1" priority="3327" operator="greaterThan">
      <formula>120</formula>
    </cfRule>
    <cfRule type="containsText" dxfId="0" priority="712" operator="between" text="库存为">
      <formula>NOT(ISERROR(SEARCH("库存为",AU1909)))</formula>
    </cfRule>
  </conditionalFormatting>
  <conditionalFormatting sqref="AU1910">
    <cfRule type="cellIs" dxfId="2" priority="5941" operator="lessThan">
      <formula>20</formula>
    </cfRule>
    <cfRule type="cellIs" dxfId="1" priority="3326" operator="greaterThan">
      <formula>120</formula>
    </cfRule>
    <cfRule type="containsText" dxfId="0" priority="711" operator="between" text="库存为">
      <formula>NOT(ISERROR(SEARCH("库存为",AU1910)))</formula>
    </cfRule>
  </conditionalFormatting>
  <conditionalFormatting sqref="AU1911">
    <cfRule type="cellIs" dxfId="2" priority="5940" operator="lessThan">
      <formula>20</formula>
    </cfRule>
    <cfRule type="cellIs" dxfId="1" priority="3325" operator="greaterThan">
      <formula>120</formula>
    </cfRule>
    <cfRule type="containsText" dxfId="0" priority="710" operator="between" text="库存为">
      <formula>NOT(ISERROR(SEARCH("库存为",AU1911)))</formula>
    </cfRule>
  </conditionalFormatting>
  <conditionalFormatting sqref="AU1912">
    <cfRule type="cellIs" dxfId="2" priority="5939" operator="lessThan">
      <formula>20</formula>
    </cfRule>
    <cfRule type="cellIs" dxfId="1" priority="3324" operator="greaterThan">
      <formula>120</formula>
    </cfRule>
    <cfRule type="containsText" dxfId="0" priority="709" operator="between" text="库存为">
      <formula>NOT(ISERROR(SEARCH("库存为",AU1912)))</formula>
    </cfRule>
  </conditionalFormatting>
  <conditionalFormatting sqref="AU1913">
    <cfRule type="cellIs" dxfId="2" priority="5938" operator="lessThan">
      <formula>20</formula>
    </cfRule>
    <cfRule type="cellIs" dxfId="1" priority="3323" operator="greaterThan">
      <formula>120</formula>
    </cfRule>
    <cfRule type="containsText" dxfId="0" priority="708" operator="between" text="库存为">
      <formula>NOT(ISERROR(SEARCH("库存为",AU1913)))</formula>
    </cfRule>
  </conditionalFormatting>
  <conditionalFormatting sqref="AU1914">
    <cfRule type="cellIs" dxfId="2" priority="5937" operator="lessThan">
      <formula>20</formula>
    </cfRule>
    <cfRule type="cellIs" dxfId="1" priority="3322" operator="greaterThan">
      <formula>120</formula>
    </cfRule>
    <cfRule type="containsText" dxfId="0" priority="707" operator="between" text="库存为">
      <formula>NOT(ISERROR(SEARCH("库存为",AU1914)))</formula>
    </cfRule>
  </conditionalFormatting>
  <conditionalFormatting sqref="AU1915">
    <cfRule type="cellIs" dxfId="2" priority="5936" operator="lessThan">
      <formula>20</formula>
    </cfRule>
    <cfRule type="cellIs" dxfId="1" priority="3321" operator="greaterThan">
      <formula>120</formula>
    </cfRule>
    <cfRule type="containsText" dxfId="0" priority="706" operator="between" text="库存为">
      <formula>NOT(ISERROR(SEARCH("库存为",AU1915)))</formula>
    </cfRule>
  </conditionalFormatting>
  <conditionalFormatting sqref="AU1916">
    <cfRule type="cellIs" dxfId="2" priority="5935" operator="lessThan">
      <formula>20</formula>
    </cfRule>
    <cfRule type="cellIs" dxfId="1" priority="3320" operator="greaterThan">
      <formula>120</formula>
    </cfRule>
    <cfRule type="containsText" dxfId="0" priority="705" operator="between" text="库存为">
      <formula>NOT(ISERROR(SEARCH("库存为",AU1916)))</formula>
    </cfRule>
  </conditionalFormatting>
  <conditionalFormatting sqref="AU1917">
    <cfRule type="cellIs" dxfId="2" priority="5934" operator="lessThan">
      <formula>20</formula>
    </cfRule>
    <cfRule type="cellIs" dxfId="1" priority="3319" operator="greaterThan">
      <formula>120</formula>
    </cfRule>
    <cfRule type="containsText" dxfId="0" priority="704" operator="between" text="库存为">
      <formula>NOT(ISERROR(SEARCH("库存为",AU1917)))</formula>
    </cfRule>
  </conditionalFormatting>
  <conditionalFormatting sqref="AU1918">
    <cfRule type="cellIs" dxfId="2" priority="5933" operator="lessThan">
      <formula>20</formula>
    </cfRule>
    <cfRule type="cellIs" dxfId="1" priority="3318" operator="greaterThan">
      <formula>120</formula>
    </cfRule>
    <cfRule type="containsText" dxfId="0" priority="703" operator="between" text="库存为">
      <formula>NOT(ISERROR(SEARCH("库存为",AU1918)))</formula>
    </cfRule>
  </conditionalFormatting>
  <conditionalFormatting sqref="AU1919">
    <cfRule type="cellIs" dxfId="2" priority="5932" operator="lessThan">
      <formula>20</formula>
    </cfRule>
    <cfRule type="cellIs" dxfId="1" priority="3317" operator="greaterThan">
      <formula>120</formula>
    </cfRule>
    <cfRule type="containsText" dxfId="0" priority="702" operator="between" text="库存为">
      <formula>NOT(ISERROR(SEARCH("库存为",AU1919)))</formula>
    </cfRule>
  </conditionalFormatting>
  <conditionalFormatting sqref="AU1920">
    <cfRule type="cellIs" dxfId="2" priority="5931" operator="lessThan">
      <formula>20</formula>
    </cfRule>
    <cfRule type="cellIs" dxfId="1" priority="3316" operator="greaterThan">
      <formula>120</formula>
    </cfRule>
    <cfRule type="containsText" dxfId="0" priority="701" operator="between" text="库存为">
      <formula>NOT(ISERROR(SEARCH("库存为",AU1920)))</formula>
    </cfRule>
  </conditionalFormatting>
  <conditionalFormatting sqref="AU1921">
    <cfRule type="cellIs" dxfId="2" priority="5930" operator="lessThan">
      <formula>20</formula>
    </cfRule>
    <cfRule type="cellIs" dxfId="1" priority="3315" operator="greaterThan">
      <formula>120</formula>
    </cfRule>
    <cfRule type="containsText" dxfId="0" priority="700" operator="between" text="库存为">
      <formula>NOT(ISERROR(SEARCH("库存为",AU1921)))</formula>
    </cfRule>
  </conditionalFormatting>
  <conditionalFormatting sqref="AU1922">
    <cfRule type="cellIs" dxfId="2" priority="5929" operator="lessThan">
      <formula>20</formula>
    </cfRule>
    <cfRule type="cellIs" dxfId="1" priority="3314" operator="greaterThan">
      <formula>120</formula>
    </cfRule>
    <cfRule type="containsText" dxfId="0" priority="699" operator="between" text="库存为">
      <formula>NOT(ISERROR(SEARCH("库存为",AU1922)))</formula>
    </cfRule>
  </conditionalFormatting>
  <conditionalFormatting sqref="AU1923">
    <cfRule type="cellIs" dxfId="2" priority="5928" operator="lessThan">
      <formula>20</formula>
    </cfRule>
    <cfRule type="cellIs" dxfId="1" priority="3313" operator="greaterThan">
      <formula>120</formula>
    </cfRule>
    <cfRule type="containsText" dxfId="0" priority="698" operator="between" text="库存为">
      <formula>NOT(ISERROR(SEARCH("库存为",AU1923)))</formula>
    </cfRule>
  </conditionalFormatting>
  <conditionalFormatting sqref="AU1924">
    <cfRule type="cellIs" dxfId="2" priority="5927" operator="lessThan">
      <formula>20</formula>
    </cfRule>
    <cfRule type="cellIs" dxfId="1" priority="3312" operator="greaterThan">
      <formula>120</formula>
    </cfRule>
    <cfRule type="containsText" dxfId="0" priority="697" operator="between" text="库存为">
      <formula>NOT(ISERROR(SEARCH("库存为",AU1924)))</formula>
    </cfRule>
  </conditionalFormatting>
  <conditionalFormatting sqref="AU1925">
    <cfRule type="cellIs" dxfId="2" priority="5926" operator="lessThan">
      <formula>20</formula>
    </cfRule>
    <cfRule type="cellIs" dxfId="1" priority="3311" operator="greaterThan">
      <formula>120</formula>
    </cfRule>
    <cfRule type="containsText" dxfId="0" priority="696" operator="between" text="库存为">
      <formula>NOT(ISERROR(SEARCH("库存为",AU1925)))</formula>
    </cfRule>
  </conditionalFormatting>
  <conditionalFormatting sqref="AU1926">
    <cfRule type="cellIs" dxfId="2" priority="5925" operator="lessThan">
      <formula>20</formula>
    </cfRule>
    <cfRule type="cellIs" dxfId="1" priority="3310" operator="greaterThan">
      <formula>120</formula>
    </cfRule>
    <cfRule type="containsText" dxfId="0" priority="695" operator="between" text="库存为">
      <formula>NOT(ISERROR(SEARCH("库存为",AU1926)))</formula>
    </cfRule>
  </conditionalFormatting>
  <conditionalFormatting sqref="AU1927">
    <cfRule type="cellIs" dxfId="2" priority="5924" operator="lessThan">
      <formula>20</formula>
    </cfRule>
    <cfRule type="cellIs" dxfId="1" priority="3309" operator="greaterThan">
      <formula>120</formula>
    </cfRule>
    <cfRule type="containsText" dxfId="0" priority="694" operator="between" text="库存为">
      <formula>NOT(ISERROR(SEARCH("库存为",AU1927)))</formula>
    </cfRule>
  </conditionalFormatting>
  <conditionalFormatting sqref="AU1928">
    <cfRule type="cellIs" dxfId="2" priority="5923" operator="lessThan">
      <formula>20</formula>
    </cfRule>
    <cfRule type="cellIs" dxfId="1" priority="3308" operator="greaterThan">
      <formula>120</formula>
    </cfRule>
    <cfRule type="containsText" dxfId="0" priority="693" operator="between" text="库存为">
      <formula>NOT(ISERROR(SEARCH("库存为",AU1928)))</formula>
    </cfRule>
  </conditionalFormatting>
  <conditionalFormatting sqref="AU1929">
    <cfRule type="cellIs" dxfId="2" priority="5922" operator="lessThan">
      <formula>20</formula>
    </cfRule>
    <cfRule type="cellIs" dxfId="1" priority="3307" operator="greaterThan">
      <formula>120</formula>
    </cfRule>
    <cfRule type="containsText" dxfId="0" priority="692" operator="between" text="库存为">
      <formula>NOT(ISERROR(SEARCH("库存为",AU1929)))</formula>
    </cfRule>
  </conditionalFormatting>
  <conditionalFormatting sqref="AU1930">
    <cfRule type="cellIs" dxfId="2" priority="5921" operator="lessThan">
      <formula>20</formula>
    </cfRule>
    <cfRule type="cellIs" dxfId="1" priority="3306" operator="greaterThan">
      <formula>120</formula>
    </cfRule>
    <cfRule type="containsText" dxfId="0" priority="691" operator="between" text="库存为">
      <formula>NOT(ISERROR(SEARCH("库存为",AU1930)))</formula>
    </cfRule>
  </conditionalFormatting>
  <conditionalFormatting sqref="AU1931">
    <cfRule type="cellIs" dxfId="2" priority="5920" operator="lessThan">
      <formula>20</formula>
    </cfRule>
    <cfRule type="cellIs" dxfId="1" priority="3305" operator="greaterThan">
      <formula>120</formula>
    </cfRule>
    <cfRule type="containsText" dxfId="0" priority="690" operator="between" text="库存为">
      <formula>NOT(ISERROR(SEARCH("库存为",AU1931)))</formula>
    </cfRule>
  </conditionalFormatting>
  <conditionalFormatting sqref="AU1932">
    <cfRule type="cellIs" dxfId="2" priority="5919" operator="lessThan">
      <formula>20</formula>
    </cfRule>
    <cfRule type="cellIs" dxfId="1" priority="3304" operator="greaterThan">
      <formula>120</formula>
    </cfRule>
    <cfRule type="containsText" dxfId="0" priority="689" operator="between" text="库存为">
      <formula>NOT(ISERROR(SEARCH("库存为",AU1932)))</formula>
    </cfRule>
  </conditionalFormatting>
  <conditionalFormatting sqref="AU1933">
    <cfRule type="cellIs" dxfId="2" priority="5918" operator="lessThan">
      <formula>20</formula>
    </cfRule>
    <cfRule type="cellIs" dxfId="1" priority="3303" operator="greaterThan">
      <formula>120</formula>
    </cfRule>
    <cfRule type="containsText" dxfId="0" priority="688" operator="between" text="库存为">
      <formula>NOT(ISERROR(SEARCH("库存为",AU1933)))</formula>
    </cfRule>
  </conditionalFormatting>
  <conditionalFormatting sqref="AU1934">
    <cfRule type="cellIs" dxfId="2" priority="5917" operator="lessThan">
      <formula>20</formula>
    </cfRule>
    <cfRule type="cellIs" dxfId="1" priority="3302" operator="greaterThan">
      <formula>120</formula>
    </cfRule>
    <cfRule type="containsText" dxfId="0" priority="687" operator="between" text="库存为">
      <formula>NOT(ISERROR(SEARCH("库存为",AU1934)))</formula>
    </cfRule>
  </conditionalFormatting>
  <conditionalFormatting sqref="AU1935">
    <cfRule type="cellIs" dxfId="2" priority="5916" operator="lessThan">
      <formula>20</formula>
    </cfRule>
    <cfRule type="cellIs" dxfId="1" priority="3301" operator="greaterThan">
      <formula>120</formula>
    </cfRule>
    <cfRule type="containsText" dxfId="0" priority="686" operator="between" text="库存为">
      <formula>NOT(ISERROR(SEARCH("库存为",AU1935)))</formula>
    </cfRule>
  </conditionalFormatting>
  <conditionalFormatting sqref="AU1936">
    <cfRule type="cellIs" dxfId="2" priority="5915" operator="lessThan">
      <formula>20</formula>
    </cfRule>
    <cfRule type="cellIs" dxfId="1" priority="3300" operator="greaterThan">
      <formula>120</formula>
    </cfRule>
    <cfRule type="containsText" dxfId="0" priority="685" operator="between" text="库存为">
      <formula>NOT(ISERROR(SEARCH("库存为",AU1936)))</formula>
    </cfRule>
  </conditionalFormatting>
  <conditionalFormatting sqref="AU1937">
    <cfRule type="cellIs" dxfId="2" priority="5914" operator="lessThan">
      <formula>20</formula>
    </cfRule>
    <cfRule type="cellIs" dxfId="1" priority="3299" operator="greaterThan">
      <formula>120</formula>
    </cfRule>
    <cfRule type="containsText" dxfId="0" priority="684" operator="between" text="库存为">
      <formula>NOT(ISERROR(SEARCH("库存为",AU1937)))</formula>
    </cfRule>
  </conditionalFormatting>
  <conditionalFormatting sqref="AU1938">
    <cfRule type="cellIs" dxfId="2" priority="5913" operator="lessThan">
      <formula>20</formula>
    </cfRule>
    <cfRule type="cellIs" dxfId="1" priority="3298" operator="greaterThan">
      <formula>120</formula>
    </cfRule>
    <cfRule type="containsText" dxfId="0" priority="683" operator="between" text="库存为">
      <formula>NOT(ISERROR(SEARCH("库存为",AU1938)))</formula>
    </cfRule>
  </conditionalFormatting>
  <conditionalFormatting sqref="AU1939">
    <cfRule type="cellIs" dxfId="2" priority="5912" operator="lessThan">
      <formula>20</formula>
    </cfRule>
    <cfRule type="cellIs" dxfId="1" priority="3297" operator="greaterThan">
      <formula>120</formula>
    </cfRule>
    <cfRule type="containsText" dxfId="0" priority="682" operator="between" text="库存为">
      <formula>NOT(ISERROR(SEARCH("库存为",AU1939)))</formula>
    </cfRule>
  </conditionalFormatting>
  <conditionalFormatting sqref="AU1940">
    <cfRule type="cellIs" dxfId="2" priority="5911" operator="lessThan">
      <formula>20</formula>
    </cfRule>
    <cfRule type="cellIs" dxfId="1" priority="3296" operator="greaterThan">
      <formula>120</formula>
    </cfRule>
    <cfRule type="containsText" dxfId="0" priority="681" operator="between" text="库存为">
      <formula>NOT(ISERROR(SEARCH("库存为",AU1940)))</formula>
    </cfRule>
  </conditionalFormatting>
  <conditionalFormatting sqref="AU1941">
    <cfRule type="cellIs" dxfId="2" priority="5910" operator="lessThan">
      <formula>20</formula>
    </cfRule>
    <cfRule type="cellIs" dxfId="1" priority="3295" operator="greaterThan">
      <formula>120</formula>
    </cfRule>
    <cfRule type="containsText" dxfId="0" priority="680" operator="between" text="库存为">
      <formula>NOT(ISERROR(SEARCH("库存为",AU1941)))</formula>
    </cfRule>
  </conditionalFormatting>
  <conditionalFormatting sqref="AU1942">
    <cfRule type="cellIs" dxfId="2" priority="5909" operator="lessThan">
      <formula>20</formula>
    </cfRule>
    <cfRule type="cellIs" dxfId="1" priority="3294" operator="greaterThan">
      <formula>120</formula>
    </cfRule>
    <cfRule type="containsText" dxfId="0" priority="679" operator="between" text="库存为">
      <formula>NOT(ISERROR(SEARCH("库存为",AU1942)))</formula>
    </cfRule>
  </conditionalFormatting>
  <conditionalFormatting sqref="AU1943">
    <cfRule type="cellIs" dxfId="2" priority="5908" operator="lessThan">
      <formula>20</formula>
    </cfRule>
    <cfRule type="cellIs" dxfId="1" priority="3293" operator="greaterThan">
      <formula>120</formula>
    </cfRule>
    <cfRule type="containsText" dxfId="0" priority="678" operator="between" text="库存为">
      <formula>NOT(ISERROR(SEARCH("库存为",AU1943)))</formula>
    </cfRule>
  </conditionalFormatting>
  <conditionalFormatting sqref="AU1944">
    <cfRule type="cellIs" dxfId="2" priority="5907" operator="lessThan">
      <formula>20</formula>
    </cfRule>
    <cfRule type="cellIs" dxfId="1" priority="3292" operator="greaterThan">
      <formula>120</formula>
    </cfRule>
    <cfRule type="containsText" dxfId="0" priority="677" operator="between" text="库存为">
      <formula>NOT(ISERROR(SEARCH("库存为",AU1944)))</formula>
    </cfRule>
  </conditionalFormatting>
  <conditionalFormatting sqref="AU1945">
    <cfRule type="cellIs" dxfId="2" priority="5906" operator="lessThan">
      <formula>20</formula>
    </cfRule>
    <cfRule type="cellIs" dxfId="1" priority="3291" operator="greaterThan">
      <formula>120</formula>
    </cfRule>
    <cfRule type="containsText" dxfId="0" priority="676" operator="between" text="库存为">
      <formula>NOT(ISERROR(SEARCH("库存为",AU1945)))</formula>
    </cfRule>
  </conditionalFormatting>
  <conditionalFormatting sqref="AU1946">
    <cfRule type="cellIs" dxfId="2" priority="5905" operator="lessThan">
      <formula>20</formula>
    </cfRule>
    <cfRule type="cellIs" dxfId="1" priority="3290" operator="greaterThan">
      <formula>120</formula>
    </cfRule>
    <cfRule type="containsText" dxfId="0" priority="675" operator="between" text="库存为">
      <formula>NOT(ISERROR(SEARCH("库存为",AU1946)))</formula>
    </cfRule>
  </conditionalFormatting>
  <conditionalFormatting sqref="AU1947">
    <cfRule type="cellIs" dxfId="2" priority="5904" operator="lessThan">
      <formula>20</formula>
    </cfRule>
    <cfRule type="cellIs" dxfId="1" priority="3289" operator="greaterThan">
      <formula>120</formula>
    </cfRule>
    <cfRule type="containsText" dxfId="0" priority="674" operator="between" text="库存为">
      <formula>NOT(ISERROR(SEARCH("库存为",AU1947)))</formula>
    </cfRule>
  </conditionalFormatting>
  <conditionalFormatting sqref="AU1948">
    <cfRule type="cellIs" dxfId="2" priority="5903" operator="lessThan">
      <formula>20</formula>
    </cfRule>
    <cfRule type="cellIs" dxfId="1" priority="3288" operator="greaterThan">
      <formula>120</formula>
    </cfRule>
    <cfRule type="containsText" dxfId="0" priority="673" operator="between" text="库存为">
      <formula>NOT(ISERROR(SEARCH("库存为",AU1948)))</formula>
    </cfRule>
  </conditionalFormatting>
  <conditionalFormatting sqref="AU1949">
    <cfRule type="cellIs" dxfId="2" priority="5902" operator="lessThan">
      <formula>20</formula>
    </cfRule>
    <cfRule type="cellIs" dxfId="1" priority="3287" operator="greaterThan">
      <formula>120</formula>
    </cfRule>
    <cfRule type="containsText" dxfId="0" priority="672" operator="between" text="库存为">
      <formula>NOT(ISERROR(SEARCH("库存为",AU1949)))</formula>
    </cfRule>
  </conditionalFormatting>
  <conditionalFormatting sqref="AU1950">
    <cfRule type="cellIs" dxfId="2" priority="5901" operator="lessThan">
      <formula>20</formula>
    </cfRule>
    <cfRule type="cellIs" dxfId="1" priority="3286" operator="greaterThan">
      <formula>120</formula>
    </cfRule>
    <cfRule type="containsText" dxfId="0" priority="671" operator="between" text="库存为">
      <formula>NOT(ISERROR(SEARCH("库存为",AU1950)))</formula>
    </cfRule>
  </conditionalFormatting>
  <conditionalFormatting sqref="AU1951">
    <cfRule type="cellIs" dxfId="2" priority="5900" operator="lessThan">
      <formula>20</formula>
    </cfRule>
    <cfRule type="cellIs" dxfId="1" priority="3285" operator="greaterThan">
      <formula>120</formula>
    </cfRule>
    <cfRule type="containsText" dxfId="0" priority="670" operator="between" text="库存为">
      <formula>NOT(ISERROR(SEARCH("库存为",AU1951)))</formula>
    </cfRule>
  </conditionalFormatting>
  <conditionalFormatting sqref="AU1952">
    <cfRule type="cellIs" dxfId="2" priority="5899" operator="lessThan">
      <formula>20</formula>
    </cfRule>
    <cfRule type="cellIs" dxfId="1" priority="3284" operator="greaterThan">
      <formula>120</formula>
    </cfRule>
    <cfRule type="containsText" dxfId="0" priority="669" operator="between" text="库存为">
      <formula>NOT(ISERROR(SEARCH("库存为",AU1952)))</formula>
    </cfRule>
  </conditionalFormatting>
  <conditionalFormatting sqref="AU1953">
    <cfRule type="cellIs" dxfId="2" priority="5898" operator="lessThan">
      <formula>20</formula>
    </cfRule>
    <cfRule type="cellIs" dxfId="1" priority="3283" operator="greaterThan">
      <formula>120</formula>
    </cfRule>
    <cfRule type="containsText" dxfId="0" priority="668" operator="between" text="库存为">
      <formula>NOT(ISERROR(SEARCH("库存为",AU1953)))</formula>
    </cfRule>
  </conditionalFormatting>
  <conditionalFormatting sqref="AU1954">
    <cfRule type="cellIs" dxfId="2" priority="5897" operator="lessThan">
      <formula>20</formula>
    </cfRule>
    <cfRule type="cellIs" dxfId="1" priority="3282" operator="greaterThan">
      <formula>120</formula>
    </cfRule>
    <cfRule type="containsText" dxfId="0" priority="667" operator="between" text="库存为">
      <formula>NOT(ISERROR(SEARCH("库存为",AU1954)))</formula>
    </cfRule>
  </conditionalFormatting>
  <conditionalFormatting sqref="AU1955">
    <cfRule type="cellIs" dxfId="2" priority="5896" operator="lessThan">
      <formula>20</formula>
    </cfRule>
    <cfRule type="cellIs" dxfId="1" priority="3281" operator="greaterThan">
      <formula>120</formula>
    </cfRule>
    <cfRule type="containsText" dxfId="0" priority="666" operator="between" text="库存为">
      <formula>NOT(ISERROR(SEARCH("库存为",AU1955)))</formula>
    </cfRule>
  </conditionalFormatting>
  <conditionalFormatting sqref="AU1956">
    <cfRule type="cellIs" dxfId="2" priority="5895" operator="lessThan">
      <formula>20</formula>
    </cfRule>
    <cfRule type="cellIs" dxfId="1" priority="3280" operator="greaterThan">
      <formula>120</formula>
    </cfRule>
    <cfRule type="containsText" dxfId="0" priority="665" operator="between" text="库存为">
      <formula>NOT(ISERROR(SEARCH("库存为",AU1956)))</formula>
    </cfRule>
  </conditionalFormatting>
  <conditionalFormatting sqref="AU1957">
    <cfRule type="cellIs" dxfId="2" priority="5894" operator="lessThan">
      <formula>20</formula>
    </cfRule>
    <cfRule type="cellIs" dxfId="1" priority="3279" operator="greaterThan">
      <formula>120</formula>
    </cfRule>
    <cfRule type="containsText" dxfId="0" priority="664" operator="between" text="库存为">
      <formula>NOT(ISERROR(SEARCH("库存为",AU1957)))</formula>
    </cfRule>
  </conditionalFormatting>
  <conditionalFormatting sqref="AU1958">
    <cfRule type="cellIs" dxfId="2" priority="5893" operator="lessThan">
      <formula>20</formula>
    </cfRule>
    <cfRule type="cellIs" dxfId="1" priority="3278" operator="greaterThan">
      <formula>120</formula>
    </cfRule>
    <cfRule type="containsText" dxfId="0" priority="663" operator="between" text="库存为">
      <formula>NOT(ISERROR(SEARCH("库存为",AU1958)))</formula>
    </cfRule>
  </conditionalFormatting>
  <conditionalFormatting sqref="AU1959">
    <cfRule type="cellIs" dxfId="2" priority="5892" operator="lessThan">
      <formula>20</formula>
    </cfRule>
    <cfRule type="cellIs" dxfId="1" priority="3277" operator="greaterThan">
      <formula>120</formula>
    </cfRule>
    <cfRule type="containsText" dxfId="0" priority="662" operator="between" text="库存为">
      <formula>NOT(ISERROR(SEARCH("库存为",AU1959)))</formula>
    </cfRule>
  </conditionalFormatting>
  <conditionalFormatting sqref="AU1960">
    <cfRule type="cellIs" dxfId="2" priority="5891" operator="lessThan">
      <formula>20</formula>
    </cfRule>
    <cfRule type="cellIs" dxfId="1" priority="3276" operator="greaterThan">
      <formula>120</formula>
    </cfRule>
    <cfRule type="containsText" dxfId="0" priority="661" operator="between" text="库存为">
      <formula>NOT(ISERROR(SEARCH("库存为",AU1960)))</formula>
    </cfRule>
  </conditionalFormatting>
  <conditionalFormatting sqref="AU1961">
    <cfRule type="cellIs" dxfId="2" priority="5890" operator="lessThan">
      <formula>20</formula>
    </cfRule>
    <cfRule type="cellIs" dxfId="1" priority="3275" operator="greaterThan">
      <formula>120</formula>
    </cfRule>
    <cfRule type="containsText" dxfId="0" priority="660" operator="between" text="库存为">
      <formula>NOT(ISERROR(SEARCH("库存为",AU1961)))</formula>
    </cfRule>
  </conditionalFormatting>
  <conditionalFormatting sqref="AU1962">
    <cfRule type="cellIs" dxfId="2" priority="5889" operator="lessThan">
      <formula>20</formula>
    </cfRule>
    <cfRule type="cellIs" dxfId="1" priority="3274" operator="greaterThan">
      <formula>120</formula>
    </cfRule>
    <cfRule type="containsText" dxfId="0" priority="659" operator="between" text="库存为">
      <formula>NOT(ISERROR(SEARCH("库存为",AU1962)))</formula>
    </cfRule>
  </conditionalFormatting>
  <conditionalFormatting sqref="AU1963">
    <cfRule type="cellIs" dxfId="2" priority="5888" operator="lessThan">
      <formula>20</formula>
    </cfRule>
    <cfRule type="cellIs" dxfId="1" priority="3273" operator="greaterThan">
      <formula>120</formula>
    </cfRule>
    <cfRule type="containsText" dxfId="0" priority="658" operator="between" text="库存为">
      <formula>NOT(ISERROR(SEARCH("库存为",AU1963)))</formula>
    </cfRule>
  </conditionalFormatting>
  <conditionalFormatting sqref="AU1964">
    <cfRule type="cellIs" dxfId="2" priority="5887" operator="lessThan">
      <formula>20</formula>
    </cfRule>
    <cfRule type="cellIs" dxfId="1" priority="3272" operator="greaterThan">
      <formula>120</formula>
    </cfRule>
    <cfRule type="containsText" dxfId="0" priority="657" operator="between" text="库存为">
      <formula>NOT(ISERROR(SEARCH("库存为",AU1964)))</formula>
    </cfRule>
  </conditionalFormatting>
  <conditionalFormatting sqref="AU1965">
    <cfRule type="cellIs" dxfId="2" priority="5886" operator="lessThan">
      <formula>20</formula>
    </cfRule>
    <cfRule type="cellIs" dxfId="1" priority="3271" operator="greaterThan">
      <formula>120</formula>
    </cfRule>
    <cfRule type="containsText" dxfId="0" priority="656" operator="between" text="库存为">
      <formula>NOT(ISERROR(SEARCH("库存为",AU1965)))</formula>
    </cfRule>
  </conditionalFormatting>
  <conditionalFormatting sqref="AU1966">
    <cfRule type="cellIs" dxfId="2" priority="5885" operator="lessThan">
      <formula>20</formula>
    </cfRule>
    <cfRule type="cellIs" dxfId="1" priority="3270" operator="greaterThan">
      <formula>120</formula>
    </cfRule>
    <cfRule type="containsText" dxfId="0" priority="655" operator="between" text="库存为">
      <formula>NOT(ISERROR(SEARCH("库存为",AU1966)))</formula>
    </cfRule>
  </conditionalFormatting>
  <conditionalFormatting sqref="AU1967">
    <cfRule type="cellIs" dxfId="2" priority="5884" operator="lessThan">
      <formula>20</formula>
    </cfRule>
    <cfRule type="cellIs" dxfId="1" priority="3269" operator="greaterThan">
      <formula>120</formula>
    </cfRule>
    <cfRule type="containsText" dxfId="0" priority="654" operator="between" text="库存为">
      <formula>NOT(ISERROR(SEARCH("库存为",AU1967)))</formula>
    </cfRule>
  </conditionalFormatting>
  <conditionalFormatting sqref="AU1968">
    <cfRule type="cellIs" dxfId="2" priority="5883" operator="lessThan">
      <formula>20</formula>
    </cfRule>
    <cfRule type="cellIs" dxfId="1" priority="3268" operator="greaterThan">
      <formula>120</formula>
    </cfRule>
    <cfRule type="containsText" dxfId="0" priority="653" operator="between" text="库存为">
      <formula>NOT(ISERROR(SEARCH("库存为",AU1968)))</formula>
    </cfRule>
  </conditionalFormatting>
  <conditionalFormatting sqref="AU1969">
    <cfRule type="cellIs" dxfId="2" priority="5882" operator="lessThan">
      <formula>20</formula>
    </cfRule>
    <cfRule type="cellIs" dxfId="1" priority="3267" operator="greaterThan">
      <formula>120</formula>
    </cfRule>
    <cfRule type="containsText" dxfId="0" priority="652" operator="between" text="库存为">
      <formula>NOT(ISERROR(SEARCH("库存为",AU1969)))</formula>
    </cfRule>
  </conditionalFormatting>
  <conditionalFormatting sqref="AU1970">
    <cfRule type="cellIs" dxfId="2" priority="5881" operator="lessThan">
      <formula>20</formula>
    </cfRule>
    <cfRule type="cellIs" dxfId="1" priority="3266" operator="greaterThan">
      <formula>120</formula>
    </cfRule>
    <cfRule type="containsText" dxfId="0" priority="651" operator="between" text="库存为">
      <formula>NOT(ISERROR(SEARCH("库存为",AU1970)))</formula>
    </cfRule>
  </conditionalFormatting>
  <conditionalFormatting sqref="AU1971">
    <cfRule type="cellIs" dxfId="2" priority="5880" operator="lessThan">
      <formula>20</formula>
    </cfRule>
    <cfRule type="cellIs" dxfId="1" priority="3265" operator="greaterThan">
      <formula>120</formula>
    </cfRule>
    <cfRule type="containsText" dxfId="0" priority="650" operator="between" text="库存为">
      <formula>NOT(ISERROR(SEARCH("库存为",AU1971)))</formula>
    </cfRule>
  </conditionalFormatting>
  <conditionalFormatting sqref="AU1972">
    <cfRule type="cellIs" dxfId="2" priority="5879" operator="lessThan">
      <formula>20</formula>
    </cfRule>
    <cfRule type="cellIs" dxfId="1" priority="3264" operator="greaterThan">
      <formula>120</formula>
    </cfRule>
    <cfRule type="containsText" dxfId="0" priority="649" operator="between" text="库存为">
      <formula>NOT(ISERROR(SEARCH("库存为",AU1972)))</formula>
    </cfRule>
  </conditionalFormatting>
  <conditionalFormatting sqref="AU1973">
    <cfRule type="cellIs" dxfId="2" priority="5878" operator="lessThan">
      <formula>20</formula>
    </cfRule>
    <cfRule type="cellIs" dxfId="1" priority="3263" operator="greaterThan">
      <formula>120</formula>
    </cfRule>
    <cfRule type="containsText" dxfId="0" priority="648" operator="between" text="库存为">
      <formula>NOT(ISERROR(SEARCH("库存为",AU1973)))</formula>
    </cfRule>
  </conditionalFormatting>
  <conditionalFormatting sqref="AU1974">
    <cfRule type="cellIs" dxfId="2" priority="5877" operator="lessThan">
      <formula>20</formula>
    </cfRule>
    <cfRule type="cellIs" dxfId="1" priority="3262" operator="greaterThan">
      <formula>120</formula>
    </cfRule>
    <cfRule type="containsText" dxfId="0" priority="647" operator="between" text="库存为">
      <formula>NOT(ISERROR(SEARCH("库存为",AU1974)))</formula>
    </cfRule>
  </conditionalFormatting>
  <conditionalFormatting sqref="AU1975">
    <cfRule type="cellIs" dxfId="2" priority="5876" operator="lessThan">
      <formula>20</formula>
    </cfRule>
    <cfRule type="cellIs" dxfId="1" priority="3261" operator="greaterThan">
      <formula>120</formula>
    </cfRule>
    <cfRule type="containsText" dxfId="0" priority="646" operator="between" text="库存为">
      <formula>NOT(ISERROR(SEARCH("库存为",AU1975)))</formula>
    </cfRule>
  </conditionalFormatting>
  <conditionalFormatting sqref="AU1976">
    <cfRule type="cellIs" dxfId="2" priority="5875" operator="lessThan">
      <formula>20</formula>
    </cfRule>
    <cfRule type="cellIs" dxfId="1" priority="3260" operator="greaterThan">
      <formula>120</formula>
    </cfRule>
    <cfRule type="containsText" dxfId="0" priority="645" operator="between" text="库存为">
      <formula>NOT(ISERROR(SEARCH("库存为",AU1976)))</formula>
    </cfRule>
  </conditionalFormatting>
  <conditionalFormatting sqref="AU1977">
    <cfRule type="cellIs" dxfId="2" priority="5874" operator="lessThan">
      <formula>20</formula>
    </cfRule>
    <cfRule type="cellIs" dxfId="1" priority="3259" operator="greaterThan">
      <formula>120</formula>
    </cfRule>
    <cfRule type="containsText" dxfId="0" priority="644" operator="between" text="库存为">
      <formula>NOT(ISERROR(SEARCH("库存为",AU1977)))</formula>
    </cfRule>
  </conditionalFormatting>
  <conditionalFormatting sqref="AU1978">
    <cfRule type="cellIs" dxfId="2" priority="5873" operator="lessThan">
      <formula>20</formula>
    </cfRule>
    <cfRule type="cellIs" dxfId="1" priority="3258" operator="greaterThan">
      <formula>120</formula>
    </cfRule>
    <cfRule type="containsText" dxfId="0" priority="643" operator="between" text="库存为">
      <formula>NOT(ISERROR(SEARCH("库存为",AU1978)))</formula>
    </cfRule>
  </conditionalFormatting>
  <conditionalFormatting sqref="AU1979">
    <cfRule type="cellIs" dxfId="2" priority="5872" operator="lessThan">
      <formula>20</formula>
    </cfRule>
    <cfRule type="cellIs" dxfId="1" priority="3257" operator="greaterThan">
      <formula>120</formula>
    </cfRule>
    <cfRule type="containsText" dxfId="0" priority="642" operator="between" text="库存为">
      <formula>NOT(ISERROR(SEARCH("库存为",AU1979)))</formula>
    </cfRule>
  </conditionalFormatting>
  <conditionalFormatting sqref="AU1980">
    <cfRule type="cellIs" dxfId="2" priority="5871" operator="lessThan">
      <formula>20</formula>
    </cfRule>
    <cfRule type="cellIs" dxfId="1" priority="3256" operator="greaterThan">
      <formula>120</formula>
    </cfRule>
    <cfRule type="containsText" dxfId="0" priority="641" operator="between" text="库存为">
      <formula>NOT(ISERROR(SEARCH("库存为",AU1980)))</formula>
    </cfRule>
  </conditionalFormatting>
  <conditionalFormatting sqref="AU1981">
    <cfRule type="cellIs" dxfId="2" priority="5870" operator="lessThan">
      <formula>20</formula>
    </cfRule>
    <cfRule type="cellIs" dxfId="1" priority="3255" operator="greaterThan">
      <formula>120</formula>
    </cfRule>
    <cfRule type="containsText" dxfId="0" priority="640" operator="between" text="库存为">
      <formula>NOT(ISERROR(SEARCH("库存为",AU1981)))</formula>
    </cfRule>
  </conditionalFormatting>
  <conditionalFormatting sqref="AU1982">
    <cfRule type="cellIs" dxfId="2" priority="5869" operator="lessThan">
      <formula>20</formula>
    </cfRule>
    <cfRule type="cellIs" dxfId="1" priority="3254" operator="greaterThan">
      <formula>120</formula>
    </cfRule>
    <cfRule type="containsText" dxfId="0" priority="639" operator="between" text="库存为">
      <formula>NOT(ISERROR(SEARCH("库存为",AU1982)))</formula>
    </cfRule>
  </conditionalFormatting>
  <conditionalFormatting sqref="AU1983">
    <cfRule type="cellIs" dxfId="2" priority="5868" operator="lessThan">
      <formula>20</formula>
    </cfRule>
    <cfRule type="cellIs" dxfId="1" priority="3253" operator="greaterThan">
      <formula>120</formula>
    </cfRule>
    <cfRule type="containsText" dxfId="0" priority="638" operator="between" text="库存为">
      <formula>NOT(ISERROR(SEARCH("库存为",AU1983)))</formula>
    </cfRule>
  </conditionalFormatting>
  <conditionalFormatting sqref="AU1984">
    <cfRule type="cellIs" dxfId="2" priority="5867" operator="lessThan">
      <formula>20</formula>
    </cfRule>
    <cfRule type="cellIs" dxfId="1" priority="3252" operator="greaterThan">
      <formula>120</formula>
    </cfRule>
    <cfRule type="containsText" dxfId="0" priority="637" operator="between" text="库存为">
      <formula>NOT(ISERROR(SEARCH("库存为",AU1984)))</formula>
    </cfRule>
  </conditionalFormatting>
  <conditionalFormatting sqref="AU1985">
    <cfRule type="cellIs" dxfId="2" priority="5866" operator="lessThan">
      <formula>20</formula>
    </cfRule>
    <cfRule type="cellIs" dxfId="1" priority="3251" operator="greaterThan">
      <formula>120</formula>
    </cfRule>
    <cfRule type="containsText" dxfId="0" priority="636" operator="between" text="库存为">
      <formula>NOT(ISERROR(SEARCH("库存为",AU1985)))</formula>
    </cfRule>
  </conditionalFormatting>
  <conditionalFormatting sqref="AU1986">
    <cfRule type="cellIs" dxfId="2" priority="5865" operator="lessThan">
      <formula>20</formula>
    </cfRule>
    <cfRule type="cellIs" dxfId="1" priority="3250" operator="greaterThan">
      <formula>120</formula>
    </cfRule>
    <cfRule type="containsText" dxfId="0" priority="635" operator="between" text="库存为">
      <formula>NOT(ISERROR(SEARCH("库存为",AU1986)))</formula>
    </cfRule>
  </conditionalFormatting>
  <conditionalFormatting sqref="AU1987">
    <cfRule type="cellIs" dxfId="2" priority="5864" operator="lessThan">
      <formula>20</formula>
    </cfRule>
    <cfRule type="cellIs" dxfId="1" priority="3249" operator="greaterThan">
      <formula>120</formula>
    </cfRule>
    <cfRule type="containsText" dxfId="0" priority="634" operator="between" text="库存为">
      <formula>NOT(ISERROR(SEARCH("库存为",AU1987)))</formula>
    </cfRule>
  </conditionalFormatting>
  <conditionalFormatting sqref="AU1988">
    <cfRule type="cellIs" dxfId="2" priority="5863" operator="lessThan">
      <formula>20</formula>
    </cfRule>
    <cfRule type="cellIs" dxfId="1" priority="3248" operator="greaterThan">
      <formula>120</formula>
    </cfRule>
    <cfRule type="containsText" dxfId="0" priority="633" operator="between" text="库存为">
      <formula>NOT(ISERROR(SEARCH("库存为",AU1988)))</formula>
    </cfRule>
  </conditionalFormatting>
  <conditionalFormatting sqref="AU1989">
    <cfRule type="cellIs" dxfId="2" priority="5862" operator="lessThan">
      <formula>20</formula>
    </cfRule>
    <cfRule type="cellIs" dxfId="1" priority="3247" operator="greaterThan">
      <formula>120</formula>
    </cfRule>
    <cfRule type="containsText" dxfId="0" priority="632" operator="between" text="库存为">
      <formula>NOT(ISERROR(SEARCH("库存为",AU1989)))</formula>
    </cfRule>
  </conditionalFormatting>
  <conditionalFormatting sqref="AU1990">
    <cfRule type="cellIs" dxfId="2" priority="5861" operator="lessThan">
      <formula>20</formula>
    </cfRule>
    <cfRule type="cellIs" dxfId="1" priority="3246" operator="greaterThan">
      <formula>120</formula>
    </cfRule>
    <cfRule type="containsText" dxfId="0" priority="631" operator="between" text="库存为">
      <formula>NOT(ISERROR(SEARCH("库存为",AU1990)))</formula>
    </cfRule>
  </conditionalFormatting>
  <conditionalFormatting sqref="AU1991">
    <cfRule type="cellIs" dxfId="2" priority="5860" operator="lessThan">
      <formula>20</formula>
    </cfRule>
    <cfRule type="cellIs" dxfId="1" priority="3245" operator="greaterThan">
      <formula>120</formula>
    </cfRule>
    <cfRule type="containsText" dxfId="0" priority="630" operator="between" text="库存为">
      <formula>NOT(ISERROR(SEARCH("库存为",AU1991)))</formula>
    </cfRule>
  </conditionalFormatting>
  <conditionalFormatting sqref="AU1992">
    <cfRule type="cellIs" dxfId="2" priority="5859" operator="lessThan">
      <formula>20</formula>
    </cfRule>
    <cfRule type="cellIs" dxfId="1" priority="3244" operator="greaterThan">
      <formula>120</formula>
    </cfRule>
    <cfRule type="containsText" dxfId="0" priority="629" operator="between" text="库存为">
      <formula>NOT(ISERROR(SEARCH("库存为",AU1992)))</formula>
    </cfRule>
  </conditionalFormatting>
  <conditionalFormatting sqref="AU1993">
    <cfRule type="cellIs" dxfId="2" priority="5858" operator="lessThan">
      <formula>20</formula>
    </cfRule>
    <cfRule type="cellIs" dxfId="1" priority="3243" operator="greaterThan">
      <formula>120</formula>
    </cfRule>
    <cfRule type="containsText" dxfId="0" priority="628" operator="between" text="库存为">
      <formula>NOT(ISERROR(SEARCH("库存为",AU1993)))</formula>
    </cfRule>
  </conditionalFormatting>
  <conditionalFormatting sqref="AU1994">
    <cfRule type="cellIs" dxfId="2" priority="5857" operator="lessThan">
      <formula>20</formula>
    </cfRule>
    <cfRule type="cellIs" dxfId="1" priority="3242" operator="greaterThan">
      <formula>120</formula>
    </cfRule>
    <cfRule type="containsText" dxfId="0" priority="627" operator="between" text="库存为">
      <formula>NOT(ISERROR(SEARCH("库存为",AU1994)))</formula>
    </cfRule>
  </conditionalFormatting>
  <conditionalFormatting sqref="AU1995">
    <cfRule type="cellIs" dxfId="2" priority="5856" operator="lessThan">
      <formula>20</formula>
    </cfRule>
    <cfRule type="cellIs" dxfId="1" priority="3241" operator="greaterThan">
      <formula>120</formula>
    </cfRule>
    <cfRule type="containsText" dxfId="0" priority="626" operator="between" text="库存为">
      <formula>NOT(ISERROR(SEARCH("库存为",AU1995)))</formula>
    </cfRule>
  </conditionalFormatting>
  <conditionalFormatting sqref="AU1996">
    <cfRule type="cellIs" dxfId="2" priority="5855" operator="lessThan">
      <formula>20</formula>
    </cfRule>
    <cfRule type="cellIs" dxfId="1" priority="3240" operator="greaterThan">
      <formula>120</formula>
    </cfRule>
    <cfRule type="containsText" dxfId="0" priority="625" operator="between" text="库存为">
      <formula>NOT(ISERROR(SEARCH("库存为",AU1996)))</formula>
    </cfRule>
  </conditionalFormatting>
  <conditionalFormatting sqref="AU1997">
    <cfRule type="cellIs" dxfId="2" priority="5854" operator="lessThan">
      <formula>20</formula>
    </cfRule>
    <cfRule type="cellIs" dxfId="1" priority="3239" operator="greaterThan">
      <formula>120</formula>
    </cfRule>
    <cfRule type="containsText" dxfId="0" priority="624" operator="between" text="库存为">
      <formula>NOT(ISERROR(SEARCH("库存为",AU1997)))</formula>
    </cfRule>
  </conditionalFormatting>
  <conditionalFormatting sqref="AU1998">
    <cfRule type="cellIs" dxfId="2" priority="5853" operator="lessThan">
      <formula>20</formula>
    </cfRule>
    <cfRule type="cellIs" dxfId="1" priority="3238" operator="greaterThan">
      <formula>120</formula>
    </cfRule>
    <cfRule type="containsText" dxfId="0" priority="623" operator="between" text="库存为">
      <formula>NOT(ISERROR(SEARCH("库存为",AU1998)))</formula>
    </cfRule>
  </conditionalFormatting>
  <conditionalFormatting sqref="AU1999">
    <cfRule type="cellIs" dxfId="2" priority="5852" operator="lessThan">
      <formula>20</formula>
    </cfRule>
    <cfRule type="cellIs" dxfId="1" priority="3237" operator="greaterThan">
      <formula>120</formula>
    </cfRule>
    <cfRule type="containsText" dxfId="0" priority="622" operator="between" text="库存为">
      <formula>NOT(ISERROR(SEARCH("库存为",AU1999)))</formula>
    </cfRule>
  </conditionalFormatting>
  <conditionalFormatting sqref="AU2000">
    <cfRule type="cellIs" dxfId="2" priority="5851" operator="lessThan">
      <formula>20</formula>
    </cfRule>
    <cfRule type="cellIs" dxfId="1" priority="3236" operator="greaterThan">
      <formula>120</formula>
    </cfRule>
    <cfRule type="containsText" dxfId="0" priority="621" operator="between" text="库存为">
      <formula>NOT(ISERROR(SEARCH("库存为",AU2000)))</formula>
    </cfRule>
  </conditionalFormatting>
  <conditionalFormatting sqref="AU2001">
    <cfRule type="cellIs" dxfId="2" priority="5850" operator="lessThan">
      <formula>20</formula>
    </cfRule>
    <cfRule type="cellIs" dxfId="1" priority="3235" operator="greaterThan">
      <formula>120</formula>
    </cfRule>
    <cfRule type="containsText" dxfId="0" priority="620" operator="between" text="库存为">
      <formula>NOT(ISERROR(SEARCH("库存为",AU2001)))</formula>
    </cfRule>
  </conditionalFormatting>
  <conditionalFormatting sqref="AU2002">
    <cfRule type="cellIs" dxfId="2" priority="5849" operator="lessThan">
      <formula>20</formula>
    </cfRule>
    <cfRule type="cellIs" dxfId="1" priority="3234" operator="greaterThan">
      <formula>120</formula>
    </cfRule>
    <cfRule type="containsText" dxfId="0" priority="619" operator="between" text="库存为">
      <formula>NOT(ISERROR(SEARCH("库存为",AU2002)))</formula>
    </cfRule>
  </conditionalFormatting>
  <conditionalFormatting sqref="AU2003">
    <cfRule type="cellIs" dxfId="2" priority="5848" operator="lessThan">
      <formula>20</formula>
    </cfRule>
    <cfRule type="cellIs" dxfId="1" priority="3233" operator="greaterThan">
      <formula>120</formula>
    </cfRule>
    <cfRule type="containsText" dxfId="0" priority="618" operator="between" text="库存为">
      <formula>NOT(ISERROR(SEARCH("库存为",AU2003)))</formula>
    </cfRule>
  </conditionalFormatting>
  <conditionalFormatting sqref="AU2004">
    <cfRule type="cellIs" dxfId="2" priority="5847" operator="lessThan">
      <formula>20</formula>
    </cfRule>
    <cfRule type="cellIs" dxfId="1" priority="3232" operator="greaterThan">
      <formula>120</formula>
    </cfRule>
    <cfRule type="containsText" dxfId="0" priority="617" operator="between" text="库存为">
      <formula>NOT(ISERROR(SEARCH("库存为",AU2004)))</formula>
    </cfRule>
  </conditionalFormatting>
  <conditionalFormatting sqref="AU2005">
    <cfRule type="cellIs" dxfId="2" priority="5846" operator="lessThan">
      <formula>20</formula>
    </cfRule>
    <cfRule type="cellIs" dxfId="1" priority="3231" operator="greaterThan">
      <formula>120</formula>
    </cfRule>
    <cfRule type="containsText" dxfId="0" priority="616" operator="between" text="库存为">
      <formula>NOT(ISERROR(SEARCH("库存为",AU2005)))</formula>
    </cfRule>
  </conditionalFormatting>
  <conditionalFormatting sqref="AU2006">
    <cfRule type="cellIs" dxfId="2" priority="5845" operator="lessThan">
      <formula>20</formula>
    </cfRule>
    <cfRule type="cellIs" dxfId="1" priority="3230" operator="greaterThan">
      <formula>120</formula>
    </cfRule>
    <cfRule type="containsText" dxfId="0" priority="615" operator="between" text="库存为">
      <formula>NOT(ISERROR(SEARCH("库存为",AU2006)))</formula>
    </cfRule>
  </conditionalFormatting>
  <conditionalFormatting sqref="AU2007">
    <cfRule type="cellIs" dxfId="2" priority="5844" operator="lessThan">
      <formula>20</formula>
    </cfRule>
    <cfRule type="cellIs" dxfId="1" priority="3229" operator="greaterThan">
      <formula>120</formula>
    </cfRule>
    <cfRule type="containsText" dxfId="0" priority="614" operator="between" text="库存为">
      <formula>NOT(ISERROR(SEARCH("库存为",AU2007)))</formula>
    </cfRule>
  </conditionalFormatting>
  <conditionalFormatting sqref="AU2008">
    <cfRule type="cellIs" dxfId="2" priority="5843" operator="lessThan">
      <formula>20</formula>
    </cfRule>
    <cfRule type="cellIs" dxfId="1" priority="3228" operator="greaterThan">
      <formula>120</formula>
    </cfRule>
    <cfRule type="containsText" dxfId="0" priority="613" operator="between" text="库存为">
      <formula>NOT(ISERROR(SEARCH("库存为",AU2008)))</formula>
    </cfRule>
  </conditionalFormatting>
  <conditionalFormatting sqref="AU2009">
    <cfRule type="cellIs" dxfId="2" priority="5842" operator="lessThan">
      <formula>20</formula>
    </cfRule>
    <cfRule type="cellIs" dxfId="1" priority="3227" operator="greaterThan">
      <formula>120</formula>
    </cfRule>
    <cfRule type="containsText" dxfId="0" priority="612" operator="between" text="库存为">
      <formula>NOT(ISERROR(SEARCH("库存为",AU2009)))</formula>
    </cfRule>
  </conditionalFormatting>
  <conditionalFormatting sqref="AU2010">
    <cfRule type="cellIs" dxfId="2" priority="5841" operator="lessThan">
      <formula>20</formula>
    </cfRule>
    <cfRule type="cellIs" dxfId="1" priority="3226" operator="greaterThan">
      <formula>120</formula>
    </cfRule>
    <cfRule type="containsText" dxfId="0" priority="611" operator="between" text="库存为">
      <formula>NOT(ISERROR(SEARCH("库存为",AU2010)))</formula>
    </cfRule>
  </conditionalFormatting>
  <conditionalFormatting sqref="AU2011">
    <cfRule type="cellIs" dxfId="2" priority="5840" operator="lessThan">
      <formula>20</formula>
    </cfRule>
    <cfRule type="cellIs" dxfId="1" priority="3225" operator="greaterThan">
      <formula>120</formula>
    </cfRule>
    <cfRule type="containsText" dxfId="0" priority="610" operator="between" text="库存为">
      <formula>NOT(ISERROR(SEARCH("库存为",AU2011)))</formula>
    </cfRule>
  </conditionalFormatting>
  <conditionalFormatting sqref="AU2012">
    <cfRule type="cellIs" dxfId="2" priority="5839" operator="lessThan">
      <formula>20</formula>
    </cfRule>
    <cfRule type="cellIs" dxfId="1" priority="3224" operator="greaterThan">
      <formula>120</formula>
    </cfRule>
    <cfRule type="containsText" dxfId="0" priority="609" operator="between" text="库存为">
      <formula>NOT(ISERROR(SEARCH("库存为",AU2012)))</formula>
    </cfRule>
  </conditionalFormatting>
  <conditionalFormatting sqref="AU2013">
    <cfRule type="cellIs" dxfId="2" priority="5838" operator="lessThan">
      <formula>20</formula>
    </cfRule>
    <cfRule type="cellIs" dxfId="1" priority="3223" operator="greaterThan">
      <formula>120</formula>
    </cfRule>
    <cfRule type="containsText" dxfId="0" priority="608" operator="between" text="库存为">
      <formula>NOT(ISERROR(SEARCH("库存为",AU2013)))</formula>
    </cfRule>
  </conditionalFormatting>
  <conditionalFormatting sqref="AU2014">
    <cfRule type="cellIs" dxfId="2" priority="5837" operator="lessThan">
      <formula>20</formula>
    </cfRule>
    <cfRule type="cellIs" dxfId="1" priority="3222" operator="greaterThan">
      <formula>120</formula>
    </cfRule>
    <cfRule type="containsText" dxfId="0" priority="607" operator="between" text="库存为">
      <formula>NOT(ISERROR(SEARCH("库存为",AU2014)))</formula>
    </cfRule>
  </conditionalFormatting>
  <conditionalFormatting sqref="AU2015">
    <cfRule type="cellIs" dxfId="2" priority="5836" operator="lessThan">
      <formula>20</formula>
    </cfRule>
    <cfRule type="cellIs" dxfId="1" priority="3221" operator="greaterThan">
      <formula>120</formula>
    </cfRule>
    <cfRule type="containsText" dxfId="0" priority="606" operator="between" text="库存为">
      <formula>NOT(ISERROR(SEARCH("库存为",AU2015)))</formula>
    </cfRule>
  </conditionalFormatting>
  <conditionalFormatting sqref="AU2016">
    <cfRule type="cellIs" dxfId="2" priority="5835" operator="lessThan">
      <formula>20</formula>
    </cfRule>
    <cfRule type="cellIs" dxfId="1" priority="3220" operator="greaterThan">
      <formula>120</formula>
    </cfRule>
    <cfRule type="containsText" dxfId="0" priority="605" operator="between" text="库存为">
      <formula>NOT(ISERROR(SEARCH("库存为",AU2016)))</formula>
    </cfRule>
  </conditionalFormatting>
  <conditionalFormatting sqref="AU2017">
    <cfRule type="cellIs" dxfId="2" priority="5834" operator="lessThan">
      <formula>20</formula>
    </cfRule>
    <cfRule type="cellIs" dxfId="1" priority="3219" operator="greaterThan">
      <formula>120</formula>
    </cfRule>
    <cfRule type="containsText" dxfId="0" priority="604" operator="between" text="库存为">
      <formula>NOT(ISERROR(SEARCH("库存为",AU2017)))</formula>
    </cfRule>
  </conditionalFormatting>
  <conditionalFormatting sqref="AU2018">
    <cfRule type="cellIs" dxfId="2" priority="5833" operator="lessThan">
      <formula>20</formula>
    </cfRule>
    <cfRule type="cellIs" dxfId="1" priority="3218" operator="greaterThan">
      <formula>120</formula>
    </cfRule>
    <cfRule type="containsText" dxfId="0" priority="603" operator="between" text="库存为">
      <formula>NOT(ISERROR(SEARCH("库存为",AU2018)))</formula>
    </cfRule>
  </conditionalFormatting>
  <conditionalFormatting sqref="AU2019">
    <cfRule type="cellIs" dxfId="2" priority="5832" operator="lessThan">
      <formula>20</formula>
    </cfRule>
    <cfRule type="cellIs" dxfId="1" priority="3217" operator="greaterThan">
      <formula>120</formula>
    </cfRule>
    <cfRule type="containsText" dxfId="0" priority="602" operator="between" text="库存为">
      <formula>NOT(ISERROR(SEARCH("库存为",AU2019)))</formula>
    </cfRule>
  </conditionalFormatting>
  <conditionalFormatting sqref="AU2020">
    <cfRule type="cellIs" dxfId="2" priority="5831" operator="lessThan">
      <formula>20</formula>
    </cfRule>
    <cfRule type="cellIs" dxfId="1" priority="3216" operator="greaterThan">
      <formula>120</formula>
    </cfRule>
    <cfRule type="containsText" dxfId="0" priority="601" operator="between" text="库存为">
      <formula>NOT(ISERROR(SEARCH("库存为",AU2020)))</formula>
    </cfRule>
  </conditionalFormatting>
  <conditionalFormatting sqref="AU2021">
    <cfRule type="cellIs" dxfId="2" priority="5830" operator="lessThan">
      <formula>20</formula>
    </cfRule>
    <cfRule type="cellIs" dxfId="1" priority="3215" operator="greaterThan">
      <formula>120</formula>
    </cfRule>
    <cfRule type="containsText" dxfId="0" priority="600" operator="between" text="库存为">
      <formula>NOT(ISERROR(SEARCH("库存为",AU2021)))</formula>
    </cfRule>
  </conditionalFormatting>
  <conditionalFormatting sqref="AU2022">
    <cfRule type="cellIs" dxfId="2" priority="5829" operator="lessThan">
      <formula>20</formula>
    </cfRule>
    <cfRule type="cellIs" dxfId="1" priority="3214" operator="greaterThan">
      <formula>120</formula>
    </cfRule>
    <cfRule type="containsText" dxfId="0" priority="599" operator="between" text="库存为">
      <formula>NOT(ISERROR(SEARCH("库存为",AU2022)))</formula>
    </cfRule>
  </conditionalFormatting>
  <conditionalFormatting sqref="AU2023">
    <cfRule type="cellIs" dxfId="2" priority="5828" operator="lessThan">
      <formula>20</formula>
    </cfRule>
    <cfRule type="cellIs" dxfId="1" priority="3213" operator="greaterThan">
      <formula>120</formula>
    </cfRule>
    <cfRule type="containsText" dxfId="0" priority="598" operator="between" text="库存为">
      <formula>NOT(ISERROR(SEARCH("库存为",AU2023)))</formula>
    </cfRule>
  </conditionalFormatting>
  <conditionalFormatting sqref="AU2024">
    <cfRule type="cellIs" dxfId="2" priority="5827" operator="lessThan">
      <formula>20</formula>
    </cfRule>
    <cfRule type="cellIs" dxfId="1" priority="3212" operator="greaterThan">
      <formula>120</formula>
    </cfRule>
    <cfRule type="containsText" dxfId="0" priority="597" operator="between" text="库存为">
      <formula>NOT(ISERROR(SEARCH("库存为",AU2024)))</formula>
    </cfRule>
  </conditionalFormatting>
  <conditionalFormatting sqref="AU2025">
    <cfRule type="cellIs" dxfId="2" priority="5826" operator="lessThan">
      <formula>20</formula>
    </cfRule>
    <cfRule type="cellIs" dxfId="1" priority="3211" operator="greaterThan">
      <formula>120</formula>
    </cfRule>
    <cfRule type="containsText" dxfId="0" priority="596" operator="between" text="库存为">
      <formula>NOT(ISERROR(SEARCH("库存为",AU2025)))</formula>
    </cfRule>
  </conditionalFormatting>
  <conditionalFormatting sqref="AU2026">
    <cfRule type="cellIs" dxfId="2" priority="5825" operator="lessThan">
      <formula>20</formula>
    </cfRule>
    <cfRule type="cellIs" dxfId="1" priority="3210" operator="greaterThan">
      <formula>120</formula>
    </cfRule>
    <cfRule type="containsText" dxfId="0" priority="595" operator="between" text="库存为">
      <formula>NOT(ISERROR(SEARCH("库存为",AU2026)))</formula>
    </cfRule>
  </conditionalFormatting>
  <conditionalFormatting sqref="AU2027">
    <cfRule type="cellIs" dxfId="2" priority="5824" operator="lessThan">
      <formula>20</formula>
    </cfRule>
    <cfRule type="cellIs" dxfId="1" priority="3209" operator="greaterThan">
      <formula>120</formula>
    </cfRule>
    <cfRule type="containsText" dxfId="0" priority="594" operator="between" text="库存为">
      <formula>NOT(ISERROR(SEARCH("库存为",AU2027)))</formula>
    </cfRule>
  </conditionalFormatting>
  <conditionalFormatting sqref="AU2028">
    <cfRule type="cellIs" dxfId="2" priority="5823" operator="lessThan">
      <formula>20</formula>
    </cfRule>
    <cfRule type="cellIs" dxfId="1" priority="3208" operator="greaterThan">
      <formula>120</formula>
    </cfRule>
    <cfRule type="containsText" dxfId="0" priority="593" operator="between" text="库存为">
      <formula>NOT(ISERROR(SEARCH("库存为",AU2028)))</formula>
    </cfRule>
  </conditionalFormatting>
  <conditionalFormatting sqref="AU2029">
    <cfRule type="cellIs" dxfId="2" priority="5822" operator="lessThan">
      <formula>20</formula>
    </cfRule>
    <cfRule type="cellIs" dxfId="1" priority="3207" operator="greaterThan">
      <formula>120</formula>
    </cfRule>
    <cfRule type="containsText" dxfId="0" priority="592" operator="between" text="库存为">
      <formula>NOT(ISERROR(SEARCH("库存为",AU2029)))</formula>
    </cfRule>
  </conditionalFormatting>
  <conditionalFormatting sqref="AU2030">
    <cfRule type="cellIs" dxfId="2" priority="5821" operator="lessThan">
      <formula>20</formula>
    </cfRule>
    <cfRule type="cellIs" dxfId="1" priority="3206" operator="greaterThan">
      <formula>120</formula>
    </cfRule>
    <cfRule type="containsText" dxfId="0" priority="591" operator="between" text="库存为">
      <formula>NOT(ISERROR(SEARCH("库存为",AU2030)))</formula>
    </cfRule>
  </conditionalFormatting>
  <conditionalFormatting sqref="AU2031">
    <cfRule type="cellIs" dxfId="2" priority="5820" operator="lessThan">
      <formula>20</formula>
    </cfRule>
    <cfRule type="cellIs" dxfId="1" priority="3205" operator="greaterThan">
      <formula>120</formula>
    </cfRule>
    <cfRule type="containsText" dxfId="0" priority="590" operator="between" text="库存为">
      <formula>NOT(ISERROR(SEARCH("库存为",AU2031)))</formula>
    </cfRule>
  </conditionalFormatting>
  <conditionalFormatting sqref="AU2032">
    <cfRule type="cellIs" dxfId="2" priority="5819" operator="lessThan">
      <formula>20</formula>
    </cfRule>
    <cfRule type="cellIs" dxfId="1" priority="3204" operator="greaterThan">
      <formula>120</formula>
    </cfRule>
    <cfRule type="containsText" dxfId="0" priority="589" operator="between" text="库存为">
      <formula>NOT(ISERROR(SEARCH("库存为",AU2032)))</formula>
    </cfRule>
  </conditionalFormatting>
  <conditionalFormatting sqref="AU2033">
    <cfRule type="cellIs" dxfId="2" priority="5818" operator="lessThan">
      <formula>20</formula>
    </cfRule>
    <cfRule type="cellIs" dxfId="1" priority="3203" operator="greaterThan">
      <formula>120</formula>
    </cfRule>
    <cfRule type="containsText" dxfId="0" priority="588" operator="between" text="库存为">
      <formula>NOT(ISERROR(SEARCH("库存为",AU2033)))</formula>
    </cfRule>
  </conditionalFormatting>
  <conditionalFormatting sqref="AU2034">
    <cfRule type="cellIs" dxfId="2" priority="5817" operator="lessThan">
      <formula>20</formula>
    </cfRule>
    <cfRule type="cellIs" dxfId="1" priority="3202" operator="greaterThan">
      <formula>120</formula>
    </cfRule>
    <cfRule type="containsText" dxfId="0" priority="587" operator="between" text="库存为">
      <formula>NOT(ISERROR(SEARCH("库存为",AU2034)))</formula>
    </cfRule>
  </conditionalFormatting>
  <conditionalFormatting sqref="AU2035">
    <cfRule type="cellIs" dxfId="2" priority="5816" operator="lessThan">
      <formula>20</formula>
    </cfRule>
    <cfRule type="cellIs" dxfId="1" priority="3201" operator="greaterThan">
      <formula>120</formula>
    </cfRule>
    <cfRule type="containsText" dxfId="0" priority="586" operator="between" text="库存为">
      <formula>NOT(ISERROR(SEARCH("库存为",AU2035)))</formula>
    </cfRule>
  </conditionalFormatting>
  <conditionalFormatting sqref="AU2036">
    <cfRule type="cellIs" dxfId="2" priority="5815" operator="lessThan">
      <formula>20</formula>
    </cfRule>
    <cfRule type="cellIs" dxfId="1" priority="3200" operator="greaterThan">
      <formula>120</formula>
    </cfRule>
    <cfRule type="containsText" dxfId="0" priority="585" operator="between" text="库存为">
      <formula>NOT(ISERROR(SEARCH("库存为",AU2036)))</formula>
    </cfRule>
  </conditionalFormatting>
  <conditionalFormatting sqref="AU2037">
    <cfRule type="cellIs" dxfId="2" priority="5814" operator="lessThan">
      <formula>20</formula>
    </cfRule>
    <cfRule type="cellIs" dxfId="1" priority="3199" operator="greaterThan">
      <formula>120</formula>
    </cfRule>
    <cfRule type="containsText" dxfId="0" priority="584" operator="between" text="库存为">
      <formula>NOT(ISERROR(SEARCH("库存为",AU2037)))</formula>
    </cfRule>
  </conditionalFormatting>
  <conditionalFormatting sqref="AU2038">
    <cfRule type="cellIs" dxfId="2" priority="5813" operator="lessThan">
      <formula>20</formula>
    </cfRule>
    <cfRule type="cellIs" dxfId="1" priority="3198" operator="greaterThan">
      <formula>120</formula>
    </cfRule>
    <cfRule type="containsText" dxfId="0" priority="583" operator="between" text="库存为">
      <formula>NOT(ISERROR(SEARCH("库存为",AU2038)))</formula>
    </cfRule>
  </conditionalFormatting>
  <conditionalFormatting sqref="AU2039">
    <cfRule type="cellIs" dxfId="2" priority="5812" operator="lessThan">
      <formula>20</formula>
    </cfRule>
    <cfRule type="cellIs" dxfId="1" priority="3197" operator="greaterThan">
      <formula>120</formula>
    </cfRule>
    <cfRule type="containsText" dxfId="0" priority="582" operator="between" text="库存为">
      <formula>NOT(ISERROR(SEARCH("库存为",AU2039)))</formula>
    </cfRule>
  </conditionalFormatting>
  <conditionalFormatting sqref="AU2040">
    <cfRule type="cellIs" dxfId="2" priority="5811" operator="lessThan">
      <formula>20</formula>
    </cfRule>
    <cfRule type="cellIs" dxfId="1" priority="3196" operator="greaterThan">
      <formula>120</formula>
    </cfRule>
    <cfRule type="containsText" dxfId="0" priority="581" operator="between" text="库存为">
      <formula>NOT(ISERROR(SEARCH("库存为",AU2040)))</formula>
    </cfRule>
  </conditionalFormatting>
  <conditionalFormatting sqref="AU2041">
    <cfRule type="cellIs" dxfId="2" priority="5810" operator="lessThan">
      <formula>20</formula>
    </cfRule>
    <cfRule type="cellIs" dxfId="1" priority="3195" operator="greaterThan">
      <formula>120</formula>
    </cfRule>
    <cfRule type="containsText" dxfId="0" priority="580" operator="between" text="库存为">
      <formula>NOT(ISERROR(SEARCH("库存为",AU2041)))</formula>
    </cfRule>
  </conditionalFormatting>
  <conditionalFormatting sqref="AU2042">
    <cfRule type="cellIs" dxfId="2" priority="5809" operator="lessThan">
      <formula>20</formula>
    </cfRule>
    <cfRule type="cellIs" dxfId="1" priority="3194" operator="greaterThan">
      <formula>120</formula>
    </cfRule>
    <cfRule type="containsText" dxfId="0" priority="579" operator="between" text="库存为">
      <formula>NOT(ISERROR(SEARCH("库存为",AU2042)))</formula>
    </cfRule>
  </conditionalFormatting>
  <conditionalFormatting sqref="AU2043">
    <cfRule type="cellIs" dxfId="2" priority="5808" operator="lessThan">
      <formula>20</formula>
    </cfRule>
    <cfRule type="cellIs" dxfId="1" priority="3193" operator="greaterThan">
      <formula>120</formula>
    </cfRule>
    <cfRule type="containsText" dxfId="0" priority="578" operator="between" text="库存为">
      <formula>NOT(ISERROR(SEARCH("库存为",AU2043)))</formula>
    </cfRule>
  </conditionalFormatting>
  <conditionalFormatting sqref="AU2044">
    <cfRule type="cellIs" dxfId="2" priority="5807" operator="lessThan">
      <formula>20</formula>
    </cfRule>
    <cfRule type="cellIs" dxfId="1" priority="3192" operator="greaterThan">
      <formula>120</formula>
    </cfRule>
    <cfRule type="containsText" dxfId="0" priority="577" operator="between" text="库存为">
      <formula>NOT(ISERROR(SEARCH("库存为",AU2044)))</formula>
    </cfRule>
  </conditionalFormatting>
  <conditionalFormatting sqref="AU2045">
    <cfRule type="cellIs" dxfId="2" priority="5806" operator="lessThan">
      <formula>20</formula>
    </cfRule>
    <cfRule type="cellIs" dxfId="1" priority="3191" operator="greaterThan">
      <formula>120</formula>
    </cfRule>
    <cfRule type="containsText" dxfId="0" priority="576" operator="between" text="库存为">
      <formula>NOT(ISERROR(SEARCH("库存为",AU2045)))</formula>
    </cfRule>
  </conditionalFormatting>
  <conditionalFormatting sqref="AU2046">
    <cfRule type="cellIs" dxfId="2" priority="5805" operator="lessThan">
      <formula>20</formula>
    </cfRule>
    <cfRule type="cellIs" dxfId="1" priority="3190" operator="greaterThan">
      <formula>120</formula>
    </cfRule>
    <cfRule type="containsText" dxfId="0" priority="575" operator="between" text="库存为">
      <formula>NOT(ISERROR(SEARCH("库存为",AU2046)))</formula>
    </cfRule>
  </conditionalFormatting>
  <conditionalFormatting sqref="AU2047">
    <cfRule type="cellIs" dxfId="2" priority="5804" operator="lessThan">
      <formula>20</formula>
    </cfRule>
    <cfRule type="cellIs" dxfId="1" priority="3189" operator="greaterThan">
      <formula>120</formula>
    </cfRule>
    <cfRule type="containsText" dxfId="0" priority="574" operator="between" text="库存为">
      <formula>NOT(ISERROR(SEARCH("库存为",AU2047)))</formula>
    </cfRule>
  </conditionalFormatting>
  <conditionalFormatting sqref="AU2048">
    <cfRule type="cellIs" dxfId="2" priority="5803" operator="lessThan">
      <formula>20</formula>
    </cfRule>
    <cfRule type="cellIs" dxfId="1" priority="3188" operator="greaterThan">
      <formula>120</formula>
    </cfRule>
    <cfRule type="containsText" dxfId="0" priority="573" operator="between" text="库存为">
      <formula>NOT(ISERROR(SEARCH("库存为",AU2048)))</formula>
    </cfRule>
  </conditionalFormatting>
  <conditionalFormatting sqref="AU2049">
    <cfRule type="cellIs" dxfId="2" priority="5802" operator="lessThan">
      <formula>20</formula>
    </cfRule>
    <cfRule type="cellIs" dxfId="1" priority="3187" operator="greaterThan">
      <formula>120</formula>
    </cfRule>
    <cfRule type="containsText" dxfId="0" priority="572" operator="between" text="库存为">
      <formula>NOT(ISERROR(SEARCH("库存为",AU2049)))</formula>
    </cfRule>
  </conditionalFormatting>
  <conditionalFormatting sqref="AU2050">
    <cfRule type="cellIs" dxfId="2" priority="5801" operator="lessThan">
      <formula>20</formula>
    </cfRule>
    <cfRule type="cellIs" dxfId="1" priority="3186" operator="greaterThan">
      <formula>120</formula>
    </cfRule>
    <cfRule type="containsText" dxfId="0" priority="571" operator="between" text="库存为">
      <formula>NOT(ISERROR(SEARCH("库存为",AU2050)))</formula>
    </cfRule>
  </conditionalFormatting>
  <conditionalFormatting sqref="AU2051">
    <cfRule type="cellIs" dxfId="2" priority="5800" operator="lessThan">
      <formula>20</formula>
    </cfRule>
    <cfRule type="cellIs" dxfId="1" priority="3185" operator="greaterThan">
      <formula>120</formula>
    </cfRule>
    <cfRule type="containsText" dxfId="0" priority="570" operator="between" text="库存为">
      <formula>NOT(ISERROR(SEARCH("库存为",AU2051)))</formula>
    </cfRule>
  </conditionalFormatting>
  <conditionalFormatting sqref="AU2052">
    <cfRule type="cellIs" dxfId="2" priority="5799" operator="lessThan">
      <formula>20</formula>
    </cfRule>
    <cfRule type="cellIs" dxfId="1" priority="3184" operator="greaterThan">
      <formula>120</formula>
    </cfRule>
    <cfRule type="containsText" dxfId="0" priority="569" operator="between" text="库存为">
      <formula>NOT(ISERROR(SEARCH("库存为",AU2052)))</formula>
    </cfRule>
  </conditionalFormatting>
  <conditionalFormatting sqref="AU2053">
    <cfRule type="cellIs" dxfId="2" priority="5798" operator="lessThan">
      <formula>20</formula>
    </cfRule>
    <cfRule type="cellIs" dxfId="1" priority="3183" operator="greaterThan">
      <formula>120</formula>
    </cfRule>
    <cfRule type="containsText" dxfId="0" priority="568" operator="between" text="库存为">
      <formula>NOT(ISERROR(SEARCH("库存为",AU2053)))</formula>
    </cfRule>
  </conditionalFormatting>
  <conditionalFormatting sqref="AU2054">
    <cfRule type="cellIs" dxfId="2" priority="5797" operator="lessThan">
      <formula>20</formula>
    </cfRule>
    <cfRule type="cellIs" dxfId="1" priority="3182" operator="greaterThan">
      <formula>120</formula>
    </cfRule>
    <cfRule type="containsText" dxfId="0" priority="567" operator="between" text="库存为">
      <formula>NOT(ISERROR(SEARCH("库存为",AU2054)))</formula>
    </cfRule>
  </conditionalFormatting>
  <conditionalFormatting sqref="AU2055">
    <cfRule type="cellIs" dxfId="2" priority="5796" operator="lessThan">
      <formula>20</formula>
    </cfRule>
    <cfRule type="cellIs" dxfId="1" priority="3181" operator="greaterThan">
      <formula>120</formula>
    </cfRule>
    <cfRule type="containsText" dxfId="0" priority="566" operator="between" text="库存为">
      <formula>NOT(ISERROR(SEARCH("库存为",AU2055)))</formula>
    </cfRule>
  </conditionalFormatting>
  <conditionalFormatting sqref="AU2056">
    <cfRule type="cellIs" dxfId="2" priority="5795" operator="lessThan">
      <formula>20</formula>
    </cfRule>
    <cfRule type="cellIs" dxfId="1" priority="3180" operator="greaterThan">
      <formula>120</formula>
    </cfRule>
    <cfRule type="containsText" dxfId="0" priority="565" operator="between" text="库存为">
      <formula>NOT(ISERROR(SEARCH("库存为",AU2056)))</formula>
    </cfRule>
  </conditionalFormatting>
  <conditionalFormatting sqref="AU2057">
    <cfRule type="cellIs" dxfId="2" priority="5794" operator="lessThan">
      <formula>20</formula>
    </cfRule>
    <cfRule type="cellIs" dxfId="1" priority="3179" operator="greaterThan">
      <formula>120</formula>
    </cfRule>
    <cfRule type="containsText" dxfId="0" priority="564" operator="between" text="库存为">
      <formula>NOT(ISERROR(SEARCH("库存为",AU2057)))</formula>
    </cfRule>
  </conditionalFormatting>
  <conditionalFormatting sqref="AU2058">
    <cfRule type="cellIs" dxfId="2" priority="5793" operator="lessThan">
      <formula>20</formula>
    </cfRule>
    <cfRule type="cellIs" dxfId="1" priority="3178" operator="greaterThan">
      <formula>120</formula>
    </cfRule>
    <cfRule type="containsText" dxfId="0" priority="563" operator="between" text="库存为">
      <formula>NOT(ISERROR(SEARCH("库存为",AU2058)))</formula>
    </cfRule>
  </conditionalFormatting>
  <conditionalFormatting sqref="AU2059">
    <cfRule type="cellIs" dxfId="2" priority="5792" operator="lessThan">
      <formula>20</formula>
    </cfRule>
    <cfRule type="cellIs" dxfId="1" priority="3177" operator="greaterThan">
      <formula>120</formula>
    </cfRule>
    <cfRule type="containsText" dxfId="0" priority="562" operator="between" text="库存为">
      <formula>NOT(ISERROR(SEARCH("库存为",AU2059)))</formula>
    </cfRule>
  </conditionalFormatting>
  <conditionalFormatting sqref="AU2060">
    <cfRule type="cellIs" dxfId="2" priority="5791" operator="lessThan">
      <formula>20</formula>
    </cfRule>
    <cfRule type="cellIs" dxfId="1" priority="3176" operator="greaterThan">
      <formula>120</formula>
    </cfRule>
    <cfRule type="containsText" dxfId="0" priority="561" operator="between" text="库存为">
      <formula>NOT(ISERROR(SEARCH("库存为",AU2060)))</formula>
    </cfRule>
  </conditionalFormatting>
  <conditionalFormatting sqref="AU2061">
    <cfRule type="cellIs" dxfId="2" priority="5790" operator="lessThan">
      <formula>20</formula>
    </cfRule>
    <cfRule type="cellIs" dxfId="1" priority="3175" operator="greaterThan">
      <formula>120</formula>
    </cfRule>
    <cfRule type="containsText" dxfId="0" priority="560" operator="between" text="库存为">
      <formula>NOT(ISERROR(SEARCH("库存为",AU2061)))</formula>
    </cfRule>
  </conditionalFormatting>
  <conditionalFormatting sqref="AU2062">
    <cfRule type="cellIs" dxfId="2" priority="5789" operator="lessThan">
      <formula>20</formula>
    </cfRule>
    <cfRule type="cellIs" dxfId="1" priority="3174" operator="greaterThan">
      <formula>120</formula>
    </cfRule>
    <cfRule type="containsText" dxfId="0" priority="559" operator="between" text="库存为">
      <formula>NOT(ISERROR(SEARCH("库存为",AU2062)))</formula>
    </cfRule>
  </conditionalFormatting>
  <conditionalFormatting sqref="AU2063">
    <cfRule type="cellIs" dxfId="2" priority="5788" operator="lessThan">
      <formula>20</formula>
    </cfRule>
    <cfRule type="cellIs" dxfId="1" priority="3173" operator="greaterThan">
      <formula>120</formula>
    </cfRule>
    <cfRule type="containsText" dxfId="0" priority="558" operator="between" text="库存为">
      <formula>NOT(ISERROR(SEARCH("库存为",AU2063)))</formula>
    </cfRule>
  </conditionalFormatting>
  <conditionalFormatting sqref="AU2064">
    <cfRule type="cellIs" dxfId="2" priority="5787" operator="lessThan">
      <formula>20</formula>
    </cfRule>
    <cfRule type="cellIs" dxfId="1" priority="3172" operator="greaterThan">
      <formula>120</formula>
    </cfRule>
    <cfRule type="containsText" dxfId="0" priority="557" operator="between" text="库存为">
      <formula>NOT(ISERROR(SEARCH("库存为",AU2064)))</formula>
    </cfRule>
  </conditionalFormatting>
  <conditionalFormatting sqref="AU2065">
    <cfRule type="cellIs" dxfId="2" priority="5786" operator="lessThan">
      <formula>20</formula>
    </cfRule>
    <cfRule type="cellIs" dxfId="1" priority="3171" operator="greaterThan">
      <formula>120</formula>
    </cfRule>
    <cfRule type="containsText" dxfId="0" priority="556" operator="between" text="库存为">
      <formula>NOT(ISERROR(SEARCH("库存为",AU2065)))</formula>
    </cfRule>
  </conditionalFormatting>
  <conditionalFormatting sqref="AU2066">
    <cfRule type="cellIs" dxfId="2" priority="5785" operator="lessThan">
      <formula>20</formula>
    </cfRule>
    <cfRule type="cellIs" dxfId="1" priority="3170" operator="greaterThan">
      <formula>120</formula>
    </cfRule>
    <cfRule type="containsText" dxfId="0" priority="555" operator="between" text="库存为">
      <formula>NOT(ISERROR(SEARCH("库存为",AU2066)))</formula>
    </cfRule>
  </conditionalFormatting>
  <conditionalFormatting sqref="AU2067">
    <cfRule type="cellIs" dxfId="2" priority="5784" operator="lessThan">
      <formula>20</formula>
    </cfRule>
    <cfRule type="cellIs" dxfId="1" priority="3169" operator="greaterThan">
      <formula>120</formula>
    </cfRule>
    <cfRule type="containsText" dxfId="0" priority="554" operator="between" text="库存为">
      <formula>NOT(ISERROR(SEARCH("库存为",AU2067)))</formula>
    </cfRule>
  </conditionalFormatting>
  <conditionalFormatting sqref="AU2068">
    <cfRule type="cellIs" dxfId="2" priority="5783" operator="lessThan">
      <formula>20</formula>
    </cfRule>
    <cfRule type="cellIs" dxfId="1" priority="3168" operator="greaterThan">
      <formula>120</formula>
    </cfRule>
    <cfRule type="containsText" dxfId="0" priority="553" operator="between" text="库存为">
      <formula>NOT(ISERROR(SEARCH("库存为",AU2068)))</formula>
    </cfRule>
  </conditionalFormatting>
  <conditionalFormatting sqref="AU2069">
    <cfRule type="cellIs" dxfId="2" priority="5782" operator="lessThan">
      <formula>20</formula>
    </cfRule>
    <cfRule type="cellIs" dxfId="1" priority="3167" operator="greaterThan">
      <formula>120</formula>
    </cfRule>
    <cfRule type="containsText" dxfId="0" priority="552" operator="between" text="库存为">
      <formula>NOT(ISERROR(SEARCH("库存为",AU2069)))</formula>
    </cfRule>
  </conditionalFormatting>
  <conditionalFormatting sqref="AU2070">
    <cfRule type="cellIs" dxfId="2" priority="5781" operator="lessThan">
      <formula>20</formula>
    </cfRule>
    <cfRule type="cellIs" dxfId="1" priority="3166" operator="greaterThan">
      <formula>120</formula>
    </cfRule>
    <cfRule type="containsText" dxfId="0" priority="551" operator="between" text="库存为">
      <formula>NOT(ISERROR(SEARCH("库存为",AU2070)))</formula>
    </cfRule>
  </conditionalFormatting>
  <conditionalFormatting sqref="AU2071">
    <cfRule type="cellIs" dxfId="2" priority="5780" operator="lessThan">
      <formula>20</formula>
    </cfRule>
    <cfRule type="cellIs" dxfId="1" priority="3165" operator="greaterThan">
      <formula>120</formula>
    </cfRule>
    <cfRule type="containsText" dxfId="0" priority="550" operator="between" text="库存为">
      <formula>NOT(ISERROR(SEARCH("库存为",AU2071)))</formula>
    </cfRule>
  </conditionalFormatting>
  <conditionalFormatting sqref="AU2072">
    <cfRule type="cellIs" dxfId="2" priority="5779" operator="lessThan">
      <formula>20</formula>
    </cfRule>
    <cfRule type="cellIs" dxfId="1" priority="3164" operator="greaterThan">
      <formula>120</formula>
    </cfRule>
    <cfRule type="containsText" dxfId="0" priority="549" operator="between" text="库存为">
      <formula>NOT(ISERROR(SEARCH("库存为",AU2072)))</formula>
    </cfRule>
  </conditionalFormatting>
  <conditionalFormatting sqref="AU2073">
    <cfRule type="cellIs" dxfId="2" priority="5778" operator="lessThan">
      <formula>20</formula>
    </cfRule>
    <cfRule type="cellIs" dxfId="1" priority="3163" operator="greaterThan">
      <formula>120</formula>
    </cfRule>
    <cfRule type="containsText" dxfId="0" priority="548" operator="between" text="库存为">
      <formula>NOT(ISERROR(SEARCH("库存为",AU2073)))</formula>
    </cfRule>
  </conditionalFormatting>
  <conditionalFormatting sqref="AU2074">
    <cfRule type="cellIs" dxfId="2" priority="5777" operator="lessThan">
      <formula>20</formula>
    </cfRule>
    <cfRule type="cellIs" dxfId="1" priority="3162" operator="greaterThan">
      <formula>120</formula>
    </cfRule>
    <cfRule type="containsText" dxfId="0" priority="547" operator="between" text="库存为">
      <formula>NOT(ISERROR(SEARCH("库存为",AU2074)))</formula>
    </cfRule>
  </conditionalFormatting>
  <conditionalFormatting sqref="AU2075">
    <cfRule type="cellIs" dxfId="2" priority="5776" operator="lessThan">
      <formula>20</formula>
    </cfRule>
    <cfRule type="cellIs" dxfId="1" priority="3161" operator="greaterThan">
      <formula>120</formula>
    </cfRule>
    <cfRule type="containsText" dxfId="0" priority="546" operator="between" text="库存为">
      <formula>NOT(ISERROR(SEARCH("库存为",AU2075)))</formula>
    </cfRule>
  </conditionalFormatting>
  <conditionalFormatting sqref="AU2076">
    <cfRule type="cellIs" dxfId="2" priority="5775" operator="lessThan">
      <formula>20</formula>
    </cfRule>
    <cfRule type="cellIs" dxfId="1" priority="3160" operator="greaterThan">
      <formula>120</formula>
    </cfRule>
    <cfRule type="containsText" dxfId="0" priority="545" operator="between" text="库存为">
      <formula>NOT(ISERROR(SEARCH("库存为",AU2076)))</formula>
    </cfRule>
  </conditionalFormatting>
  <conditionalFormatting sqref="AU2077">
    <cfRule type="cellIs" dxfId="2" priority="5774" operator="lessThan">
      <formula>20</formula>
    </cfRule>
    <cfRule type="cellIs" dxfId="1" priority="3159" operator="greaterThan">
      <formula>120</formula>
    </cfRule>
    <cfRule type="containsText" dxfId="0" priority="544" operator="between" text="库存为">
      <formula>NOT(ISERROR(SEARCH("库存为",AU2077)))</formula>
    </cfRule>
  </conditionalFormatting>
  <conditionalFormatting sqref="AU2078">
    <cfRule type="cellIs" dxfId="2" priority="5773" operator="lessThan">
      <formula>20</formula>
    </cfRule>
    <cfRule type="cellIs" dxfId="1" priority="3158" operator="greaterThan">
      <formula>120</formula>
    </cfRule>
    <cfRule type="containsText" dxfId="0" priority="543" operator="between" text="库存为">
      <formula>NOT(ISERROR(SEARCH("库存为",AU2078)))</formula>
    </cfRule>
  </conditionalFormatting>
  <conditionalFormatting sqref="AU2079">
    <cfRule type="cellIs" dxfId="2" priority="5772" operator="lessThan">
      <formula>20</formula>
    </cfRule>
    <cfRule type="cellIs" dxfId="1" priority="3157" operator="greaterThan">
      <formula>120</formula>
    </cfRule>
    <cfRule type="containsText" dxfId="0" priority="542" operator="between" text="库存为">
      <formula>NOT(ISERROR(SEARCH("库存为",AU2079)))</formula>
    </cfRule>
  </conditionalFormatting>
  <conditionalFormatting sqref="AU2080">
    <cfRule type="cellIs" dxfId="2" priority="5771" operator="lessThan">
      <formula>20</formula>
    </cfRule>
    <cfRule type="cellIs" dxfId="1" priority="3156" operator="greaterThan">
      <formula>120</formula>
    </cfRule>
    <cfRule type="containsText" dxfId="0" priority="541" operator="between" text="库存为">
      <formula>NOT(ISERROR(SEARCH("库存为",AU2080)))</formula>
    </cfRule>
  </conditionalFormatting>
  <conditionalFormatting sqref="AU2081">
    <cfRule type="cellIs" dxfId="2" priority="5770" operator="lessThan">
      <formula>20</formula>
    </cfRule>
    <cfRule type="cellIs" dxfId="1" priority="3155" operator="greaterThan">
      <formula>120</formula>
    </cfRule>
    <cfRule type="containsText" dxfId="0" priority="540" operator="between" text="库存为">
      <formula>NOT(ISERROR(SEARCH("库存为",AU2081)))</formula>
    </cfRule>
  </conditionalFormatting>
  <conditionalFormatting sqref="AU2082">
    <cfRule type="cellIs" dxfId="2" priority="5769" operator="lessThan">
      <formula>20</formula>
    </cfRule>
    <cfRule type="cellIs" dxfId="1" priority="3154" operator="greaterThan">
      <formula>120</formula>
    </cfRule>
    <cfRule type="containsText" dxfId="0" priority="539" operator="between" text="库存为">
      <formula>NOT(ISERROR(SEARCH("库存为",AU2082)))</formula>
    </cfRule>
  </conditionalFormatting>
  <conditionalFormatting sqref="AU2083">
    <cfRule type="cellIs" dxfId="2" priority="5768" operator="lessThan">
      <formula>20</formula>
    </cfRule>
    <cfRule type="cellIs" dxfId="1" priority="3153" operator="greaterThan">
      <formula>120</formula>
    </cfRule>
    <cfRule type="containsText" dxfId="0" priority="538" operator="between" text="库存为">
      <formula>NOT(ISERROR(SEARCH("库存为",AU2083)))</formula>
    </cfRule>
  </conditionalFormatting>
  <conditionalFormatting sqref="AU2084">
    <cfRule type="cellIs" dxfId="2" priority="5767" operator="lessThan">
      <formula>20</formula>
    </cfRule>
    <cfRule type="cellIs" dxfId="1" priority="3152" operator="greaterThan">
      <formula>120</formula>
    </cfRule>
    <cfRule type="containsText" dxfId="0" priority="537" operator="between" text="库存为">
      <formula>NOT(ISERROR(SEARCH("库存为",AU2084)))</formula>
    </cfRule>
  </conditionalFormatting>
  <conditionalFormatting sqref="AU2085">
    <cfRule type="cellIs" dxfId="2" priority="5766" operator="lessThan">
      <formula>20</formula>
    </cfRule>
    <cfRule type="cellIs" dxfId="1" priority="3151" operator="greaterThan">
      <formula>120</formula>
    </cfRule>
    <cfRule type="containsText" dxfId="0" priority="536" operator="between" text="库存为">
      <formula>NOT(ISERROR(SEARCH("库存为",AU2085)))</formula>
    </cfRule>
  </conditionalFormatting>
  <conditionalFormatting sqref="AU2086">
    <cfRule type="cellIs" dxfId="2" priority="5765" operator="lessThan">
      <formula>20</formula>
    </cfRule>
    <cfRule type="cellIs" dxfId="1" priority="3150" operator="greaterThan">
      <formula>120</formula>
    </cfRule>
    <cfRule type="containsText" dxfId="0" priority="535" operator="between" text="库存为">
      <formula>NOT(ISERROR(SEARCH("库存为",AU2086)))</formula>
    </cfRule>
  </conditionalFormatting>
  <conditionalFormatting sqref="AU2087">
    <cfRule type="cellIs" dxfId="2" priority="5764" operator="lessThan">
      <formula>20</formula>
    </cfRule>
    <cfRule type="cellIs" dxfId="1" priority="3149" operator="greaterThan">
      <formula>120</formula>
    </cfRule>
    <cfRule type="containsText" dxfId="0" priority="534" operator="between" text="库存为">
      <formula>NOT(ISERROR(SEARCH("库存为",AU2087)))</formula>
    </cfRule>
  </conditionalFormatting>
  <conditionalFormatting sqref="AU2088">
    <cfRule type="cellIs" dxfId="2" priority="5763" operator="lessThan">
      <formula>20</formula>
    </cfRule>
    <cfRule type="cellIs" dxfId="1" priority="3148" operator="greaterThan">
      <formula>120</formula>
    </cfRule>
    <cfRule type="containsText" dxfId="0" priority="533" operator="between" text="库存为">
      <formula>NOT(ISERROR(SEARCH("库存为",AU2088)))</formula>
    </cfRule>
  </conditionalFormatting>
  <conditionalFormatting sqref="AU2089">
    <cfRule type="cellIs" dxfId="2" priority="5762" operator="lessThan">
      <formula>20</formula>
    </cfRule>
    <cfRule type="cellIs" dxfId="1" priority="3147" operator="greaterThan">
      <formula>120</formula>
    </cfRule>
    <cfRule type="containsText" dxfId="0" priority="532" operator="between" text="库存为">
      <formula>NOT(ISERROR(SEARCH("库存为",AU2089)))</formula>
    </cfRule>
  </conditionalFormatting>
  <conditionalFormatting sqref="AU2090">
    <cfRule type="cellIs" dxfId="2" priority="5761" operator="lessThan">
      <formula>20</formula>
    </cfRule>
    <cfRule type="cellIs" dxfId="1" priority="3146" operator="greaterThan">
      <formula>120</formula>
    </cfRule>
    <cfRule type="containsText" dxfId="0" priority="531" operator="between" text="库存为">
      <formula>NOT(ISERROR(SEARCH("库存为",AU2090)))</formula>
    </cfRule>
  </conditionalFormatting>
  <conditionalFormatting sqref="AU2091">
    <cfRule type="cellIs" dxfId="2" priority="5760" operator="lessThan">
      <formula>20</formula>
    </cfRule>
    <cfRule type="cellIs" dxfId="1" priority="3145" operator="greaterThan">
      <formula>120</formula>
    </cfRule>
    <cfRule type="containsText" dxfId="0" priority="530" operator="between" text="库存为">
      <formula>NOT(ISERROR(SEARCH("库存为",AU2091)))</formula>
    </cfRule>
  </conditionalFormatting>
  <conditionalFormatting sqref="AU2092">
    <cfRule type="cellIs" dxfId="2" priority="5759" operator="lessThan">
      <formula>20</formula>
    </cfRule>
    <cfRule type="cellIs" dxfId="1" priority="3144" operator="greaterThan">
      <formula>120</formula>
    </cfRule>
    <cfRule type="containsText" dxfId="0" priority="529" operator="between" text="库存为">
      <formula>NOT(ISERROR(SEARCH("库存为",AU2092)))</formula>
    </cfRule>
  </conditionalFormatting>
  <conditionalFormatting sqref="AU2093">
    <cfRule type="cellIs" dxfId="2" priority="5758" operator="lessThan">
      <formula>20</formula>
    </cfRule>
    <cfRule type="cellIs" dxfId="1" priority="3143" operator="greaterThan">
      <formula>120</formula>
    </cfRule>
    <cfRule type="containsText" dxfId="0" priority="528" operator="between" text="库存为">
      <formula>NOT(ISERROR(SEARCH("库存为",AU2093)))</formula>
    </cfRule>
  </conditionalFormatting>
  <conditionalFormatting sqref="AU2094">
    <cfRule type="cellIs" dxfId="2" priority="5757" operator="lessThan">
      <formula>20</formula>
    </cfRule>
    <cfRule type="cellIs" dxfId="1" priority="3142" operator="greaterThan">
      <formula>120</formula>
    </cfRule>
    <cfRule type="containsText" dxfId="0" priority="527" operator="between" text="库存为">
      <formula>NOT(ISERROR(SEARCH("库存为",AU2094)))</formula>
    </cfRule>
  </conditionalFormatting>
  <conditionalFormatting sqref="AU2095">
    <cfRule type="cellIs" dxfId="2" priority="5756" operator="lessThan">
      <formula>20</formula>
    </cfRule>
    <cfRule type="cellIs" dxfId="1" priority="3141" operator="greaterThan">
      <formula>120</formula>
    </cfRule>
    <cfRule type="containsText" dxfId="0" priority="526" operator="between" text="库存为">
      <formula>NOT(ISERROR(SEARCH("库存为",AU2095)))</formula>
    </cfRule>
  </conditionalFormatting>
  <conditionalFormatting sqref="AU2096">
    <cfRule type="cellIs" dxfId="2" priority="5755" operator="lessThan">
      <formula>20</formula>
    </cfRule>
    <cfRule type="cellIs" dxfId="1" priority="3140" operator="greaterThan">
      <formula>120</formula>
    </cfRule>
    <cfRule type="containsText" dxfId="0" priority="525" operator="between" text="库存为">
      <formula>NOT(ISERROR(SEARCH("库存为",AU2096)))</formula>
    </cfRule>
  </conditionalFormatting>
  <conditionalFormatting sqref="AU2097">
    <cfRule type="cellIs" dxfId="2" priority="5754" operator="lessThan">
      <formula>20</formula>
    </cfRule>
    <cfRule type="cellIs" dxfId="1" priority="3139" operator="greaterThan">
      <formula>120</formula>
    </cfRule>
    <cfRule type="containsText" dxfId="0" priority="524" operator="between" text="库存为">
      <formula>NOT(ISERROR(SEARCH("库存为",AU2097)))</formula>
    </cfRule>
  </conditionalFormatting>
  <conditionalFormatting sqref="AU2098">
    <cfRule type="cellIs" dxfId="2" priority="5753" operator="lessThan">
      <formula>20</formula>
    </cfRule>
    <cfRule type="cellIs" dxfId="1" priority="3138" operator="greaterThan">
      <formula>120</formula>
    </cfRule>
    <cfRule type="containsText" dxfId="0" priority="523" operator="between" text="库存为">
      <formula>NOT(ISERROR(SEARCH("库存为",AU2098)))</formula>
    </cfRule>
  </conditionalFormatting>
  <conditionalFormatting sqref="AU2099">
    <cfRule type="cellIs" dxfId="2" priority="5752" operator="lessThan">
      <formula>20</formula>
    </cfRule>
    <cfRule type="cellIs" dxfId="1" priority="3137" operator="greaterThan">
      <formula>120</formula>
    </cfRule>
    <cfRule type="containsText" dxfId="0" priority="522" operator="between" text="库存为">
      <formula>NOT(ISERROR(SEARCH("库存为",AU2099)))</formula>
    </cfRule>
  </conditionalFormatting>
  <conditionalFormatting sqref="AU2100">
    <cfRule type="cellIs" dxfId="2" priority="5751" operator="lessThan">
      <formula>20</formula>
    </cfRule>
    <cfRule type="cellIs" dxfId="1" priority="3136" operator="greaterThan">
      <formula>120</formula>
    </cfRule>
    <cfRule type="containsText" dxfId="0" priority="521" operator="between" text="库存为">
      <formula>NOT(ISERROR(SEARCH("库存为",AU2100)))</formula>
    </cfRule>
  </conditionalFormatting>
  <conditionalFormatting sqref="AU2101">
    <cfRule type="cellIs" dxfId="2" priority="5750" operator="lessThan">
      <formula>20</formula>
    </cfRule>
    <cfRule type="cellIs" dxfId="1" priority="3135" operator="greaterThan">
      <formula>120</formula>
    </cfRule>
    <cfRule type="containsText" dxfId="0" priority="520" operator="between" text="库存为">
      <formula>NOT(ISERROR(SEARCH("库存为",AU2101)))</formula>
    </cfRule>
  </conditionalFormatting>
  <conditionalFormatting sqref="AU2102">
    <cfRule type="cellIs" dxfId="2" priority="5749" operator="lessThan">
      <formula>20</formula>
    </cfRule>
    <cfRule type="cellIs" dxfId="1" priority="3134" operator="greaterThan">
      <formula>120</formula>
    </cfRule>
    <cfRule type="containsText" dxfId="0" priority="519" operator="between" text="库存为">
      <formula>NOT(ISERROR(SEARCH("库存为",AU2102)))</formula>
    </cfRule>
  </conditionalFormatting>
  <conditionalFormatting sqref="AU2103">
    <cfRule type="cellIs" dxfId="2" priority="5748" operator="lessThan">
      <formula>20</formula>
    </cfRule>
    <cfRule type="cellIs" dxfId="1" priority="3133" operator="greaterThan">
      <formula>120</formula>
    </cfRule>
    <cfRule type="containsText" dxfId="0" priority="518" operator="between" text="库存为">
      <formula>NOT(ISERROR(SEARCH("库存为",AU2103)))</formula>
    </cfRule>
  </conditionalFormatting>
  <conditionalFormatting sqref="AU2104">
    <cfRule type="cellIs" dxfId="2" priority="5747" operator="lessThan">
      <formula>20</formula>
    </cfRule>
    <cfRule type="cellIs" dxfId="1" priority="3132" operator="greaterThan">
      <formula>120</formula>
    </cfRule>
    <cfRule type="containsText" dxfId="0" priority="517" operator="between" text="库存为">
      <formula>NOT(ISERROR(SEARCH("库存为",AU2104)))</formula>
    </cfRule>
  </conditionalFormatting>
  <conditionalFormatting sqref="AU2105">
    <cfRule type="cellIs" dxfId="2" priority="5746" operator="lessThan">
      <formula>20</formula>
    </cfRule>
    <cfRule type="cellIs" dxfId="1" priority="3131" operator="greaterThan">
      <formula>120</formula>
    </cfRule>
    <cfRule type="containsText" dxfId="0" priority="516" operator="between" text="库存为">
      <formula>NOT(ISERROR(SEARCH("库存为",AU2105)))</formula>
    </cfRule>
  </conditionalFormatting>
  <conditionalFormatting sqref="AU2106">
    <cfRule type="cellIs" dxfId="2" priority="5745" operator="lessThan">
      <formula>20</formula>
    </cfRule>
    <cfRule type="cellIs" dxfId="1" priority="3130" operator="greaterThan">
      <formula>120</formula>
    </cfRule>
    <cfRule type="containsText" dxfId="0" priority="515" operator="between" text="库存为">
      <formula>NOT(ISERROR(SEARCH("库存为",AU2106)))</formula>
    </cfRule>
  </conditionalFormatting>
  <conditionalFormatting sqref="AU2107">
    <cfRule type="cellIs" dxfId="2" priority="5744" operator="lessThan">
      <formula>20</formula>
    </cfRule>
    <cfRule type="cellIs" dxfId="1" priority="3129" operator="greaterThan">
      <formula>120</formula>
    </cfRule>
    <cfRule type="containsText" dxfId="0" priority="514" operator="between" text="库存为">
      <formula>NOT(ISERROR(SEARCH("库存为",AU2107)))</formula>
    </cfRule>
  </conditionalFormatting>
  <conditionalFormatting sqref="AU2108">
    <cfRule type="cellIs" dxfId="2" priority="5743" operator="lessThan">
      <formula>20</formula>
    </cfRule>
    <cfRule type="cellIs" dxfId="1" priority="3128" operator="greaterThan">
      <formula>120</formula>
    </cfRule>
    <cfRule type="containsText" dxfId="0" priority="513" operator="between" text="库存为">
      <formula>NOT(ISERROR(SEARCH("库存为",AU2108)))</formula>
    </cfRule>
  </conditionalFormatting>
  <conditionalFormatting sqref="AU2109">
    <cfRule type="cellIs" dxfId="2" priority="5742" operator="lessThan">
      <formula>20</formula>
    </cfRule>
    <cfRule type="cellIs" dxfId="1" priority="3127" operator="greaterThan">
      <formula>120</formula>
    </cfRule>
    <cfRule type="containsText" dxfId="0" priority="512" operator="between" text="库存为">
      <formula>NOT(ISERROR(SEARCH("库存为",AU2109)))</formula>
    </cfRule>
  </conditionalFormatting>
  <conditionalFormatting sqref="AU2110">
    <cfRule type="cellIs" dxfId="2" priority="5741" operator="lessThan">
      <formula>20</formula>
    </cfRule>
    <cfRule type="cellIs" dxfId="1" priority="3126" operator="greaterThan">
      <formula>120</formula>
    </cfRule>
    <cfRule type="containsText" dxfId="0" priority="511" operator="between" text="库存为">
      <formula>NOT(ISERROR(SEARCH("库存为",AU2110)))</formula>
    </cfRule>
  </conditionalFormatting>
  <conditionalFormatting sqref="AU2111">
    <cfRule type="cellIs" dxfId="2" priority="5740" operator="lessThan">
      <formula>20</formula>
    </cfRule>
    <cfRule type="cellIs" dxfId="1" priority="3125" operator="greaterThan">
      <formula>120</formula>
    </cfRule>
    <cfRule type="containsText" dxfId="0" priority="510" operator="between" text="库存为">
      <formula>NOT(ISERROR(SEARCH("库存为",AU2111)))</formula>
    </cfRule>
  </conditionalFormatting>
  <conditionalFormatting sqref="AU2112">
    <cfRule type="cellIs" dxfId="2" priority="5739" operator="lessThan">
      <formula>20</formula>
    </cfRule>
    <cfRule type="cellIs" dxfId="1" priority="3124" operator="greaterThan">
      <formula>120</formula>
    </cfRule>
    <cfRule type="containsText" dxfId="0" priority="509" operator="between" text="库存为">
      <formula>NOT(ISERROR(SEARCH("库存为",AU2112)))</formula>
    </cfRule>
  </conditionalFormatting>
  <conditionalFormatting sqref="AU2113">
    <cfRule type="cellIs" dxfId="2" priority="5738" operator="lessThan">
      <formula>20</formula>
    </cfRule>
    <cfRule type="cellIs" dxfId="1" priority="3123" operator="greaterThan">
      <formula>120</formula>
    </cfRule>
    <cfRule type="containsText" dxfId="0" priority="508" operator="between" text="库存为">
      <formula>NOT(ISERROR(SEARCH("库存为",AU2113)))</formula>
    </cfRule>
  </conditionalFormatting>
  <conditionalFormatting sqref="AU2114">
    <cfRule type="cellIs" dxfId="2" priority="5737" operator="lessThan">
      <formula>20</formula>
    </cfRule>
    <cfRule type="cellIs" dxfId="1" priority="3122" operator="greaterThan">
      <formula>120</formula>
    </cfRule>
    <cfRule type="containsText" dxfId="0" priority="507" operator="between" text="库存为">
      <formula>NOT(ISERROR(SEARCH("库存为",AU2114)))</formula>
    </cfRule>
  </conditionalFormatting>
  <conditionalFormatting sqref="AU2115">
    <cfRule type="cellIs" dxfId="2" priority="5736" operator="lessThan">
      <formula>20</formula>
    </cfRule>
    <cfRule type="cellIs" dxfId="1" priority="3121" operator="greaterThan">
      <formula>120</formula>
    </cfRule>
    <cfRule type="containsText" dxfId="0" priority="506" operator="between" text="库存为">
      <formula>NOT(ISERROR(SEARCH("库存为",AU2115)))</formula>
    </cfRule>
  </conditionalFormatting>
  <conditionalFormatting sqref="AU2116">
    <cfRule type="cellIs" dxfId="2" priority="5735" operator="lessThan">
      <formula>20</formula>
    </cfRule>
    <cfRule type="cellIs" dxfId="1" priority="3120" operator="greaterThan">
      <formula>120</formula>
    </cfRule>
    <cfRule type="containsText" dxfId="0" priority="505" operator="between" text="库存为">
      <formula>NOT(ISERROR(SEARCH("库存为",AU2116)))</formula>
    </cfRule>
  </conditionalFormatting>
  <conditionalFormatting sqref="AU2117">
    <cfRule type="cellIs" dxfId="2" priority="5734" operator="lessThan">
      <formula>20</formula>
    </cfRule>
    <cfRule type="cellIs" dxfId="1" priority="3119" operator="greaterThan">
      <formula>120</formula>
    </cfRule>
    <cfRule type="containsText" dxfId="0" priority="504" operator="between" text="库存为">
      <formula>NOT(ISERROR(SEARCH("库存为",AU2117)))</formula>
    </cfRule>
  </conditionalFormatting>
  <conditionalFormatting sqref="AU2118">
    <cfRule type="cellIs" dxfId="2" priority="5733" operator="lessThan">
      <formula>20</formula>
    </cfRule>
    <cfRule type="cellIs" dxfId="1" priority="3118" operator="greaterThan">
      <formula>120</formula>
    </cfRule>
    <cfRule type="containsText" dxfId="0" priority="503" operator="between" text="库存为">
      <formula>NOT(ISERROR(SEARCH("库存为",AU2118)))</formula>
    </cfRule>
  </conditionalFormatting>
  <conditionalFormatting sqref="AU2119">
    <cfRule type="cellIs" dxfId="2" priority="5732" operator="lessThan">
      <formula>20</formula>
    </cfRule>
    <cfRule type="cellIs" dxfId="1" priority="3117" operator="greaterThan">
      <formula>120</formula>
    </cfRule>
    <cfRule type="containsText" dxfId="0" priority="502" operator="between" text="库存为">
      <formula>NOT(ISERROR(SEARCH("库存为",AU2119)))</formula>
    </cfRule>
  </conditionalFormatting>
  <conditionalFormatting sqref="AU2120">
    <cfRule type="cellIs" dxfId="2" priority="5731" operator="lessThan">
      <formula>20</formula>
    </cfRule>
    <cfRule type="cellIs" dxfId="1" priority="3116" operator="greaterThan">
      <formula>120</formula>
    </cfRule>
    <cfRule type="containsText" dxfId="0" priority="501" operator="between" text="库存为">
      <formula>NOT(ISERROR(SEARCH("库存为",AU2120)))</formula>
    </cfRule>
  </conditionalFormatting>
  <conditionalFormatting sqref="AU2121">
    <cfRule type="cellIs" dxfId="2" priority="5730" operator="lessThan">
      <formula>20</formula>
    </cfRule>
    <cfRule type="cellIs" dxfId="1" priority="3115" operator="greaterThan">
      <formula>120</formula>
    </cfRule>
    <cfRule type="containsText" dxfId="0" priority="500" operator="between" text="库存为">
      <formula>NOT(ISERROR(SEARCH("库存为",AU2121)))</formula>
    </cfRule>
  </conditionalFormatting>
  <conditionalFormatting sqref="AU2122">
    <cfRule type="cellIs" dxfId="2" priority="5729" operator="lessThan">
      <formula>20</formula>
    </cfRule>
    <cfRule type="cellIs" dxfId="1" priority="3114" operator="greaterThan">
      <formula>120</formula>
    </cfRule>
    <cfRule type="containsText" dxfId="0" priority="499" operator="between" text="库存为">
      <formula>NOT(ISERROR(SEARCH("库存为",AU2122)))</formula>
    </cfRule>
  </conditionalFormatting>
  <conditionalFormatting sqref="AU2123">
    <cfRule type="cellIs" dxfId="2" priority="5728" operator="lessThan">
      <formula>20</formula>
    </cfRule>
    <cfRule type="cellIs" dxfId="1" priority="3113" operator="greaterThan">
      <formula>120</formula>
    </cfRule>
    <cfRule type="containsText" dxfId="0" priority="498" operator="between" text="库存为">
      <formula>NOT(ISERROR(SEARCH("库存为",AU2123)))</formula>
    </cfRule>
  </conditionalFormatting>
  <conditionalFormatting sqref="AU2124">
    <cfRule type="cellIs" dxfId="2" priority="5727" operator="lessThan">
      <formula>20</formula>
    </cfRule>
    <cfRule type="cellIs" dxfId="1" priority="3112" operator="greaterThan">
      <formula>120</formula>
    </cfRule>
    <cfRule type="containsText" dxfId="0" priority="497" operator="between" text="库存为">
      <formula>NOT(ISERROR(SEARCH("库存为",AU2124)))</formula>
    </cfRule>
  </conditionalFormatting>
  <conditionalFormatting sqref="AU2125">
    <cfRule type="cellIs" dxfId="2" priority="5726" operator="lessThan">
      <formula>20</formula>
    </cfRule>
    <cfRule type="cellIs" dxfId="1" priority="3111" operator="greaterThan">
      <formula>120</formula>
    </cfRule>
    <cfRule type="containsText" dxfId="0" priority="496" operator="between" text="库存为">
      <formula>NOT(ISERROR(SEARCH("库存为",AU2125)))</formula>
    </cfRule>
  </conditionalFormatting>
  <conditionalFormatting sqref="AU2126">
    <cfRule type="cellIs" dxfId="2" priority="5725" operator="lessThan">
      <formula>20</formula>
    </cfRule>
    <cfRule type="cellIs" dxfId="1" priority="3110" operator="greaterThan">
      <formula>120</formula>
    </cfRule>
    <cfRule type="containsText" dxfId="0" priority="495" operator="between" text="库存为">
      <formula>NOT(ISERROR(SEARCH("库存为",AU2126)))</formula>
    </cfRule>
  </conditionalFormatting>
  <conditionalFormatting sqref="AU2127">
    <cfRule type="cellIs" dxfId="2" priority="5724" operator="lessThan">
      <formula>20</formula>
    </cfRule>
    <cfRule type="cellIs" dxfId="1" priority="3109" operator="greaterThan">
      <formula>120</formula>
    </cfRule>
    <cfRule type="containsText" dxfId="0" priority="494" operator="between" text="库存为">
      <formula>NOT(ISERROR(SEARCH("库存为",AU2127)))</formula>
    </cfRule>
  </conditionalFormatting>
  <conditionalFormatting sqref="AU2128">
    <cfRule type="cellIs" dxfId="2" priority="5723" operator="lessThan">
      <formula>20</formula>
    </cfRule>
    <cfRule type="cellIs" dxfId="1" priority="3108" operator="greaterThan">
      <formula>120</formula>
    </cfRule>
    <cfRule type="containsText" dxfId="0" priority="493" operator="between" text="库存为">
      <formula>NOT(ISERROR(SEARCH("库存为",AU2128)))</formula>
    </cfRule>
  </conditionalFormatting>
  <conditionalFormatting sqref="AU2129">
    <cfRule type="cellIs" dxfId="2" priority="5722" operator="lessThan">
      <formula>20</formula>
    </cfRule>
    <cfRule type="cellIs" dxfId="1" priority="3107" operator="greaterThan">
      <formula>120</formula>
    </cfRule>
    <cfRule type="containsText" dxfId="0" priority="492" operator="between" text="库存为">
      <formula>NOT(ISERROR(SEARCH("库存为",AU2129)))</formula>
    </cfRule>
  </conditionalFormatting>
  <conditionalFormatting sqref="AU2130">
    <cfRule type="cellIs" dxfId="2" priority="5721" operator="lessThan">
      <formula>20</formula>
    </cfRule>
    <cfRule type="cellIs" dxfId="1" priority="3106" operator="greaterThan">
      <formula>120</formula>
    </cfRule>
    <cfRule type="containsText" dxfId="0" priority="491" operator="between" text="库存为">
      <formula>NOT(ISERROR(SEARCH("库存为",AU2130)))</formula>
    </cfRule>
  </conditionalFormatting>
  <conditionalFormatting sqref="AU2131">
    <cfRule type="cellIs" dxfId="2" priority="5720" operator="lessThan">
      <formula>20</formula>
    </cfRule>
    <cfRule type="cellIs" dxfId="1" priority="3105" operator="greaterThan">
      <formula>120</formula>
    </cfRule>
    <cfRule type="containsText" dxfId="0" priority="490" operator="between" text="库存为">
      <formula>NOT(ISERROR(SEARCH("库存为",AU2131)))</formula>
    </cfRule>
  </conditionalFormatting>
  <conditionalFormatting sqref="AU2132">
    <cfRule type="cellIs" dxfId="2" priority="5719" operator="lessThan">
      <formula>20</formula>
    </cfRule>
    <cfRule type="cellIs" dxfId="1" priority="3104" operator="greaterThan">
      <formula>120</formula>
    </cfRule>
    <cfRule type="containsText" dxfId="0" priority="489" operator="between" text="库存为">
      <formula>NOT(ISERROR(SEARCH("库存为",AU2132)))</formula>
    </cfRule>
  </conditionalFormatting>
  <conditionalFormatting sqref="AU2133">
    <cfRule type="cellIs" dxfId="2" priority="5718" operator="lessThan">
      <formula>20</formula>
    </cfRule>
    <cfRule type="cellIs" dxfId="1" priority="3103" operator="greaterThan">
      <formula>120</formula>
    </cfRule>
    <cfRule type="containsText" dxfId="0" priority="488" operator="between" text="库存为">
      <formula>NOT(ISERROR(SEARCH("库存为",AU2133)))</formula>
    </cfRule>
  </conditionalFormatting>
  <conditionalFormatting sqref="AU2134">
    <cfRule type="cellIs" dxfId="2" priority="5717" operator="lessThan">
      <formula>20</formula>
    </cfRule>
    <cfRule type="cellIs" dxfId="1" priority="3102" operator="greaterThan">
      <formula>120</formula>
    </cfRule>
    <cfRule type="containsText" dxfId="0" priority="487" operator="between" text="库存为">
      <formula>NOT(ISERROR(SEARCH("库存为",AU2134)))</formula>
    </cfRule>
  </conditionalFormatting>
  <conditionalFormatting sqref="AU2135">
    <cfRule type="cellIs" dxfId="2" priority="5716" operator="lessThan">
      <formula>20</formula>
    </cfRule>
    <cfRule type="cellIs" dxfId="1" priority="3101" operator="greaterThan">
      <formula>120</formula>
    </cfRule>
    <cfRule type="containsText" dxfId="0" priority="486" operator="between" text="库存为">
      <formula>NOT(ISERROR(SEARCH("库存为",AU2135)))</formula>
    </cfRule>
  </conditionalFormatting>
  <conditionalFormatting sqref="AU2136">
    <cfRule type="cellIs" dxfId="2" priority="5715" operator="lessThan">
      <formula>20</formula>
    </cfRule>
    <cfRule type="cellIs" dxfId="1" priority="3100" operator="greaterThan">
      <formula>120</formula>
    </cfRule>
    <cfRule type="containsText" dxfId="0" priority="485" operator="between" text="库存为">
      <formula>NOT(ISERROR(SEARCH("库存为",AU2136)))</formula>
    </cfRule>
  </conditionalFormatting>
  <conditionalFormatting sqref="AU2137">
    <cfRule type="cellIs" dxfId="2" priority="5714" operator="lessThan">
      <formula>20</formula>
    </cfRule>
    <cfRule type="cellIs" dxfId="1" priority="3099" operator="greaterThan">
      <formula>120</formula>
    </cfRule>
    <cfRule type="containsText" dxfId="0" priority="484" operator="between" text="库存为">
      <formula>NOT(ISERROR(SEARCH("库存为",AU2137)))</formula>
    </cfRule>
  </conditionalFormatting>
  <conditionalFormatting sqref="AU2138">
    <cfRule type="cellIs" dxfId="2" priority="5713" operator="lessThan">
      <formula>20</formula>
    </cfRule>
    <cfRule type="cellIs" dxfId="1" priority="3098" operator="greaterThan">
      <formula>120</formula>
    </cfRule>
    <cfRule type="containsText" dxfId="0" priority="483" operator="between" text="库存为">
      <formula>NOT(ISERROR(SEARCH("库存为",AU2138)))</formula>
    </cfRule>
  </conditionalFormatting>
  <conditionalFormatting sqref="AU2139">
    <cfRule type="cellIs" dxfId="2" priority="5712" operator="lessThan">
      <formula>20</formula>
    </cfRule>
    <cfRule type="cellIs" dxfId="1" priority="3097" operator="greaterThan">
      <formula>120</formula>
    </cfRule>
    <cfRule type="containsText" dxfId="0" priority="482" operator="between" text="库存为">
      <formula>NOT(ISERROR(SEARCH("库存为",AU2139)))</formula>
    </cfRule>
  </conditionalFormatting>
  <conditionalFormatting sqref="AU2140">
    <cfRule type="cellIs" dxfId="2" priority="5711" operator="lessThan">
      <formula>20</formula>
    </cfRule>
    <cfRule type="cellIs" dxfId="1" priority="3096" operator="greaterThan">
      <formula>120</formula>
    </cfRule>
    <cfRule type="containsText" dxfId="0" priority="481" operator="between" text="库存为">
      <formula>NOT(ISERROR(SEARCH("库存为",AU2140)))</formula>
    </cfRule>
  </conditionalFormatting>
  <conditionalFormatting sqref="AU2141">
    <cfRule type="cellIs" dxfId="2" priority="5710" operator="lessThan">
      <formula>20</formula>
    </cfRule>
    <cfRule type="cellIs" dxfId="1" priority="3095" operator="greaterThan">
      <formula>120</formula>
    </cfRule>
    <cfRule type="containsText" dxfId="0" priority="480" operator="between" text="库存为">
      <formula>NOT(ISERROR(SEARCH("库存为",AU2141)))</formula>
    </cfRule>
  </conditionalFormatting>
  <conditionalFormatting sqref="AU2142">
    <cfRule type="cellIs" dxfId="2" priority="5709" operator="lessThan">
      <formula>20</formula>
    </cfRule>
    <cfRule type="cellIs" dxfId="1" priority="3094" operator="greaterThan">
      <formula>120</formula>
    </cfRule>
    <cfRule type="containsText" dxfId="0" priority="479" operator="between" text="库存为">
      <formula>NOT(ISERROR(SEARCH("库存为",AU2142)))</formula>
    </cfRule>
  </conditionalFormatting>
  <conditionalFormatting sqref="AU2143">
    <cfRule type="cellIs" dxfId="2" priority="5708" operator="lessThan">
      <formula>20</formula>
    </cfRule>
    <cfRule type="cellIs" dxfId="1" priority="3093" operator="greaterThan">
      <formula>120</formula>
    </cfRule>
    <cfRule type="containsText" dxfId="0" priority="478" operator="between" text="库存为">
      <formula>NOT(ISERROR(SEARCH("库存为",AU2143)))</formula>
    </cfRule>
  </conditionalFormatting>
  <conditionalFormatting sqref="AU2144">
    <cfRule type="cellIs" dxfId="2" priority="5707" operator="lessThan">
      <formula>20</formula>
    </cfRule>
    <cfRule type="cellIs" dxfId="1" priority="3092" operator="greaterThan">
      <formula>120</formula>
    </cfRule>
    <cfRule type="containsText" dxfId="0" priority="477" operator="between" text="库存为">
      <formula>NOT(ISERROR(SEARCH("库存为",AU2144)))</formula>
    </cfRule>
  </conditionalFormatting>
  <conditionalFormatting sqref="AU2145">
    <cfRule type="cellIs" dxfId="2" priority="5706" operator="lessThan">
      <formula>20</formula>
    </cfRule>
    <cfRule type="cellIs" dxfId="1" priority="3091" operator="greaterThan">
      <formula>120</formula>
    </cfRule>
    <cfRule type="containsText" dxfId="0" priority="476" operator="between" text="库存为">
      <formula>NOT(ISERROR(SEARCH("库存为",AU2145)))</formula>
    </cfRule>
  </conditionalFormatting>
  <conditionalFormatting sqref="AU2146">
    <cfRule type="cellIs" dxfId="2" priority="5705" operator="lessThan">
      <formula>20</formula>
    </cfRule>
    <cfRule type="cellIs" dxfId="1" priority="3090" operator="greaterThan">
      <formula>120</formula>
    </cfRule>
    <cfRule type="containsText" dxfId="0" priority="475" operator="between" text="库存为">
      <formula>NOT(ISERROR(SEARCH("库存为",AU2146)))</formula>
    </cfRule>
  </conditionalFormatting>
  <conditionalFormatting sqref="AU2147">
    <cfRule type="cellIs" dxfId="2" priority="5704" operator="lessThan">
      <formula>20</formula>
    </cfRule>
    <cfRule type="cellIs" dxfId="1" priority="3089" operator="greaterThan">
      <formula>120</formula>
    </cfRule>
    <cfRule type="containsText" dxfId="0" priority="474" operator="between" text="库存为">
      <formula>NOT(ISERROR(SEARCH("库存为",AU2147)))</formula>
    </cfRule>
  </conditionalFormatting>
  <conditionalFormatting sqref="AU2148">
    <cfRule type="cellIs" dxfId="2" priority="5703" operator="lessThan">
      <formula>20</formula>
    </cfRule>
    <cfRule type="cellIs" dxfId="1" priority="3088" operator="greaterThan">
      <formula>120</formula>
    </cfRule>
    <cfRule type="containsText" dxfId="0" priority="473" operator="between" text="库存为">
      <formula>NOT(ISERROR(SEARCH("库存为",AU2148)))</formula>
    </cfRule>
  </conditionalFormatting>
  <conditionalFormatting sqref="AU2149">
    <cfRule type="cellIs" dxfId="2" priority="5702" operator="lessThan">
      <formula>20</formula>
    </cfRule>
    <cfRule type="cellIs" dxfId="1" priority="3087" operator="greaterThan">
      <formula>120</formula>
    </cfRule>
    <cfRule type="containsText" dxfId="0" priority="472" operator="between" text="库存为">
      <formula>NOT(ISERROR(SEARCH("库存为",AU2149)))</formula>
    </cfRule>
  </conditionalFormatting>
  <conditionalFormatting sqref="AU2150">
    <cfRule type="cellIs" dxfId="2" priority="5701" operator="lessThan">
      <formula>20</formula>
    </cfRule>
    <cfRule type="cellIs" dxfId="1" priority="3086" operator="greaterThan">
      <formula>120</formula>
    </cfRule>
    <cfRule type="containsText" dxfId="0" priority="471" operator="between" text="库存为">
      <formula>NOT(ISERROR(SEARCH("库存为",AU2150)))</formula>
    </cfRule>
  </conditionalFormatting>
  <conditionalFormatting sqref="AU2151">
    <cfRule type="cellIs" dxfId="2" priority="5700" operator="lessThan">
      <formula>20</formula>
    </cfRule>
    <cfRule type="cellIs" dxfId="1" priority="3085" operator="greaterThan">
      <formula>120</formula>
    </cfRule>
    <cfRule type="containsText" dxfId="0" priority="470" operator="between" text="库存为">
      <formula>NOT(ISERROR(SEARCH("库存为",AU2151)))</formula>
    </cfRule>
  </conditionalFormatting>
  <conditionalFormatting sqref="AU2152">
    <cfRule type="cellIs" dxfId="2" priority="5699" operator="lessThan">
      <formula>20</formula>
    </cfRule>
    <cfRule type="cellIs" dxfId="1" priority="3084" operator="greaterThan">
      <formula>120</formula>
    </cfRule>
    <cfRule type="containsText" dxfId="0" priority="469" operator="between" text="库存为">
      <formula>NOT(ISERROR(SEARCH("库存为",AU2152)))</formula>
    </cfRule>
  </conditionalFormatting>
  <conditionalFormatting sqref="AU2153">
    <cfRule type="cellIs" dxfId="2" priority="5698" operator="lessThan">
      <formula>20</formula>
    </cfRule>
    <cfRule type="cellIs" dxfId="1" priority="3083" operator="greaterThan">
      <formula>120</formula>
    </cfRule>
    <cfRule type="containsText" dxfId="0" priority="468" operator="between" text="库存为">
      <formula>NOT(ISERROR(SEARCH("库存为",AU2153)))</formula>
    </cfRule>
  </conditionalFormatting>
  <conditionalFormatting sqref="AU2154">
    <cfRule type="cellIs" dxfId="2" priority="5697" operator="lessThan">
      <formula>20</formula>
    </cfRule>
    <cfRule type="cellIs" dxfId="1" priority="3082" operator="greaterThan">
      <formula>120</formula>
    </cfRule>
    <cfRule type="containsText" dxfId="0" priority="467" operator="between" text="库存为">
      <formula>NOT(ISERROR(SEARCH("库存为",AU2154)))</formula>
    </cfRule>
  </conditionalFormatting>
  <conditionalFormatting sqref="AU2155">
    <cfRule type="cellIs" dxfId="2" priority="5696" operator="lessThan">
      <formula>20</formula>
    </cfRule>
    <cfRule type="cellIs" dxfId="1" priority="3081" operator="greaterThan">
      <formula>120</formula>
    </cfRule>
    <cfRule type="containsText" dxfId="0" priority="466" operator="between" text="库存为">
      <formula>NOT(ISERROR(SEARCH("库存为",AU2155)))</formula>
    </cfRule>
  </conditionalFormatting>
  <conditionalFormatting sqref="AU2156">
    <cfRule type="cellIs" dxfId="2" priority="5695" operator="lessThan">
      <formula>20</formula>
    </cfRule>
    <cfRule type="cellIs" dxfId="1" priority="3080" operator="greaterThan">
      <formula>120</formula>
    </cfRule>
    <cfRule type="containsText" dxfId="0" priority="465" operator="between" text="库存为">
      <formula>NOT(ISERROR(SEARCH("库存为",AU2156)))</formula>
    </cfRule>
  </conditionalFormatting>
  <conditionalFormatting sqref="AU2157">
    <cfRule type="cellIs" dxfId="2" priority="5694" operator="lessThan">
      <formula>20</formula>
    </cfRule>
    <cfRule type="cellIs" dxfId="1" priority="3079" operator="greaterThan">
      <formula>120</formula>
    </cfRule>
    <cfRule type="containsText" dxfId="0" priority="464" operator="between" text="库存为">
      <formula>NOT(ISERROR(SEARCH("库存为",AU2157)))</formula>
    </cfRule>
  </conditionalFormatting>
  <conditionalFormatting sqref="AU2158">
    <cfRule type="cellIs" dxfId="2" priority="5693" operator="lessThan">
      <formula>20</formula>
    </cfRule>
    <cfRule type="cellIs" dxfId="1" priority="3078" operator="greaterThan">
      <formula>120</formula>
    </cfRule>
    <cfRule type="containsText" dxfId="0" priority="463" operator="between" text="库存为">
      <formula>NOT(ISERROR(SEARCH("库存为",AU2158)))</formula>
    </cfRule>
  </conditionalFormatting>
  <conditionalFormatting sqref="AU2159">
    <cfRule type="cellIs" dxfId="2" priority="5692" operator="lessThan">
      <formula>20</formula>
    </cfRule>
    <cfRule type="cellIs" dxfId="1" priority="3077" operator="greaterThan">
      <formula>120</formula>
    </cfRule>
    <cfRule type="containsText" dxfId="0" priority="462" operator="between" text="库存为">
      <formula>NOT(ISERROR(SEARCH("库存为",AU2159)))</formula>
    </cfRule>
  </conditionalFormatting>
  <conditionalFormatting sqref="AU2160">
    <cfRule type="cellIs" dxfId="2" priority="5691" operator="lessThan">
      <formula>20</formula>
    </cfRule>
    <cfRule type="cellIs" dxfId="1" priority="3076" operator="greaterThan">
      <formula>120</formula>
    </cfRule>
    <cfRule type="containsText" dxfId="0" priority="461" operator="between" text="库存为">
      <formula>NOT(ISERROR(SEARCH("库存为",AU2160)))</formula>
    </cfRule>
  </conditionalFormatting>
  <conditionalFormatting sqref="AU2161">
    <cfRule type="cellIs" dxfId="2" priority="5690" operator="lessThan">
      <formula>20</formula>
    </cfRule>
    <cfRule type="cellIs" dxfId="1" priority="3075" operator="greaterThan">
      <formula>120</formula>
    </cfRule>
    <cfRule type="containsText" dxfId="0" priority="460" operator="between" text="库存为">
      <formula>NOT(ISERROR(SEARCH("库存为",AU2161)))</formula>
    </cfRule>
  </conditionalFormatting>
  <conditionalFormatting sqref="AU2162">
    <cfRule type="cellIs" dxfId="2" priority="5689" operator="lessThan">
      <formula>20</formula>
    </cfRule>
    <cfRule type="cellIs" dxfId="1" priority="3074" operator="greaterThan">
      <formula>120</formula>
    </cfRule>
    <cfRule type="containsText" dxfId="0" priority="459" operator="between" text="库存为">
      <formula>NOT(ISERROR(SEARCH("库存为",AU2162)))</formula>
    </cfRule>
  </conditionalFormatting>
  <conditionalFormatting sqref="AU2163">
    <cfRule type="cellIs" dxfId="2" priority="5688" operator="lessThan">
      <formula>20</formula>
    </cfRule>
    <cfRule type="cellIs" dxfId="1" priority="3073" operator="greaterThan">
      <formula>120</formula>
    </cfRule>
    <cfRule type="containsText" dxfId="0" priority="458" operator="between" text="库存为">
      <formula>NOT(ISERROR(SEARCH("库存为",AU2163)))</formula>
    </cfRule>
  </conditionalFormatting>
  <conditionalFormatting sqref="AU2164">
    <cfRule type="cellIs" dxfId="2" priority="5687" operator="lessThan">
      <formula>20</formula>
    </cfRule>
    <cfRule type="cellIs" dxfId="1" priority="3072" operator="greaterThan">
      <formula>120</formula>
    </cfRule>
    <cfRule type="containsText" dxfId="0" priority="457" operator="between" text="库存为">
      <formula>NOT(ISERROR(SEARCH("库存为",AU2164)))</formula>
    </cfRule>
  </conditionalFormatting>
  <conditionalFormatting sqref="AU2165">
    <cfRule type="cellIs" dxfId="2" priority="5686" operator="lessThan">
      <formula>20</formula>
    </cfRule>
    <cfRule type="cellIs" dxfId="1" priority="3071" operator="greaterThan">
      <formula>120</formula>
    </cfRule>
    <cfRule type="containsText" dxfId="0" priority="456" operator="between" text="库存为">
      <formula>NOT(ISERROR(SEARCH("库存为",AU2165)))</formula>
    </cfRule>
  </conditionalFormatting>
  <conditionalFormatting sqref="AU2166">
    <cfRule type="cellIs" dxfId="2" priority="5685" operator="lessThan">
      <formula>20</formula>
    </cfRule>
    <cfRule type="cellIs" dxfId="1" priority="3070" operator="greaterThan">
      <formula>120</formula>
    </cfRule>
    <cfRule type="containsText" dxfId="0" priority="455" operator="between" text="库存为">
      <formula>NOT(ISERROR(SEARCH("库存为",AU2166)))</formula>
    </cfRule>
  </conditionalFormatting>
  <conditionalFormatting sqref="AU2167">
    <cfRule type="cellIs" dxfId="2" priority="5684" operator="lessThan">
      <formula>20</formula>
    </cfRule>
    <cfRule type="cellIs" dxfId="1" priority="3069" operator="greaterThan">
      <formula>120</formula>
    </cfRule>
    <cfRule type="containsText" dxfId="0" priority="454" operator="between" text="库存为">
      <formula>NOT(ISERROR(SEARCH("库存为",AU2167)))</formula>
    </cfRule>
  </conditionalFormatting>
  <conditionalFormatting sqref="AU2168">
    <cfRule type="cellIs" dxfId="2" priority="5683" operator="lessThan">
      <formula>20</formula>
    </cfRule>
    <cfRule type="cellIs" dxfId="1" priority="3068" operator="greaterThan">
      <formula>120</formula>
    </cfRule>
    <cfRule type="containsText" dxfId="0" priority="453" operator="between" text="库存为">
      <formula>NOT(ISERROR(SEARCH("库存为",AU2168)))</formula>
    </cfRule>
  </conditionalFormatting>
  <conditionalFormatting sqref="AU2169">
    <cfRule type="cellIs" dxfId="2" priority="5682" operator="lessThan">
      <formula>20</formula>
    </cfRule>
    <cfRule type="cellIs" dxfId="1" priority="3067" operator="greaterThan">
      <formula>120</formula>
    </cfRule>
    <cfRule type="containsText" dxfId="0" priority="452" operator="between" text="库存为">
      <formula>NOT(ISERROR(SEARCH("库存为",AU2169)))</formula>
    </cfRule>
  </conditionalFormatting>
  <conditionalFormatting sqref="AU2170">
    <cfRule type="cellIs" dxfId="2" priority="5681" operator="lessThan">
      <formula>20</formula>
    </cfRule>
    <cfRule type="cellIs" dxfId="1" priority="3066" operator="greaterThan">
      <formula>120</formula>
    </cfRule>
    <cfRule type="containsText" dxfId="0" priority="451" operator="between" text="库存为">
      <formula>NOT(ISERROR(SEARCH("库存为",AU2170)))</formula>
    </cfRule>
  </conditionalFormatting>
  <conditionalFormatting sqref="AU2171">
    <cfRule type="cellIs" dxfId="2" priority="5680" operator="lessThan">
      <formula>20</formula>
    </cfRule>
    <cfRule type="cellIs" dxfId="1" priority="3065" operator="greaterThan">
      <formula>120</formula>
    </cfRule>
    <cfRule type="containsText" dxfId="0" priority="450" operator="between" text="库存为">
      <formula>NOT(ISERROR(SEARCH("库存为",AU2171)))</formula>
    </cfRule>
  </conditionalFormatting>
  <conditionalFormatting sqref="AU2172">
    <cfRule type="cellIs" dxfId="2" priority="5679" operator="lessThan">
      <formula>20</formula>
    </cfRule>
    <cfRule type="cellIs" dxfId="1" priority="3064" operator="greaterThan">
      <formula>120</formula>
    </cfRule>
    <cfRule type="containsText" dxfId="0" priority="449" operator="between" text="库存为">
      <formula>NOT(ISERROR(SEARCH("库存为",AU2172)))</formula>
    </cfRule>
  </conditionalFormatting>
  <conditionalFormatting sqref="AU2173">
    <cfRule type="cellIs" dxfId="2" priority="5678" operator="lessThan">
      <formula>20</formula>
    </cfRule>
    <cfRule type="cellIs" dxfId="1" priority="3063" operator="greaterThan">
      <formula>120</formula>
    </cfRule>
    <cfRule type="containsText" dxfId="0" priority="448" operator="between" text="库存为">
      <formula>NOT(ISERROR(SEARCH("库存为",AU2173)))</formula>
    </cfRule>
  </conditionalFormatting>
  <conditionalFormatting sqref="AU2174">
    <cfRule type="cellIs" dxfId="2" priority="5677" operator="lessThan">
      <formula>20</formula>
    </cfRule>
    <cfRule type="cellIs" dxfId="1" priority="3062" operator="greaterThan">
      <formula>120</formula>
    </cfRule>
    <cfRule type="containsText" dxfId="0" priority="447" operator="between" text="库存为">
      <formula>NOT(ISERROR(SEARCH("库存为",AU2174)))</formula>
    </cfRule>
  </conditionalFormatting>
  <conditionalFormatting sqref="AU2175">
    <cfRule type="cellIs" dxfId="2" priority="5676" operator="lessThan">
      <formula>20</formula>
    </cfRule>
    <cfRule type="cellIs" dxfId="1" priority="3061" operator="greaterThan">
      <formula>120</formula>
    </cfRule>
    <cfRule type="containsText" dxfId="0" priority="446" operator="between" text="库存为">
      <formula>NOT(ISERROR(SEARCH("库存为",AU2175)))</formula>
    </cfRule>
  </conditionalFormatting>
  <conditionalFormatting sqref="AU2176">
    <cfRule type="cellIs" dxfId="2" priority="5675" operator="lessThan">
      <formula>20</formula>
    </cfRule>
    <cfRule type="cellIs" dxfId="1" priority="3060" operator="greaterThan">
      <formula>120</formula>
    </cfRule>
    <cfRule type="containsText" dxfId="0" priority="445" operator="between" text="库存为">
      <formula>NOT(ISERROR(SEARCH("库存为",AU2176)))</formula>
    </cfRule>
  </conditionalFormatting>
  <conditionalFormatting sqref="AU2177">
    <cfRule type="cellIs" dxfId="2" priority="5674" operator="lessThan">
      <formula>20</formula>
    </cfRule>
    <cfRule type="cellIs" dxfId="1" priority="3059" operator="greaterThan">
      <formula>120</formula>
    </cfRule>
    <cfRule type="containsText" dxfId="0" priority="444" operator="between" text="库存为">
      <formula>NOT(ISERROR(SEARCH("库存为",AU2177)))</formula>
    </cfRule>
  </conditionalFormatting>
  <conditionalFormatting sqref="AU2178">
    <cfRule type="cellIs" dxfId="2" priority="5673" operator="lessThan">
      <formula>20</formula>
    </cfRule>
    <cfRule type="cellIs" dxfId="1" priority="3058" operator="greaterThan">
      <formula>120</formula>
    </cfRule>
    <cfRule type="containsText" dxfId="0" priority="443" operator="between" text="库存为">
      <formula>NOT(ISERROR(SEARCH("库存为",AU2178)))</formula>
    </cfRule>
  </conditionalFormatting>
  <conditionalFormatting sqref="AU2179">
    <cfRule type="cellIs" dxfId="2" priority="5672" operator="lessThan">
      <formula>20</formula>
    </cfRule>
    <cfRule type="cellIs" dxfId="1" priority="3057" operator="greaterThan">
      <formula>120</formula>
    </cfRule>
    <cfRule type="containsText" dxfId="0" priority="442" operator="between" text="库存为">
      <formula>NOT(ISERROR(SEARCH("库存为",AU2179)))</formula>
    </cfRule>
  </conditionalFormatting>
  <conditionalFormatting sqref="AU2180">
    <cfRule type="cellIs" dxfId="2" priority="5671" operator="lessThan">
      <formula>20</formula>
    </cfRule>
    <cfRule type="cellIs" dxfId="1" priority="3056" operator="greaterThan">
      <formula>120</formula>
    </cfRule>
    <cfRule type="containsText" dxfId="0" priority="441" operator="between" text="库存为">
      <formula>NOT(ISERROR(SEARCH("库存为",AU2180)))</formula>
    </cfRule>
  </conditionalFormatting>
  <conditionalFormatting sqref="AU2181">
    <cfRule type="cellIs" dxfId="2" priority="5670" operator="lessThan">
      <formula>20</formula>
    </cfRule>
    <cfRule type="cellIs" dxfId="1" priority="3055" operator="greaterThan">
      <formula>120</formula>
    </cfRule>
    <cfRule type="containsText" dxfId="0" priority="440" operator="between" text="库存为">
      <formula>NOT(ISERROR(SEARCH("库存为",AU2181)))</formula>
    </cfRule>
  </conditionalFormatting>
  <conditionalFormatting sqref="AU2182">
    <cfRule type="cellIs" dxfId="2" priority="5669" operator="lessThan">
      <formula>20</formula>
    </cfRule>
    <cfRule type="cellIs" dxfId="1" priority="3054" operator="greaterThan">
      <formula>120</formula>
    </cfRule>
    <cfRule type="containsText" dxfId="0" priority="439" operator="between" text="库存为">
      <formula>NOT(ISERROR(SEARCH("库存为",AU2182)))</formula>
    </cfRule>
  </conditionalFormatting>
  <conditionalFormatting sqref="AU2183">
    <cfRule type="cellIs" dxfId="2" priority="5668" operator="lessThan">
      <formula>20</formula>
    </cfRule>
    <cfRule type="cellIs" dxfId="1" priority="3053" operator="greaterThan">
      <formula>120</formula>
    </cfRule>
    <cfRule type="containsText" dxfId="0" priority="438" operator="between" text="库存为">
      <formula>NOT(ISERROR(SEARCH("库存为",AU2183)))</formula>
    </cfRule>
  </conditionalFormatting>
  <conditionalFormatting sqref="AU2184">
    <cfRule type="cellIs" dxfId="2" priority="5667" operator="lessThan">
      <formula>20</formula>
    </cfRule>
    <cfRule type="cellIs" dxfId="1" priority="3052" operator="greaterThan">
      <formula>120</formula>
    </cfRule>
    <cfRule type="containsText" dxfId="0" priority="437" operator="between" text="库存为">
      <formula>NOT(ISERROR(SEARCH("库存为",AU2184)))</formula>
    </cfRule>
  </conditionalFormatting>
  <conditionalFormatting sqref="AU2185">
    <cfRule type="cellIs" dxfId="2" priority="5666" operator="lessThan">
      <formula>20</formula>
    </cfRule>
    <cfRule type="cellIs" dxfId="1" priority="3051" operator="greaterThan">
      <formula>120</formula>
    </cfRule>
    <cfRule type="containsText" dxfId="0" priority="436" operator="between" text="库存为">
      <formula>NOT(ISERROR(SEARCH("库存为",AU2185)))</formula>
    </cfRule>
  </conditionalFormatting>
  <conditionalFormatting sqref="AU2186">
    <cfRule type="cellIs" dxfId="2" priority="5665" operator="lessThan">
      <formula>20</formula>
    </cfRule>
    <cfRule type="cellIs" dxfId="1" priority="3050" operator="greaterThan">
      <formula>120</formula>
    </cfRule>
    <cfRule type="containsText" dxfId="0" priority="435" operator="between" text="库存为">
      <formula>NOT(ISERROR(SEARCH("库存为",AU2186)))</formula>
    </cfRule>
  </conditionalFormatting>
  <conditionalFormatting sqref="AU2187">
    <cfRule type="cellIs" dxfId="2" priority="5664" operator="lessThan">
      <formula>20</formula>
    </cfRule>
    <cfRule type="cellIs" dxfId="1" priority="3049" operator="greaterThan">
      <formula>120</formula>
    </cfRule>
    <cfRule type="containsText" dxfId="0" priority="434" operator="between" text="库存为">
      <formula>NOT(ISERROR(SEARCH("库存为",AU2187)))</formula>
    </cfRule>
  </conditionalFormatting>
  <conditionalFormatting sqref="AU2188">
    <cfRule type="cellIs" dxfId="2" priority="5663" operator="lessThan">
      <formula>20</formula>
    </cfRule>
    <cfRule type="cellIs" dxfId="1" priority="3048" operator="greaterThan">
      <formula>120</formula>
    </cfRule>
    <cfRule type="containsText" dxfId="0" priority="433" operator="between" text="库存为">
      <formula>NOT(ISERROR(SEARCH("库存为",AU2188)))</formula>
    </cfRule>
  </conditionalFormatting>
  <conditionalFormatting sqref="AU2189">
    <cfRule type="cellIs" dxfId="2" priority="5662" operator="lessThan">
      <formula>20</formula>
    </cfRule>
    <cfRule type="cellIs" dxfId="1" priority="3047" operator="greaterThan">
      <formula>120</formula>
    </cfRule>
    <cfRule type="containsText" dxfId="0" priority="432" operator="between" text="库存为">
      <formula>NOT(ISERROR(SEARCH("库存为",AU2189)))</formula>
    </cfRule>
  </conditionalFormatting>
  <conditionalFormatting sqref="AU2190">
    <cfRule type="cellIs" dxfId="2" priority="5661" operator="lessThan">
      <formula>20</formula>
    </cfRule>
    <cfRule type="cellIs" dxfId="1" priority="3046" operator="greaterThan">
      <formula>120</formula>
    </cfRule>
    <cfRule type="containsText" dxfId="0" priority="431" operator="between" text="库存为">
      <formula>NOT(ISERROR(SEARCH("库存为",AU2190)))</formula>
    </cfRule>
  </conditionalFormatting>
  <conditionalFormatting sqref="AU2191">
    <cfRule type="cellIs" dxfId="2" priority="5660" operator="lessThan">
      <formula>20</formula>
    </cfRule>
    <cfRule type="cellIs" dxfId="1" priority="3045" operator="greaterThan">
      <formula>120</formula>
    </cfRule>
    <cfRule type="containsText" dxfId="0" priority="430" operator="between" text="库存为">
      <formula>NOT(ISERROR(SEARCH("库存为",AU2191)))</formula>
    </cfRule>
  </conditionalFormatting>
  <conditionalFormatting sqref="AU2192">
    <cfRule type="cellIs" dxfId="2" priority="5659" operator="lessThan">
      <formula>20</formula>
    </cfRule>
    <cfRule type="cellIs" dxfId="1" priority="3044" operator="greaterThan">
      <formula>120</formula>
    </cfRule>
    <cfRule type="containsText" dxfId="0" priority="429" operator="between" text="库存为">
      <formula>NOT(ISERROR(SEARCH("库存为",AU2192)))</formula>
    </cfRule>
  </conditionalFormatting>
  <conditionalFormatting sqref="AU2193">
    <cfRule type="cellIs" dxfId="2" priority="5658" operator="lessThan">
      <formula>20</formula>
    </cfRule>
    <cfRule type="cellIs" dxfId="1" priority="3043" operator="greaterThan">
      <formula>120</formula>
    </cfRule>
    <cfRule type="containsText" dxfId="0" priority="428" operator="between" text="库存为">
      <formula>NOT(ISERROR(SEARCH("库存为",AU2193)))</formula>
    </cfRule>
  </conditionalFormatting>
  <conditionalFormatting sqref="AU2194">
    <cfRule type="cellIs" dxfId="2" priority="5657" operator="lessThan">
      <formula>20</formula>
    </cfRule>
    <cfRule type="cellIs" dxfId="1" priority="3042" operator="greaterThan">
      <formula>120</formula>
    </cfRule>
    <cfRule type="containsText" dxfId="0" priority="427" operator="between" text="库存为">
      <formula>NOT(ISERROR(SEARCH("库存为",AU2194)))</formula>
    </cfRule>
  </conditionalFormatting>
  <conditionalFormatting sqref="AU2195">
    <cfRule type="cellIs" dxfId="2" priority="5656" operator="lessThan">
      <formula>20</formula>
    </cfRule>
    <cfRule type="cellIs" dxfId="1" priority="3041" operator="greaterThan">
      <formula>120</formula>
    </cfRule>
    <cfRule type="containsText" dxfId="0" priority="426" operator="between" text="库存为">
      <formula>NOT(ISERROR(SEARCH("库存为",AU2195)))</formula>
    </cfRule>
  </conditionalFormatting>
  <conditionalFormatting sqref="AU2196">
    <cfRule type="cellIs" dxfId="2" priority="5655" operator="lessThan">
      <formula>20</formula>
    </cfRule>
    <cfRule type="cellIs" dxfId="1" priority="3040" operator="greaterThan">
      <formula>120</formula>
    </cfRule>
    <cfRule type="containsText" dxfId="0" priority="425" operator="between" text="库存为">
      <formula>NOT(ISERROR(SEARCH("库存为",AU2196)))</formula>
    </cfRule>
  </conditionalFormatting>
  <conditionalFormatting sqref="AU2197">
    <cfRule type="cellIs" dxfId="2" priority="5654" operator="lessThan">
      <formula>20</formula>
    </cfRule>
    <cfRule type="cellIs" dxfId="1" priority="3039" operator="greaterThan">
      <formula>120</formula>
    </cfRule>
    <cfRule type="containsText" dxfId="0" priority="424" operator="between" text="库存为">
      <formula>NOT(ISERROR(SEARCH("库存为",AU2197)))</formula>
    </cfRule>
  </conditionalFormatting>
  <conditionalFormatting sqref="AU2198">
    <cfRule type="cellIs" dxfId="2" priority="5653" operator="lessThan">
      <formula>20</formula>
    </cfRule>
    <cfRule type="cellIs" dxfId="1" priority="3038" operator="greaterThan">
      <formula>120</formula>
    </cfRule>
    <cfRule type="containsText" dxfId="0" priority="423" operator="between" text="库存为">
      <formula>NOT(ISERROR(SEARCH("库存为",AU2198)))</formula>
    </cfRule>
  </conditionalFormatting>
  <conditionalFormatting sqref="AU2199">
    <cfRule type="cellIs" dxfId="2" priority="5652" operator="lessThan">
      <formula>20</formula>
    </cfRule>
    <cfRule type="cellIs" dxfId="1" priority="3037" operator="greaterThan">
      <formula>120</formula>
    </cfRule>
    <cfRule type="containsText" dxfId="0" priority="422" operator="between" text="库存为">
      <formula>NOT(ISERROR(SEARCH("库存为",AU2199)))</formula>
    </cfRule>
  </conditionalFormatting>
  <conditionalFormatting sqref="AU2200">
    <cfRule type="cellIs" dxfId="2" priority="5651" operator="lessThan">
      <formula>20</formula>
    </cfRule>
    <cfRule type="cellIs" dxfId="1" priority="3036" operator="greaterThan">
      <formula>120</formula>
    </cfRule>
    <cfRule type="containsText" dxfId="0" priority="421" operator="between" text="库存为">
      <formula>NOT(ISERROR(SEARCH("库存为",AU2200)))</formula>
    </cfRule>
  </conditionalFormatting>
  <conditionalFormatting sqref="AU2201">
    <cfRule type="cellIs" dxfId="2" priority="5650" operator="lessThan">
      <formula>20</formula>
    </cfRule>
    <cfRule type="cellIs" dxfId="1" priority="3035" operator="greaterThan">
      <formula>120</formula>
    </cfRule>
    <cfRule type="containsText" dxfId="0" priority="420" operator="between" text="库存为">
      <formula>NOT(ISERROR(SEARCH("库存为",AU2201)))</formula>
    </cfRule>
  </conditionalFormatting>
  <conditionalFormatting sqref="AU2202">
    <cfRule type="cellIs" dxfId="2" priority="5649" operator="lessThan">
      <formula>20</formula>
    </cfRule>
    <cfRule type="cellIs" dxfId="1" priority="3034" operator="greaterThan">
      <formula>120</formula>
    </cfRule>
    <cfRule type="containsText" dxfId="0" priority="419" operator="between" text="库存为">
      <formula>NOT(ISERROR(SEARCH("库存为",AU2202)))</formula>
    </cfRule>
  </conditionalFormatting>
  <conditionalFormatting sqref="AU2203">
    <cfRule type="cellIs" dxfId="2" priority="5648" operator="lessThan">
      <formula>20</formula>
    </cfRule>
    <cfRule type="cellIs" dxfId="1" priority="3033" operator="greaterThan">
      <formula>120</formula>
    </cfRule>
    <cfRule type="containsText" dxfId="0" priority="418" operator="between" text="库存为">
      <formula>NOT(ISERROR(SEARCH("库存为",AU2203)))</formula>
    </cfRule>
  </conditionalFormatting>
  <conditionalFormatting sqref="AU2204">
    <cfRule type="cellIs" dxfId="2" priority="5647" operator="lessThan">
      <formula>20</formula>
    </cfRule>
    <cfRule type="cellIs" dxfId="1" priority="3032" operator="greaterThan">
      <formula>120</formula>
    </cfRule>
    <cfRule type="containsText" dxfId="0" priority="417" operator="between" text="库存为">
      <formula>NOT(ISERROR(SEARCH("库存为",AU2204)))</formula>
    </cfRule>
  </conditionalFormatting>
  <conditionalFormatting sqref="AU2205">
    <cfRule type="cellIs" dxfId="2" priority="5646" operator="lessThan">
      <formula>20</formula>
    </cfRule>
    <cfRule type="cellIs" dxfId="1" priority="3031" operator="greaterThan">
      <formula>120</formula>
    </cfRule>
    <cfRule type="containsText" dxfId="0" priority="416" operator="between" text="库存为">
      <formula>NOT(ISERROR(SEARCH("库存为",AU2205)))</formula>
    </cfRule>
  </conditionalFormatting>
  <conditionalFormatting sqref="AU2206">
    <cfRule type="cellIs" dxfId="2" priority="5645" operator="lessThan">
      <formula>20</formula>
    </cfRule>
    <cfRule type="cellIs" dxfId="1" priority="3030" operator="greaterThan">
      <formula>120</formula>
    </cfRule>
    <cfRule type="containsText" dxfId="0" priority="415" operator="between" text="库存为">
      <formula>NOT(ISERROR(SEARCH("库存为",AU2206)))</formula>
    </cfRule>
  </conditionalFormatting>
  <conditionalFormatting sqref="AU2207">
    <cfRule type="cellIs" dxfId="2" priority="5644" operator="lessThan">
      <formula>20</formula>
    </cfRule>
    <cfRule type="cellIs" dxfId="1" priority="3029" operator="greaterThan">
      <formula>120</formula>
    </cfRule>
    <cfRule type="containsText" dxfId="0" priority="414" operator="between" text="库存为">
      <formula>NOT(ISERROR(SEARCH("库存为",AU2207)))</formula>
    </cfRule>
  </conditionalFormatting>
  <conditionalFormatting sqref="AU2208">
    <cfRule type="cellIs" dxfId="2" priority="5643" operator="lessThan">
      <formula>20</formula>
    </cfRule>
    <cfRule type="cellIs" dxfId="1" priority="3028" operator="greaterThan">
      <formula>120</formula>
    </cfRule>
    <cfRule type="containsText" dxfId="0" priority="413" operator="between" text="库存为">
      <formula>NOT(ISERROR(SEARCH("库存为",AU2208)))</formula>
    </cfRule>
  </conditionalFormatting>
  <conditionalFormatting sqref="AU2209">
    <cfRule type="cellIs" dxfId="2" priority="5642" operator="lessThan">
      <formula>20</formula>
    </cfRule>
    <cfRule type="cellIs" dxfId="1" priority="3027" operator="greaterThan">
      <formula>120</formula>
    </cfRule>
    <cfRule type="containsText" dxfId="0" priority="412" operator="between" text="库存为">
      <formula>NOT(ISERROR(SEARCH("库存为",AU2209)))</formula>
    </cfRule>
  </conditionalFormatting>
  <conditionalFormatting sqref="AU2210">
    <cfRule type="cellIs" dxfId="2" priority="5641" operator="lessThan">
      <formula>20</formula>
    </cfRule>
    <cfRule type="cellIs" dxfId="1" priority="3026" operator="greaterThan">
      <formula>120</formula>
    </cfRule>
    <cfRule type="containsText" dxfId="0" priority="411" operator="between" text="库存为">
      <formula>NOT(ISERROR(SEARCH("库存为",AU2210)))</formula>
    </cfRule>
  </conditionalFormatting>
  <conditionalFormatting sqref="AU2211">
    <cfRule type="cellIs" dxfId="2" priority="5640" operator="lessThan">
      <formula>20</formula>
    </cfRule>
    <cfRule type="cellIs" dxfId="1" priority="3025" operator="greaterThan">
      <formula>120</formula>
    </cfRule>
    <cfRule type="containsText" dxfId="0" priority="410" operator="between" text="库存为">
      <formula>NOT(ISERROR(SEARCH("库存为",AU2211)))</formula>
    </cfRule>
  </conditionalFormatting>
  <conditionalFormatting sqref="AU2212">
    <cfRule type="cellIs" dxfId="2" priority="5639" operator="lessThan">
      <formula>20</formula>
    </cfRule>
    <cfRule type="cellIs" dxfId="1" priority="3024" operator="greaterThan">
      <formula>120</formula>
    </cfRule>
    <cfRule type="containsText" dxfId="0" priority="409" operator="between" text="库存为">
      <formula>NOT(ISERROR(SEARCH("库存为",AU2212)))</formula>
    </cfRule>
  </conditionalFormatting>
  <conditionalFormatting sqref="AU2213">
    <cfRule type="cellIs" dxfId="2" priority="5638" operator="lessThan">
      <formula>20</formula>
    </cfRule>
    <cfRule type="cellIs" dxfId="1" priority="3023" operator="greaterThan">
      <formula>120</formula>
    </cfRule>
    <cfRule type="containsText" dxfId="0" priority="408" operator="between" text="库存为">
      <formula>NOT(ISERROR(SEARCH("库存为",AU2213)))</formula>
    </cfRule>
  </conditionalFormatting>
  <conditionalFormatting sqref="AU2214">
    <cfRule type="cellIs" dxfId="2" priority="5637" operator="lessThan">
      <formula>20</formula>
    </cfRule>
    <cfRule type="cellIs" dxfId="1" priority="3022" operator="greaterThan">
      <formula>120</formula>
    </cfRule>
    <cfRule type="containsText" dxfId="0" priority="407" operator="between" text="库存为">
      <formula>NOT(ISERROR(SEARCH("库存为",AU2214)))</formula>
    </cfRule>
  </conditionalFormatting>
  <conditionalFormatting sqref="AU2215">
    <cfRule type="cellIs" dxfId="2" priority="5636" operator="lessThan">
      <formula>20</formula>
    </cfRule>
    <cfRule type="cellIs" dxfId="1" priority="3021" operator="greaterThan">
      <formula>120</formula>
    </cfRule>
    <cfRule type="containsText" dxfId="0" priority="406" operator="between" text="库存为">
      <formula>NOT(ISERROR(SEARCH("库存为",AU2215)))</formula>
    </cfRule>
  </conditionalFormatting>
  <conditionalFormatting sqref="AU2216">
    <cfRule type="cellIs" dxfId="2" priority="5635" operator="lessThan">
      <formula>20</formula>
    </cfRule>
    <cfRule type="cellIs" dxfId="1" priority="3020" operator="greaterThan">
      <formula>120</formula>
    </cfRule>
    <cfRule type="containsText" dxfId="0" priority="405" operator="between" text="库存为">
      <formula>NOT(ISERROR(SEARCH("库存为",AU2216)))</formula>
    </cfRule>
  </conditionalFormatting>
  <conditionalFormatting sqref="AU2217">
    <cfRule type="cellIs" dxfId="2" priority="5634" operator="lessThan">
      <formula>20</formula>
    </cfRule>
    <cfRule type="cellIs" dxfId="1" priority="3019" operator="greaterThan">
      <formula>120</formula>
    </cfRule>
    <cfRule type="containsText" dxfId="0" priority="404" operator="between" text="库存为">
      <formula>NOT(ISERROR(SEARCH("库存为",AU2217)))</formula>
    </cfRule>
  </conditionalFormatting>
  <conditionalFormatting sqref="AU2218">
    <cfRule type="cellIs" dxfId="2" priority="5633" operator="lessThan">
      <formula>20</formula>
    </cfRule>
    <cfRule type="cellIs" dxfId="1" priority="3018" operator="greaterThan">
      <formula>120</formula>
    </cfRule>
    <cfRule type="containsText" dxfId="0" priority="403" operator="between" text="库存为">
      <formula>NOT(ISERROR(SEARCH("库存为",AU2218)))</formula>
    </cfRule>
  </conditionalFormatting>
  <conditionalFormatting sqref="AU2219">
    <cfRule type="cellIs" dxfId="2" priority="5632" operator="lessThan">
      <formula>20</formula>
    </cfRule>
    <cfRule type="cellIs" dxfId="1" priority="3017" operator="greaterThan">
      <formula>120</formula>
    </cfRule>
    <cfRule type="containsText" dxfId="0" priority="402" operator="between" text="库存为">
      <formula>NOT(ISERROR(SEARCH("库存为",AU2219)))</formula>
    </cfRule>
  </conditionalFormatting>
  <conditionalFormatting sqref="AU2220">
    <cfRule type="cellIs" dxfId="2" priority="5631" operator="lessThan">
      <formula>20</formula>
    </cfRule>
    <cfRule type="cellIs" dxfId="1" priority="3016" operator="greaterThan">
      <formula>120</formula>
    </cfRule>
    <cfRule type="containsText" dxfId="0" priority="401" operator="between" text="库存为">
      <formula>NOT(ISERROR(SEARCH("库存为",AU2220)))</formula>
    </cfRule>
  </conditionalFormatting>
  <conditionalFormatting sqref="AU2221">
    <cfRule type="cellIs" dxfId="2" priority="5630" operator="lessThan">
      <formula>20</formula>
    </cfRule>
    <cfRule type="cellIs" dxfId="1" priority="3015" operator="greaterThan">
      <formula>120</formula>
    </cfRule>
    <cfRule type="containsText" dxfId="0" priority="400" operator="between" text="库存为">
      <formula>NOT(ISERROR(SEARCH("库存为",AU2221)))</formula>
    </cfRule>
  </conditionalFormatting>
  <conditionalFormatting sqref="AU2222">
    <cfRule type="cellIs" dxfId="2" priority="5629" operator="lessThan">
      <formula>20</formula>
    </cfRule>
    <cfRule type="cellIs" dxfId="1" priority="3014" operator="greaterThan">
      <formula>120</formula>
    </cfRule>
    <cfRule type="containsText" dxfId="0" priority="399" operator="between" text="库存为">
      <formula>NOT(ISERROR(SEARCH("库存为",AU2222)))</formula>
    </cfRule>
  </conditionalFormatting>
  <conditionalFormatting sqref="AU2223">
    <cfRule type="cellIs" dxfId="2" priority="5628" operator="lessThan">
      <formula>20</formula>
    </cfRule>
    <cfRule type="cellIs" dxfId="1" priority="3013" operator="greaterThan">
      <formula>120</formula>
    </cfRule>
    <cfRule type="containsText" dxfId="0" priority="398" operator="between" text="库存为">
      <formula>NOT(ISERROR(SEARCH("库存为",AU2223)))</formula>
    </cfRule>
  </conditionalFormatting>
  <conditionalFormatting sqref="AU2224">
    <cfRule type="cellIs" dxfId="2" priority="5627" operator="lessThan">
      <formula>20</formula>
    </cfRule>
    <cfRule type="cellIs" dxfId="1" priority="3012" operator="greaterThan">
      <formula>120</formula>
    </cfRule>
    <cfRule type="containsText" dxfId="0" priority="397" operator="between" text="库存为">
      <formula>NOT(ISERROR(SEARCH("库存为",AU2224)))</formula>
    </cfRule>
  </conditionalFormatting>
  <conditionalFormatting sqref="AU2225">
    <cfRule type="cellIs" dxfId="2" priority="5626" operator="lessThan">
      <formula>20</formula>
    </cfRule>
    <cfRule type="cellIs" dxfId="1" priority="3011" operator="greaterThan">
      <formula>120</formula>
    </cfRule>
    <cfRule type="containsText" dxfId="0" priority="396" operator="between" text="库存为">
      <formula>NOT(ISERROR(SEARCH("库存为",AU2225)))</formula>
    </cfRule>
  </conditionalFormatting>
  <conditionalFormatting sqref="AU2226">
    <cfRule type="cellIs" dxfId="2" priority="5625" operator="lessThan">
      <formula>20</formula>
    </cfRule>
    <cfRule type="cellIs" dxfId="1" priority="3010" operator="greaterThan">
      <formula>120</formula>
    </cfRule>
    <cfRule type="containsText" dxfId="0" priority="395" operator="between" text="库存为">
      <formula>NOT(ISERROR(SEARCH("库存为",AU2226)))</formula>
    </cfRule>
  </conditionalFormatting>
  <conditionalFormatting sqref="AU2227">
    <cfRule type="cellIs" dxfId="2" priority="5624" operator="lessThan">
      <formula>20</formula>
    </cfRule>
    <cfRule type="cellIs" dxfId="1" priority="3009" operator="greaterThan">
      <formula>120</formula>
    </cfRule>
    <cfRule type="containsText" dxfId="0" priority="394" operator="between" text="库存为">
      <formula>NOT(ISERROR(SEARCH("库存为",AU2227)))</formula>
    </cfRule>
  </conditionalFormatting>
  <conditionalFormatting sqref="AU2228">
    <cfRule type="cellIs" dxfId="2" priority="5623" operator="lessThan">
      <formula>20</formula>
    </cfRule>
    <cfRule type="cellIs" dxfId="1" priority="3008" operator="greaterThan">
      <formula>120</formula>
    </cfRule>
    <cfRule type="containsText" dxfId="0" priority="393" operator="between" text="库存为">
      <formula>NOT(ISERROR(SEARCH("库存为",AU2228)))</formula>
    </cfRule>
  </conditionalFormatting>
  <conditionalFormatting sqref="AU2229">
    <cfRule type="cellIs" dxfId="2" priority="5622" operator="lessThan">
      <formula>20</formula>
    </cfRule>
    <cfRule type="cellIs" dxfId="1" priority="3007" operator="greaterThan">
      <formula>120</formula>
    </cfRule>
    <cfRule type="containsText" dxfId="0" priority="392" operator="between" text="库存为">
      <formula>NOT(ISERROR(SEARCH("库存为",AU2229)))</formula>
    </cfRule>
  </conditionalFormatting>
  <conditionalFormatting sqref="AU2230">
    <cfRule type="cellIs" dxfId="2" priority="5621" operator="lessThan">
      <formula>20</formula>
    </cfRule>
    <cfRule type="cellIs" dxfId="1" priority="3006" operator="greaterThan">
      <formula>120</formula>
    </cfRule>
    <cfRule type="containsText" dxfId="0" priority="391" operator="between" text="库存为">
      <formula>NOT(ISERROR(SEARCH("库存为",AU2230)))</formula>
    </cfRule>
  </conditionalFormatting>
  <conditionalFormatting sqref="AU2231">
    <cfRule type="cellIs" dxfId="2" priority="5620" operator="lessThan">
      <formula>20</formula>
    </cfRule>
    <cfRule type="cellIs" dxfId="1" priority="3005" operator="greaterThan">
      <formula>120</formula>
    </cfRule>
    <cfRule type="containsText" dxfId="0" priority="390" operator="between" text="库存为">
      <formula>NOT(ISERROR(SEARCH("库存为",AU2231)))</formula>
    </cfRule>
  </conditionalFormatting>
  <conditionalFormatting sqref="AU2232">
    <cfRule type="cellIs" dxfId="2" priority="5619" operator="lessThan">
      <formula>20</formula>
    </cfRule>
    <cfRule type="cellIs" dxfId="1" priority="3004" operator="greaterThan">
      <formula>120</formula>
    </cfRule>
    <cfRule type="containsText" dxfId="0" priority="389" operator="between" text="库存为">
      <formula>NOT(ISERROR(SEARCH("库存为",AU2232)))</formula>
    </cfRule>
  </conditionalFormatting>
  <conditionalFormatting sqref="AU2233">
    <cfRule type="cellIs" dxfId="2" priority="5618" operator="lessThan">
      <formula>20</formula>
    </cfRule>
    <cfRule type="cellIs" dxfId="1" priority="3003" operator="greaterThan">
      <formula>120</formula>
    </cfRule>
    <cfRule type="containsText" dxfId="0" priority="388" operator="between" text="库存为">
      <formula>NOT(ISERROR(SEARCH("库存为",AU2233)))</formula>
    </cfRule>
  </conditionalFormatting>
  <conditionalFormatting sqref="AU2234">
    <cfRule type="cellIs" dxfId="2" priority="5617" operator="lessThan">
      <formula>20</formula>
    </cfRule>
    <cfRule type="cellIs" dxfId="1" priority="3002" operator="greaterThan">
      <formula>120</formula>
    </cfRule>
    <cfRule type="containsText" dxfId="0" priority="387" operator="between" text="库存为">
      <formula>NOT(ISERROR(SEARCH("库存为",AU2234)))</formula>
    </cfRule>
  </conditionalFormatting>
  <conditionalFormatting sqref="AU2235">
    <cfRule type="cellIs" dxfId="2" priority="5616" operator="lessThan">
      <formula>20</formula>
    </cfRule>
    <cfRule type="cellIs" dxfId="1" priority="3001" operator="greaterThan">
      <formula>120</formula>
    </cfRule>
    <cfRule type="containsText" dxfId="0" priority="386" operator="between" text="库存为">
      <formula>NOT(ISERROR(SEARCH("库存为",AU2235)))</formula>
    </cfRule>
  </conditionalFormatting>
  <conditionalFormatting sqref="AU2236">
    <cfRule type="cellIs" dxfId="2" priority="5615" operator="lessThan">
      <formula>20</formula>
    </cfRule>
    <cfRule type="cellIs" dxfId="1" priority="3000" operator="greaterThan">
      <formula>120</formula>
    </cfRule>
    <cfRule type="containsText" dxfId="0" priority="385" operator="between" text="库存为">
      <formula>NOT(ISERROR(SEARCH("库存为",AU2236)))</formula>
    </cfRule>
  </conditionalFormatting>
  <conditionalFormatting sqref="AU2237">
    <cfRule type="cellIs" dxfId="2" priority="5614" operator="lessThan">
      <formula>20</formula>
    </cfRule>
    <cfRule type="cellIs" dxfId="1" priority="2999" operator="greaterThan">
      <formula>120</formula>
    </cfRule>
    <cfRule type="containsText" dxfId="0" priority="384" operator="between" text="库存为">
      <formula>NOT(ISERROR(SEARCH("库存为",AU2237)))</formula>
    </cfRule>
  </conditionalFormatting>
  <conditionalFormatting sqref="AU2238">
    <cfRule type="cellIs" dxfId="2" priority="5613" operator="lessThan">
      <formula>20</formula>
    </cfRule>
    <cfRule type="cellIs" dxfId="1" priority="2998" operator="greaterThan">
      <formula>120</formula>
    </cfRule>
    <cfRule type="containsText" dxfId="0" priority="383" operator="between" text="库存为">
      <formula>NOT(ISERROR(SEARCH("库存为",AU2238)))</formula>
    </cfRule>
  </conditionalFormatting>
  <conditionalFormatting sqref="AU2239">
    <cfRule type="cellIs" dxfId="2" priority="5612" operator="lessThan">
      <formula>20</formula>
    </cfRule>
    <cfRule type="cellIs" dxfId="1" priority="2997" operator="greaterThan">
      <formula>120</formula>
    </cfRule>
    <cfRule type="containsText" dxfId="0" priority="382" operator="between" text="库存为">
      <formula>NOT(ISERROR(SEARCH("库存为",AU2239)))</formula>
    </cfRule>
  </conditionalFormatting>
  <conditionalFormatting sqref="AU2240">
    <cfRule type="cellIs" dxfId="2" priority="5611" operator="lessThan">
      <formula>20</formula>
    </cfRule>
    <cfRule type="cellIs" dxfId="1" priority="2996" operator="greaterThan">
      <formula>120</formula>
    </cfRule>
    <cfRule type="containsText" dxfId="0" priority="381" operator="between" text="库存为">
      <formula>NOT(ISERROR(SEARCH("库存为",AU2240)))</formula>
    </cfRule>
  </conditionalFormatting>
  <conditionalFormatting sqref="AU2241">
    <cfRule type="cellIs" dxfId="2" priority="5610" operator="lessThan">
      <formula>20</formula>
    </cfRule>
    <cfRule type="cellIs" dxfId="1" priority="2995" operator="greaterThan">
      <formula>120</formula>
    </cfRule>
    <cfRule type="containsText" dxfId="0" priority="380" operator="between" text="库存为">
      <formula>NOT(ISERROR(SEARCH("库存为",AU2241)))</formula>
    </cfRule>
  </conditionalFormatting>
  <conditionalFormatting sqref="AU2242">
    <cfRule type="cellIs" dxfId="2" priority="5609" operator="lessThan">
      <formula>20</formula>
    </cfRule>
    <cfRule type="cellIs" dxfId="1" priority="2994" operator="greaterThan">
      <formula>120</formula>
    </cfRule>
    <cfRule type="containsText" dxfId="0" priority="379" operator="between" text="库存为">
      <formula>NOT(ISERROR(SEARCH("库存为",AU2242)))</formula>
    </cfRule>
  </conditionalFormatting>
  <conditionalFormatting sqref="AU2243">
    <cfRule type="cellIs" dxfId="2" priority="5608" operator="lessThan">
      <formula>20</formula>
    </cfRule>
    <cfRule type="cellIs" dxfId="1" priority="2993" operator="greaterThan">
      <formula>120</formula>
    </cfRule>
    <cfRule type="containsText" dxfId="0" priority="378" operator="between" text="库存为">
      <formula>NOT(ISERROR(SEARCH("库存为",AU2243)))</formula>
    </cfRule>
  </conditionalFormatting>
  <conditionalFormatting sqref="AU2244">
    <cfRule type="cellIs" dxfId="2" priority="5607" operator="lessThan">
      <formula>20</formula>
    </cfRule>
    <cfRule type="cellIs" dxfId="1" priority="2992" operator="greaterThan">
      <formula>120</formula>
    </cfRule>
    <cfRule type="containsText" dxfId="0" priority="377" operator="between" text="库存为">
      <formula>NOT(ISERROR(SEARCH("库存为",AU2244)))</formula>
    </cfRule>
  </conditionalFormatting>
  <conditionalFormatting sqref="AU2245">
    <cfRule type="cellIs" dxfId="2" priority="5606" operator="lessThan">
      <formula>20</formula>
    </cfRule>
    <cfRule type="cellIs" dxfId="1" priority="2991" operator="greaterThan">
      <formula>120</formula>
    </cfRule>
    <cfRule type="containsText" dxfId="0" priority="376" operator="between" text="库存为">
      <formula>NOT(ISERROR(SEARCH("库存为",AU2245)))</formula>
    </cfRule>
  </conditionalFormatting>
  <conditionalFormatting sqref="AU2246">
    <cfRule type="cellIs" dxfId="2" priority="5605" operator="lessThan">
      <formula>20</formula>
    </cfRule>
    <cfRule type="cellIs" dxfId="1" priority="2990" operator="greaterThan">
      <formula>120</formula>
    </cfRule>
    <cfRule type="containsText" dxfId="0" priority="375" operator="between" text="库存为">
      <formula>NOT(ISERROR(SEARCH("库存为",AU2246)))</formula>
    </cfRule>
  </conditionalFormatting>
  <conditionalFormatting sqref="AU2247">
    <cfRule type="cellIs" dxfId="2" priority="5604" operator="lessThan">
      <formula>20</formula>
    </cfRule>
    <cfRule type="cellIs" dxfId="1" priority="2989" operator="greaterThan">
      <formula>120</formula>
    </cfRule>
    <cfRule type="containsText" dxfId="0" priority="374" operator="between" text="库存为">
      <formula>NOT(ISERROR(SEARCH("库存为",AU2247)))</formula>
    </cfRule>
  </conditionalFormatting>
  <conditionalFormatting sqref="AU2248">
    <cfRule type="cellIs" dxfId="2" priority="5603" operator="lessThan">
      <formula>20</formula>
    </cfRule>
    <cfRule type="cellIs" dxfId="1" priority="2988" operator="greaterThan">
      <formula>120</formula>
    </cfRule>
    <cfRule type="containsText" dxfId="0" priority="373" operator="between" text="库存为">
      <formula>NOT(ISERROR(SEARCH("库存为",AU2248)))</formula>
    </cfRule>
  </conditionalFormatting>
  <conditionalFormatting sqref="AU2249">
    <cfRule type="cellIs" dxfId="2" priority="5602" operator="lessThan">
      <formula>20</formula>
    </cfRule>
    <cfRule type="cellIs" dxfId="1" priority="2987" operator="greaterThan">
      <formula>120</formula>
    </cfRule>
    <cfRule type="containsText" dxfId="0" priority="372" operator="between" text="库存为">
      <formula>NOT(ISERROR(SEARCH("库存为",AU2249)))</formula>
    </cfRule>
  </conditionalFormatting>
  <conditionalFormatting sqref="AU2250">
    <cfRule type="cellIs" dxfId="2" priority="5601" operator="lessThan">
      <formula>20</formula>
    </cfRule>
    <cfRule type="cellIs" dxfId="1" priority="2986" operator="greaterThan">
      <formula>120</formula>
    </cfRule>
    <cfRule type="containsText" dxfId="0" priority="371" operator="between" text="库存为">
      <formula>NOT(ISERROR(SEARCH("库存为",AU2250)))</formula>
    </cfRule>
  </conditionalFormatting>
  <conditionalFormatting sqref="AU2251">
    <cfRule type="cellIs" dxfId="2" priority="5600" operator="lessThan">
      <formula>20</formula>
    </cfRule>
    <cfRule type="cellIs" dxfId="1" priority="2985" operator="greaterThan">
      <formula>120</formula>
    </cfRule>
    <cfRule type="containsText" dxfId="0" priority="370" operator="between" text="库存为">
      <formula>NOT(ISERROR(SEARCH("库存为",AU2251)))</formula>
    </cfRule>
  </conditionalFormatting>
  <conditionalFormatting sqref="AU2252">
    <cfRule type="cellIs" dxfId="2" priority="5599" operator="lessThan">
      <formula>20</formula>
    </cfRule>
    <cfRule type="cellIs" dxfId="1" priority="2984" operator="greaterThan">
      <formula>120</formula>
    </cfRule>
    <cfRule type="containsText" dxfId="0" priority="369" operator="between" text="库存为">
      <formula>NOT(ISERROR(SEARCH("库存为",AU2252)))</formula>
    </cfRule>
  </conditionalFormatting>
  <conditionalFormatting sqref="AU2253">
    <cfRule type="cellIs" dxfId="2" priority="5598" operator="lessThan">
      <formula>20</formula>
    </cfRule>
    <cfRule type="cellIs" dxfId="1" priority="2983" operator="greaterThan">
      <formula>120</formula>
    </cfRule>
    <cfRule type="containsText" dxfId="0" priority="368" operator="between" text="库存为">
      <formula>NOT(ISERROR(SEARCH("库存为",AU2253)))</formula>
    </cfRule>
  </conditionalFormatting>
  <conditionalFormatting sqref="AU2254">
    <cfRule type="cellIs" dxfId="2" priority="5597" operator="lessThan">
      <formula>20</formula>
    </cfRule>
    <cfRule type="cellIs" dxfId="1" priority="2982" operator="greaterThan">
      <formula>120</formula>
    </cfRule>
    <cfRule type="containsText" dxfId="0" priority="367" operator="between" text="库存为">
      <formula>NOT(ISERROR(SEARCH("库存为",AU2254)))</formula>
    </cfRule>
  </conditionalFormatting>
  <conditionalFormatting sqref="AU2255">
    <cfRule type="cellIs" dxfId="2" priority="5596" operator="lessThan">
      <formula>20</formula>
    </cfRule>
    <cfRule type="cellIs" dxfId="1" priority="2981" operator="greaterThan">
      <formula>120</formula>
    </cfRule>
    <cfRule type="containsText" dxfId="0" priority="366" operator="between" text="库存为">
      <formula>NOT(ISERROR(SEARCH("库存为",AU2255)))</formula>
    </cfRule>
  </conditionalFormatting>
  <conditionalFormatting sqref="AU2256">
    <cfRule type="cellIs" dxfId="2" priority="5595" operator="lessThan">
      <formula>20</formula>
    </cfRule>
    <cfRule type="cellIs" dxfId="1" priority="2980" operator="greaterThan">
      <formula>120</formula>
    </cfRule>
    <cfRule type="containsText" dxfId="0" priority="365" operator="between" text="库存为">
      <formula>NOT(ISERROR(SEARCH("库存为",AU2256)))</formula>
    </cfRule>
  </conditionalFormatting>
  <conditionalFormatting sqref="AU2257">
    <cfRule type="cellIs" dxfId="2" priority="5594" operator="lessThan">
      <formula>20</formula>
    </cfRule>
    <cfRule type="cellIs" dxfId="1" priority="2979" operator="greaterThan">
      <formula>120</formula>
    </cfRule>
    <cfRule type="containsText" dxfId="0" priority="364" operator="between" text="库存为">
      <formula>NOT(ISERROR(SEARCH("库存为",AU2257)))</formula>
    </cfRule>
  </conditionalFormatting>
  <conditionalFormatting sqref="AU2258">
    <cfRule type="cellIs" dxfId="2" priority="5593" operator="lessThan">
      <formula>20</formula>
    </cfRule>
    <cfRule type="cellIs" dxfId="1" priority="2978" operator="greaterThan">
      <formula>120</formula>
    </cfRule>
    <cfRule type="containsText" dxfId="0" priority="363" operator="between" text="库存为">
      <formula>NOT(ISERROR(SEARCH("库存为",AU2258)))</formula>
    </cfRule>
  </conditionalFormatting>
  <conditionalFormatting sqref="AU2259">
    <cfRule type="cellIs" dxfId="2" priority="5592" operator="lessThan">
      <formula>20</formula>
    </cfRule>
    <cfRule type="cellIs" dxfId="1" priority="2977" operator="greaterThan">
      <formula>120</formula>
    </cfRule>
    <cfRule type="containsText" dxfId="0" priority="362" operator="between" text="库存为">
      <formula>NOT(ISERROR(SEARCH("库存为",AU2259)))</formula>
    </cfRule>
  </conditionalFormatting>
  <conditionalFormatting sqref="AU2260">
    <cfRule type="cellIs" dxfId="2" priority="5591" operator="lessThan">
      <formula>20</formula>
    </cfRule>
    <cfRule type="cellIs" dxfId="1" priority="2976" operator="greaterThan">
      <formula>120</formula>
    </cfRule>
    <cfRule type="containsText" dxfId="0" priority="361" operator="between" text="库存为">
      <formula>NOT(ISERROR(SEARCH("库存为",AU2260)))</formula>
    </cfRule>
  </conditionalFormatting>
  <conditionalFormatting sqref="AU2261">
    <cfRule type="cellIs" dxfId="2" priority="5590" operator="lessThan">
      <formula>20</formula>
    </cfRule>
    <cfRule type="cellIs" dxfId="1" priority="2975" operator="greaterThan">
      <formula>120</formula>
    </cfRule>
    <cfRule type="containsText" dxfId="0" priority="360" operator="between" text="库存为">
      <formula>NOT(ISERROR(SEARCH("库存为",AU2261)))</formula>
    </cfRule>
  </conditionalFormatting>
  <conditionalFormatting sqref="AU2262">
    <cfRule type="cellIs" dxfId="2" priority="5589" operator="lessThan">
      <formula>20</formula>
    </cfRule>
    <cfRule type="cellIs" dxfId="1" priority="2974" operator="greaterThan">
      <formula>120</formula>
    </cfRule>
    <cfRule type="containsText" dxfId="0" priority="359" operator="between" text="库存为">
      <formula>NOT(ISERROR(SEARCH("库存为",AU2262)))</formula>
    </cfRule>
  </conditionalFormatting>
  <conditionalFormatting sqref="AU2263">
    <cfRule type="cellIs" dxfId="2" priority="5588" operator="lessThan">
      <formula>20</formula>
    </cfRule>
    <cfRule type="cellIs" dxfId="1" priority="2973" operator="greaterThan">
      <formula>120</formula>
    </cfRule>
    <cfRule type="containsText" dxfId="0" priority="358" operator="between" text="库存为">
      <formula>NOT(ISERROR(SEARCH("库存为",AU2263)))</formula>
    </cfRule>
  </conditionalFormatting>
  <conditionalFormatting sqref="AU2264">
    <cfRule type="cellIs" dxfId="2" priority="5587" operator="lessThan">
      <formula>20</formula>
    </cfRule>
    <cfRule type="cellIs" dxfId="1" priority="2972" operator="greaterThan">
      <formula>120</formula>
    </cfRule>
    <cfRule type="containsText" dxfId="0" priority="357" operator="between" text="库存为">
      <formula>NOT(ISERROR(SEARCH("库存为",AU2264)))</formula>
    </cfRule>
  </conditionalFormatting>
  <conditionalFormatting sqref="AU2265">
    <cfRule type="cellIs" dxfId="2" priority="5586" operator="lessThan">
      <formula>20</formula>
    </cfRule>
    <cfRule type="cellIs" dxfId="1" priority="2971" operator="greaterThan">
      <formula>120</formula>
    </cfRule>
    <cfRule type="containsText" dxfId="0" priority="356" operator="between" text="库存为">
      <formula>NOT(ISERROR(SEARCH("库存为",AU2265)))</formula>
    </cfRule>
  </conditionalFormatting>
  <conditionalFormatting sqref="AU2266">
    <cfRule type="cellIs" dxfId="2" priority="5585" operator="lessThan">
      <formula>20</formula>
    </cfRule>
    <cfRule type="cellIs" dxfId="1" priority="2970" operator="greaterThan">
      <formula>120</formula>
    </cfRule>
    <cfRule type="containsText" dxfId="0" priority="355" operator="between" text="库存为">
      <formula>NOT(ISERROR(SEARCH("库存为",AU2266)))</formula>
    </cfRule>
  </conditionalFormatting>
  <conditionalFormatting sqref="AU2267">
    <cfRule type="cellIs" dxfId="2" priority="5584" operator="lessThan">
      <formula>20</formula>
    </cfRule>
    <cfRule type="cellIs" dxfId="1" priority="2969" operator="greaterThan">
      <formula>120</formula>
    </cfRule>
    <cfRule type="containsText" dxfId="0" priority="354" operator="between" text="库存为">
      <formula>NOT(ISERROR(SEARCH("库存为",AU2267)))</formula>
    </cfRule>
  </conditionalFormatting>
  <conditionalFormatting sqref="AU2268">
    <cfRule type="cellIs" dxfId="2" priority="5583" operator="lessThan">
      <formula>20</formula>
    </cfRule>
    <cfRule type="cellIs" dxfId="1" priority="2968" operator="greaterThan">
      <formula>120</formula>
    </cfRule>
    <cfRule type="containsText" dxfId="0" priority="353" operator="between" text="库存为">
      <formula>NOT(ISERROR(SEARCH("库存为",AU2268)))</formula>
    </cfRule>
  </conditionalFormatting>
  <conditionalFormatting sqref="AU2269">
    <cfRule type="cellIs" dxfId="2" priority="5582" operator="lessThan">
      <formula>20</formula>
    </cfRule>
    <cfRule type="cellIs" dxfId="1" priority="2967" operator="greaterThan">
      <formula>120</formula>
    </cfRule>
    <cfRule type="containsText" dxfId="0" priority="352" operator="between" text="库存为">
      <formula>NOT(ISERROR(SEARCH("库存为",AU2269)))</formula>
    </cfRule>
  </conditionalFormatting>
  <conditionalFormatting sqref="AU2270">
    <cfRule type="cellIs" dxfId="2" priority="5581" operator="lessThan">
      <formula>20</formula>
    </cfRule>
    <cfRule type="cellIs" dxfId="1" priority="2966" operator="greaterThan">
      <formula>120</formula>
    </cfRule>
    <cfRule type="containsText" dxfId="0" priority="351" operator="between" text="库存为">
      <formula>NOT(ISERROR(SEARCH("库存为",AU2270)))</formula>
    </cfRule>
  </conditionalFormatting>
  <conditionalFormatting sqref="AU2271">
    <cfRule type="cellIs" dxfId="2" priority="5580" operator="lessThan">
      <formula>20</formula>
    </cfRule>
    <cfRule type="cellIs" dxfId="1" priority="2965" operator="greaterThan">
      <formula>120</formula>
    </cfRule>
    <cfRule type="containsText" dxfId="0" priority="350" operator="between" text="库存为">
      <formula>NOT(ISERROR(SEARCH("库存为",AU2271)))</formula>
    </cfRule>
  </conditionalFormatting>
  <conditionalFormatting sqref="AU2272">
    <cfRule type="cellIs" dxfId="2" priority="5579" operator="lessThan">
      <formula>20</formula>
    </cfRule>
    <cfRule type="cellIs" dxfId="1" priority="2964" operator="greaterThan">
      <formula>120</formula>
    </cfRule>
    <cfRule type="containsText" dxfId="0" priority="349" operator="between" text="库存为">
      <formula>NOT(ISERROR(SEARCH("库存为",AU2272)))</formula>
    </cfRule>
  </conditionalFormatting>
  <conditionalFormatting sqref="AU2273">
    <cfRule type="cellIs" dxfId="2" priority="5578" operator="lessThan">
      <formula>20</formula>
    </cfRule>
    <cfRule type="cellIs" dxfId="1" priority="2963" operator="greaterThan">
      <formula>120</formula>
    </cfRule>
    <cfRule type="containsText" dxfId="0" priority="348" operator="between" text="库存为">
      <formula>NOT(ISERROR(SEARCH("库存为",AU2273)))</formula>
    </cfRule>
  </conditionalFormatting>
  <conditionalFormatting sqref="AU2274">
    <cfRule type="cellIs" dxfId="2" priority="5577" operator="lessThan">
      <formula>20</formula>
    </cfRule>
    <cfRule type="cellIs" dxfId="1" priority="2962" operator="greaterThan">
      <formula>120</formula>
    </cfRule>
    <cfRule type="containsText" dxfId="0" priority="347" operator="between" text="库存为">
      <formula>NOT(ISERROR(SEARCH("库存为",AU2274)))</formula>
    </cfRule>
  </conditionalFormatting>
  <conditionalFormatting sqref="AU2275">
    <cfRule type="cellIs" dxfId="2" priority="5576" operator="lessThan">
      <formula>20</formula>
    </cfRule>
    <cfRule type="cellIs" dxfId="1" priority="2961" operator="greaterThan">
      <formula>120</formula>
    </cfRule>
    <cfRule type="containsText" dxfId="0" priority="346" operator="between" text="库存为">
      <formula>NOT(ISERROR(SEARCH("库存为",AU2275)))</formula>
    </cfRule>
  </conditionalFormatting>
  <conditionalFormatting sqref="AU2276">
    <cfRule type="cellIs" dxfId="2" priority="5575" operator="lessThan">
      <formula>20</formula>
    </cfRule>
    <cfRule type="cellIs" dxfId="1" priority="2960" operator="greaterThan">
      <formula>120</formula>
    </cfRule>
    <cfRule type="containsText" dxfId="0" priority="345" operator="between" text="库存为">
      <formula>NOT(ISERROR(SEARCH("库存为",AU2276)))</formula>
    </cfRule>
  </conditionalFormatting>
  <conditionalFormatting sqref="AU2277">
    <cfRule type="cellIs" dxfId="2" priority="5574" operator="lessThan">
      <formula>20</formula>
    </cfRule>
    <cfRule type="cellIs" dxfId="1" priority="2959" operator="greaterThan">
      <formula>120</formula>
    </cfRule>
    <cfRule type="containsText" dxfId="0" priority="344" operator="between" text="库存为">
      <formula>NOT(ISERROR(SEARCH("库存为",AU2277)))</formula>
    </cfRule>
  </conditionalFormatting>
  <conditionalFormatting sqref="AU2278">
    <cfRule type="cellIs" dxfId="2" priority="5573" operator="lessThan">
      <formula>20</formula>
    </cfRule>
    <cfRule type="cellIs" dxfId="1" priority="2958" operator="greaterThan">
      <formula>120</formula>
    </cfRule>
    <cfRule type="containsText" dxfId="0" priority="343" operator="between" text="库存为">
      <formula>NOT(ISERROR(SEARCH("库存为",AU2278)))</formula>
    </cfRule>
  </conditionalFormatting>
  <conditionalFormatting sqref="AU2279">
    <cfRule type="cellIs" dxfId="2" priority="5572" operator="lessThan">
      <formula>20</formula>
    </cfRule>
    <cfRule type="cellIs" dxfId="1" priority="2957" operator="greaterThan">
      <formula>120</formula>
    </cfRule>
    <cfRule type="containsText" dxfId="0" priority="342" operator="between" text="库存为">
      <formula>NOT(ISERROR(SEARCH("库存为",AU2279)))</formula>
    </cfRule>
  </conditionalFormatting>
  <conditionalFormatting sqref="AU2280">
    <cfRule type="cellIs" dxfId="2" priority="5571" operator="lessThan">
      <formula>20</formula>
    </cfRule>
    <cfRule type="cellIs" dxfId="1" priority="2956" operator="greaterThan">
      <formula>120</formula>
    </cfRule>
    <cfRule type="containsText" dxfId="0" priority="341" operator="between" text="库存为">
      <formula>NOT(ISERROR(SEARCH("库存为",AU2280)))</formula>
    </cfRule>
  </conditionalFormatting>
  <conditionalFormatting sqref="AU2281">
    <cfRule type="cellIs" dxfId="2" priority="5570" operator="lessThan">
      <formula>20</formula>
    </cfRule>
    <cfRule type="cellIs" dxfId="1" priority="2955" operator="greaterThan">
      <formula>120</formula>
    </cfRule>
    <cfRule type="containsText" dxfId="0" priority="340" operator="between" text="库存为">
      <formula>NOT(ISERROR(SEARCH("库存为",AU2281)))</formula>
    </cfRule>
  </conditionalFormatting>
  <conditionalFormatting sqref="AU2282">
    <cfRule type="cellIs" dxfId="2" priority="5569" operator="lessThan">
      <formula>20</formula>
    </cfRule>
    <cfRule type="cellIs" dxfId="1" priority="2954" operator="greaterThan">
      <formula>120</formula>
    </cfRule>
    <cfRule type="containsText" dxfId="0" priority="339" operator="between" text="库存为">
      <formula>NOT(ISERROR(SEARCH("库存为",AU2282)))</formula>
    </cfRule>
  </conditionalFormatting>
  <conditionalFormatting sqref="AU2283">
    <cfRule type="cellIs" dxfId="2" priority="5568" operator="lessThan">
      <formula>20</formula>
    </cfRule>
    <cfRule type="cellIs" dxfId="1" priority="2953" operator="greaterThan">
      <formula>120</formula>
    </cfRule>
    <cfRule type="containsText" dxfId="0" priority="338" operator="between" text="库存为">
      <formula>NOT(ISERROR(SEARCH("库存为",AU2283)))</formula>
    </cfRule>
  </conditionalFormatting>
  <conditionalFormatting sqref="AU2284">
    <cfRule type="cellIs" dxfId="2" priority="5567" operator="lessThan">
      <formula>20</formula>
    </cfRule>
    <cfRule type="cellIs" dxfId="1" priority="2952" operator="greaterThan">
      <formula>120</formula>
    </cfRule>
    <cfRule type="containsText" dxfId="0" priority="337" operator="between" text="库存为">
      <formula>NOT(ISERROR(SEARCH("库存为",AU2284)))</formula>
    </cfRule>
  </conditionalFormatting>
  <conditionalFormatting sqref="AU2285">
    <cfRule type="cellIs" dxfId="2" priority="5566" operator="lessThan">
      <formula>20</formula>
    </cfRule>
    <cfRule type="cellIs" dxfId="1" priority="2951" operator="greaterThan">
      <formula>120</formula>
    </cfRule>
    <cfRule type="containsText" dxfId="0" priority="336" operator="between" text="库存为">
      <formula>NOT(ISERROR(SEARCH("库存为",AU2285)))</formula>
    </cfRule>
  </conditionalFormatting>
  <conditionalFormatting sqref="AU2286">
    <cfRule type="cellIs" dxfId="2" priority="5565" operator="lessThan">
      <formula>20</formula>
    </cfRule>
    <cfRule type="cellIs" dxfId="1" priority="2950" operator="greaterThan">
      <formula>120</formula>
    </cfRule>
    <cfRule type="containsText" dxfId="0" priority="335" operator="between" text="库存为">
      <formula>NOT(ISERROR(SEARCH("库存为",AU2286)))</formula>
    </cfRule>
  </conditionalFormatting>
  <conditionalFormatting sqref="AU2287">
    <cfRule type="cellIs" dxfId="2" priority="5564" operator="lessThan">
      <formula>20</formula>
    </cfRule>
    <cfRule type="cellIs" dxfId="1" priority="2949" operator="greaterThan">
      <formula>120</formula>
    </cfRule>
    <cfRule type="containsText" dxfId="0" priority="334" operator="between" text="库存为">
      <formula>NOT(ISERROR(SEARCH("库存为",AU2287)))</formula>
    </cfRule>
  </conditionalFormatting>
  <conditionalFormatting sqref="AU2288">
    <cfRule type="cellIs" dxfId="2" priority="5563" operator="lessThan">
      <formula>20</formula>
    </cfRule>
    <cfRule type="cellIs" dxfId="1" priority="2948" operator="greaterThan">
      <formula>120</formula>
    </cfRule>
    <cfRule type="containsText" dxfId="0" priority="333" operator="between" text="库存为">
      <formula>NOT(ISERROR(SEARCH("库存为",AU2288)))</formula>
    </cfRule>
  </conditionalFormatting>
  <conditionalFormatting sqref="AU2289">
    <cfRule type="cellIs" dxfId="2" priority="5562" operator="lessThan">
      <formula>20</formula>
    </cfRule>
    <cfRule type="cellIs" dxfId="1" priority="2947" operator="greaterThan">
      <formula>120</formula>
    </cfRule>
    <cfRule type="containsText" dxfId="0" priority="332" operator="between" text="库存为">
      <formula>NOT(ISERROR(SEARCH("库存为",AU2289)))</formula>
    </cfRule>
  </conditionalFormatting>
  <conditionalFormatting sqref="AU2290">
    <cfRule type="cellIs" dxfId="2" priority="5561" operator="lessThan">
      <formula>20</formula>
    </cfRule>
    <cfRule type="cellIs" dxfId="1" priority="2946" operator="greaterThan">
      <formula>120</formula>
    </cfRule>
    <cfRule type="containsText" dxfId="0" priority="331" operator="between" text="库存为">
      <formula>NOT(ISERROR(SEARCH("库存为",AU2290)))</formula>
    </cfRule>
  </conditionalFormatting>
  <conditionalFormatting sqref="AU2291">
    <cfRule type="cellIs" dxfId="2" priority="5560" operator="lessThan">
      <formula>20</formula>
    </cfRule>
    <cfRule type="cellIs" dxfId="1" priority="2945" operator="greaterThan">
      <formula>120</formula>
    </cfRule>
    <cfRule type="containsText" dxfId="0" priority="330" operator="between" text="库存为">
      <formula>NOT(ISERROR(SEARCH("库存为",AU2291)))</formula>
    </cfRule>
  </conditionalFormatting>
  <conditionalFormatting sqref="AU2292">
    <cfRule type="cellIs" dxfId="2" priority="5559" operator="lessThan">
      <formula>20</formula>
    </cfRule>
    <cfRule type="cellIs" dxfId="1" priority="2944" operator="greaterThan">
      <formula>120</formula>
    </cfRule>
    <cfRule type="containsText" dxfId="0" priority="329" operator="between" text="库存为">
      <formula>NOT(ISERROR(SEARCH("库存为",AU2292)))</formula>
    </cfRule>
  </conditionalFormatting>
  <conditionalFormatting sqref="AU2293">
    <cfRule type="cellIs" dxfId="2" priority="5558" operator="lessThan">
      <formula>20</formula>
    </cfRule>
    <cfRule type="cellIs" dxfId="1" priority="2943" operator="greaterThan">
      <formula>120</formula>
    </cfRule>
    <cfRule type="containsText" dxfId="0" priority="328" operator="between" text="库存为">
      <formula>NOT(ISERROR(SEARCH("库存为",AU2293)))</formula>
    </cfRule>
  </conditionalFormatting>
  <conditionalFormatting sqref="AU2294">
    <cfRule type="cellIs" dxfId="2" priority="5557" operator="lessThan">
      <formula>20</formula>
    </cfRule>
    <cfRule type="cellIs" dxfId="1" priority="2942" operator="greaterThan">
      <formula>120</formula>
    </cfRule>
    <cfRule type="containsText" dxfId="0" priority="327" operator="between" text="库存为">
      <formula>NOT(ISERROR(SEARCH("库存为",AU2294)))</formula>
    </cfRule>
  </conditionalFormatting>
  <conditionalFormatting sqref="AU2295">
    <cfRule type="cellIs" dxfId="2" priority="5556" operator="lessThan">
      <formula>20</formula>
    </cfRule>
    <cfRule type="cellIs" dxfId="1" priority="2941" operator="greaterThan">
      <formula>120</formula>
    </cfRule>
    <cfRule type="containsText" dxfId="0" priority="326" operator="between" text="库存为">
      <formula>NOT(ISERROR(SEARCH("库存为",AU2295)))</formula>
    </cfRule>
  </conditionalFormatting>
  <conditionalFormatting sqref="AU2296">
    <cfRule type="cellIs" dxfId="2" priority="5555" operator="lessThan">
      <formula>20</formula>
    </cfRule>
    <cfRule type="cellIs" dxfId="1" priority="2940" operator="greaterThan">
      <formula>120</formula>
    </cfRule>
    <cfRule type="containsText" dxfId="0" priority="325" operator="between" text="库存为">
      <formula>NOT(ISERROR(SEARCH("库存为",AU2296)))</formula>
    </cfRule>
  </conditionalFormatting>
  <conditionalFormatting sqref="AU2297">
    <cfRule type="cellIs" dxfId="2" priority="5554" operator="lessThan">
      <formula>20</formula>
    </cfRule>
    <cfRule type="cellIs" dxfId="1" priority="2939" operator="greaterThan">
      <formula>120</formula>
    </cfRule>
    <cfRule type="containsText" dxfId="0" priority="324" operator="between" text="库存为">
      <formula>NOT(ISERROR(SEARCH("库存为",AU2297)))</formula>
    </cfRule>
  </conditionalFormatting>
  <conditionalFormatting sqref="AU2298">
    <cfRule type="cellIs" dxfId="2" priority="5553" operator="lessThan">
      <formula>20</formula>
    </cfRule>
    <cfRule type="cellIs" dxfId="1" priority="2938" operator="greaterThan">
      <formula>120</formula>
    </cfRule>
    <cfRule type="containsText" dxfId="0" priority="323" operator="between" text="库存为">
      <formula>NOT(ISERROR(SEARCH("库存为",AU2298)))</formula>
    </cfRule>
  </conditionalFormatting>
  <conditionalFormatting sqref="AU2299">
    <cfRule type="cellIs" dxfId="2" priority="5552" operator="lessThan">
      <formula>20</formula>
    </cfRule>
    <cfRule type="cellIs" dxfId="1" priority="2937" operator="greaterThan">
      <formula>120</formula>
    </cfRule>
    <cfRule type="containsText" dxfId="0" priority="322" operator="between" text="库存为">
      <formula>NOT(ISERROR(SEARCH("库存为",AU2299)))</formula>
    </cfRule>
  </conditionalFormatting>
  <conditionalFormatting sqref="AU2300">
    <cfRule type="cellIs" dxfId="2" priority="5551" operator="lessThan">
      <formula>20</formula>
    </cfRule>
    <cfRule type="cellIs" dxfId="1" priority="2936" operator="greaterThan">
      <formula>120</formula>
    </cfRule>
    <cfRule type="containsText" dxfId="0" priority="321" operator="between" text="库存为">
      <formula>NOT(ISERROR(SEARCH("库存为",AU2300)))</formula>
    </cfRule>
  </conditionalFormatting>
  <conditionalFormatting sqref="AU2301">
    <cfRule type="cellIs" dxfId="2" priority="5550" operator="lessThan">
      <formula>20</formula>
    </cfRule>
    <cfRule type="cellIs" dxfId="1" priority="2935" operator="greaterThan">
      <formula>120</formula>
    </cfRule>
    <cfRule type="containsText" dxfId="0" priority="320" operator="between" text="库存为">
      <formula>NOT(ISERROR(SEARCH("库存为",AU2301)))</formula>
    </cfRule>
  </conditionalFormatting>
  <conditionalFormatting sqref="AU2302">
    <cfRule type="cellIs" dxfId="2" priority="5549" operator="lessThan">
      <formula>20</formula>
    </cfRule>
    <cfRule type="cellIs" dxfId="1" priority="2934" operator="greaterThan">
      <formula>120</formula>
    </cfRule>
    <cfRule type="containsText" dxfId="0" priority="319" operator="between" text="库存为">
      <formula>NOT(ISERROR(SEARCH("库存为",AU2302)))</formula>
    </cfRule>
  </conditionalFormatting>
  <conditionalFormatting sqref="AU2303">
    <cfRule type="cellIs" dxfId="2" priority="5548" operator="lessThan">
      <formula>20</formula>
    </cfRule>
    <cfRule type="cellIs" dxfId="1" priority="2933" operator="greaterThan">
      <formula>120</formula>
    </cfRule>
    <cfRule type="containsText" dxfId="0" priority="318" operator="between" text="库存为">
      <formula>NOT(ISERROR(SEARCH("库存为",AU2303)))</formula>
    </cfRule>
  </conditionalFormatting>
  <conditionalFormatting sqref="AU2304">
    <cfRule type="cellIs" dxfId="2" priority="5547" operator="lessThan">
      <formula>20</formula>
    </cfRule>
    <cfRule type="cellIs" dxfId="1" priority="2932" operator="greaterThan">
      <formula>120</formula>
    </cfRule>
    <cfRule type="containsText" dxfId="0" priority="317" operator="between" text="库存为">
      <formula>NOT(ISERROR(SEARCH("库存为",AU2304)))</formula>
    </cfRule>
  </conditionalFormatting>
  <conditionalFormatting sqref="AU2305">
    <cfRule type="cellIs" dxfId="2" priority="5546" operator="lessThan">
      <formula>20</formula>
    </cfRule>
    <cfRule type="cellIs" dxfId="1" priority="2931" operator="greaterThan">
      <formula>120</formula>
    </cfRule>
    <cfRule type="containsText" dxfId="0" priority="316" operator="between" text="库存为">
      <formula>NOT(ISERROR(SEARCH("库存为",AU2305)))</formula>
    </cfRule>
  </conditionalFormatting>
  <conditionalFormatting sqref="AU2306">
    <cfRule type="cellIs" dxfId="2" priority="5545" operator="lessThan">
      <formula>20</formula>
    </cfRule>
    <cfRule type="cellIs" dxfId="1" priority="2930" operator="greaterThan">
      <formula>120</formula>
    </cfRule>
    <cfRule type="containsText" dxfId="0" priority="315" operator="between" text="库存为">
      <formula>NOT(ISERROR(SEARCH("库存为",AU2306)))</formula>
    </cfRule>
  </conditionalFormatting>
  <conditionalFormatting sqref="AU2307">
    <cfRule type="cellIs" dxfId="2" priority="5544" operator="lessThan">
      <formula>20</formula>
    </cfRule>
    <cfRule type="cellIs" dxfId="1" priority="2929" operator="greaterThan">
      <formula>120</formula>
    </cfRule>
    <cfRule type="containsText" dxfId="0" priority="314" operator="between" text="库存为">
      <formula>NOT(ISERROR(SEARCH("库存为",AU2307)))</formula>
    </cfRule>
  </conditionalFormatting>
  <conditionalFormatting sqref="AU2308">
    <cfRule type="cellIs" dxfId="2" priority="5543" operator="lessThan">
      <formula>20</formula>
    </cfRule>
    <cfRule type="cellIs" dxfId="1" priority="2928" operator="greaterThan">
      <formula>120</formula>
    </cfRule>
    <cfRule type="containsText" dxfId="0" priority="313" operator="between" text="库存为">
      <formula>NOT(ISERROR(SEARCH("库存为",AU2308)))</formula>
    </cfRule>
  </conditionalFormatting>
  <conditionalFormatting sqref="AU2309">
    <cfRule type="cellIs" dxfId="2" priority="5542" operator="lessThan">
      <formula>20</formula>
    </cfRule>
    <cfRule type="cellIs" dxfId="1" priority="2927" operator="greaterThan">
      <formula>120</formula>
    </cfRule>
    <cfRule type="containsText" dxfId="0" priority="312" operator="between" text="库存为">
      <formula>NOT(ISERROR(SEARCH("库存为",AU2309)))</formula>
    </cfRule>
  </conditionalFormatting>
  <conditionalFormatting sqref="AU2310">
    <cfRule type="cellIs" dxfId="2" priority="5541" operator="lessThan">
      <formula>20</formula>
    </cfRule>
    <cfRule type="cellIs" dxfId="1" priority="2926" operator="greaterThan">
      <formula>120</formula>
    </cfRule>
    <cfRule type="containsText" dxfId="0" priority="311" operator="between" text="库存为">
      <formula>NOT(ISERROR(SEARCH("库存为",AU2310)))</formula>
    </cfRule>
  </conditionalFormatting>
  <conditionalFormatting sqref="AU2311">
    <cfRule type="cellIs" dxfId="2" priority="5540" operator="lessThan">
      <formula>20</formula>
    </cfRule>
    <cfRule type="cellIs" dxfId="1" priority="2925" operator="greaterThan">
      <formula>120</formula>
    </cfRule>
    <cfRule type="containsText" dxfId="0" priority="310" operator="between" text="库存为">
      <formula>NOT(ISERROR(SEARCH("库存为",AU2311)))</formula>
    </cfRule>
  </conditionalFormatting>
  <conditionalFormatting sqref="AU2312">
    <cfRule type="cellIs" dxfId="2" priority="5539" operator="lessThan">
      <formula>20</formula>
    </cfRule>
    <cfRule type="cellIs" dxfId="1" priority="2924" operator="greaterThan">
      <formula>120</formula>
    </cfRule>
    <cfRule type="containsText" dxfId="0" priority="309" operator="between" text="库存为">
      <formula>NOT(ISERROR(SEARCH("库存为",AU2312)))</formula>
    </cfRule>
  </conditionalFormatting>
  <conditionalFormatting sqref="AU2313">
    <cfRule type="cellIs" dxfId="2" priority="5538" operator="lessThan">
      <formula>20</formula>
    </cfRule>
    <cfRule type="cellIs" dxfId="1" priority="2923" operator="greaterThan">
      <formula>120</formula>
    </cfRule>
    <cfRule type="containsText" dxfId="0" priority="308" operator="between" text="库存为">
      <formula>NOT(ISERROR(SEARCH("库存为",AU2313)))</formula>
    </cfRule>
  </conditionalFormatting>
  <conditionalFormatting sqref="AU2314">
    <cfRule type="cellIs" dxfId="2" priority="5537" operator="lessThan">
      <formula>20</formula>
    </cfRule>
    <cfRule type="cellIs" dxfId="1" priority="2922" operator="greaterThan">
      <formula>120</formula>
    </cfRule>
    <cfRule type="containsText" dxfId="0" priority="307" operator="between" text="库存为">
      <formula>NOT(ISERROR(SEARCH("库存为",AU2314)))</formula>
    </cfRule>
  </conditionalFormatting>
  <conditionalFormatting sqref="AU2315">
    <cfRule type="cellIs" dxfId="2" priority="5536" operator="lessThan">
      <formula>20</formula>
    </cfRule>
    <cfRule type="cellIs" dxfId="1" priority="2921" operator="greaterThan">
      <formula>120</formula>
    </cfRule>
    <cfRule type="containsText" dxfId="0" priority="306" operator="between" text="库存为">
      <formula>NOT(ISERROR(SEARCH("库存为",AU2315)))</formula>
    </cfRule>
  </conditionalFormatting>
  <conditionalFormatting sqref="AU2316">
    <cfRule type="cellIs" dxfId="2" priority="5535" operator="lessThan">
      <formula>20</formula>
    </cfRule>
    <cfRule type="cellIs" dxfId="1" priority="2920" operator="greaterThan">
      <formula>120</formula>
    </cfRule>
    <cfRule type="containsText" dxfId="0" priority="305" operator="between" text="库存为">
      <formula>NOT(ISERROR(SEARCH("库存为",AU2316)))</formula>
    </cfRule>
  </conditionalFormatting>
  <conditionalFormatting sqref="AU2317">
    <cfRule type="cellIs" dxfId="2" priority="5534" operator="lessThan">
      <formula>20</formula>
    </cfRule>
    <cfRule type="cellIs" dxfId="1" priority="2919" operator="greaterThan">
      <formula>120</formula>
    </cfRule>
    <cfRule type="containsText" dxfId="0" priority="304" operator="between" text="库存为">
      <formula>NOT(ISERROR(SEARCH("库存为",AU2317)))</formula>
    </cfRule>
  </conditionalFormatting>
  <conditionalFormatting sqref="AU2318">
    <cfRule type="cellIs" dxfId="2" priority="5533" operator="lessThan">
      <formula>20</formula>
    </cfRule>
    <cfRule type="cellIs" dxfId="1" priority="2918" operator="greaterThan">
      <formula>120</formula>
    </cfRule>
    <cfRule type="containsText" dxfId="0" priority="303" operator="between" text="库存为">
      <formula>NOT(ISERROR(SEARCH("库存为",AU2318)))</formula>
    </cfRule>
  </conditionalFormatting>
  <conditionalFormatting sqref="AU2319">
    <cfRule type="cellIs" dxfId="2" priority="5532" operator="lessThan">
      <formula>20</formula>
    </cfRule>
    <cfRule type="cellIs" dxfId="1" priority="2917" operator="greaterThan">
      <formula>120</formula>
    </cfRule>
    <cfRule type="containsText" dxfId="0" priority="302" operator="between" text="库存为">
      <formula>NOT(ISERROR(SEARCH("库存为",AU2319)))</formula>
    </cfRule>
  </conditionalFormatting>
  <conditionalFormatting sqref="AU2320">
    <cfRule type="cellIs" dxfId="2" priority="5531" operator="lessThan">
      <formula>20</formula>
    </cfRule>
    <cfRule type="cellIs" dxfId="1" priority="2916" operator="greaterThan">
      <formula>120</formula>
    </cfRule>
    <cfRule type="containsText" dxfId="0" priority="301" operator="between" text="库存为">
      <formula>NOT(ISERROR(SEARCH("库存为",AU2320)))</formula>
    </cfRule>
  </conditionalFormatting>
  <conditionalFormatting sqref="AU2321">
    <cfRule type="cellIs" dxfId="2" priority="5530" operator="lessThan">
      <formula>20</formula>
    </cfRule>
    <cfRule type="cellIs" dxfId="1" priority="2915" operator="greaterThan">
      <formula>120</formula>
    </cfRule>
    <cfRule type="containsText" dxfId="0" priority="300" operator="between" text="库存为">
      <formula>NOT(ISERROR(SEARCH("库存为",AU2321)))</formula>
    </cfRule>
  </conditionalFormatting>
  <conditionalFormatting sqref="AU2322">
    <cfRule type="cellIs" dxfId="2" priority="5529" operator="lessThan">
      <formula>20</formula>
    </cfRule>
    <cfRule type="cellIs" dxfId="1" priority="2914" operator="greaterThan">
      <formula>120</formula>
    </cfRule>
    <cfRule type="containsText" dxfId="0" priority="299" operator="between" text="库存为">
      <formula>NOT(ISERROR(SEARCH("库存为",AU2322)))</formula>
    </cfRule>
  </conditionalFormatting>
  <conditionalFormatting sqref="AU2323">
    <cfRule type="cellIs" dxfId="2" priority="5528" operator="lessThan">
      <formula>20</formula>
    </cfRule>
    <cfRule type="cellIs" dxfId="1" priority="2913" operator="greaterThan">
      <formula>120</formula>
    </cfRule>
    <cfRule type="containsText" dxfId="0" priority="298" operator="between" text="库存为">
      <formula>NOT(ISERROR(SEARCH("库存为",AU2323)))</formula>
    </cfRule>
  </conditionalFormatting>
  <conditionalFormatting sqref="AU2324">
    <cfRule type="cellIs" dxfId="2" priority="5527" operator="lessThan">
      <formula>20</formula>
    </cfRule>
    <cfRule type="cellIs" dxfId="1" priority="2912" operator="greaterThan">
      <formula>120</formula>
    </cfRule>
    <cfRule type="containsText" dxfId="0" priority="297" operator="between" text="库存为">
      <formula>NOT(ISERROR(SEARCH("库存为",AU2324)))</formula>
    </cfRule>
  </conditionalFormatting>
  <conditionalFormatting sqref="AU2325">
    <cfRule type="cellIs" dxfId="2" priority="5526" operator="lessThan">
      <formula>20</formula>
    </cfRule>
    <cfRule type="cellIs" dxfId="1" priority="2911" operator="greaterThan">
      <formula>120</formula>
    </cfRule>
    <cfRule type="containsText" dxfId="0" priority="296" operator="between" text="库存为">
      <formula>NOT(ISERROR(SEARCH("库存为",AU2325)))</formula>
    </cfRule>
  </conditionalFormatting>
  <conditionalFormatting sqref="AU2326">
    <cfRule type="cellIs" dxfId="2" priority="5525" operator="lessThan">
      <formula>20</formula>
    </cfRule>
    <cfRule type="cellIs" dxfId="1" priority="2910" operator="greaterThan">
      <formula>120</formula>
    </cfRule>
    <cfRule type="containsText" dxfId="0" priority="295" operator="between" text="库存为">
      <formula>NOT(ISERROR(SEARCH("库存为",AU2326)))</formula>
    </cfRule>
  </conditionalFormatting>
  <conditionalFormatting sqref="AU2327">
    <cfRule type="cellIs" dxfId="2" priority="5524" operator="lessThan">
      <formula>20</formula>
    </cfRule>
    <cfRule type="cellIs" dxfId="1" priority="2909" operator="greaterThan">
      <formula>120</formula>
    </cfRule>
    <cfRule type="containsText" dxfId="0" priority="294" operator="between" text="库存为">
      <formula>NOT(ISERROR(SEARCH("库存为",AU2327)))</formula>
    </cfRule>
  </conditionalFormatting>
  <conditionalFormatting sqref="AU2328">
    <cfRule type="cellIs" dxfId="2" priority="5523" operator="lessThan">
      <formula>20</formula>
    </cfRule>
    <cfRule type="cellIs" dxfId="1" priority="2908" operator="greaterThan">
      <formula>120</formula>
    </cfRule>
    <cfRule type="containsText" dxfId="0" priority="293" operator="between" text="库存为">
      <formula>NOT(ISERROR(SEARCH("库存为",AU2328)))</formula>
    </cfRule>
  </conditionalFormatting>
  <conditionalFormatting sqref="AU2329">
    <cfRule type="cellIs" dxfId="2" priority="5522" operator="lessThan">
      <formula>20</formula>
    </cfRule>
    <cfRule type="cellIs" dxfId="1" priority="2907" operator="greaterThan">
      <formula>120</formula>
    </cfRule>
    <cfRule type="containsText" dxfId="0" priority="292" operator="between" text="库存为">
      <formula>NOT(ISERROR(SEARCH("库存为",AU2329)))</formula>
    </cfRule>
  </conditionalFormatting>
  <conditionalFormatting sqref="AU2330">
    <cfRule type="cellIs" dxfId="2" priority="5521" operator="lessThan">
      <formula>20</formula>
    </cfRule>
    <cfRule type="cellIs" dxfId="1" priority="2906" operator="greaterThan">
      <formula>120</formula>
    </cfRule>
    <cfRule type="containsText" dxfId="0" priority="291" operator="between" text="库存为">
      <formula>NOT(ISERROR(SEARCH("库存为",AU2330)))</formula>
    </cfRule>
  </conditionalFormatting>
  <conditionalFormatting sqref="AU2331">
    <cfRule type="cellIs" dxfId="2" priority="5520" operator="lessThan">
      <formula>20</formula>
    </cfRule>
    <cfRule type="cellIs" dxfId="1" priority="2905" operator="greaterThan">
      <formula>120</formula>
    </cfRule>
    <cfRule type="containsText" dxfId="0" priority="290" operator="between" text="库存为">
      <formula>NOT(ISERROR(SEARCH("库存为",AU2331)))</formula>
    </cfRule>
  </conditionalFormatting>
  <conditionalFormatting sqref="AU2332">
    <cfRule type="cellIs" dxfId="2" priority="5519" operator="lessThan">
      <formula>20</formula>
    </cfRule>
    <cfRule type="cellIs" dxfId="1" priority="2904" operator="greaterThan">
      <formula>120</formula>
    </cfRule>
    <cfRule type="containsText" dxfId="0" priority="289" operator="between" text="库存为">
      <formula>NOT(ISERROR(SEARCH("库存为",AU2332)))</formula>
    </cfRule>
  </conditionalFormatting>
  <conditionalFormatting sqref="AU2333">
    <cfRule type="cellIs" dxfId="2" priority="5518" operator="lessThan">
      <formula>20</formula>
    </cfRule>
    <cfRule type="cellIs" dxfId="1" priority="2903" operator="greaterThan">
      <formula>120</formula>
    </cfRule>
    <cfRule type="containsText" dxfId="0" priority="288" operator="between" text="库存为">
      <formula>NOT(ISERROR(SEARCH("库存为",AU2333)))</formula>
    </cfRule>
  </conditionalFormatting>
  <conditionalFormatting sqref="AU2334">
    <cfRule type="cellIs" dxfId="2" priority="5517" operator="lessThan">
      <formula>20</formula>
    </cfRule>
    <cfRule type="cellIs" dxfId="1" priority="2902" operator="greaterThan">
      <formula>120</formula>
    </cfRule>
    <cfRule type="containsText" dxfId="0" priority="287" operator="between" text="库存为">
      <formula>NOT(ISERROR(SEARCH("库存为",AU2334)))</formula>
    </cfRule>
  </conditionalFormatting>
  <conditionalFormatting sqref="AU2335">
    <cfRule type="cellIs" dxfId="2" priority="5516" operator="lessThan">
      <formula>20</formula>
    </cfRule>
    <cfRule type="cellIs" dxfId="1" priority="2901" operator="greaterThan">
      <formula>120</formula>
    </cfRule>
    <cfRule type="containsText" dxfId="0" priority="286" operator="between" text="库存为">
      <formula>NOT(ISERROR(SEARCH("库存为",AU2335)))</formula>
    </cfRule>
  </conditionalFormatting>
  <conditionalFormatting sqref="AU2336">
    <cfRule type="cellIs" dxfId="2" priority="5515" operator="lessThan">
      <formula>20</formula>
    </cfRule>
    <cfRule type="cellIs" dxfId="1" priority="2900" operator="greaterThan">
      <formula>120</formula>
    </cfRule>
    <cfRule type="containsText" dxfId="0" priority="285" operator="between" text="库存为">
      <formula>NOT(ISERROR(SEARCH("库存为",AU2336)))</formula>
    </cfRule>
  </conditionalFormatting>
  <conditionalFormatting sqref="AU2337">
    <cfRule type="cellIs" dxfId="2" priority="5514" operator="lessThan">
      <formula>20</formula>
    </cfRule>
    <cfRule type="cellIs" dxfId="1" priority="2899" operator="greaterThan">
      <formula>120</formula>
    </cfRule>
    <cfRule type="containsText" dxfId="0" priority="284" operator="between" text="库存为">
      <formula>NOT(ISERROR(SEARCH("库存为",AU2337)))</formula>
    </cfRule>
  </conditionalFormatting>
  <conditionalFormatting sqref="AU2338">
    <cfRule type="cellIs" dxfId="2" priority="5513" operator="lessThan">
      <formula>20</formula>
    </cfRule>
    <cfRule type="cellIs" dxfId="1" priority="2898" operator="greaterThan">
      <formula>120</formula>
    </cfRule>
    <cfRule type="containsText" dxfId="0" priority="283" operator="between" text="库存为">
      <formula>NOT(ISERROR(SEARCH("库存为",AU2338)))</formula>
    </cfRule>
  </conditionalFormatting>
  <conditionalFormatting sqref="AU2339">
    <cfRule type="cellIs" dxfId="2" priority="5512" operator="lessThan">
      <formula>20</formula>
    </cfRule>
    <cfRule type="cellIs" dxfId="1" priority="2897" operator="greaterThan">
      <formula>120</formula>
    </cfRule>
    <cfRule type="containsText" dxfId="0" priority="282" operator="between" text="库存为">
      <formula>NOT(ISERROR(SEARCH("库存为",AU2339)))</formula>
    </cfRule>
  </conditionalFormatting>
  <conditionalFormatting sqref="AU2340">
    <cfRule type="cellIs" dxfId="2" priority="5511" operator="lessThan">
      <formula>20</formula>
    </cfRule>
    <cfRule type="cellIs" dxfId="1" priority="2896" operator="greaterThan">
      <formula>120</formula>
    </cfRule>
    <cfRule type="containsText" dxfId="0" priority="281" operator="between" text="库存为">
      <formula>NOT(ISERROR(SEARCH("库存为",AU2340)))</formula>
    </cfRule>
  </conditionalFormatting>
  <conditionalFormatting sqref="AU2341">
    <cfRule type="cellIs" dxfId="2" priority="5510" operator="lessThan">
      <formula>20</formula>
    </cfRule>
    <cfRule type="cellIs" dxfId="1" priority="2895" operator="greaterThan">
      <formula>120</formula>
    </cfRule>
    <cfRule type="containsText" dxfId="0" priority="280" operator="between" text="库存为">
      <formula>NOT(ISERROR(SEARCH("库存为",AU2341)))</formula>
    </cfRule>
  </conditionalFormatting>
  <conditionalFormatting sqref="AU2342">
    <cfRule type="cellIs" dxfId="2" priority="5509" operator="lessThan">
      <formula>20</formula>
    </cfRule>
    <cfRule type="cellIs" dxfId="1" priority="2894" operator="greaterThan">
      <formula>120</formula>
    </cfRule>
    <cfRule type="containsText" dxfId="0" priority="279" operator="between" text="库存为">
      <formula>NOT(ISERROR(SEARCH("库存为",AU2342)))</formula>
    </cfRule>
  </conditionalFormatting>
  <conditionalFormatting sqref="AU2343">
    <cfRule type="cellIs" dxfId="2" priority="5508" operator="lessThan">
      <formula>20</formula>
    </cfRule>
    <cfRule type="cellIs" dxfId="1" priority="2893" operator="greaterThan">
      <formula>120</formula>
    </cfRule>
    <cfRule type="containsText" dxfId="0" priority="278" operator="between" text="库存为">
      <formula>NOT(ISERROR(SEARCH("库存为",AU2343)))</formula>
    </cfRule>
  </conditionalFormatting>
  <conditionalFormatting sqref="AU2344">
    <cfRule type="cellIs" dxfId="2" priority="5507" operator="lessThan">
      <formula>20</formula>
    </cfRule>
    <cfRule type="cellIs" dxfId="1" priority="2892" operator="greaterThan">
      <formula>120</formula>
    </cfRule>
    <cfRule type="containsText" dxfId="0" priority="277" operator="between" text="库存为">
      <formula>NOT(ISERROR(SEARCH("库存为",AU2344)))</formula>
    </cfRule>
  </conditionalFormatting>
  <conditionalFormatting sqref="AU2345">
    <cfRule type="cellIs" dxfId="2" priority="5506" operator="lessThan">
      <formula>20</formula>
    </cfRule>
    <cfRule type="cellIs" dxfId="1" priority="2891" operator="greaterThan">
      <formula>120</formula>
    </cfRule>
    <cfRule type="containsText" dxfId="0" priority="276" operator="between" text="库存为">
      <formula>NOT(ISERROR(SEARCH("库存为",AU2345)))</formula>
    </cfRule>
  </conditionalFormatting>
  <conditionalFormatting sqref="AU2346">
    <cfRule type="cellIs" dxfId="2" priority="5505" operator="lessThan">
      <formula>20</formula>
    </cfRule>
    <cfRule type="cellIs" dxfId="1" priority="2890" operator="greaterThan">
      <formula>120</formula>
    </cfRule>
    <cfRule type="containsText" dxfId="0" priority="275" operator="between" text="库存为">
      <formula>NOT(ISERROR(SEARCH("库存为",AU2346)))</formula>
    </cfRule>
  </conditionalFormatting>
  <conditionalFormatting sqref="AU2347">
    <cfRule type="cellIs" dxfId="2" priority="5504" operator="lessThan">
      <formula>20</formula>
    </cfRule>
    <cfRule type="cellIs" dxfId="1" priority="2889" operator="greaterThan">
      <formula>120</formula>
    </cfRule>
    <cfRule type="containsText" dxfId="0" priority="274" operator="between" text="库存为">
      <formula>NOT(ISERROR(SEARCH("库存为",AU2347)))</formula>
    </cfRule>
  </conditionalFormatting>
  <conditionalFormatting sqref="AU2348">
    <cfRule type="cellIs" dxfId="2" priority="5503" operator="lessThan">
      <formula>20</formula>
    </cfRule>
    <cfRule type="cellIs" dxfId="1" priority="2888" operator="greaterThan">
      <formula>120</formula>
    </cfRule>
    <cfRule type="containsText" dxfId="0" priority="273" operator="between" text="库存为">
      <formula>NOT(ISERROR(SEARCH("库存为",AU2348)))</formula>
    </cfRule>
  </conditionalFormatting>
  <conditionalFormatting sqref="AU2349">
    <cfRule type="cellIs" dxfId="2" priority="5502" operator="lessThan">
      <formula>20</formula>
    </cfRule>
    <cfRule type="cellIs" dxfId="1" priority="2887" operator="greaterThan">
      <formula>120</formula>
    </cfRule>
    <cfRule type="containsText" dxfId="0" priority="272" operator="between" text="库存为">
      <formula>NOT(ISERROR(SEARCH("库存为",AU2349)))</formula>
    </cfRule>
  </conditionalFormatting>
  <conditionalFormatting sqref="AU2350">
    <cfRule type="cellIs" dxfId="2" priority="5501" operator="lessThan">
      <formula>20</formula>
    </cfRule>
    <cfRule type="cellIs" dxfId="1" priority="2886" operator="greaterThan">
      <formula>120</formula>
    </cfRule>
    <cfRule type="containsText" dxfId="0" priority="271" operator="between" text="库存为">
      <formula>NOT(ISERROR(SEARCH("库存为",AU2350)))</formula>
    </cfRule>
  </conditionalFormatting>
  <conditionalFormatting sqref="AU2351">
    <cfRule type="cellIs" dxfId="2" priority="5500" operator="lessThan">
      <formula>20</formula>
    </cfRule>
    <cfRule type="cellIs" dxfId="1" priority="2885" operator="greaterThan">
      <formula>120</formula>
    </cfRule>
    <cfRule type="containsText" dxfId="0" priority="270" operator="between" text="库存为">
      <formula>NOT(ISERROR(SEARCH("库存为",AU2351)))</formula>
    </cfRule>
  </conditionalFormatting>
  <conditionalFormatting sqref="AU2352">
    <cfRule type="cellIs" dxfId="2" priority="5499" operator="lessThan">
      <formula>20</formula>
    </cfRule>
    <cfRule type="cellIs" dxfId="1" priority="2884" operator="greaterThan">
      <formula>120</formula>
    </cfRule>
    <cfRule type="containsText" dxfId="0" priority="269" operator="between" text="库存为">
      <formula>NOT(ISERROR(SEARCH("库存为",AU2352)))</formula>
    </cfRule>
  </conditionalFormatting>
  <conditionalFormatting sqref="AU2353">
    <cfRule type="cellIs" dxfId="2" priority="5498" operator="lessThan">
      <formula>20</formula>
    </cfRule>
    <cfRule type="cellIs" dxfId="1" priority="2883" operator="greaterThan">
      <formula>120</formula>
    </cfRule>
    <cfRule type="containsText" dxfId="0" priority="268" operator="between" text="库存为">
      <formula>NOT(ISERROR(SEARCH("库存为",AU2353)))</formula>
    </cfRule>
  </conditionalFormatting>
  <conditionalFormatting sqref="AU2354">
    <cfRule type="cellIs" dxfId="2" priority="5497" operator="lessThan">
      <formula>20</formula>
    </cfRule>
    <cfRule type="cellIs" dxfId="1" priority="2882" operator="greaterThan">
      <formula>120</formula>
    </cfRule>
    <cfRule type="containsText" dxfId="0" priority="267" operator="between" text="库存为">
      <formula>NOT(ISERROR(SEARCH("库存为",AU2354)))</formula>
    </cfRule>
  </conditionalFormatting>
  <conditionalFormatting sqref="AU2355">
    <cfRule type="cellIs" dxfId="2" priority="5496" operator="lessThan">
      <formula>20</formula>
    </cfRule>
    <cfRule type="cellIs" dxfId="1" priority="2881" operator="greaterThan">
      <formula>120</formula>
    </cfRule>
    <cfRule type="containsText" dxfId="0" priority="266" operator="between" text="库存为">
      <formula>NOT(ISERROR(SEARCH("库存为",AU2355)))</formula>
    </cfRule>
  </conditionalFormatting>
  <conditionalFormatting sqref="AU2356">
    <cfRule type="cellIs" dxfId="2" priority="5495" operator="lessThan">
      <formula>20</formula>
    </cfRule>
    <cfRule type="cellIs" dxfId="1" priority="2880" operator="greaterThan">
      <formula>120</formula>
    </cfRule>
    <cfRule type="containsText" dxfId="0" priority="265" operator="between" text="库存为">
      <formula>NOT(ISERROR(SEARCH("库存为",AU2356)))</formula>
    </cfRule>
  </conditionalFormatting>
  <conditionalFormatting sqref="AU2357">
    <cfRule type="cellIs" dxfId="2" priority="5494" operator="lessThan">
      <formula>20</formula>
    </cfRule>
    <cfRule type="cellIs" dxfId="1" priority="2879" operator="greaterThan">
      <formula>120</formula>
    </cfRule>
    <cfRule type="containsText" dxfId="0" priority="264" operator="between" text="库存为">
      <formula>NOT(ISERROR(SEARCH("库存为",AU2357)))</formula>
    </cfRule>
  </conditionalFormatting>
  <conditionalFormatting sqref="AU2358">
    <cfRule type="cellIs" dxfId="2" priority="5493" operator="lessThan">
      <formula>20</formula>
    </cfRule>
    <cfRule type="cellIs" dxfId="1" priority="2878" operator="greaterThan">
      <formula>120</formula>
    </cfRule>
    <cfRule type="containsText" dxfId="0" priority="263" operator="between" text="库存为">
      <formula>NOT(ISERROR(SEARCH("库存为",AU2358)))</formula>
    </cfRule>
  </conditionalFormatting>
  <conditionalFormatting sqref="AU2359">
    <cfRule type="cellIs" dxfId="2" priority="5492" operator="lessThan">
      <formula>20</formula>
    </cfRule>
    <cfRule type="cellIs" dxfId="1" priority="2877" operator="greaterThan">
      <formula>120</formula>
    </cfRule>
    <cfRule type="containsText" dxfId="0" priority="262" operator="between" text="库存为">
      <formula>NOT(ISERROR(SEARCH("库存为",AU2359)))</formula>
    </cfRule>
  </conditionalFormatting>
  <conditionalFormatting sqref="AU2360">
    <cfRule type="cellIs" dxfId="2" priority="5491" operator="lessThan">
      <formula>20</formula>
    </cfRule>
    <cfRule type="cellIs" dxfId="1" priority="2876" operator="greaterThan">
      <formula>120</formula>
    </cfRule>
    <cfRule type="containsText" dxfId="0" priority="261" operator="between" text="库存为">
      <formula>NOT(ISERROR(SEARCH("库存为",AU2360)))</formula>
    </cfRule>
  </conditionalFormatting>
  <conditionalFormatting sqref="AU2361">
    <cfRule type="cellIs" dxfId="2" priority="5490" operator="lessThan">
      <formula>20</formula>
    </cfRule>
    <cfRule type="cellIs" dxfId="1" priority="2875" operator="greaterThan">
      <formula>120</formula>
    </cfRule>
    <cfRule type="containsText" dxfId="0" priority="260" operator="between" text="库存为">
      <formula>NOT(ISERROR(SEARCH("库存为",AU2361)))</formula>
    </cfRule>
  </conditionalFormatting>
  <conditionalFormatting sqref="AU2362">
    <cfRule type="cellIs" dxfId="2" priority="5489" operator="lessThan">
      <formula>20</formula>
    </cfRule>
    <cfRule type="cellIs" dxfId="1" priority="2874" operator="greaterThan">
      <formula>120</formula>
    </cfRule>
    <cfRule type="containsText" dxfId="0" priority="259" operator="between" text="库存为">
      <formula>NOT(ISERROR(SEARCH("库存为",AU2362)))</formula>
    </cfRule>
  </conditionalFormatting>
  <conditionalFormatting sqref="AU2363">
    <cfRule type="cellIs" dxfId="2" priority="5488" operator="lessThan">
      <formula>20</formula>
    </cfRule>
    <cfRule type="cellIs" dxfId="1" priority="2873" operator="greaterThan">
      <formula>120</formula>
    </cfRule>
    <cfRule type="containsText" dxfId="0" priority="258" operator="between" text="库存为">
      <formula>NOT(ISERROR(SEARCH("库存为",AU2363)))</formula>
    </cfRule>
  </conditionalFormatting>
  <conditionalFormatting sqref="AU2364">
    <cfRule type="cellIs" dxfId="2" priority="5487" operator="lessThan">
      <formula>20</formula>
    </cfRule>
    <cfRule type="cellIs" dxfId="1" priority="2872" operator="greaterThan">
      <formula>120</formula>
    </cfRule>
    <cfRule type="containsText" dxfId="0" priority="257" operator="between" text="库存为">
      <formula>NOT(ISERROR(SEARCH("库存为",AU2364)))</formula>
    </cfRule>
  </conditionalFormatting>
  <conditionalFormatting sqref="AU2365">
    <cfRule type="cellIs" dxfId="2" priority="5486" operator="lessThan">
      <formula>20</formula>
    </cfRule>
    <cfRule type="cellIs" dxfId="1" priority="2871" operator="greaterThan">
      <formula>120</formula>
    </cfRule>
    <cfRule type="containsText" dxfId="0" priority="256" operator="between" text="库存为">
      <formula>NOT(ISERROR(SEARCH("库存为",AU2365)))</formula>
    </cfRule>
  </conditionalFormatting>
  <conditionalFormatting sqref="AU2366">
    <cfRule type="cellIs" dxfId="2" priority="5485" operator="lessThan">
      <formula>20</formula>
    </cfRule>
    <cfRule type="cellIs" dxfId="1" priority="2870" operator="greaterThan">
      <formula>120</formula>
    </cfRule>
    <cfRule type="containsText" dxfId="0" priority="255" operator="between" text="库存为">
      <formula>NOT(ISERROR(SEARCH("库存为",AU2366)))</formula>
    </cfRule>
  </conditionalFormatting>
  <conditionalFormatting sqref="AU2367">
    <cfRule type="cellIs" dxfId="2" priority="5484" operator="lessThan">
      <formula>20</formula>
    </cfRule>
    <cfRule type="cellIs" dxfId="1" priority="2869" operator="greaterThan">
      <formula>120</formula>
    </cfRule>
    <cfRule type="containsText" dxfId="0" priority="254" operator="between" text="库存为">
      <formula>NOT(ISERROR(SEARCH("库存为",AU2367)))</formula>
    </cfRule>
  </conditionalFormatting>
  <conditionalFormatting sqref="AU2368">
    <cfRule type="cellIs" dxfId="2" priority="5483" operator="lessThan">
      <formula>20</formula>
    </cfRule>
    <cfRule type="cellIs" dxfId="1" priority="2868" operator="greaterThan">
      <formula>120</formula>
    </cfRule>
    <cfRule type="containsText" dxfId="0" priority="253" operator="between" text="库存为">
      <formula>NOT(ISERROR(SEARCH("库存为",AU2368)))</formula>
    </cfRule>
  </conditionalFormatting>
  <conditionalFormatting sqref="AU2369">
    <cfRule type="cellIs" dxfId="2" priority="5482" operator="lessThan">
      <formula>20</formula>
    </cfRule>
    <cfRule type="cellIs" dxfId="1" priority="2867" operator="greaterThan">
      <formula>120</formula>
    </cfRule>
    <cfRule type="containsText" dxfId="0" priority="252" operator="between" text="库存为">
      <formula>NOT(ISERROR(SEARCH("库存为",AU2369)))</formula>
    </cfRule>
  </conditionalFormatting>
  <conditionalFormatting sqref="AU2370">
    <cfRule type="cellIs" dxfId="2" priority="5481" operator="lessThan">
      <formula>20</formula>
    </cfRule>
    <cfRule type="cellIs" dxfId="1" priority="2866" operator="greaterThan">
      <formula>120</formula>
    </cfRule>
    <cfRule type="containsText" dxfId="0" priority="251" operator="between" text="库存为">
      <formula>NOT(ISERROR(SEARCH("库存为",AU2370)))</formula>
    </cfRule>
  </conditionalFormatting>
  <conditionalFormatting sqref="AU2371">
    <cfRule type="cellIs" dxfId="2" priority="5480" operator="lessThan">
      <formula>20</formula>
    </cfRule>
    <cfRule type="cellIs" dxfId="1" priority="2865" operator="greaterThan">
      <formula>120</formula>
    </cfRule>
    <cfRule type="containsText" dxfId="0" priority="250" operator="between" text="库存为">
      <formula>NOT(ISERROR(SEARCH("库存为",AU2371)))</formula>
    </cfRule>
  </conditionalFormatting>
  <conditionalFormatting sqref="AU2372">
    <cfRule type="cellIs" dxfId="2" priority="5479" operator="lessThan">
      <formula>20</formula>
    </cfRule>
    <cfRule type="cellIs" dxfId="1" priority="2864" operator="greaterThan">
      <formula>120</formula>
    </cfRule>
    <cfRule type="containsText" dxfId="0" priority="249" operator="between" text="库存为">
      <formula>NOT(ISERROR(SEARCH("库存为",AU2372)))</formula>
    </cfRule>
  </conditionalFormatting>
  <conditionalFormatting sqref="AU2373">
    <cfRule type="cellIs" dxfId="2" priority="5478" operator="lessThan">
      <formula>20</formula>
    </cfRule>
    <cfRule type="cellIs" dxfId="1" priority="2863" operator="greaterThan">
      <formula>120</formula>
    </cfRule>
    <cfRule type="containsText" dxfId="0" priority="248" operator="between" text="库存为">
      <formula>NOT(ISERROR(SEARCH("库存为",AU2373)))</formula>
    </cfRule>
  </conditionalFormatting>
  <conditionalFormatting sqref="AU2374">
    <cfRule type="cellIs" dxfId="2" priority="5477" operator="lessThan">
      <formula>20</formula>
    </cfRule>
    <cfRule type="cellIs" dxfId="1" priority="2862" operator="greaterThan">
      <formula>120</formula>
    </cfRule>
    <cfRule type="containsText" dxfId="0" priority="247" operator="between" text="库存为">
      <formula>NOT(ISERROR(SEARCH("库存为",AU2374)))</formula>
    </cfRule>
  </conditionalFormatting>
  <conditionalFormatting sqref="AU2375">
    <cfRule type="cellIs" dxfId="2" priority="5476" operator="lessThan">
      <formula>20</formula>
    </cfRule>
    <cfRule type="cellIs" dxfId="1" priority="2861" operator="greaterThan">
      <formula>120</formula>
    </cfRule>
    <cfRule type="containsText" dxfId="0" priority="246" operator="between" text="库存为">
      <formula>NOT(ISERROR(SEARCH("库存为",AU2375)))</formula>
    </cfRule>
  </conditionalFormatting>
  <conditionalFormatting sqref="AU2376">
    <cfRule type="cellIs" dxfId="2" priority="5475" operator="lessThan">
      <formula>20</formula>
    </cfRule>
    <cfRule type="cellIs" dxfId="1" priority="2860" operator="greaterThan">
      <formula>120</formula>
    </cfRule>
    <cfRule type="containsText" dxfId="0" priority="245" operator="between" text="库存为">
      <formula>NOT(ISERROR(SEARCH("库存为",AU2376)))</formula>
    </cfRule>
  </conditionalFormatting>
  <conditionalFormatting sqref="AU2377">
    <cfRule type="cellIs" dxfId="2" priority="5474" operator="lessThan">
      <formula>20</formula>
    </cfRule>
    <cfRule type="cellIs" dxfId="1" priority="2859" operator="greaterThan">
      <formula>120</formula>
    </cfRule>
    <cfRule type="containsText" dxfId="0" priority="244" operator="between" text="库存为">
      <formula>NOT(ISERROR(SEARCH("库存为",AU2377)))</formula>
    </cfRule>
  </conditionalFormatting>
  <conditionalFormatting sqref="AU2378">
    <cfRule type="cellIs" dxfId="2" priority="5473" operator="lessThan">
      <formula>20</formula>
    </cfRule>
    <cfRule type="cellIs" dxfId="1" priority="2858" operator="greaterThan">
      <formula>120</formula>
    </cfRule>
    <cfRule type="containsText" dxfId="0" priority="243" operator="between" text="库存为">
      <formula>NOT(ISERROR(SEARCH("库存为",AU2378)))</formula>
    </cfRule>
  </conditionalFormatting>
  <conditionalFormatting sqref="AU2379">
    <cfRule type="cellIs" dxfId="2" priority="5472" operator="lessThan">
      <formula>20</formula>
    </cfRule>
    <cfRule type="cellIs" dxfId="1" priority="2857" operator="greaterThan">
      <formula>120</formula>
    </cfRule>
    <cfRule type="containsText" dxfId="0" priority="242" operator="between" text="库存为">
      <formula>NOT(ISERROR(SEARCH("库存为",AU2379)))</formula>
    </cfRule>
  </conditionalFormatting>
  <conditionalFormatting sqref="AU2380">
    <cfRule type="cellIs" dxfId="2" priority="5471" operator="lessThan">
      <formula>20</formula>
    </cfRule>
    <cfRule type="cellIs" dxfId="1" priority="2856" operator="greaterThan">
      <formula>120</formula>
    </cfRule>
    <cfRule type="containsText" dxfId="0" priority="241" operator="between" text="库存为">
      <formula>NOT(ISERROR(SEARCH("库存为",AU2380)))</formula>
    </cfRule>
  </conditionalFormatting>
  <conditionalFormatting sqref="AU2381">
    <cfRule type="cellIs" dxfId="2" priority="5470" operator="lessThan">
      <formula>20</formula>
    </cfRule>
    <cfRule type="cellIs" dxfId="1" priority="2855" operator="greaterThan">
      <formula>120</formula>
    </cfRule>
    <cfRule type="containsText" dxfId="0" priority="240" operator="between" text="库存为">
      <formula>NOT(ISERROR(SEARCH("库存为",AU2381)))</formula>
    </cfRule>
  </conditionalFormatting>
  <conditionalFormatting sqref="AU2382">
    <cfRule type="cellIs" dxfId="2" priority="5469" operator="lessThan">
      <formula>20</formula>
    </cfRule>
    <cfRule type="cellIs" dxfId="1" priority="2854" operator="greaterThan">
      <formula>120</formula>
    </cfRule>
    <cfRule type="containsText" dxfId="0" priority="239" operator="between" text="库存为">
      <formula>NOT(ISERROR(SEARCH("库存为",AU2382)))</formula>
    </cfRule>
  </conditionalFormatting>
  <conditionalFormatting sqref="AU2383">
    <cfRule type="cellIs" dxfId="2" priority="5468" operator="lessThan">
      <formula>20</formula>
    </cfRule>
    <cfRule type="cellIs" dxfId="1" priority="2853" operator="greaterThan">
      <formula>120</formula>
    </cfRule>
    <cfRule type="containsText" dxfId="0" priority="238" operator="between" text="库存为">
      <formula>NOT(ISERROR(SEARCH("库存为",AU2383)))</formula>
    </cfRule>
  </conditionalFormatting>
  <conditionalFormatting sqref="AU2384">
    <cfRule type="cellIs" dxfId="2" priority="5467" operator="lessThan">
      <formula>20</formula>
    </cfRule>
    <cfRule type="cellIs" dxfId="1" priority="2852" operator="greaterThan">
      <formula>120</formula>
    </cfRule>
    <cfRule type="containsText" dxfId="0" priority="237" operator="between" text="库存为">
      <formula>NOT(ISERROR(SEARCH("库存为",AU2384)))</formula>
    </cfRule>
  </conditionalFormatting>
  <conditionalFormatting sqref="AU2385">
    <cfRule type="cellIs" dxfId="2" priority="5466" operator="lessThan">
      <formula>20</formula>
    </cfRule>
    <cfRule type="cellIs" dxfId="1" priority="2851" operator="greaterThan">
      <formula>120</formula>
    </cfRule>
    <cfRule type="containsText" dxfId="0" priority="236" operator="between" text="库存为">
      <formula>NOT(ISERROR(SEARCH("库存为",AU2385)))</formula>
    </cfRule>
  </conditionalFormatting>
  <conditionalFormatting sqref="AU2386">
    <cfRule type="cellIs" dxfId="2" priority="5465" operator="lessThan">
      <formula>20</formula>
    </cfRule>
    <cfRule type="cellIs" dxfId="1" priority="2850" operator="greaterThan">
      <formula>120</formula>
    </cfRule>
    <cfRule type="containsText" dxfId="0" priority="235" operator="between" text="库存为">
      <formula>NOT(ISERROR(SEARCH("库存为",AU2386)))</formula>
    </cfRule>
  </conditionalFormatting>
  <conditionalFormatting sqref="AU2387">
    <cfRule type="cellIs" dxfId="2" priority="5464" operator="lessThan">
      <formula>20</formula>
    </cfRule>
    <cfRule type="cellIs" dxfId="1" priority="2849" operator="greaterThan">
      <formula>120</formula>
    </cfRule>
    <cfRule type="containsText" dxfId="0" priority="234" operator="between" text="库存为">
      <formula>NOT(ISERROR(SEARCH("库存为",AU2387)))</formula>
    </cfRule>
  </conditionalFormatting>
  <conditionalFormatting sqref="AU2388">
    <cfRule type="cellIs" dxfId="2" priority="5463" operator="lessThan">
      <formula>20</formula>
    </cfRule>
    <cfRule type="cellIs" dxfId="1" priority="2848" operator="greaterThan">
      <formula>120</formula>
    </cfRule>
    <cfRule type="containsText" dxfId="0" priority="233" operator="between" text="库存为">
      <formula>NOT(ISERROR(SEARCH("库存为",AU2388)))</formula>
    </cfRule>
  </conditionalFormatting>
  <conditionalFormatting sqref="AU2389">
    <cfRule type="cellIs" dxfId="2" priority="5462" operator="lessThan">
      <formula>20</formula>
    </cfRule>
    <cfRule type="cellIs" dxfId="1" priority="2847" operator="greaterThan">
      <formula>120</formula>
    </cfRule>
    <cfRule type="containsText" dxfId="0" priority="232" operator="between" text="库存为">
      <formula>NOT(ISERROR(SEARCH("库存为",AU2389)))</formula>
    </cfRule>
  </conditionalFormatting>
  <conditionalFormatting sqref="AU2390">
    <cfRule type="cellIs" dxfId="2" priority="5461" operator="lessThan">
      <formula>20</formula>
    </cfRule>
    <cfRule type="cellIs" dxfId="1" priority="2846" operator="greaterThan">
      <formula>120</formula>
    </cfRule>
    <cfRule type="containsText" dxfId="0" priority="231" operator="between" text="库存为">
      <formula>NOT(ISERROR(SEARCH("库存为",AU2390)))</formula>
    </cfRule>
  </conditionalFormatting>
  <conditionalFormatting sqref="AU2391">
    <cfRule type="cellIs" dxfId="2" priority="5460" operator="lessThan">
      <formula>20</formula>
    </cfRule>
    <cfRule type="cellIs" dxfId="1" priority="2845" operator="greaterThan">
      <formula>120</formula>
    </cfRule>
    <cfRule type="containsText" dxfId="0" priority="230" operator="between" text="库存为">
      <formula>NOT(ISERROR(SEARCH("库存为",AU2391)))</formula>
    </cfRule>
  </conditionalFormatting>
  <conditionalFormatting sqref="AU2392">
    <cfRule type="cellIs" dxfId="2" priority="5459" operator="lessThan">
      <formula>20</formula>
    </cfRule>
    <cfRule type="cellIs" dxfId="1" priority="2844" operator="greaterThan">
      <formula>120</formula>
    </cfRule>
    <cfRule type="containsText" dxfId="0" priority="229" operator="between" text="库存为">
      <formula>NOT(ISERROR(SEARCH("库存为",AU2392)))</formula>
    </cfRule>
  </conditionalFormatting>
  <conditionalFormatting sqref="AU2393">
    <cfRule type="cellIs" dxfId="2" priority="5458" operator="lessThan">
      <formula>20</formula>
    </cfRule>
    <cfRule type="cellIs" dxfId="1" priority="2843" operator="greaterThan">
      <formula>120</formula>
    </cfRule>
    <cfRule type="containsText" dxfId="0" priority="228" operator="between" text="库存为">
      <formula>NOT(ISERROR(SEARCH("库存为",AU2393)))</formula>
    </cfRule>
  </conditionalFormatting>
  <conditionalFormatting sqref="AU2394">
    <cfRule type="cellIs" dxfId="2" priority="5457" operator="lessThan">
      <formula>20</formula>
    </cfRule>
    <cfRule type="cellIs" dxfId="1" priority="2842" operator="greaterThan">
      <formula>120</formula>
    </cfRule>
    <cfRule type="containsText" dxfId="0" priority="227" operator="between" text="库存为">
      <formula>NOT(ISERROR(SEARCH("库存为",AU2394)))</formula>
    </cfRule>
  </conditionalFormatting>
  <conditionalFormatting sqref="AU2395">
    <cfRule type="cellIs" dxfId="2" priority="5456" operator="lessThan">
      <formula>20</formula>
    </cfRule>
    <cfRule type="cellIs" dxfId="1" priority="2841" operator="greaterThan">
      <formula>120</formula>
    </cfRule>
    <cfRule type="containsText" dxfId="0" priority="226" operator="between" text="库存为">
      <formula>NOT(ISERROR(SEARCH("库存为",AU2395)))</formula>
    </cfRule>
  </conditionalFormatting>
  <conditionalFormatting sqref="AU2396">
    <cfRule type="cellIs" dxfId="2" priority="5455" operator="lessThan">
      <formula>20</formula>
    </cfRule>
    <cfRule type="cellIs" dxfId="1" priority="2840" operator="greaterThan">
      <formula>120</formula>
    </cfRule>
    <cfRule type="containsText" dxfId="0" priority="225" operator="between" text="库存为">
      <formula>NOT(ISERROR(SEARCH("库存为",AU2396)))</formula>
    </cfRule>
  </conditionalFormatting>
  <conditionalFormatting sqref="AU2397">
    <cfRule type="cellIs" dxfId="2" priority="5454" operator="lessThan">
      <formula>20</formula>
    </cfRule>
    <cfRule type="cellIs" dxfId="1" priority="2839" operator="greaterThan">
      <formula>120</formula>
    </cfRule>
    <cfRule type="containsText" dxfId="0" priority="224" operator="between" text="库存为">
      <formula>NOT(ISERROR(SEARCH("库存为",AU2397)))</formula>
    </cfRule>
  </conditionalFormatting>
  <conditionalFormatting sqref="AU2398">
    <cfRule type="cellIs" dxfId="2" priority="5453" operator="lessThan">
      <formula>20</formula>
    </cfRule>
    <cfRule type="cellIs" dxfId="1" priority="2838" operator="greaterThan">
      <formula>120</formula>
    </cfRule>
    <cfRule type="containsText" dxfId="0" priority="223" operator="between" text="库存为">
      <formula>NOT(ISERROR(SEARCH("库存为",AU2398)))</formula>
    </cfRule>
  </conditionalFormatting>
  <conditionalFormatting sqref="AU2399">
    <cfRule type="cellIs" dxfId="2" priority="5452" operator="lessThan">
      <formula>20</formula>
    </cfRule>
    <cfRule type="cellIs" dxfId="1" priority="2837" operator="greaterThan">
      <formula>120</formula>
    </cfRule>
    <cfRule type="containsText" dxfId="0" priority="222" operator="between" text="库存为">
      <formula>NOT(ISERROR(SEARCH("库存为",AU2399)))</formula>
    </cfRule>
  </conditionalFormatting>
  <conditionalFormatting sqref="AU2400">
    <cfRule type="cellIs" dxfId="2" priority="5451" operator="lessThan">
      <formula>20</formula>
    </cfRule>
    <cfRule type="cellIs" dxfId="1" priority="2836" operator="greaterThan">
      <formula>120</formula>
    </cfRule>
    <cfRule type="containsText" dxfId="0" priority="221" operator="between" text="库存为">
      <formula>NOT(ISERROR(SEARCH("库存为",AU2400)))</formula>
    </cfRule>
  </conditionalFormatting>
  <conditionalFormatting sqref="AU2401">
    <cfRule type="cellIs" dxfId="2" priority="5450" operator="lessThan">
      <formula>20</formula>
    </cfRule>
    <cfRule type="cellIs" dxfId="1" priority="2835" operator="greaterThan">
      <formula>120</formula>
    </cfRule>
    <cfRule type="containsText" dxfId="0" priority="220" operator="between" text="库存为">
      <formula>NOT(ISERROR(SEARCH("库存为",AU2401)))</formula>
    </cfRule>
  </conditionalFormatting>
  <conditionalFormatting sqref="AU2402">
    <cfRule type="cellIs" dxfId="2" priority="5449" operator="lessThan">
      <formula>20</formula>
    </cfRule>
    <cfRule type="cellIs" dxfId="1" priority="2834" operator="greaterThan">
      <formula>120</formula>
    </cfRule>
    <cfRule type="containsText" dxfId="0" priority="219" operator="between" text="库存为">
      <formula>NOT(ISERROR(SEARCH("库存为",AU2402)))</formula>
    </cfRule>
  </conditionalFormatting>
  <conditionalFormatting sqref="AU2403">
    <cfRule type="cellIs" dxfId="2" priority="5448" operator="lessThan">
      <formula>20</formula>
    </cfRule>
    <cfRule type="cellIs" dxfId="1" priority="2833" operator="greaterThan">
      <formula>120</formula>
    </cfRule>
    <cfRule type="containsText" dxfId="0" priority="218" operator="between" text="库存为">
      <formula>NOT(ISERROR(SEARCH("库存为",AU2403)))</formula>
    </cfRule>
  </conditionalFormatting>
  <conditionalFormatting sqref="AU2404">
    <cfRule type="cellIs" dxfId="2" priority="5447" operator="lessThan">
      <formula>20</formula>
    </cfRule>
    <cfRule type="cellIs" dxfId="1" priority="2832" operator="greaterThan">
      <formula>120</formula>
    </cfRule>
    <cfRule type="containsText" dxfId="0" priority="217" operator="between" text="库存为">
      <formula>NOT(ISERROR(SEARCH("库存为",AU2404)))</formula>
    </cfRule>
  </conditionalFormatting>
  <conditionalFormatting sqref="AU2405">
    <cfRule type="cellIs" dxfId="2" priority="5446" operator="lessThan">
      <formula>20</formula>
    </cfRule>
    <cfRule type="cellIs" dxfId="1" priority="2831" operator="greaterThan">
      <formula>120</formula>
    </cfRule>
    <cfRule type="containsText" dxfId="0" priority="216" operator="between" text="库存为">
      <formula>NOT(ISERROR(SEARCH("库存为",AU2405)))</formula>
    </cfRule>
  </conditionalFormatting>
  <conditionalFormatting sqref="AU2406">
    <cfRule type="cellIs" dxfId="2" priority="5445" operator="lessThan">
      <formula>20</formula>
    </cfRule>
    <cfRule type="cellIs" dxfId="1" priority="2830" operator="greaterThan">
      <formula>120</formula>
    </cfRule>
    <cfRule type="containsText" dxfId="0" priority="215" operator="between" text="库存为">
      <formula>NOT(ISERROR(SEARCH("库存为",AU2406)))</formula>
    </cfRule>
  </conditionalFormatting>
  <conditionalFormatting sqref="AU2407">
    <cfRule type="cellIs" dxfId="2" priority="5444" operator="lessThan">
      <formula>20</formula>
    </cfRule>
    <cfRule type="cellIs" dxfId="1" priority="2829" operator="greaterThan">
      <formula>120</formula>
    </cfRule>
    <cfRule type="containsText" dxfId="0" priority="214" operator="between" text="库存为">
      <formula>NOT(ISERROR(SEARCH("库存为",AU2407)))</formula>
    </cfRule>
  </conditionalFormatting>
  <conditionalFormatting sqref="AU2408">
    <cfRule type="cellIs" dxfId="2" priority="5443" operator="lessThan">
      <formula>20</formula>
    </cfRule>
    <cfRule type="cellIs" dxfId="1" priority="2828" operator="greaterThan">
      <formula>120</formula>
    </cfRule>
    <cfRule type="containsText" dxfId="0" priority="213" operator="between" text="库存为">
      <formula>NOT(ISERROR(SEARCH("库存为",AU2408)))</formula>
    </cfRule>
  </conditionalFormatting>
  <conditionalFormatting sqref="AU2409">
    <cfRule type="cellIs" dxfId="2" priority="5442" operator="lessThan">
      <formula>20</formula>
    </cfRule>
    <cfRule type="cellIs" dxfId="1" priority="2827" operator="greaterThan">
      <formula>120</formula>
    </cfRule>
    <cfRule type="containsText" dxfId="0" priority="212" operator="between" text="库存为">
      <formula>NOT(ISERROR(SEARCH("库存为",AU2409)))</formula>
    </cfRule>
  </conditionalFormatting>
  <conditionalFormatting sqref="AU2410">
    <cfRule type="cellIs" dxfId="2" priority="5441" operator="lessThan">
      <formula>20</formula>
    </cfRule>
    <cfRule type="cellIs" dxfId="1" priority="2826" operator="greaterThan">
      <formula>120</formula>
    </cfRule>
    <cfRule type="containsText" dxfId="0" priority="211" operator="between" text="库存为">
      <formula>NOT(ISERROR(SEARCH("库存为",AU2410)))</formula>
    </cfRule>
  </conditionalFormatting>
  <conditionalFormatting sqref="AU2411">
    <cfRule type="cellIs" dxfId="2" priority="5440" operator="lessThan">
      <formula>20</formula>
    </cfRule>
    <cfRule type="cellIs" dxfId="1" priority="2825" operator="greaterThan">
      <formula>120</formula>
    </cfRule>
    <cfRule type="containsText" dxfId="0" priority="210" operator="between" text="库存为">
      <formula>NOT(ISERROR(SEARCH("库存为",AU2411)))</formula>
    </cfRule>
  </conditionalFormatting>
  <conditionalFormatting sqref="AU2412">
    <cfRule type="cellIs" dxfId="2" priority="5439" operator="lessThan">
      <formula>20</formula>
    </cfRule>
    <cfRule type="cellIs" dxfId="1" priority="2824" operator="greaterThan">
      <formula>120</formula>
    </cfRule>
    <cfRule type="containsText" dxfId="0" priority="209" operator="between" text="库存为">
      <formula>NOT(ISERROR(SEARCH("库存为",AU2412)))</formula>
    </cfRule>
  </conditionalFormatting>
  <conditionalFormatting sqref="AU2413">
    <cfRule type="cellIs" dxfId="2" priority="5438" operator="lessThan">
      <formula>20</formula>
    </cfRule>
    <cfRule type="cellIs" dxfId="1" priority="2823" operator="greaterThan">
      <formula>120</formula>
    </cfRule>
    <cfRule type="containsText" dxfId="0" priority="208" operator="between" text="库存为">
      <formula>NOT(ISERROR(SEARCH("库存为",AU2413)))</formula>
    </cfRule>
  </conditionalFormatting>
  <conditionalFormatting sqref="AU2414">
    <cfRule type="cellIs" dxfId="2" priority="5437" operator="lessThan">
      <formula>20</formula>
    </cfRule>
    <cfRule type="cellIs" dxfId="1" priority="2822" operator="greaterThan">
      <formula>120</formula>
    </cfRule>
    <cfRule type="containsText" dxfId="0" priority="207" operator="between" text="库存为">
      <formula>NOT(ISERROR(SEARCH("库存为",AU2414)))</formula>
    </cfRule>
  </conditionalFormatting>
  <conditionalFormatting sqref="AU2415">
    <cfRule type="cellIs" dxfId="2" priority="5436" operator="lessThan">
      <formula>20</formula>
    </cfRule>
    <cfRule type="cellIs" dxfId="1" priority="2821" operator="greaterThan">
      <formula>120</formula>
    </cfRule>
    <cfRule type="containsText" dxfId="0" priority="206" operator="between" text="库存为">
      <formula>NOT(ISERROR(SEARCH("库存为",AU2415)))</formula>
    </cfRule>
  </conditionalFormatting>
  <conditionalFormatting sqref="AU2416">
    <cfRule type="cellIs" dxfId="2" priority="5435" operator="lessThan">
      <formula>20</formula>
    </cfRule>
    <cfRule type="cellIs" dxfId="1" priority="2820" operator="greaterThan">
      <formula>120</formula>
    </cfRule>
    <cfRule type="containsText" dxfId="0" priority="205" operator="between" text="库存为">
      <formula>NOT(ISERROR(SEARCH("库存为",AU2416)))</formula>
    </cfRule>
  </conditionalFormatting>
  <conditionalFormatting sqref="AU2417">
    <cfRule type="cellIs" dxfId="2" priority="5434" operator="lessThan">
      <formula>20</formula>
    </cfRule>
    <cfRule type="cellIs" dxfId="1" priority="2819" operator="greaterThan">
      <formula>120</formula>
    </cfRule>
    <cfRule type="containsText" dxfId="0" priority="204" operator="between" text="库存为">
      <formula>NOT(ISERROR(SEARCH("库存为",AU2417)))</formula>
    </cfRule>
  </conditionalFormatting>
  <conditionalFormatting sqref="AU2418">
    <cfRule type="cellIs" dxfId="2" priority="5433" operator="lessThan">
      <formula>20</formula>
    </cfRule>
    <cfRule type="cellIs" dxfId="1" priority="2818" operator="greaterThan">
      <formula>120</formula>
    </cfRule>
    <cfRule type="containsText" dxfId="0" priority="203" operator="between" text="库存为">
      <formula>NOT(ISERROR(SEARCH("库存为",AU2418)))</formula>
    </cfRule>
  </conditionalFormatting>
  <conditionalFormatting sqref="AU2419">
    <cfRule type="cellIs" dxfId="2" priority="5432" operator="lessThan">
      <formula>20</formula>
    </cfRule>
    <cfRule type="cellIs" dxfId="1" priority="2817" operator="greaterThan">
      <formula>120</formula>
    </cfRule>
    <cfRule type="containsText" dxfId="0" priority="202" operator="between" text="库存为">
      <formula>NOT(ISERROR(SEARCH("库存为",AU2419)))</formula>
    </cfRule>
  </conditionalFormatting>
  <conditionalFormatting sqref="AU2420">
    <cfRule type="cellIs" dxfId="2" priority="5431" operator="lessThan">
      <formula>20</formula>
    </cfRule>
    <cfRule type="cellIs" dxfId="1" priority="2816" operator="greaterThan">
      <formula>120</formula>
    </cfRule>
    <cfRule type="containsText" dxfId="0" priority="201" operator="between" text="库存为">
      <formula>NOT(ISERROR(SEARCH("库存为",AU2420)))</formula>
    </cfRule>
  </conditionalFormatting>
  <conditionalFormatting sqref="AU2421">
    <cfRule type="cellIs" dxfId="2" priority="5430" operator="lessThan">
      <formula>20</formula>
    </cfRule>
    <cfRule type="cellIs" dxfId="1" priority="2815" operator="greaterThan">
      <formula>120</formula>
    </cfRule>
    <cfRule type="containsText" dxfId="0" priority="200" operator="between" text="库存为">
      <formula>NOT(ISERROR(SEARCH("库存为",AU2421)))</formula>
    </cfRule>
  </conditionalFormatting>
  <conditionalFormatting sqref="AU2422">
    <cfRule type="cellIs" dxfId="2" priority="5429" operator="lessThan">
      <formula>20</formula>
    </cfRule>
    <cfRule type="cellIs" dxfId="1" priority="2814" operator="greaterThan">
      <formula>120</formula>
    </cfRule>
    <cfRule type="containsText" dxfId="0" priority="199" operator="between" text="库存为">
      <formula>NOT(ISERROR(SEARCH("库存为",AU2422)))</formula>
    </cfRule>
  </conditionalFormatting>
  <conditionalFormatting sqref="AU2423">
    <cfRule type="cellIs" dxfId="2" priority="5428" operator="lessThan">
      <formula>20</formula>
    </cfRule>
    <cfRule type="cellIs" dxfId="1" priority="2813" operator="greaterThan">
      <formula>120</formula>
    </cfRule>
    <cfRule type="containsText" dxfId="0" priority="198" operator="between" text="库存为">
      <formula>NOT(ISERROR(SEARCH("库存为",AU2423)))</formula>
    </cfRule>
  </conditionalFormatting>
  <conditionalFormatting sqref="AU2424">
    <cfRule type="cellIs" dxfId="2" priority="5427" operator="lessThan">
      <formula>20</formula>
    </cfRule>
    <cfRule type="cellIs" dxfId="1" priority="2812" operator="greaterThan">
      <formula>120</formula>
    </cfRule>
    <cfRule type="containsText" dxfId="0" priority="197" operator="between" text="库存为">
      <formula>NOT(ISERROR(SEARCH("库存为",AU2424)))</formula>
    </cfRule>
  </conditionalFormatting>
  <conditionalFormatting sqref="AU2425">
    <cfRule type="cellIs" dxfId="2" priority="5426" operator="lessThan">
      <formula>20</formula>
    </cfRule>
    <cfRule type="cellIs" dxfId="1" priority="2811" operator="greaterThan">
      <formula>120</formula>
    </cfRule>
    <cfRule type="containsText" dxfId="0" priority="196" operator="between" text="库存为">
      <formula>NOT(ISERROR(SEARCH("库存为",AU2425)))</formula>
    </cfRule>
  </conditionalFormatting>
  <conditionalFormatting sqref="AU2426">
    <cfRule type="cellIs" dxfId="2" priority="5425" operator="lessThan">
      <formula>20</formula>
    </cfRule>
    <cfRule type="cellIs" dxfId="1" priority="2810" operator="greaterThan">
      <formula>120</formula>
    </cfRule>
    <cfRule type="containsText" dxfId="0" priority="195" operator="between" text="库存为">
      <formula>NOT(ISERROR(SEARCH("库存为",AU2426)))</formula>
    </cfRule>
  </conditionalFormatting>
  <conditionalFormatting sqref="AU2427">
    <cfRule type="cellIs" dxfId="2" priority="5424" operator="lessThan">
      <formula>20</formula>
    </cfRule>
    <cfRule type="cellIs" dxfId="1" priority="2809" operator="greaterThan">
      <formula>120</formula>
    </cfRule>
    <cfRule type="containsText" dxfId="0" priority="194" operator="between" text="库存为">
      <formula>NOT(ISERROR(SEARCH("库存为",AU2427)))</formula>
    </cfRule>
  </conditionalFormatting>
  <conditionalFormatting sqref="AU2428">
    <cfRule type="cellIs" dxfId="2" priority="5423" operator="lessThan">
      <formula>20</formula>
    </cfRule>
    <cfRule type="cellIs" dxfId="1" priority="2808" operator="greaterThan">
      <formula>120</formula>
    </cfRule>
    <cfRule type="containsText" dxfId="0" priority="193" operator="between" text="库存为">
      <formula>NOT(ISERROR(SEARCH("库存为",AU2428)))</formula>
    </cfRule>
  </conditionalFormatting>
  <conditionalFormatting sqref="AU2429">
    <cfRule type="cellIs" dxfId="2" priority="5422" operator="lessThan">
      <formula>20</formula>
    </cfRule>
    <cfRule type="cellIs" dxfId="1" priority="2807" operator="greaterThan">
      <formula>120</formula>
    </cfRule>
    <cfRule type="containsText" dxfId="0" priority="192" operator="between" text="库存为">
      <formula>NOT(ISERROR(SEARCH("库存为",AU2429)))</formula>
    </cfRule>
  </conditionalFormatting>
  <conditionalFormatting sqref="AU2430">
    <cfRule type="cellIs" dxfId="2" priority="5421" operator="lessThan">
      <formula>20</formula>
    </cfRule>
    <cfRule type="cellIs" dxfId="1" priority="2806" operator="greaterThan">
      <formula>120</formula>
    </cfRule>
    <cfRule type="containsText" dxfId="0" priority="191" operator="between" text="库存为">
      <formula>NOT(ISERROR(SEARCH("库存为",AU2430)))</formula>
    </cfRule>
  </conditionalFormatting>
  <conditionalFormatting sqref="AU2431">
    <cfRule type="cellIs" dxfId="2" priority="5420" operator="lessThan">
      <formula>20</formula>
    </cfRule>
    <cfRule type="cellIs" dxfId="1" priority="2805" operator="greaterThan">
      <formula>120</formula>
    </cfRule>
    <cfRule type="containsText" dxfId="0" priority="190" operator="between" text="库存为">
      <formula>NOT(ISERROR(SEARCH("库存为",AU2431)))</formula>
    </cfRule>
  </conditionalFormatting>
  <conditionalFormatting sqref="AU2432">
    <cfRule type="cellIs" dxfId="2" priority="5419" operator="lessThan">
      <formula>20</formula>
    </cfRule>
    <cfRule type="cellIs" dxfId="1" priority="2804" operator="greaterThan">
      <formula>120</formula>
    </cfRule>
    <cfRule type="containsText" dxfId="0" priority="189" operator="between" text="库存为">
      <formula>NOT(ISERROR(SEARCH("库存为",AU2432)))</formula>
    </cfRule>
  </conditionalFormatting>
  <conditionalFormatting sqref="AU2433">
    <cfRule type="cellIs" dxfId="2" priority="5418" operator="lessThan">
      <formula>20</formula>
    </cfRule>
    <cfRule type="cellIs" dxfId="1" priority="2803" operator="greaterThan">
      <formula>120</formula>
    </cfRule>
    <cfRule type="containsText" dxfId="0" priority="188" operator="between" text="库存为">
      <formula>NOT(ISERROR(SEARCH("库存为",AU2433)))</formula>
    </cfRule>
  </conditionalFormatting>
  <conditionalFormatting sqref="AU2434">
    <cfRule type="cellIs" dxfId="2" priority="5417" operator="lessThan">
      <formula>20</formula>
    </cfRule>
    <cfRule type="cellIs" dxfId="1" priority="2802" operator="greaterThan">
      <formula>120</formula>
    </cfRule>
    <cfRule type="containsText" dxfId="0" priority="187" operator="between" text="库存为">
      <formula>NOT(ISERROR(SEARCH("库存为",AU2434)))</formula>
    </cfRule>
  </conditionalFormatting>
  <conditionalFormatting sqref="AU2435">
    <cfRule type="cellIs" dxfId="2" priority="5416" operator="lessThan">
      <formula>20</formula>
    </cfRule>
    <cfRule type="cellIs" dxfId="1" priority="2801" operator="greaterThan">
      <formula>120</formula>
    </cfRule>
    <cfRule type="containsText" dxfId="0" priority="186" operator="between" text="库存为">
      <formula>NOT(ISERROR(SEARCH("库存为",AU2435)))</formula>
    </cfRule>
  </conditionalFormatting>
  <conditionalFormatting sqref="AU2436">
    <cfRule type="cellIs" dxfId="2" priority="5415" operator="lessThan">
      <formula>20</formula>
    </cfRule>
    <cfRule type="cellIs" dxfId="1" priority="2800" operator="greaterThan">
      <formula>120</formula>
    </cfRule>
    <cfRule type="containsText" dxfId="0" priority="185" operator="between" text="库存为">
      <formula>NOT(ISERROR(SEARCH("库存为",AU2436)))</formula>
    </cfRule>
  </conditionalFormatting>
  <conditionalFormatting sqref="AU2437">
    <cfRule type="cellIs" dxfId="2" priority="5414" operator="lessThan">
      <formula>20</formula>
    </cfRule>
    <cfRule type="cellIs" dxfId="1" priority="2799" operator="greaterThan">
      <formula>120</formula>
    </cfRule>
    <cfRule type="containsText" dxfId="0" priority="184" operator="between" text="库存为">
      <formula>NOT(ISERROR(SEARCH("库存为",AU2437)))</formula>
    </cfRule>
  </conditionalFormatting>
  <conditionalFormatting sqref="AU2438">
    <cfRule type="cellIs" dxfId="2" priority="5413" operator="lessThan">
      <formula>20</formula>
    </cfRule>
    <cfRule type="cellIs" dxfId="1" priority="2798" operator="greaterThan">
      <formula>120</formula>
    </cfRule>
    <cfRule type="containsText" dxfId="0" priority="183" operator="between" text="库存为">
      <formula>NOT(ISERROR(SEARCH("库存为",AU2438)))</formula>
    </cfRule>
  </conditionalFormatting>
  <conditionalFormatting sqref="AU2439">
    <cfRule type="cellIs" dxfId="2" priority="5412" operator="lessThan">
      <formula>20</formula>
    </cfRule>
    <cfRule type="cellIs" dxfId="1" priority="2797" operator="greaterThan">
      <formula>120</formula>
    </cfRule>
    <cfRule type="containsText" dxfId="0" priority="182" operator="between" text="库存为">
      <formula>NOT(ISERROR(SEARCH("库存为",AU2439)))</formula>
    </cfRule>
  </conditionalFormatting>
  <conditionalFormatting sqref="AU2440">
    <cfRule type="cellIs" dxfId="2" priority="5411" operator="lessThan">
      <formula>20</formula>
    </cfRule>
    <cfRule type="cellIs" dxfId="1" priority="2796" operator="greaterThan">
      <formula>120</formula>
    </cfRule>
    <cfRule type="containsText" dxfId="0" priority="181" operator="between" text="库存为">
      <formula>NOT(ISERROR(SEARCH("库存为",AU2440)))</formula>
    </cfRule>
  </conditionalFormatting>
  <conditionalFormatting sqref="AU2441">
    <cfRule type="cellIs" dxfId="2" priority="5410" operator="lessThan">
      <formula>20</formula>
    </cfRule>
    <cfRule type="cellIs" dxfId="1" priority="2795" operator="greaterThan">
      <formula>120</formula>
    </cfRule>
    <cfRule type="containsText" dxfId="0" priority="180" operator="between" text="库存为">
      <formula>NOT(ISERROR(SEARCH("库存为",AU2441)))</formula>
    </cfRule>
  </conditionalFormatting>
  <conditionalFormatting sqref="AU2442">
    <cfRule type="cellIs" dxfId="2" priority="5409" operator="lessThan">
      <formula>20</formula>
    </cfRule>
    <cfRule type="cellIs" dxfId="1" priority="2794" operator="greaterThan">
      <formula>120</formula>
    </cfRule>
    <cfRule type="containsText" dxfId="0" priority="179" operator="between" text="库存为">
      <formula>NOT(ISERROR(SEARCH("库存为",AU2442)))</formula>
    </cfRule>
  </conditionalFormatting>
  <conditionalFormatting sqref="AU2443">
    <cfRule type="cellIs" dxfId="2" priority="5408" operator="lessThan">
      <formula>20</formula>
    </cfRule>
    <cfRule type="cellIs" dxfId="1" priority="2793" operator="greaterThan">
      <formula>120</formula>
    </cfRule>
    <cfRule type="containsText" dxfId="0" priority="178" operator="between" text="库存为">
      <formula>NOT(ISERROR(SEARCH("库存为",AU2443)))</formula>
    </cfRule>
  </conditionalFormatting>
  <conditionalFormatting sqref="AU2444">
    <cfRule type="cellIs" dxfId="2" priority="5407" operator="lessThan">
      <formula>20</formula>
    </cfRule>
    <cfRule type="cellIs" dxfId="1" priority="2792" operator="greaterThan">
      <formula>120</formula>
    </cfRule>
    <cfRule type="containsText" dxfId="0" priority="177" operator="between" text="库存为">
      <formula>NOT(ISERROR(SEARCH("库存为",AU2444)))</formula>
    </cfRule>
  </conditionalFormatting>
  <conditionalFormatting sqref="AU2445">
    <cfRule type="cellIs" dxfId="2" priority="5406" operator="lessThan">
      <formula>20</formula>
    </cfRule>
    <cfRule type="cellIs" dxfId="1" priority="2791" operator="greaterThan">
      <formula>120</formula>
    </cfRule>
    <cfRule type="containsText" dxfId="0" priority="176" operator="between" text="库存为">
      <formula>NOT(ISERROR(SEARCH("库存为",AU2445)))</formula>
    </cfRule>
  </conditionalFormatting>
  <conditionalFormatting sqref="AU2446">
    <cfRule type="cellIs" dxfId="2" priority="5405" operator="lessThan">
      <formula>20</formula>
    </cfRule>
    <cfRule type="cellIs" dxfId="1" priority="2790" operator="greaterThan">
      <formula>120</formula>
    </cfRule>
    <cfRule type="containsText" dxfId="0" priority="175" operator="between" text="库存为">
      <formula>NOT(ISERROR(SEARCH("库存为",AU2446)))</formula>
    </cfRule>
  </conditionalFormatting>
  <conditionalFormatting sqref="AU2447">
    <cfRule type="cellIs" dxfId="2" priority="5404" operator="lessThan">
      <formula>20</formula>
    </cfRule>
    <cfRule type="cellIs" dxfId="1" priority="2789" operator="greaterThan">
      <formula>120</formula>
    </cfRule>
    <cfRule type="containsText" dxfId="0" priority="174" operator="between" text="库存为">
      <formula>NOT(ISERROR(SEARCH("库存为",AU2447)))</formula>
    </cfRule>
  </conditionalFormatting>
  <conditionalFormatting sqref="AU2448">
    <cfRule type="cellIs" dxfId="2" priority="5403" operator="lessThan">
      <formula>20</formula>
    </cfRule>
    <cfRule type="cellIs" dxfId="1" priority="2788" operator="greaterThan">
      <formula>120</formula>
    </cfRule>
    <cfRule type="containsText" dxfId="0" priority="173" operator="between" text="库存为">
      <formula>NOT(ISERROR(SEARCH("库存为",AU2448)))</formula>
    </cfRule>
  </conditionalFormatting>
  <conditionalFormatting sqref="AU2449">
    <cfRule type="cellIs" dxfId="2" priority="5402" operator="lessThan">
      <formula>20</formula>
    </cfRule>
    <cfRule type="cellIs" dxfId="1" priority="2787" operator="greaterThan">
      <formula>120</formula>
    </cfRule>
    <cfRule type="containsText" dxfId="0" priority="172" operator="between" text="库存为">
      <formula>NOT(ISERROR(SEARCH("库存为",AU2449)))</formula>
    </cfRule>
  </conditionalFormatting>
  <conditionalFormatting sqref="AU2450">
    <cfRule type="cellIs" dxfId="2" priority="5401" operator="lessThan">
      <formula>20</formula>
    </cfRule>
    <cfRule type="cellIs" dxfId="1" priority="2786" operator="greaterThan">
      <formula>120</formula>
    </cfRule>
    <cfRule type="containsText" dxfId="0" priority="171" operator="between" text="库存为">
      <formula>NOT(ISERROR(SEARCH("库存为",AU2450)))</formula>
    </cfRule>
  </conditionalFormatting>
  <conditionalFormatting sqref="AU2451">
    <cfRule type="cellIs" dxfId="2" priority="5400" operator="lessThan">
      <formula>20</formula>
    </cfRule>
    <cfRule type="cellIs" dxfId="1" priority="2785" operator="greaterThan">
      <formula>120</formula>
    </cfRule>
    <cfRule type="containsText" dxfId="0" priority="170" operator="between" text="库存为">
      <formula>NOT(ISERROR(SEARCH("库存为",AU2451)))</formula>
    </cfRule>
  </conditionalFormatting>
  <conditionalFormatting sqref="AU2452">
    <cfRule type="cellIs" dxfId="2" priority="5399" operator="lessThan">
      <formula>20</formula>
    </cfRule>
    <cfRule type="cellIs" dxfId="1" priority="2784" operator="greaterThan">
      <formula>120</formula>
    </cfRule>
    <cfRule type="containsText" dxfId="0" priority="169" operator="between" text="库存为">
      <formula>NOT(ISERROR(SEARCH("库存为",AU2452)))</formula>
    </cfRule>
  </conditionalFormatting>
  <conditionalFormatting sqref="AU2453">
    <cfRule type="cellIs" dxfId="2" priority="5398" operator="lessThan">
      <formula>20</formula>
    </cfRule>
    <cfRule type="cellIs" dxfId="1" priority="2783" operator="greaterThan">
      <formula>120</formula>
    </cfRule>
    <cfRule type="containsText" dxfId="0" priority="168" operator="between" text="库存为">
      <formula>NOT(ISERROR(SEARCH("库存为",AU2453)))</formula>
    </cfRule>
  </conditionalFormatting>
  <conditionalFormatting sqref="AU2454">
    <cfRule type="cellIs" dxfId="2" priority="5397" operator="lessThan">
      <formula>20</formula>
    </cfRule>
    <cfRule type="cellIs" dxfId="1" priority="2782" operator="greaterThan">
      <formula>120</formula>
    </cfRule>
    <cfRule type="containsText" dxfId="0" priority="167" operator="between" text="库存为">
      <formula>NOT(ISERROR(SEARCH("库存为",AU2454)))</formula>
    </cfRule>
  </conditionalFormatting>
  <conditionalFormatting sqref="AU2455">
    <cfRule type="cellIs" dxfId="2" priority="5396" operator="lessThan">
      <formula>20</formula>
    </cfRule>
    <cfRule type="cellIs" dxfId="1" priority="2781" operator="greaterThan">
      <formula>120</formula>
    </cfRule>
    <cfRule type="containsText" dxfId="0" priority="166" operator="between" text="库存为">
      <formula>NOT(ISERROR(SEARCH("库存为",AU2455)))</formula>
    </cfRule>
  </conditionalFormatting>
  <conditionalFormatting sqref="AU2456">
    <cfRule type="cellIs" dxfId="2" priority="5395" operator="lessThan">
      <formula>20</formula>
    </cfRule>
    <cfRule type="cellIs" dxfId="1" priority="2780" operator="greaterThan">
      <formula>120</formula>
    </cfRule>
    <cfRule type="containsText" dxfId="0" priority="165" operator="between" text="库存为">
      <formula>NOT(ISERROR(SEARCH("库存为",AU2456)))</formula>
    </cfRule>
  </conditionalFormatting>
  <conditionalFormatting sqref="AU2457">
    <cfRule type="cellIs" dxfId="2" priority="5394" operator="lessThan">
      <formula>20</formula>
    </cfRule>
    <cfRule type="cellIs" dxfId="1" priority="2779" operator="greaterThan">
      <formula>120</formula>
    </cfRule>
    <cfRule type="containsText" dxfId="0" priority="164" operator="between" text="库存为">
      <formula>NOT(ISERROR(SEARCH("库存为",AU2457)))</formula>
    </cfRule>
  </conditionalFormatting>
  <conditionalFormatting sqref="AU2458">
    <cfRule type="cellIs" dxfId="2" priority="5393" operator="lessThan">
      <formula>20</formula>
    </cfRule>
    <cfRule type="cellIs" dxfId="1" priority="2778" operator="greaterThan">
      <formula>120</formula>
    </cfRule>
    <cfRule type="containsText" dxfId="0" priority="163" operator="between" text="库存为">
      <formula>NOT(ISERROR(SEARCH("库存为",AU2458)))</formula>
    </cfRule>
  </conditionalFormatting>
  <conditionalFormatting sqref="AU2459">
    <cfRule type="cellIs" dxfId="2" priority="5392" operator="lessThan">
      <formula>20</formula>
    </cfRule>
    <cfRule type="cellIs" dxfId="1" priority="2777" operator="greaterThan">
      <formula>120</formula>
    </cfRule>
    <cfRule type="containsText" dxfId="0" priority="162" operator="between" text="库存为">
      <formula>NOT(ISERROR(SEARCH("库存为",AU2459)))</formula>
    </cfRule>
  </conditionalFormatting>
  <conditionalFormatting sqref="AU2460">
    <cfRule type="cellIs" dxfId="2" priority="5391" operator="lessThan">
      <formula>20</formula>
    </cfRule>
    <cfRule type="cellIs" dxfId="1" priority="2776" operator="greaterThan">
      <formula>120</formula>
    </cfRule>
    <cfRule type="containsText" dxfId="0" priority="161" operator="between" text="库存为">
      <formula>NOT(ISERROR(SEARCH("库存为",AU2460)))</formula>
    </cfRule>
  </conditionalFormatting>
  <conditionalFormatting sqref="AU2461">
    <cfRule type="cellIs" dxfId="2" priority="5390" operator="lessThan">
      <formula>20</formula>
    </cfRule>
    <cfRule type="cellIs" dxfId="1" priority="2775" operator="greaterThan">
      <formula>120</formula>
    </cfRule>
    <cfRule type="containsText" dxfId="0" priority="160" operator="between" text="库存为">
      <formula>NOT(ISERROR(SEARCH("库存为",AU2461)))</formula>
    </cfRule>
  </conditionalFormatting>
  <conditionalFormatting sqref="AU2462">
    <cfRule type="cellIs" dxfId="2" priority="5389" operator="lessThan">
      <formula>20</formula>
    </cfRule>
    <cfRule type="cellIs" dxfId="1" priority="2774" operator="greaterThan">
      <formula>120</formula>
    </cfRule>
    <cfRule type="containsText" dxfId="0" priority="159" operator="between" text="库存为">
      <formula>NOT(ISERROR(SEARCH("库存为",AU2462)))</formula>
    </cfRule>
  </conditionalFormatting>
  <conditionalFormatting sqref="AU2463">
    <cfRule type="cellIs" dxfId="2" priority="5388" operator="lessThan">
      <formula>20</formula>
    </cfRule>
    <cfRule type="cellIs" dxfId="1" priority="2773" operator="greaterThan">
      <formula>120</formula>
    </cfRule>
    <cfRule type="containsText" dxfId="0" priority="158" operator="between" text="库存为">
      <formula>NOT(ISERROR(SEARCH("库存为",AU2463)))</formula>
    </cfRule>
  </conditionalFormatting>
  <conditionalFormatting sqref="AU2464">
    <cfRule type="cellIs" dxfId="2" priority="5387" operator="lessThan">
      <formula>20</formula>
    </cfRule>
    <cfRule type="cellIs" dxfId="1" priority="2772" operator="greaterThan">
      <formula>120</formula>
    </cfRule>
    <cfRule type="containsText" dxfId="0" priority="157" operator="between" text="库存为">
      <formula>NOT(ISERROR(SEARCH("库存为",AU2464)))</formula>
    </cfRule>
  </conditionalFormatting>
  <conditionalFormatting sqref="AU2465">
    <cfRule type="cellIs" dxfId="2" priority="5386" operator="lessThan">
      <formula>20</formula>
    </cfRule>
    <cfRule type="cellIs" dxfId="1" priority="2771" operator="greaterThan">
      <formula>120</formula>
    </cfRule>
    <cfRule type="containsText" dxfId="0" priority="156" operator="between" text="库存为">
      <formula>NOT(ISERROR(SEARCH("库存为",AU2465)))</formula>
    </cfRule>
  </conditionalFormatting>
  <conditionalFormatting sqref="AU2466">
    <cfRule type="cellIs" dxfId="2" priority="5385" operator="lessThan">
      <formula>20</formula>
    </cfRule>
    <cfRule type="cellIs" dxfId="1" priority="2770" operator="greaterThan">
      <formula>120</formula>
    </cfRule>
    <cfRule type="containsText" dxfId="0" priority="155" operator="between" text="库存为">
      <formula>NOT(ISERROR(SEARCH("库存为",AU2466)))</formula>
    </cfRule>
  </conditionalFormatting>
  <conditionalFormatting sqref="AU2467">
    <cfRule type="cellIs" dxfId="2" priority="5384" operator="lessThan">
      <formula>20</formula>
    </cfRule>
    <cfRule type="cellIs" dxfId="1" priority="2769" operator="greaterThan">
      <formula>120</formula>
    </cfRule>
    <cfRule type="containsText" dxfId="0" priority="154" operator="between" text="库存为">
      <formula>NOT(ISERROR(SEARCH("库存为",AU2467)))</formula>
    </cfRule>
  </conditionalFormatting>
  <conditionalFormatting sqref="AU2468">
    <cfRule type="cellIs" dxfId="2" priority="5383" operator="lessThan">
      <formula>20</formula>
    </cfRule>
    <cfRule type="cellIs" dxfId="1" priority="2768" operator="greaterThan">
      <formula>120</formula>
    </cfRule>
    <cfRule type="containsText" dxfId="0" priority="153" operator="between" text="库存为">
      <formula>NOT(ISERROR(SEARCH("库存为",AU2468)))</formula>
    </cfRule>
  </conditionalFormatting>
  <conditionalFormatting sqref="AU2469">
    <cfRule type="cellIs" dxfId="2" priority="5382" operator="lessThan">
      <formula>20</formula>
    </cfRule>
    <cfRule type="cellIs" dxfId="1" priority="2767" operator="greaterThan">
      <formula>120</formula>
    </cfRule>
    <cfRule type="containsText" dxfId="0" priority="152" operator="between" text="库存为">
      <formula>NOT(ISERROR(SEARCH("库存为",AU2469)))</formula>
    </cfRule>
  </conditionalFormatting>
  <conditionalFormatting sqref="AU2470">
    <cfRule type="cellIs" dxfId="2" priority="5381" operator="lessThan">
      <formula>20</formula>
    </cfRule>
    <cfRule type="cellIs" dxfId="1" priority="2766" operator="greaterThan">
      <formula>120</formula>
    </cfRule>
    <cfRule type="containsText" dxfId="0" priority="151" operator="between" text="库存为">
      <formula>NOT(ISERROR(SEARCH("库存为",AU2470)))</formula>
    </cfRule>
  </conditionalFormatting>
  <conditionalFormatting sqref="AU2471">
    <cfRule type="cellIs" dxfId="2" priority="5380" operator="lessThan">
      <formula>20</formula>
    </cfRule>
    <cfRule type="cellIs" dxfId="1" priority="2765" operator="greaterThan">
      <formula>120</formula>
    </cfRule>
    <cfRule type="containsText" dxfId="0" priority="150" operator="between" text="库存为">
      <formula>NOT(ISERROR(SEARCH("库存为",AU2471)))</formula>
    </cfRule>
  </conditionalFormatting>
  <conditionalFormatting sqref="AU2472">
    <cfRule type="cellIs" dxfId="2" priority="5379" operator="lessThan">
      <formula>20</formula>
    </cfRule>
    <cfRule type="cellIs" dxfId="1" priority="2764" operator="greaterThan">
      <formula>120</formula>
    </cfRule>
    <cfRule type="containsText" dxfId="0" priority="149" operator="between" text="库存为">
      <formula>NOT(ISERROR(SEARCH("库存为",AU2472)))</formula>
    </cfRule>
  </conditionalFormatting>
  <conditionalFormatting sqref="AU2473">
    <cfRule type="cellIs" dxfId="2" priority="5378" operator="lessThan">
      <formula>20</formula>
    </cfRule>
    <cfRule type="cellIs" dxfId="1" priority="2763" operator="greaterThan">
      <formula>120</formula>
    </cfRule>
    <cfRule type="containsText" dxfId="0" priority="148" operator="between" text="库存为">
      <formula>NOT(ISERROR(SEARCH("库存为",AU2473)))</formula>
    </cfRule>
  </conditionalFormatting>
  <conditionalFormatting sqref="AU2474">
    <cfRule type="cellIs" dxfId="2" priority="5377" operator="lessThan">
      <formula>20</formula>
    </cfRule>
    <cfRule type="cellIs" dxfId="1" priority="2762" operator="greaterThan">
      <formula>120</formula>
    </cfRule>
    <cfRule type="containsText" dxfId="0" priority="147" operator="between" text="库存为">
      <formula>NOT(ISERROR(SEARCH("库存为",AU2474)))</formula>
    </cfRule>
  </conditionalFormatting>
  <conditionalFormatting sqref="AU2475">
    <cfRule type="cellIs" dxfId="2" priority="5376" operator="lessThan">
      <formula>20</formula>
    </cfRule>
    <cfRule type="cellIs" dxfId="1" priority="2761" operator="greaterThan">
      <formula>120</formula>
    </cfRule>
    <cfRule type="containsText" dxfId="0" priority="146" operator="between" text="库存为">
      <formula>NOT(ISERROR(SEARCH("库存为",AU2475)))</formula>
    </cfRule>
  </conditionalFormatting>
  <conditionalFormatting sqref="AU2476">
    <cfRule type="cellIs" dxfId="2" priority="5375" operator="lessThan">
      <formula>20</formula>
    </cfRule>
    <cfRule type="cellIs" dxfId="1" priority="2760" operator="greaterThan">
      <formula>120</formula>
    </cfRule>
    <cfRule type="containsText" dxfId="0" priority="145" operator="between" text="库存为">
      <formula>NOT(ISERROR(SEARCH("库存为",AU2476)))</formula>
    </cfRule>
  </conditionalFormatting>
  <conditionalFormatting sqref="AU2477">
    <cfRule type="cellIs" dxfId="2" priority="5374" operator="lessThan">
      <formula>20</formula>
    </cfRule>
    <cfRule type="cellIs" dxfId="1" priority="2759" operator="greaterThan">
      <formula>120</formula>
    </cfRule>
    <cfRule type="containsText" dxfId="0" priority="144" operator="between" text="库存为">
      <formula>NOT(ISERROR(SEARCH("库存为",AU2477)))</formula>
    </cfRule>
  </conditionalFormatting>
  <conditionalFormatting sqref="AU2478">
    <cfRule type="cellIs" dxfId="2" priority="5373" operator="lessThan">
      <formula>20</formula>
    </cfRule>
    <cfRule type="cellIs" dxfId="1" priority="2758" operator="greaterThan">
      <formula>120</formula>
    </cfRule>
    <cfRule type="containsText" dxfId="0" priority="143" operator="between" text="库存为">
      <formula>NOT(ISERROR(SEARCH("库存为",AU2478)))</formula>
    </cfRule>
  </conditionalFormatting>
  <conditionalFormatting sqref="AU2479">
    <cfRule type="cellIs" dxfId="2" priority="5372" operator="lessThan">
      <formula>20</formula>
    </cfRule>
    <cfRule type="cellIs" dxfId="1" priority="2757" operator="greaterThan">
      <formula>120</formula>
    </cfRule>
    <cfRule type="containsText" dxfId="0" priority="142" operator="between" text="库存为">
      <formula>NOT(ISERROR(SEARCH("库存为",AU2479)))</formula>
    </cfRule>
  </conditionalFormatting>
  <conditionalFormatting sqref="AU2480">
    <cfRule type="cellIs" dxfId="2" priority="5371" operator="lessThan">
      <formula>20</formula>
    </cfRule>
    <cfRule type="cellIs" dxfId="1" priority="2756" operator="greaterThan">
      <formula>120</formula>
    </cfRule>
    <cfRule type="containsText" dxfId="0" priority="141" operator="between" text="库存为">
      <formula>NOT(ISERROR(SEARCH("库存为",AU2480)))</formula>
    </cfRule>
  </conditionalFormatting>
  <conditionalFormatting sqref="AU2481">
    <cfRule type="cellIs" dxfId="2" priority="5370" operator="lessThan">
      <formula>20</formula>
    </cfRule>
    <cfRule type="cellIs" dxfId="1" priority="2755" operator="greaterThan">
      <formula>120</formula>
    </cfRule>
    <cfRule type="containsText" dxfId="0" priority="140" operator="between" text="库存为">
      <formula>NOT(ISERROR(SEARCH("库存为",AU2481)))</formula>
    </cfRule>
  </conditionalFormatting>
  <conditionalFormatting sqref="AU2482">
    <cfRule type="cellIs" dxfId="2" priority="5369" operator="lessThan">
      <formula>20</formula>
    </cfRule>
    <cfRule type="cellIs" dxfId="1" priority="2754" operator="greaterThan">
      <formula>120</formula>
    </cfRule>
    <cfRule type="containsText" dxfId="0" priority="139" operator="between" text="库存为">
      <formula>NOT(ISERROR(SEARCH("库存为",AU2482)))</formula>
    </cfRule>
  </conditionalFormatting>
  <conditionalFormatting sqref="AU2483">
    <cfRule type="cellIs" dxfId="2" priority="5368" operator="lessThan">
      <formula>20</formula>
    </cfRule>
    <cfRule type="cellIs" dxfId="1" priority="2753" operator="greaterThan">
      <formula>120</formula>
    </cfRule>
    <cfRule type="containsText" dxfId="0" priority="138" operator="between" text="库存为">
      <formula>NOT(ISERROR(SEARCH("库存为",AU2483)))</formula>
    </cfRule>
  </conditionalFormatting>
  <conditionalFormatting sqref="AU2484">
    <cfRule type="cellIs" dxfId="2" priority="5367" operator="lessThan">
      <formula>20</formula>
    </cfRule>
    <cfRule type="cellIs" dxfId="1" priority="2752" operator="greaterThan">
      <formula>120</formula>
    </cfRule>
    <cfRule type="containsText" dxfId="0" priority="137" operator="between" text="库存为">
      <formula>NOT(ISERROR(SEARCH("库存为",AU2484)))</formula>
    </cfRule>
  </conditionalFormatting>
  <conditionalFormatting sqref="AU2485">
    <cfRule type="cellIs" dxfId="2" priority="5366" operator="lessThan">
      <formula>20</formula>
    </cfRule>
    <cfRule type="cellIs" dxfId="1" priority="2751" operator="greaterThan">
      <formula>120</formula>
    </cfRule>
    <cfRule type="containsText" dxfId="0" priority="136" operator="between" text="库存为">
      <formula>NOT(ISERROR(SEARCH("库存为",AU2485)))</formula>
    </cfRule>
  </conditionalFormatting>
  <conditionalFormatting sqref="AU2486">
    <cfRule type="cellIs" dxfId="2" priority="5365" operator="lessThan">
      <formula>20</formula>
    </cfRule>
    <cfRule type="cellIs" dxfId="1" priority="2750" operator="greaterThan">
      <formula>120</formula>
    </cfRule>
    <cfRule type="containsText" dxfId="0" priority="135" operator="between" text="库存为">
      <formula>NOT(ISERROR(SEARCH("库存为",AU2486)))</formula>
    </cfRule>
  </conditionalFormatting>
  <conditionalFormatting sqref="AU2487">
    <cfRule type="cellIs" dxfId="2" priority="5364" operator="lessThan">
      <formula>20</formula>
    </cfRule>
    <cfRule type="cellIs" dxfId="1" priority="2749" operator="greaterThan">
      <formula>120</formula>
    </cfRule>
    <cfRule type="containsText" dxfId="0" priority="134" operator="between" text="库存为">
      <formula>NOT(ISERROR(SEARCH("库存为",AU2487)))</formula>
    </cfRule>
  </conditionalFormatting>
  <conditionalFormatting sqref="AU2488">
    <cfRule type="cellIs" dxfId="2" priority="5363" operator="lessThan">
      <formula>20</formula>
    </cfRule>
    <cfRule type="cellIs" dxfId="1" priority="2748" operator="greaterThan">
      <formula>120</formula>
    </cfRule>
    <cfRule type="containsText" dxfId="0" priority="133" operator="between" text="库存为">
      <formula>NOT(ISERROR(SEARCH("库存为",AU2488)))</formula>
    </cfRule>
  </conditionalFormatting>
  <conditionalFormatting sqref="AU2489">
    <cfRule type="cellIs" dxfId="2" priority="5362" operator="lessThan">
      <formula>20</formula>
    </cfRule>
    <cfRule type="cellIs" dxfId="1" priority="2747" operator="greaterThan">
      <formula>120</formula>
    </cfRule>
    <cfRule type="containsText" dxfId="0" priority="132" operator="between" text="库存为">
      <formula>NOT(ISERROR(SEARCH("库存为",AU2489)))</formula>
    </cfRule>
  </conditionalFormatting>
  <conditionalFormatting sqref="AU2490">
    <cfRule type="cellIs" dxfId="2" priority="5361" operator="lessThan">
      <formula>20</formula>
    </cfRule>
    <cfRule type="cellIs" dxfId="1" priority="2746" operator="greaterThan">
      <formula>120</formula>
    </cfRule>
    <cfRule type="containsText" dxfId="0" priority="131" operator="between" text="库存为">
      <formula>NOT(ISERROR(SEARCH("库存为",AU2490)))</formula>
    </cfRule>
  </conditionalFormatting>
  <conditionalFormatting sqref="AU2491">
    <cfRule type="cellIs" dxfId="2" priority="5360" operator="lessThan">
      <formula>20</formula>
    </cfRule>
    <cfRule type="cellIs" dxfId="1" priority="2745" operator="greaterThan">
      <formula>120</formula>
    </cfRule>
    <cfRule type="containsText" dxfId="0" priority="130" operator="between" text="库存为">
      <formula>NOT(ISERROR(SEARCH("库存为",AU2491)))</formula>
    </cfRule>
  </conditionalFormatting>
  <conditionalFormatting sqref="AU2492">
    <cfRule type="cellIs" dxfId="2" priority="5359" operator="lessThan">
      <formula>20</formula>
    </cfRule>
    <cfRule type="cellIs" dxfId="1" priority="2744" operator="greaterThan">
      <formula>120</formula>
    </cfRule>
    <cfRule type="containsText" dxfId="0" priority="129" operator="between" text="库存为">
      <formula>NOT(ISERROR(SEARCH("库存为",AU2492)))</formula>
    </cfRule>
  </conditionalFormatting>
  <conditionalFormatting sqref="AU2493">
    <cfRule type="cellIs" dxfId="2" priority="5358" operator="lessThan">
      <formula>20</formula>
    </cfRule>
    <cfRule type="cellIs" dxfId="1" priority="2743" operator="greaterThan">
      <formula>120</formula>
    </cfRule>
    <cfRule type="containsText" dxfId="0" priority="128" operator="between" text="库存为">
      <formula>NOT(ISERROR(SEARCH("库存为",AU2493)))</formula>
    </cfRule>
  </conditionalFormatting>
  <conditionalFormatting sqref="AU2494">
    <cfRule type="cellIs" dxfId="2" priority="5357" operator="lessThan">
      <formula>20</formula>
    </cfRule>
    <cfRule type="cellIs" dxfId="1" priority="2742" operator="greaterThan">
      <formula>120</formula>
    </cfRule>
    <cfRule type="containsText" dxfId="0" priority="127" operator="between" text="库存为">
      <formula>NOT(ISERROR(SEARCH("库存为",AU2494)))</formula>
    </cfRule>
  </conditionalFormatting>
  <conditionalFormatting sqref="AU2495">
    <cfRule type="cellIs" dxfId="2" priority="5356" operator="lessThan">
      <formula>20</formula>
    </cfRule>
    <cfRule type="cellIs" dxfId="1" priority="2741" operator="greaterThan">
      <formula>120</formula>
    </cfRule>
    <cfRule type="containsText" dxfId="0" priority="126" operator="between" text="库存为">
      <formula>NOT(ISERROR(SEARCH("库存为",AU2495)))</formula>
    </cfRule>
  </conditionalFormatting>
  <conditionalFormatting sqref="AU2496">
    <cfRule type="cellIs" dxfId="2" priority="5355" operator="lessThan">
      <formula>20</formula>
    </cfRule>
    <cfRule type="cellIs" dxfId="1" priority="2740" operator="greaterThan">
      <formula>120</formula>
    </cfRule>
    <cfRule type="containsText" dxfId="0" priority="125" operator="between" text="库存为">
      <formula>NOT(ISERROR(SEARCH("库存为",AU2496)))</formula>
    </cfRule>
  </conditionalFormatting>
  <conditionalFormatting sqref="AU2497">
    <cfRule type="cellIs" dxfId="2" priority="5354" operator="lessThan">
      <formula>20</formula>
    </cfRule>
    <cfRule type="cellIs" dxfId="1" priority="2739" operator="greaterThan">
      <formula>120</formula>
    </cfRule>
    <cfRule type="containsText" dxfId="0" priority="124" operator="between" text="库存为">
      <formula>NOT(ISERROR(SEARCH("库存为",AU2497)))</formula>
    </cfRule>
  </conditionalFormatting>
  <conditionalFormatting sqref="AU2498">
    <cfRule type="cellIs" dxfId="2" priority="5353" operator="lessThan">
      <formula>20</formula>
    </cfRule>
    <cfRule type="cellIs" dxfId="1" priority="2738" operator="greaterThan">
      <formula>120</formula>
    </cfRule>
    <cfRule type="containsText" dxfId="0" priority="123" operator="between" text="库存为">
      <formula>NOT(ISERROR(SEARCH("库存为",AU2498)))</formula>
    </cfRule>
  </conditionalFormatting>
  <conditionalFormatting sqref="AU2499">
    <cfRule type="cellIs" dxfId="2" priority="5352" operator="lessThan">
      <formula>20</formula>
    </cfRule>
    <cfRule type="cellIs" dxfId="1" priority="2737" operator="greaterThan">
      <formula>120</formula>
    </cfRule>
    <cfRule type="containsText" dxfId="0" priority="122" operator="between" text="库存为">
      <formula>NOT(ISERROR(SEARCH("库存为",AU2499)))</formula>
    </cfRule>
  </conditionalFormatting>
  <conditionalFormatting sqref="AU2500">
    <cfRule type="cellIs" dxfId="2" priority="5351" operator="lessThan">
      <formula>20</formula>
    </cfRule>
    <cfRule type="cellIs" dxfId="1" priority="2736" operator="greaterThan">
      <formula>120</formula>
    </cfRule>
    <cfRule type="containsText" dxfId="0" priority="121" operator="between" text="库存为">
      <formula>NOT(ISERROR(SEARCH("库存为",AU2500)))</formula>
    </cfRule>
  </conditionalFormatting>
  <conditionalFormatting sqref="AU2501">
    <cfRule type="cellIs" dxfId="2" priority="5350" operator="lessThan">
      <formula>20</formula>
    </cfRule>
    <cfRule type="cellIs" dxfId="1" priority="2735" operator="greaterThan">
      <formula>120</formula>
    </cfRule>
    <cfRule type="containsText" dxfId="0" priority="120" operator="between" text="库存为">
      <formula>NOT(ISERROR(SEARCH("库存为",AU2501)))</formula>
    </cfRule>
  </conditionalFormatting>
  <conditionalFormatting sqref="AU2502">
    <cfRule type="cellIs" dxfId="2" priority="5349" operator="lessThan">
      <formula>20</formula>
    </cfRule>
    <cfRule type="cellIs" dxfId="1" priority="2734" operator="greaterThan">
      <formula>120</formula>
    </cfRule>
    <cfRule type="containsText" dxfId="0" priority="119" operator="between" text="库存为">
      <formula>NOT(ISERROR(SEARCH("库存为",AU2502)))</formula>
    </cfRule>
  </conditionalFormatting>
  <conditionalFormatting sqref="AU2503">
    <cfRule type="cellIs" dxfId="2" priority="5348" operator="lessThan">
      <formula>20</formula>
    </cfRule>
    <cfRule type="cellIs" dxfId="1" priority="2733" operator="greaterThan">
      <formula>120</formula>
    </cfRule>
    <cfRule type="containsText" dxfId="0" priority="118" operator="between" text="库存为">
      <formula>NOT(ISERROR(SEARCH("库存为",AU2503)))</formula>
    </cfRule>
  </conditionalFormatting>
  <conditionalFormatting sqref="AU2504">
    <cfRule type="cellIs" dxfId="2" priority="5347" operator="lessThan">
      <formula>20</formula>
    </cfRule>
    <cfRule type="cellIs" dxfId="1" priority="2732" operator="greaterThan">
      <formula>120</formula>
    </cfRule>
    <cfRule type="containsText" dxfId="0" priority="117" operator="between" text="库存为">
      <formula>NOT(ISERROR(SEARCH("库存为",AU2504)))</formula>
    </cfRule>
  </conditionalFormatting>
  <conditionalFormatting sqref="AU2505">
    <cfRule type="cellIs" dxfId="2" priority="5346" operator="lessThan">
      <formula>20</formula>
    </cfRule>
    <cfRule type="cellIs" dxfId="1" priority="2731" operator="greaterThan">
      <formula>120</formula>
    </cfRule>
    <cfRule type="containsText" dxfId="0" priority="116" operator="between" text="库存为">
      <formula>NOT(ISERROR(SEARCH("库存为",AU2505)))</formula>
    </cfRule>
  </conditionalFormatting>
  <conditionalFormatting sqref="AU2506">
    <cfRule type="cellIs" dxfId="2" priority="5345" operator="lessThan">
      <formula>20</formula>
    </cfRule>
    <cfRule type="cellIs" dxfId="1" priority="2730" operator="greaterThan">
      <formula>120</formula>
    </cfRule>
    <cfRule type="containsText" dxfId="0" priority="115" operator="between" text="库存为">
      <formula>NOT(ISERROR(SEARCH("库存为",AU2506)))</formula>
    </cfRule>
  </conditionalFormatting>
  <conditionalFormatting sqref="AU2507">
    <cfRule type="cellIs" dxfId="2" priority="5344" operator="lessThan">
      <formula>20</formula>
    </cfRule>
    <cfRule type="cellIs" dxfId="1" priority="2729" operator="greaterThan">
      <formula>120</formula>
    </cfRule>
    <cfRule type="containsText" dxfId="0" priority="114" operator="between" text="库存为">
      <formula>NOT(ISERROR(SEARCH("库存为",AU2507)))</formula>
    </cfRule>
  </conditionalFormatting>
  <conditionalFormatting sqref="AU2508">
    <cfRule type="cellIs" dxfId="2" priority="5343" operator="lessThan">
      <formula>20</formula>
    </cfRule>
    <cfRule type="cellIs" dxfId="1" priority="2728" operator="greaterThan">
      <formula>120</formula>
    </cfRule>
    <cfRule type="containsText" dxfId="0" priority="113" operator="between" text="库存为">
      <formula>NOT(ISERROR(SEARCH("库存为",AU2508)))</formula>
    </cfRule>
  </conditionalFormatting>
  <conditionalFormatting sqref="AU2509">
    <cfRule type="cellIs" dxfId="2" priority="5342" operator="lessThan">
      <formula>20</formula>
    </cfRule>
    <cfRule type="cellIs" dxfId="1" priority="2727" operator="greaterThan">
      <formula>120</formula>
    </cfRule>
    <cfRule type="containsText" dxfId="0" priority="112" operator="between" text="库存为">
      <formula>NOT(ISERROR(SEARCH("库存为",AU2509)))</formula>
    </cfRule>
  </conditionalFormatting>
  <conditionalFormatting sqref="AU2510">
    <cfRule type="cellIs" dxfId="2" priority="5341" operator="lessThan">
      <formula>20</formula>
    </cfRule>
    <cfRule type="cellIs" dxfId="1" priority="2726" operator="greaterThan">
      <formula>120</formula>
    </cfRule>
    <cfRule type="containsText" dxfId="0" priority="111" operator="between" text="库存为">
      <formula>NOT(ISERROR(SEARCH("库存为",AU2510)))</formula>
    </cfRule>
  </conditionalFormatting>
  <conditionalFormatting sqref="AU2511">
    <cfRule type="cellIs" dxfId="2" priority="5340" operator="lessThan">
      <formula>20</formula>
    </cfRule>
    <cfRule type="cellIs" dxfId="1" priority="2725" operator="greaterThan">
      <formula>120</formula>
    </cfRule>
    <cfRule type="containsText" dxfId="0" priority="110" operator="between" text="库存为">
      <formula>NOT(ISERROR(SEARCH("库存为",AU2511)))</formula>
    </cfRule>
  </conditionalFormatting>
  <conditionalFormatting sqref="AU2512">
    <cfRule type="cellIs" dxfId="2" priority="5339" operator="lessThan">
      <formula>20</formula>
    </cfRule>
    <cfRule type="cellIs" dxfId="1" priority="2724" operator="greaterThan">
      <formula>120</formula>
    </cfRule>
    <cfRule type="containsText" dxfId="0" priority="109" operator="between" text="库存为">
      <formula>NOT(ISERROR(SEARCH("库存为",AU2512)))</formula>
    </cfRule>
  </conditionalFormatting>
  <conditionalFormatting sqref="AU2513">
    <cfRule type="cellIs" dxfId="2" priority="5338" operator="lessThan">
      <formula>20</formula>
    </cfRule>
    <cfRule type="cellIs" dxfId="1" priority="2723" operator="greaterThan">
      <formula>120</formula>
    </cfRule>
    <cfRule type="containsText" dxfId="0" priority="108" operator="between" text="库存为">
      <formula>NOT(ISERROR(SEARCH("库存为",AU2513)))</formula>
    </cfRule>
  </conditionalFormatting>
  <conditionalFormatting sqref="AU2514">
    <cfRule type="cellIs" dxfId="2" priority="5337" operator="lessThan">
      <formula>20</formula>
    </cfRule>
    <cfRule type="cellIs" dxfId="1" priority="2722" operator="greaterThan">
      <formula>120</formula>
    </cfRule>
    <cfRule type="containsText" dxfId="0" priority="107" operator="between" text="库存为">
      <formula>NOT(ISERROR(SEARCH("库存为",AU2514)))</formula>
    </cfRule>
  </conditionalFormatting>
  <conditionalFormatting sqref="AU2515">
    <cfRule type="cellIs" dxfId="2" priority="5336" operator="lessThan">
      <formula>20</formula>
    </cfRule>
    <cfRule type="cellIs" dxfId="1" priority="2721" operator="greaterThan">
      <formula>120</formula>
    </cfRule>
    <cfRule type="containsText" dxfId="0" priority="106" operator="between" text="库存为">
      <formula>NOT(ISERROR(SEARCH("库存为",AU2515)))</formula>
    </cfRule>
  </conditionalFormatting>
  <conditionalFormatting sqref="AU2516">
    <cfRule type="cellIs" dxfId="2" priority="5335" operator="lessThan">
      <formula>20</formula>
    </cfRule>
    <cfRule type="cellIs" dxfId="1" priority="2720" operator="greaterThan">
      <formula>120</formula>
    </cfRule>
    <cfRule type="containsText" dxfId="0" priority="105" operator="between" text="库存为">
      <formula>NOT(ISERROR(SEARCH("库存为",AU2516)))</formula>
    </cfRule>
  </conditionalFormatting>
  <conditionalFormatting sqref="AU2517">
    <cfRule type="cellIs" dxfId="2" priority="5334" operator="lessThan">
      <formula>20</formula>
    </cfRule>
    <cfRule type="cellIs" dxfId="1" priority="2719" operator="greaterThan">
      <formula>120</formula>
    </cfRule>
    <cfRule type="containsText" dxfId="0" priority="104" operator="between" text="库存为">
      <formula>NOT(ISERROR(SEARCH("库存为",AU2517)))</formula>
    </cfRule>
  </conditionalFormatting>
  <conditionalFormatting sqref="AU2518">
    <cfRule type="cellIs" dxfId="2" priority="5333" operator="lessThan">
      <formula>20</formula>
    </cfRule>
    <cfRule type="cellIs" dxfId="1" priority="2718" operator="greaterThan">
      <formula>120</formula>
    </cfRule>
    <cfRule type="containsText" dxfId="0" priority="103" operator="between" text="库存为">
      <formula>NOT(ISERROR(SEARCH("库存为",AU2518)))</formula>
    </cfRule>
  </conditionalFormatting>
  <conditionalFormatting sqref="AU2519">
    <cfRule type="cellIs" dxfId="2" priority="5332" operator="lessThan">
      <formula>20</formula>
    </cfRule>
    <cfRule type="cellIs" dxfId="1" priority="2717" operator="greaterThan">
      <formula>120</formula>
    </cfRule>
    <cfRule type="containsText" dxfId="0" priority="102" operator="between" text="库存为">
      <formula>NOT(ISERROR(SEARCH("库存为",AU2519)))</formula>
    </cfRule>
  </conditionalFormatting>
  <conditionalFormatting sqref="AU2520">
    <cfRule type="cellIs" dxfId="2" priority="5331" operator="lessThan">
      <formula>20</formula>
    </cfRule>
    <cfRule type="cellIs" dxfId="1" priority="2716" operator="greaterThan">
      <formula>120</formula>
    </cfRule>
    <cfRule type="containsText" dxfId="0" priority="101" operator="between" text="库存为">
      <formula>NOT(ISERROR(SEARCH("库存为",AU2520)))</formula>
    </cfRule>
  </conditionalFormatting>
  <conditionalFormatting sqref="AU2521">
    <cfRule type="cellIs" dxfId="2" priority="5330" operator="lessThan">
      <formula>20</formula>
    </cfRule>
    <cfRule type="cellIs" dxfId="1" priority="2715" operator="greaterThan">
      <formula>120</formula>
    </cfRule>
    <cfRule type="containsText" dxfId="0" priority="100" operator="between" text="库存为">
      <formula>NOT(ISERROR(SEARCH("库存为",AU2521)))</formula>
    </cfRule>
  </conditionalFormatting>
  <conditionalFormatting sqref="AU2522">
    <cfRule type="cellIs" dxfId="2" priority="5329" operator="lessThan">
      <formula>20</formula>
    </cfRule>
    <cfRule type="cellIs" dxfId="1" priority="2714" operator="greaterThan">
      <formula>120</formula>
    </cfRule>
    <cfRule type="containsText" dxfId="0" priority="99" operator="between" text="库存为">
      <formula>NOT(ISERROR(SEARCH("库存为",AU2522)))</formula>
    </cfRule>
  </conditionalFormatting>
  <conditionalFormatting sqref="AU2523">
    <cfRule type="cellIs" dxfId="2" priority="5328" operator="lessThan">
      <formula>20</formula>
    </cfRule>
    <cfRule type="cellIs" dxfId="1" priority="2713" operator="greaterThan">
      <formula>120</formula>
    </cfRule>
    <cfRule type="containsText" dxfId="0" priority="98" operator="between" text="库存为">
      <formula>NOT(ISERROR(SEARCH("库存为",AU2523)))</formula>
    </cfRule>
  </conditionalFormatting>
  <conditionalFormatting sqref="AU2524">
    <cfRule type="cellIs" dxfId="2" priority="5327" operator="lessThan">
      <formula>20</formula>
    </cfRule>
    <cfRule type="cellIs" dxfId="1" priority="2712" operator="greaterThan">
      <formula>120</formula>
    </cfRule>
    <cfRule type="containsText" dxfId="0" priority="97" operator="between" text="库存为">
      <formula>NOT(ISERROR(SEARCH("库存为",AU2524)))</formula>
    </cfRule>
  </conditionalFormatting>
  <conditionalFormatting sqref="AU2525">
    <cfRule type="cellIs" dxfId="2" priority="5326" operator="lessThan">
      <formula>20</formula>
    </cfRule>
    <cfRule type="cellIs" dxfId="1" priority="2711" operator="greaterThan">
      <formula>120</formula>
    </cfRule>
    <cfRule type="containsText" dxfId="0" priority="96" operator="between" text="库存为">
      <formula>NOT(ISERROR(SEARCH("库存为",AU2525)))</formula>
    </cfRule>
  </conditionalFormatting>
  <conditionalFormatting sqref="AU2526">
    <cfRule type="cellIs" dxfId="2" priority="5325" operator="lessThan">
      <formula>20</formula>
    </cfRule>
    <cfRule type="cellIs" dxfId="1" priority="2710" operator="greaterThan">
      <formula>120</formula>
    </cfRule>
    <cfRule type="containsText" dxfId="0" priority="95" operator="between" text="库存为">
      <formula>NOT(ISERROR(SEARCH("库存为",AU2526)))</formula>
    </cfRule>
  </conditionalFormatting>
  <conditionalFormatting sqref="AU2527">
    <cfRule type="cellIs" dxfId="2" priority="5324" operator="lessThan">
      <formula>20</formula>
    </cfRule>
    <cfRule type="cellIs" dxfId="1" priority="2709" operator="greaterThan">
      <formula>120</formula>
    </cfRule>
    <cfRule type="containsText" dxfId="0" priority="94" operator="between" text="库存为">
      <formula>NOT(ISERROR(SEARCH("库存为",AU2527)))</formula>
    </cfRule>
  </conditionalFormatting>
  <conditionalFormatting sqref="AU2528">
    <cfRule type="cellIs" dxfId="2" priority="5323" operator="lessThan">
      <formula>20</formula>
    </cfRule>
    <cfRule type="cellIs" dxfId="1" priority="2708" operator="greaterThan">
      <formula>120</formula>
    </cfRule>
    <cfRule type="containsText" dxfId="0" priority="93" operator="between" text="库存为">
      <formula>NOT(ISERROR(SEARCH("库存为",AU2528)))</formula>
    </cfRule>
  </conditionalFormatting>
  <conditionalFormatting sqref="AU2529">
    <cfRule type="cellIs" dxfId="2" priority="5322" operator="lessThan">
      <formula>20</formula>
    </cfRule>
    <cfRule type="cellIs" dxfId="1" priority="2707" operator="greaterThan">
      <formula>120</formula>
    </cfRule>
    <cfRule type="containsText" dxfId="0" priority="92" operator="between" text="库存为">
      <formula>NOT(ISERROR(SEARCH("库存为",AU2529)))</formula>
    </cfRule>
  </conditionalFormatting>
  <conditionalFormatting sqref="AU2530">
    <cfRule type="cellIs" dxfId="2" priority="5321" operator="lessThan">
      <formula>20</formula>
    </cfRule>
    <cfRule type="cellIs" dxfId="1" priority="2706" operator="greaterThan">
      <formula>120</formula>
    </cfRule>
    <cfRule type="containsText" dxfId="0" priority="91" operator="between" text="库存为">
      <formula>NOT(ISERROR(SEARCH("库存为",AU2530)))</formula>
    </cfRule>
  </conditionalFormatting>
  <conditionalFormatting sqref="AU2531">
    <cfRule type="cellIs" dxfId="2" priority="5320" operator="lessThan">
      <formula>20</formula>
    </cfRule>
    <cfRule type="cellIs" dxfId="1" priority="2705" operator="greaterThan">
      <formula>120</formula>
    </cfRule>
    <cfRule type="containsText" dxfId="0" priority="90" operator="between" text="库存为">
      <formula>NOT(ISERROR(SEARCH("库存为",AU2531)))</formula>
    </cfRule>
  </conditionalFormatting>
  <conditionalFormatting sqref="AU2532">
    <cfRule type="cellIs" dxfId="2" priority="5319" operator="lessThan">
      <formula>20</formula>
    </cfRule>
    <cfRule type="cellIs" dxfId="1" priority="2704" operator="greaterThan">
      <formula>120</formula>
    </cfRule>
    <cfRule type="containsText" dxfId="0" priority="89" operator="between" text="库存为">
      <formula>NOT(ISERROR(SEARCH("库存为",AU2532)))</formula>
    </cfRule>
  </conditionalFormatting>
  <conditionalFormatting sqref="AU2533">
    <cfRule type="cellIs" dxfId="2" priority="5318" operator="lessThan">
      <formula>20</formula>
    </cfRule>
    <cfRule type="cellIs" dxfId="1" priority="2703" operator="greaterThan">
      <formula>120</formula>
    </cfRule>
    <cfRule type="containsText" dxfId="0" priority="88" operator="between" text="库存为">
      <formula>NOT(ISERROR(SEARCH("库存为",AU2533)))</formula>
    </cfRule>
  </conditionalFormatting>
  <conditionalFormatting sqref="AU2534">
    <cfRule type="cellIs" dxfId="2" priority="5317" operator="lessThan">
      <formula>20</formula>
    </cfRule>
    <cfRule type="cellIs" dxfId="1" priority="2702" operator="greaterThan">
      <formula>120</formula>
    </cfRule>
    <cfRule type="containsText" dxfId="0" priority="87" operator="between" text="库存为">
      <formula>NOT(ISERROR(SEARCH("库存为",AU2534)))</formula>
    </cfRule>
  </conditionalFormatting>
  <conditionalFormatting sqref="AU2535">
    <cfRule type="cellIs" dxfId="2" priority="5316" operator="lessThan">
      <formula>20</formula>
    </cfRule>
    <cfRule type="cellIs" dxfId="1" priority="2701" operator="greaterThan">
      <formula>120</formula>
    </cfRule>
    <cfRule type="containsText" dxfId="0" priority="86" operator="between" text="库存为">
      <formula>NOT(ISERROR(SEARCH("库存为",AU2535)))</formula>
    </cfRule>
  </conditionalFormatting>
  <conditionalFormatting sqref="AU2536">
    <cfRule type="cellIs" dxfId="2" priority="5315" operator="lessThan">
      <formula>20</formula>
    </cfRule>
    <cfRule type="cellIs" dxfId="1" priority="2700" operator="greaterThan">
      <formula>120</formula>
    </cfRule>
    <cfRule type="containsText" dxfId="0" priority="85" operator="between" text="库存为">
      <formula>NOT(ISERROR(SEARCH("库存为",AU2536)))</formula>
    </cfRule>
  </conditionalFormatting>
  <conditionalFormatting sqref="AU2537">
    <cfRule type="cellIs" dxfId="2" priority="5314" operator="lessThan">
      <formula>20</formula>
    </cfRule>
    <cfRule type="cellIs" dxfId="1" priority="2699" operator="greaterThan">
      <formula>120</formula>
    </cfRule>
    <cfRule type="containsText" dxfId="0" priority="84" operator="between" text="库存为">
      <formula>NOT(ISERROR(SEARCH("库存为",AU2537)))</formula>
    </cfRule>
  </conditionalFormatting>
  <conditionalFormatting sqref="AU2538">
    <cfRule type="cellIs" dxfId="2" priority="5313" operator="lessThan">
      <formula>20</formula>
    </cfRule>
    <cfRule type="cellIs" dxfId="1" priority="2698" operator="greaterThan">
      <formula>120</formula>
    </cfRule>
    <cfRule type="containsText" dxfId="0" priority="83" operator="between" text="库存为">
      <formula>NOT(ISERROR(SEARCH("库存为",AU2538)))</formula>
    </cfRule>
  </conditionalFormatting>
  <conditionalFormatting sqref="AU2539">
    <cfRule type="cellIs" dxfId="2" priority="5312" operator="lessThan">
      <formula>20</formula>
    </cfRule>
    <cfRule type="cellIs" dxfId="1" priority="2697" operator="greaterThan">
      <formula>120</formula>
    </cfRule>
    <cfRule type="containsText" dxfId="0" priority="82" operator="between" text="库存为">
      <formula>NOT(ISERROR(SEARCH("库存为",AU2539)))</formula>
    </cfRule>
  </conditionalFormatting>
  <conditionalFormatting sqref="AU2540">
    <cfRule type="cellIs" dxfId="2" priority="5311" operator="lessThan">
      <formula>20</formula>
    </cfRule>
    <cfRule type="cellIs" dxfId="1" priority="2696" operator="greaterThan">
      <formula>120</formula>
    </cfRule>
    <cfRule type="containsText" dxfId="0" priority="81" operator="between" text="库存为">
      <formula>NOT(ISERROR(SEARCH("库存为",AU2540)))</formula>
    </cfRule>
  </conditionalFormatting>
  <conditionalFormatting sqref="AU2541">
    <cfRule type="cellIs" dxfId="2" priority="5310" operator="lessThan">
      <formula>20</formula>
    </cfRule>
    <cfRule type="cellIs" dxfId="1" priority="2695" operator="greaterThan">
      <formula>120</formula>
    </cfRule>
    <cfRule type="containsText" dxfId="0" priority="80" operator="between" text="库存为">
      <formula>NOT(ISERROR(SEARCH("库存为",AU2541)))</formula>
    </cfRule>
  </conditionalFormatting>
  <conditionalFormatting sqref="AU2542">
    <cfRule type="cellIs" dxfId="2" priority="5309" operator="lessThan">
      <formula>20</formula>
    </cfRule>
    <cfRule type="cellIs" dxfId="1" priority="2694" operator="greaterThan">
      <formula>120</formula>
    </cfRule>
    <cfRule type="containsText" dxfId="0" priority="79" operator="between" text="库存为">
      <formula>NOT(ISERROR(SEARCH("库存为",AU2542)))</formula>
    </cfRule>
  </conditionalFormatting>
  <conditionalFormatting sqref="AU2543">
    <cfRule type="cellIs" dxfId="2" priority="5308" operator="lessThan">
      <formula>20</formula>
    </cfRule>
    <cfRule type="cellIs" dxfId="1" priority="2693" operator="greaterThan">
      <formula>120</formula>
    </cfRule>
    <cfRule type="containsText" dxfId="0" priority="78" operator="between" text="库存为">
      <formula>NOT(ISERROR(SEARCH("库存为",AU2543)))</formula>
    </cfRule>
  </conditionalFormatting>
  <conditionalFormatting sqref="AU2544">
    <cfRule type="cellIs" dxfId="2" priority="5307" operator="lessThan">
      <formula>20</formula>
    </cfRule>
    <cfRule type="cellIs" dxfId="1" priority="2692" operator="greaterThan">
      <formula>120</formula>
    </cfRule>
    <cfRule type="containsText" dxfId="0" priority="77" operator="between" text="库存为">
      <formula>NOT(ISERROR(SEARCH("库存为",AU2544)))</formula>
    </cfRule>
  </conditionalFormatting>
  <conditionalFormatting sqref="AU2545">
    <cfRule type="cellIs" dxfId="2" priority="5306" operator="lessThan">
      <formula>20</formula>
    </cfRule>
    <cfRule type="cellIs" dxfId="1" priority="2691" operator="greaterThan">
      <formula>120</formula>
    </cfRule>
    <cfRule type="containsText" dxfId="0" priority="76" operator="between" text="库存为">
      <formula>NOT(ISERROR(SEARCH("库存为",AU2545)))</formula>
    </cfRule>
  </conditionalFormatting>
  <conditionalFormatting sqref="AU2546">
    <cfRule type="cellIs" dxfId="2" priority="5305" operator="lessThan">
      <formula>20</formula>
    </cfRule>
    <cfRule type="cellIs" dxfId="1" priority="2690" operator="greaterThan">
      <formula>120</formula>
    </cfRule>
    <cfRule type="containsText" dxfId="0" priority="75" operator="between" text="库存为">
      <formula>NOT(ISERROR(SEARCH("库存为",AU2546)))</formula>
    </cfRule>
  </conditionalFormatting>
  <conditionalFormatting sqref="AU2547">
    <cfRule type="cellIs" dxfId="2" priority="5304" operator="lessThan">
      <formula>20</formula>
    </cfRule>
    <cfRule type="cellIs" dxfId="1" priority="2689" operator="greaterThan">
      <formula>120</formula>
    </cfRule>
    <cfRule type="containsText" dxfId="0" priority="74" operator="between" text="库存为">
      <formula>NOT(ISERROR(SEARCH("库存为",AU2547)))</formula>
    </cfRule>
  </conditionalFormatting>
  <conditionalFormatting sqref="AU2548">
    <cfRule type="cellIs" dxfId="2" priority="5303" operator="lessThan">
      <formula>20</formula>
    </cfRule>
    <cfRule type="cellIs" dxfId="1" priority="2688" operator="greaterThan">
      <formula>120</formula>
    </cfRule>
    <cfRule type="containsText" dxfId="0" priority="73" operator="between" text="库存为">
      <formula>NOT(ISERROR(SEARCH("库存为",AU2548)))</formula>
    </cfRule>
  </conditionalFormatting>
  <conditionalFormatting sqref="AU2549">
    <cfRule type="cellIs" dxfId="2" priority="5302" operator="lessThan">
      <formula>20</formula>
    </cfRule>
    <cfRule type="cellIs" dxfId="1" priority="2687" operator="greaterThan">
      <formula>120</formula>
    </cfRule>
    <cfRule type="containsText" dxfId="0" priority="72" operator="between" text="库存为">
      <formula>NOT(ISERROR(SEARCH("库存为",AU2549)))</formula>
    </cfRule>
  </conditionalFormatting>
  <conditionalFormatting sqref="AU2550">
    <cfRule type="cellIs" dxfId="2" priority="5301" operator="lessThan">
      <formula>20</formula>
    </cfRule>
    <cfRule type="cellIs" dxfId="1" priority="2686" operator="greaterThan">
      <formula>120</formula>
    </cfRule>
    <cfRule type="containsText" dxfId="0" priority="71" operator="between" text="库存为">
      <formula>NOT(ISERROR(SEARCH("库存为",AU2550)))</formula>
    </cfRule>
  </conditionalFormatting>
  <conditionalFormatting sqref="AU2551">
    <cfRule type="cellIs" dxfId="2" priority="5300" operator="lessThan">
      <formula>20</formula>
    </cfRule>
    <cfRule type="cellIs" dxfId="1" priority="2685" operator="greaterThan">
      <formula>120</formula>
    </cfRule>
    <cfRule type="containsText" dxfId="0" priority="70" operator="between" text="库存为">
      <formula>NOT(ISERROR(SEARCH("库存为",AU2551)))</formula>
    </cfRule>
  </conditionalFormatting>
  <conditionalFormatting sqref="AU2552">
    <cfRule type="cellIs" dxfId="2" priority="5299" operator="lessThan">
      <formula>20</formula>
    </cfRule>
    <cfRule type="cellIs" dxfId="1" priority="2684" operator="greaterThan">
      <formula>120</formula>
    </cfRule>
    <cfRule type="containsText" dxfId="0" priority="69" operator="between" text="库存为">
      <formula>NOT(ISERROR(SEARCH("库存为",AU2552)))</formula>
    </cfRule>
  </conditionalFormatting>
  <conditionalFormatting sqref="AU2553">
    <cfRule type="cellIs" dxfId="2" priority="5298" operator="lessThan">
      <formula>20</formula>
    </cfRule>
    <cfRule type="cellIs" dxfId="1" priority="2683" operator="greaterThan">
      <formula>120</formula>
    </cfRule>
    <cfRule type="containsText" dxfId="0" priority="68" operator="between" text="库存为">
      <formula>NOT(ISERROR(SEARCH("库存为",AU2553)))</formula>
    </cfRule>
  </conditionalFormatting>
  <conditionalFormatting sqref="AU2554">
    <cfRule type="cellIs" dxfId="2" priority="5297" operator="lessThan">
      <formula>20</formula>
    </cfRule>
    <cfRule type="cellIs" dxfId="1" priority="2682" operator="greaterThan">
      <formula>120</formula>
    </cfRule>
    <cfRule type="containsText" dxfId="0" priority="67" operator="between" text="库存为">
      <formula>NOT(ISERROR(SEARCH("库存为",AU2554)))</formula>
    </cfRule>
  </conditionalFormatting>
  <conditionalFormatting sqref="AU2555">
    <cfRule type="cellIs" dxfId="2" priority="5296" operator="lessThan">
      <formula>20</formula>
    </cfRule>
    <cfRule type="cellIs" dxfId="1" priority="2681" operator="greaterThan">
      <formula>120</formula>
    </cfRule>
    <cfRule type="containsText" dxfId="0" priority="66" operator="between" text="库存为">
      <formula>NOT(ISERROR(SEARCH("库存为",AU2555)))</formula>
    </cfRule>
  </conditionalFormatting>
  <conditionalFormatting sqref="AU2556">
    <cfRule type="cellIs" dxfId="2" priority="5295" operator="lessThan">
      <formula>20</formula>
    </cfRule>
    <cfRule type="cellIs" dxfId="1" priority="2680" operator="greaterThan">
      <formula>120</formula>
    </cfRule>
    <cfRule type="containsText" dxfId="0" priority="65" operator="between" text="库存为">
      <formula>NOT(ISERROR(SEARCH("库存为",AU2556)))</formula>
    </cfRule>
  </conditionalFormatting>
  <conditionalFormatting sqref="AU2557">
    <cfRule type="cellIs" dxfId="2" priority="5294" operator="lessThan">
      <formula>20</formula>
    </cfRule>
    <cfRule type="cellIs" dxfId="1" priority="2679" operator="greaterThan">
      <formula>120</formula>
    </cfRule>
    <cfRule type="containsText" dxfId="0" priority="64" operator="between" text="库存为">
      <formula>NOT(ISERROR(SEARCH("库存为",AU2557)))</formula>
    </cfRule>
  </conditionalFormatting>
  <conditionalFormatting sqref="AU2558">
    <cfRule type="cellIs" dxfId="2" priority="5293" operator="lessThan">
      <formula>20</formula>
    </cfRule>
    <cfRule type="cellIs" dxfId="1" priority="2678" operator="greaterThan">
      <formula>120</formula>
    </cfRule>
    <cfRule type="containsText" dxfId="0" priority="63" operator="between" text="库存为">
      <formula>NOT(ISERROR(SEARCH("库存为",AU2558)))</formula>
    </cfRule>
  </conditionalFormatting>
  <conditionalFormatting sqref="AU2559">
    <cfRule type="cellIs" dxfId="2" priority="5292" operator="lessThan">
      <formula>20</formula>
    </cfRule>
    <cfRule type="cellIs" dxfId="1" priority="2677" operator="greaterThan">
      <formula>120</formula>
    </cfRule>
    <cfRule type="containsText" dxfId="0" priority="62" operator="between" text="库存为">
      <formula>NOT(ISERROR(SEARCH("库存为",AU2559)))</formula>
    </cfRule>
  </conditionalFormatting>
  <conditionalFormatting sqref="AU2560">
    <cfRule type="cellIs" dxfId="2" priority="5291" operator="lessThan">
      <formula>20</formula>
    </cfRule>
    <cfRule type="cellIs" dxfId="1" priority="2676" operator="greaterThan">
      <formula>120</formula>
    </cfRule>
    <cfRule type="containsText" dxfId="0" priority="61" operator="between" text="库存为">
      <formula>NOT(ISERROR(SEARCH("库存为",AU2560)))</formula>
    </cfRule>
  </conditionalFormatting>
  <conditionalFormatting sqref="AU2561">
    <cfRule type="cellIs" dxfId="2" priority="5290" operator="lessThan">
      <formula>20</formula>
    </cfRule>
    <cfRule type="cellIs" dxfId="1" priority="2675" operator="greaterThan">
      <formula>120</formula>
    </cfRule>
    <cfRule type="containsText" dxfId="0" priority="60" operator="between" text="库存为">
      <formula>NOT(ISERROR(SEARCH("库存为",AU2561)))</formula>
    </cfRule>
  </conditionalFormatting>
  <conditionalFormatting sqref="AU2562">
    <cfRule type="cellIs" dxfId="2" priority="5289" operator="lessThan">
      <formula>20</formula>
    </cfRule>
    <cfRule type="cellIs" dxfId="1" priority="2674" operator="greaterThan">
      <formula>120</formula>
    </cfRule>
    <cfRule type="containsText" dxfId="0" priority="59" operator="between" text="库存为">
      <formula>NOT(ISERROR(SEARCH("库存为",AU2562)))</formula>
    </cfRule>
  </conditionalFormatting>
  <conditionalFormatting sqref="AU2563">
    <cfRule type="cellIs" dxfId="2" priority="5288" operator="lessThan">
      <formula>20</formula>
    </cfRule>
    <cfRule type="cellIs" dxfId="1" priority="2673" operator="greaterThan">
      <formula>120</formula>
    </cfRule>
    <cfRule type="containsText" dxfId="0" priority="58" operator="between" text="库存为">
      <formula>NOT(ISERROR(SEARCH("库存为",AU2563)))</formula>
    </cfRule>
  </conditionalFormatting>
  <conditionalFormatting sqref="AU2564">
    <cfRule type="cellIs" dxfId="2" priority="5287" operator="lessThan">
      <formula>20</formula>
    </cfRule>
    <cfRule type="cellIs" dxfId="1" priority="2672" operator="greaterThan">
      <formula>120</formula>
    </cfRule>
    <cfRule type="containsText" dxfId="0" priority="57" operator="between" text="库存为">
      <formula>NOT(ISERROR(SEARCH("库存为",AU2564)))</formula>
    </cfRule>
  </conditionalFormatting>
  <conditionalFormatting sqref="AU2565">
    <cfRule type="cellIs" dxfId="2" priority="5286" operator="lessThan">
      <formula>20</formula>
    </cfRule>
    <cfRule type="cellIs" dxfId="1" priority="2671" operator="greaterThan">
      <formula>120</formula>
    </cfRule>
    <cfRule type="containsText" dxfId="0" priority="56" operator="between" text="库存为">
      <formula>NOT(ISERROR(SEARCH("库存为",AU2565)))</formula>
    </cfRule>
  </conditionalFormatting>
  <conditionalFormatting sqref="AU2566">
    <cfRule type="cellIs" dxfId="2" priority="5285" operator="lessThan">
      <formula>20</formula>
    </cfRule>
    <cfRule type="cellIs" dxfId="1" priority="2670" operator="greaterThan">
      <formula>120</formula>
    </cfRule>
    <cfRule type="containsText" dxfId="0" priority="55" operator="between" text="库存为">
      <formula>NOT(ISERROR(SEARCH("库存为",AU2566)))</formula>
    </cfRule>
  </conditionalFormatting>
  <conditionalFormatting sqref="AU2567">
    <cfRule type="cellIs" dxfId="2" priority="5284" operator="lessThan">
      <formula>20</formula>
    </cfRule>
    <cfRule type="cellIs" dxfId="1" priority="2669" operator="greaterThan">
      <formula>120</formula>
    </cfRule>
    <cfRule type="containsText" dxfId="0" priority="54" operator="between" text="库存为">
      <formula>NOT(ISERROR(SEARCH("库存为",AU2567)))</formula>
    </cfRule>
  </conditionalFormatting>
  <conditionalFormatting sqref="AU2568">
    <cfRule type="cellIs" dxfId="2" priority="5283" operator="lessThan">
      <formula>20</formula>
    </cfRule>
    <cfRule type="cellIs" dxfId="1" priority="2668" operator="greaterThan">
      <formula>120</formula>
    </cfRule>
    <cfRule type="containsText" dxfId="0" priority="53" operator="between" text="库存为">
      <formula>NOT(ISERROR(SEARCH("库存为",AU2568)))</formula>
    </cfRule>
  </conditionalFormatting>
  <conditionalFormatting sqref="AU2569">
    <cfRule type="cellIs" dxfId="2" priority="5282" operator="lessThan">
      <formula>20</formula>
    </cfRule>
    <cfRule type="cellIs" dxfId="1" priority="2667" operator="greaterThan">
      <formula>120</formula>
    </cfRule>
    <cfRule type="containsText" dxfId="0" priority="52" operator="between" text="库存为">
      <formula>NOT(ISERROR(SEARCH("库存为",AU2569)))</formula>
    </cfRule>
  </conditionalFormatting>
  <conditionalFormatting sqref="AU2570">
    <cfRule type="cellIs" dxfId="2" priority="5281" operator="lessThan">
      <formula>20</formula>
    </cfRule>
    <cfRule type="cellIs" dxfId="1" priority="2666" operator="greaterThan">
      <formula>120</formula>
    </cfRule>
    <cfRule type="containsText" dxfId="0" priority="51" operator="between" text="库存为">
      <formula>NOT(ISERROR(SEARCH("库存为",AU2570)))</formula>
    </cfRule>
  </conditionalFormatting>
  <conditionalFormatting sqref="AU2571">
    <cfRule type="cellIs" dxfId="2" priority="5280" operator="lessThan">
      <formula>20</formula>
    </cfRule>
    <cfRule type="cellIs" dxfId="1" priority="2665" operator="greaterThan">
      <formula>120</formula>
    </cfRule>
    <cfRule type="containsText" dxfId="0" priority="50" operator="between" text="库存为">
      <formula>NOT(ISERROR(SEARCH("库存为",AU2571)))</formula>
    </cfRule>
  </conditionalFormatting>
  <conditionalFormatting sqref="AU2572">
    <cfRule type="cellIs" dxfId="2" priority="5279" operator="lessThan">
      <formula>20</formula>
    </cfRule>
    <cfRule type="cellIs" dxfId="1" priority="2664" operator="greaterThan">
      <formula>120</formula>
    </cfRule>
    <cfRule type="containsText" dxfId="0" priority="49" operator="between" text="库存为">
      <formula>NOT(ISERROR(SEARCH("库存为",AU2572)))</formula>
    </cfRule>
  </conditionalFormatting>
  <conditionalFormatting sqref="AU2573">
    <cfRule type="cellIs" dxfId="2" priority="5278" operator="lessThan">
      <formula>20</formula>
    </cfRule>
    <cfRule type="cellIs" dxfId="1" priority="2663" operator="greaterThan">
      <formula>120</formula>
    </cfRule>
    <cfRule type="containsText" dxfId="0" priority="48" operator="between" text="库存为">
      <formula>NOT(ISERROR(SEARCH("库存为",AU2573)))</formula>
    </cfRule>
  </conditionalFormatting>
  <conditionalFormatting sqref="AU2574">
    <cfRule type="cellIs" dxfId="2" priority="5277" operator="lessThan">
      <formula>20</formula>
    </cfRule>
    <cfRule type="cellIs" dxfId="1" priority="2662" operator="greaterThan">
      <formula>120</formula>
    </cfRule>
    <cfRule type="containsText" dxfId="0" priority="47" operator="between" text="库存为">
      <formula>NOT(ISERROR(SEARCH("库存为",AU2574)))</formula>
    </cfRule>
  </conditionalFormatting>
  <conditionalFormatting sqref="AU2575">
    <cfRule type="cellIs" dxfId="2" priority="5276" operator="lessThan">
      <formula>20</formula>
    </cfRule>
    <cfRule type="cellIs" dxfId="1" priority="2661" operator="greaterThan">
      <formula>120</formula>
    </cfRule>
    <cfRule type="containsText" dxfId="0" priority="46" operator="between" text="库存为">
      <formula>NOT(ISERROR(SEARCH("库存为",AU2575)))</formula>
    </cfRule>
  </conditionalFormatting>
  <conditionalFormatting sqref="AU2576">
    <cfRule type="cellIs" dxfId="2" priority="5275" operator="lessThan">
      <formula>20</formula>
    </cfRule>
    <cfRule type="cellIs" dxfId="1" priority="2660" operator="greaterThan">
      <formula>120</formula>
    </cfRule>
    <cfRule type="containsText" dxfId="0" priority="45" operator="between" text="库存为">
      <formula>NOT(ISERROR(SEARCH("库存为",AU2576)))</formula>
    </cfRule>
  </conditionalFormatting>
  <conditionalFormatting sqref="AU2577">
    <cfRule type="cellIs" dxfId="2" priority="5274" operator="lessThan">
      <formula>20</formula>
    </cfRule>
    <cfRule type="cellIs" dxfId="1" priority="2659" operator="greaterThan">
      <formula>120</formula>
    </cfRule>
    <cfRule type="containsText" dxfId="0" priority="44" operator="between" text="库存为">
      <formula>NOT(ISERROR(SEARCH("库存为",AU2577)))</formula>
    </cfRule>
  </conditionalFormatting>
  <conditionalFormatting sqref="AU2578">
    <cfRule type="cellIs" dxfId="2" priority="5273" operator="lessThan">
      <formula>20</formula>
    </cfRule>
    <cfRule type="cellIs" dxfId="1" priority="2658" operator="greaterThan">
      <formula>120</formula>
    </cfRule>
    <cfRule type="containsText" dxfId="0" priority="43" operator="between" text="库存为">
      <formula>NOT(ISERROR(SEARCH("库存为",AU2578)))</formula>
    </cfRule>
  </conditionalFormatting>
  <conditionalFormatting sqref="AU2579">
    <cfRule type="cellIs" dxfId="2" priority="5272" operator="lessThan">
      <formula>20</formula>
    </cfRule>
    <cfRule type="cellIs" dxfId="1" priority="2657" operator="greaterThan">
      <formula>120</formula>
    </cfRule>
    <cfRule type="containsText" dxfId="0" priority="42" operator="between" text="库存为">
      <formula>NOT(ISERROR(SEARCH("库存为",AU2579)))</formula>
    </cfRule>
  </conditionalFormatting>
  <conditionalFormatting sqref="AU2580">
    <cfRule type="cellIs" dxfId="2" priority="5271" operator="lessThan">
      <formula>20</formula>
    </cfRule>
    <cfRule type="cellIs" dxfId="1" priority="2656" operator="greaterThan">
      <formula>120</formula>
    </cfRule>
    <cfRule type="containsText" dxfId="0" priority="41" operator="between" text="库存为">
      <formula>NOT(ISERROR(SEARCH("库存为",AU2580)))</formula>
    </cfRule>
  </conditionalFormatting>
  <conditionalFormatting sqref="AU2581">
    <cfRule type="cellIs" dxfId="2" priority="5270" operator="lessThan">
      <formula>20</formula>
    </cfRule>
    <cfRule type="cellIs" dxfId="1" priority="2655" operator="greaterThan">
      <formula>120</formula>
    </cfRule>
    <cfRule type="containsText" dxfId="0" priority="40" operator="between" text="库存为">
      <formula>NOT(ISERROR(SEARCH("库存为",AU2581)))</formula>
    </cfRule>
  </conditionalFormatting>
  <conditionalFormatting sqref="AU2582">
    <cfRule type="cellIs" dxfId="2" priority="5269" operator="lessThan">
      <formula>20</formula>
    </cfRule>
    <cfRule type="cellIs" dxfId="1" priority="2654" operator="greaterThan">
      <formula>120</formula>
    </cfRule>
    <cfRule type="containsText" dxfId="0" priority="39" operator="between" text="库存为">
      <formula>NOT(ISERROR(SEARCH("库存为",AU2582)))</formula>
    </cfRule>
  </conditionalFormatting>
  <conditionalFormatting sqref="AU2583">
    <cfRule type="cellIs" dxfId="2" priority="5268" operator="lessThan">
      <formula>20</formula>
    </cfRule>
    <cfRule type="cellIs" dxfId="1" priority="2653" operator="greaterThan">
      <formula>120</formula>
    </cfRule>
    <cfRule type="containsText" dxfId="0" priority="38" operator="between" text="库存为">
      <formula>NOT(ISERROR(SEARCH("库存为",AU2583)))</formula>
    </cfRule>
  </conditionalFormatting>
  <conditionalFormatting sqref="AU2584">
    <cfRule type="cellIs" dxfId="2" priority="5267" operator="lessThan">
      <formula>20</formula>
    </cfRule>
    <cfRule type="cellIs" dxfId="1" priority="2652" operator="greaterThan">
      <formula>120</formula>
    </cfRule>
    <cfRule type="containsText" dxfId="0" priority="37" operator="between" text="库存为">
      <formula>NOT(ISERROR(SEARCH("库存为",AU2584)))</formula>
    </cfRule>
  </conditionalFormatting>
  <conditionalFormatting sqref="AU2585">
    <cfRule type="cellIs" dxfId="2" priority="5266" operator="lessThan">
      <formula>20</formula>
    </cfRule>
    <cfRule type="cellIs" dxfId="1" priority="2651" operator="greaterThan">
      <formula>120</formula>
    </cfRule>
    <cfRule type="containsText" dxfId="0" priority="36" operator="between" text="库存为">
      <formula>NOT(ISERROR(SEARCH("库存为",AU2585)))</formula>
    </cfRule>
  </conditionalFormatting>
  <conditionalFormatting sqref="AU2586">
    <cfRule type="cellIs" dxfId="2" priority="5265" operator="lessThan">
      <formula>20</formula>
    </cfRule>
    <cfRule type="cellIs" dxfId="1" priority="2650" operator="greaterThan">
      <formula>120</formula>
    </cfRule>
    <cfRule type="containsText" dxfId="0" priority="35" operator="between" text="库存为">
      <formula>NOT(ISERROR(SEARCH("库存为",AU2586)))</formula>
    </cfRule>
  </conditionalFormatting>
  <conditionalFormatting sqref="AU2587">
    <cfRule type="cellIs" dxfId="2" priority="5264" operator="lessThan">
      <formula>20</formula>
    </cfRule>
    <cfRule type="cellIs" dxfId="1" priority="2649" operator="greaterThan">
      <formula>120</formula>
    </cfRule>
    <cfRule type="containsText" dxfId="0" priority="34" operator="between" text="库存为">
      <formula>NOT(ISERROR(SEARCH("库存为",AU2587)))</formula>
    </cfRule>
  </conditionalFormatting>
  <conditionalFormatting sqref="AU2588">
    <cfRule type="cellIs" dxfId="2" priority="5263" operator="lessThan">
      <formula>20</formula>
    </cfRule>
    <cfRule type="cellIs" dxfId="1" priority="2648" operator="greaterThan">
      <formula>120</formula>
    </cfRule>
    <cfRule type="containsText" dxfId="0" priority="33" operator="between" text="库存为">
      <formula>NOT(ISERROR(SEARCH("库存为",AU2588)))</formula>
    </cfRule>
  </conditionalFormatting>
  <conditionalFormatting sqref="AU2589">
    <cfRule type="cellIs" dxfId="2" priority="5262" operator="lessThan">
      <formula>20</formula>
    </cfRule>
    <cfRule type="cellIs" dxfId="1" priority="2647" operator="greaterThan">
      <formula>120</formula>
    </cfRule>
    <cfRule type="containsText" dxfId="0" priority="32" operator="between" text="库存为">
      <formula>NOT(ISERROR(SEARCH("库存为",AU2589)))</formula>
    </cfRule>
  </conditionalFormatting>
  <conditionalFormatting sqref="AU2590">
    <cfRule type="cellIs" dxfId="2" priority="5261" operator="lessThan">
      <formula>20</formula>
    </cfRule>
    <cfRule type="cellIs" dxfId="1" priority="2646" operator="greaterThan">
      <formula>120</formula>
    </cfRule>
    <cfRule type="containsText" dxfId="0" priority="31" operator="between" text="库存为">
      <formula>NOT(ISERROR(SEARCH("库存为",AU2590)))</formula>
    </cfRule>
  </conditionalFormatting>
  <conditionalFormatting sqref="AU2591">
    <cfRule type="cellIs" dxfId="2" priority="5260" operator="lessThan">
      <formula>20</formula>
    </cfRule>
    <cfRule type="cellIs" dxfId="1" priority="2645" operator="greaterThan">
      <formula>120</formula>
    </cfRule>
    <cfRule type="containsText" dxfId="0" priority="30" operator="between" text="库存为">
      <formula>NOT(ISERROR(SEARCH("库存为",AU2591)))</formula>
    </cfRule>
  </conditionalFormatting>
  <conditionalFormatting sqref="AU2592">
    <cfRule type="cellIs" dxfId="2" priority="5259" operator="lessThan">
      <formula>20</formula>
    </cfRule>
    <cfRule type="cellIs" dxfId="1" priority="2644" operator="greaterThan">
      <formula>120</formula>
    </cfRule>
    <cfRule type="containsText" dxfId="0" priority="29" operator="between" text="库存为">
      <formula>NOT(ISERROR(SEARCH("库存为",AU2592)))</formula>
    </cfRule>
  </conditionalFormatting>
  <conditionalFormatting sqref="AU2593">
    <cfRule type="cellIs" dxfId="2" priority="5258" operator="lessThan">
      <formula>20</formula>
    </cfRule>
    <cfRule type="cellIs" dxfId="1" priority="2643" operator="greaterThan">
      <formula>120</formula>
    </cfRule>
    <cfRule type="containsText" dxfId="0" priority="28" operator="between" text="库存为">
      <formula>NOT(ISERROR(SEARCH("库存为",AU2593)))</formula>
    </cfRule>
  </conditionalFormatting>
  <conditionalFormatting sqref="AU2594">
    <cfRule type="cellIs" dxfId="2" priority="5257" operator="lessThan">
      <formula>20</formula>
    </cfRule>
    <cfRule type="cellIs" dxfId="1" priority="2642" operator="greaterThan">
      <formula>120</formula>
    </cfRule>
    <cfRule type="containsText" dxfId="0" priority="27" operator="between" text="库存为">
      <formula>NOT(ISERROR(SEARCH("库存为",AU2594)))</formula>
    </cfRule>
  </conditionalFormatting>
  <conditionalFormatting sqref="AU2595">
    <cfRule type="cellIs" dxfId="2" priority="5256" operator="lessThan">
      <formula>20</formula>
    </cfRule>
    <cfRule type="cellIs" dxfId="1" priority="2641" operator="greaterThan">
      <formula>120</formula>
    </cfRule>
    <cfRule type="containsText" dxfId="0" priority="26" operator="between" text="库存为">
      <formula>NOT(ISERROR(SEARCH("库存为",AU2595)))</formula>
    </cfRule>
  </conditionalFormatting>
  <conditionalFormatting sqref="AU2596">
    <cfRule type="cellIs" dxfId="2" priority="5255" operator="lessThan">
      <formula>20</formula>
    </cfRule>
    <cfRule type="cellIs" dxfId="1" priority="2640" operator="greaterThan">
      <formula>120</formula>
    </cfRule>
    <cfRule type="containsText" dxfId="0" priority="25" operator="between" text="库存为">
      <formula>NOT(ISERROR(SEARCH("库存为",AU2596)))</formula>
    </cfRule>
  </conditionalFormatting>
  <conditionalFormatting sqref="AU2597">
    <cfRule type="cellIs" dxfId="2" priority="5254" operator="lessThan">
      <formula>20</formula>
    </cfRule>
    <cfRule type="cellIs" dxfId="1" priority="2639" operator="greaterThan">
      <formula>120</formula>
    </cfRule>
    <cfRule type="containsText" dxfId="0" priority="24" operator="between" text="库存为">
      <formula>NOT(ISERROR(SEARCH("库存为",AU2597)))</formula>
    </cfRule>
  </conditionalFormatting>
  <conditionalFormatting sqref="AU2598">
    <cfRule type="cellIs" dxfId="2" priority="5253" operator="lessThan">
      <formula>20</formula>
    </cfRule>
    <cfRule type="cellIs" dxfId="1" priority="2638" operator="greaterThan">
      <formula>120</formula>
    </cfRule>
    <cfRule type="containsText" dxfId="0" priority="23" operator="between" text="库存为">
      <formula>NOT(ISERROR(SEARCH("库存为",AU2598)))</formula>
    </cfRule>
  </conditionalFormatting>
  <conditionalFormatting sqref="AU2599">
    <cfRule type="cellIs" dxfId="2" priority="5252" operator="lessThan">
      <formula>20</formula>
    </cfRule>
    <cfRule type="cellIs" dxfId="1" priority="2637" operator="greaterThan">
      <formula>120</formula>
    </cfRule>
    <cfRule type="containsText" dxfId="0" priority="22" operator="between" text="库存为">
      <formula>NOT(ISERROR(SEARCH("库存为",AU2599)))</formula>
    </cfRule>
  </conditionalFormatting>
  <conditionalFormatting sqref="AU2600">
    <cfRule type="cellIs" dxfId="2" priority="5251" operator="lessThan">
      <formula>20</formula>
    </cfRule>
    <cfRule type="cellIs" dxfId="1" priority="2636" operator="greaterThan">
      <formula>120</formula>
    </cfRule>
    <cfRule type="containsText" dxfId="0" priority="21" operator="between" text="库存为">
      <formula>NOT(ISERROR(SEARCH("库存为",AU2600)))</formula>
    </cfRule>
  </conditionalFormatting>
  <conditionalFormatting sqref="AU2601">
    <cfRule type="cellIs" dxfId="2" priority="5250" operator="lessThan">
      <formula>20</formula>
    </cfRule>
    <cfRule type="cellIs" dxfId="1" priority="2635" operator="greaterThan">
      <formula>120</formula>
    </cfRule>
    <cfRule type="containsText" dxfId="0" priority="20" operator="between" text="库存为">
      <formula>NOT(ISERROR(SEARCH("库存为",AU2601)))</formula>
    </cfRule>
  </conditionalFormatting>
  <conditionalFormatting sqref="AU2602">
    <cfRule type="cellIs" dxfId="2" priority="5249" operator="lessThan">
      <formula>20</formula>
    </cfRule>
    <cfRule type="cellIs" dxfId="1" priority="2634" operator="greaterThan">
      <formula>120</formula>
    </cfRule>
    <cfRule type="containsText" dxfId="0" priority="19" operator="between" text="库存为">
      <formula>NOT(ISERROR(SEARCH("库存为",AU2602)))</formula>
    </cfRule>
  </conditionalFormatting>
  <conditionalFormatting sqref="AU2603">
    <cfRule type="cellIs" dxfId="2" priority="5248" operator="lessThan">
      <formula>20</formula>
    </cfRule>
    <cfRule type="cellIs" dxfId="1" priority="2633" operator="greaterThan">
      <formula>120</formula>
    </cfRule>
    <cfRule type="containsText" dxfId="0" priority="18" operator="between" text="库存为">
      <formula>NOT(ISERROR(SEARCH("库存为",AU2603)))</formula>
    </cfRule>
  </conditionalFormatting>
  <conditionalFormatting sqref="AU2604">
    <cfRule type="cellIs" dxfId="2" priority="5247" operator="lessThan">
      <formula>20</formula>
    </cfRule>
    <cfRule type="cellIs" dxfId="1" priority="2632" operator="greaterThan">
      <formula>120</formula>
    </cfRule>
    <cfRule type="containsText" dxfId="0" priority="17" operator="between" text="库存为">
      <formula>NOT(ISERROR(SEARCH("库存为",AU2604)))</formula>
    </cfRule>
  </conditionalFormatting>
  <conditionalFormatting sqref="AU2605">
    <cfRule type="cellIs" dxfId="2" priority="5246" operator="lessThan">
      <formula>20</formula>
    </cfRule>
    <cfRule type="cellIs" dxfId="1" priority="2631" operator="greaterThan">
      <formula>120</formula>
    </cfRule>
    <cfRule type="containsText" dxfId="0" priority="16" operator="between" text="库存为">
      <formula>NOT(ISERROR(SEARCH("库存为",AU2605)))</formula>
    </cfRule>
  </conditionalFormatting>
  <conditionalFormatting sqref="AU2606">
    <cfRule type="cellIs" dxfId="2" priority="5245" operator="lessThan">
      <formula>20</formula>
    </cfRule>
    <cfRule type="cellIs" dxfId="1" priority="2630" operator="greaterThan">
      <formula>120</formula>
    </cfRule>
    <cfRule type="containsText" dxfId="0" priority="15" operator="between" text="库存为">
      <formula>NOT(ISERROR(SEARCH("库存为",AU2606)))</formula>
    </cfRule>
  </conditionalFormatting>
  <conditionalFormatting sqref="AU2607">
    <cfRule type="cellIs" dxfId="2" priority="5244" operator="lessThan">
      <formula>20</formula>
    </cfRule>
    <cfRule type="cellIs" dxfId="1" priority="2629" operator="greaterThan">
      <formula>120</formula>
    </cfRule>
    <cfRule type="containsText" dxfId="0" priority="14" operator="between" text="库存为">
      <formula>NOT(ISERROR(SEARCH("库存为",AU2607)))</formula>
    </cfRule>
  </conditionalFormatting>
  <conditionalFormatting sqref="AU2608">
    <cfRule type="cellIs" dxfId="2" priority="5243" operator="lessThan">
      <formula>20</formula>
    </cfRule>
    <cfRule type="cellIs" dxfId="1" priority="2628" operator="greaterThan">
      <formula>120</formula>
    </cfRule>
    <cfRule type="containsText" dxfId="0" priority="13" operator="between" text="库存为">
      <formula>NOT(ISERROR(SEARCH("库存为",AU2608)))</formula>
    </cfRule>
  </conditionalFormatting>
  <conditionalFormatting sqref="AU2609">
    <cfRule type="cellIs" dxfId="2" priority="5242" operator="lessThan">
      <formula>20</formula>
    </cfRule>
    <cfRule type="cellIs" dxfId="1" priority="2627" operator="greaterThan">
      <formula>120</formula>
    </cfRule>
    <cfRule type="containsText" dxfId="0" priority="12" operator="between" text="库存为">
      <formula>NOT(ISERROR(SEARCH("库存为",AU2609)))</formula>
    </cfRule>
  </conditionalFormatting>
  <conditionalFormatting sqref="AU2610">
    <cfRule type="cellIs" dxfId="2" priority="5241" operator="lessThan">
      <formula>20</formula>
    </cfRule>
    <cfRule type="cellIs" dxfId="1" priority="2626" operator="greaterThan">
      <formula>120</formula>
    </cfRule>
    <cfRule type="containsText" dxfId="0" priority="11" operator="between" text="库存为">
      <formula>NOT(ISERROR(SEARCH("库存为",AU2610)))</formula>
    </cfRule>
  </conditionalFormatting>
  <conditionalFormatting sqref="AU2611">
    <cfRule type="cellIs" dxfId="2" priority="5240" operator="lessThan">
      <formula>20</formula>
    </cfRule>
    <cfRule type="cellIs" dxfId="1" priority="2625" operator="greaterThan">
      <formula>120</formula>
    </cfRule>
    <cfRule type="containsText" dxfId="0" priority="10" operator="between" text="库存为">
      <formula>NOT(ISERROR(SEARCH("库存为",AU2611)))</formula>
    </cfRule>
  </conditionalFormatting>
  <conditionalFormatting sqref="AU2612">
    <cfRule type="cellIs" dxfId="2" priority="5239" operator="lessThan">
      <formula>20</formula>
    </cfRule>
    <cfRule type="cellIs" dxfId="1" priority="2624" operator="greaterThan">
      <formula>120</formula>
    </cfRule>
    <cfRule type="containsText" dxfId="0" priority="9" operator="between" text="库存为">
      <formula>NOT(ISERROR(SEARCH("库存为",AU2612)))</formula>
    </cfRule>
  </conditionalFormatting>
  <conditionalFormatting sqref="AU2613">
    <cfRule type="cellIs" dxfId="2" priority="5238" operator="lessThan">
      <formula>20</formula>
    </cfRule>
    <cfRule type="cellIs" dxfId="1" priority="2623" operator="greaterThan">
      <formula>120</formula>
    </cfRule>
    <cfRule type="containsText" dxfId="0" priority="8" operator="between" text="库存为">
      <formula>NOT(ISERROR(SEARCH("库存为",AU2613)))</formula>
    </cfRule>
  </conditionalFormatting>
  <conditionalFormatting sqref="AU2614">
    <cfRule type="cellIs" dxfId="2" priority="5237" operator="lessThan">
      <formula>20</formula>
    </cfRule>
    <cfRule type="cellIs" dxfId="1" priority="2622" operator="greaterThan">
      <formula>120</formula>
    </cfRule>
    <cfRule type="containsText" dxfId="0" priority="7" operator="between" text="库存为">
      <formula>NOT(ISERROR(SEARCH("库存为",AU2614)))</formula>
    </cfRule>
  </conditionalFormatting>
  <conditionalFormatting sqref="AU2615">
    <cfRule type="cellIs" dxfId="2" priority="5236" operator="lessThan">
      <formula>20</formula>
    </cfRule>
    <cfRule type="cellIs" dxfId="1" priority="2621" operator="greaterThan">
      <formula>120</formula>
    </cfRule>
    <cfRule type="containsText" dxfId="0" priority="6" operator="between" text="库存为">
      <formula>NOT(ISERROR(SEARCH("库存为",AU2615)))</formula>
    </cfRule>
  </conditionalFormatting>
  <conditionalFormatting sqref="AU2616">
    <cfRule type="cellIs" dxfId="2" priority="5235" operator="lessThan">
      <formula>20</formula>
    </cfRule>
    <cfRule type="cellIs" dxfId="1" priority="2620" operator="greaterThan">
      <formula>120</formula>
    </cfRule>
    <cfRule type="containsText" dxfId="0" priority="5" operator="between" text="库存为">
      <formula>NOT(ISERROR(SEARCH("库存为",AU2616)))</formula>
    </cfRule>
  </conditionalFormatting>
  <conditionalFormatting sqref="AU2617">
    <cfRule type="cellIs" dxfId="2" priority="5234" operator="lessThan">
      <formula>20</formula>
    </cfRule>
    <cfRule type="cellIs" dxfId="1" priority="2619" operator="greaterThan">
      <formula>120</formula>
    </cfRule>
    <cfRule type="containsText" dxfId="0" priority="4" operator="between" text="库存为">
      <formula>NOT(ISERROR(SEARCH("库存为",AU2617)))</formula>
    </cfRule>
  </conditionalFormatting>
  <conditionalFormatting sqref="AU2618">
    <cfRule type="cellIs" dxfId="2" priority="5233" operator="lessThan">
      <formula>20</formula>
    </cfRule>
    <cfRule type="cellIs" dxfId="1" priority="2618" operator="greaterThan">
      <formula>120</formula>
    </cfRule>
    <cfRule type="containsText" dxfId="0" priority="3" operator="between" text="库存为">
      <formula>NOT(ISERROR(SEARCH("库存为",AU2618)))</formula>
    </cfRule>
  </conditionalFormatting>
  <conditionalFormatting sqref="AU2619">
    <cfRule type="cellIs" dxfId="2" priority="5232" operator="lessThan">
      <formula>20</formula>
    </cfRule>
    <cfRule type="cellIs" dxfId="1" priority="2617" operator="greaterThan">
      <formula>120</formula>
    </cfRule>
    <cfRule type="containsText" dxfId="0" priority="2" operator="between" text="库存为">
      <formula>NOT(ISERROR(SEARCH("库存为",AU2619)))</formula>
    </cfRule>
  </conditionalFormatting>
  <conditionalFormatting sqref="AU2620">
    <cfRule type="cellIs" dxfId="2" priority="5231" operator="lessThan">
      <formula>20</formula>
    </cfRule>
    <cfRule type="cellIs" dxfId="1" priority="2616" operator="greaterThan">
      <formula>120</formula>
    </cfRule>
    <cfRule type="containsText" dxfId="0" priority="1" operator="between" text="库存为">
      <formula>NOT(ISERROR(SEARCH("库存为",AU2620)))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25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4475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4476</v>
      </c>
      <c r="AI1" s="6"/>
      <c r="AJ1" s="6"/>
      <c r="AK1" s="6"/>
      <c r="AL1" s="6" t="s">
        <v>4477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43290</v>
      </c>
    </row>
    <row r="3" ht="32" customHeight="1" spans="1:46">
      <c r="A3" s="9"/>
      <c r="B3" s="10" t="str">
        <f>TEXT(时间!$B$6,"yyyy/M/d")&amp;"-"&amp;TEXT(时间!$B$5,"yyyy/M/d")</f>
        <v>2018/7/30-2018/8/5</v>
      </c>
      <c r="C3" s="10" t="str">
        <f>TEXT(时间!$B$8,"yyyy/M/d")&amp;"-"&amp;TEXT(时间!$B$7,"yyyy/M/d")</f>
        <v>2018/7/23-2018/7/29</v>
      </c>
      <c r="D3" s="10" t="str">
        <f>TEXT(时间!$B$10,"yyyy/M/d")&amp;"-"&amp;TEXT(时间!$B$9,"yyyy/M/d")</f>
        <v>2018/7/16-2018/7/22</v>
      </c>
      <c r="E3" s="10" t="str">
        <f>TEXT(时间!$B$12,"yyyy/M/d")&amp;"-"&amp;TEXT(时间!$B$11,"yyyy/M/d")</f>
        <v>2018/7/9-2018/7/15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4478</v>
      </c>
      <c r="C4" t="s">
        <v>4479</v>
      </c>
      <c r="D4" t="s">
        <v>4480</v>
      </c>
      <c r="E4" t="s">
        <v>4481</v>
      </c>
      <c r="F4" s="5" t="s">
        <v>20</v>
      </c>
      <c r="G4" t="s">
        <v>21</v>
      </c>
      <c r="H4" t="s">
        <v>22</v>
      </c>
      <c r="I4" t="s">
        <v>4482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43311</v>
      </c>
      <c r="AE4" s="16">
        <f>时间!$B$7</f>
        <v>43310</v>
      </c>
      <c r="AF4" s="16">
        <f>时间!$B$8</f>
        <v>43304</v>
      </c>
      <c r="AG4" s="16">
        <f>时间!$B$9</f>
        <v>43303</v>
      </c>
      <c r="AH4" s="16">
        <f>时间!$B$6</f>
        <v>43311</v>
      </c>
      <c r="AI4" s="16">
        <f>时间!$B$7</f>
        <v>43310</v>
      </c>
      <c r="AJ4" s="16">
        <f>时间!$B$8</f>
        <v>43304</v>
      </c>
      <c r="AK4" s="16">
        <f>时间!$B$9</f>
        <v>43303</v>
      </c>
      <c r="AL4" s="16">
        <f>时间!$B$6</f>
        <v>43311</v>
      </c>
      <c r="AM4" s="16">
        <f>时间!$B$7</f>
        <v>43310</v>
      </c>
      <c r="AN4" s="16">
        <f>时间!$B$8</f>
        <v>43304</v>
      </c>
      <c r="AO4" s="16">
        <f>时间!$B$9</f>
        <v>43303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1583</v>
      </c>
      <c r="C5" s="4">
        <f t="shared" si="0"/>
        <v>1287</v>
      </c>
      <c r="D5" s="4">
        <f t="shared" si="0"/>
        <v>1752</v>
      </c>
      <c r="E5" s="4">
        <f t="shared" si="0"/>
        <v>1210</v>
      </c>
      <c r="F5" s="13"/>
      <c r="G5" s="4">
        <f t="shared" si="0"/>
        <v>15902</v>
      </c>
      <c r="H5" s="4">
        <f t="shared" si="0"/>
        <v>2934</v>
      </c>
      <c r="I5" s="4">
        <f t="shared" si="0"/>
        <v>68</v>
      </c>
      <c r="J5" s="4">
        <f t="shared" si="0"/>
        <v>442</v>
      </c>
      <c r="K5" s="4">
        <f t="shared" si="0"/>
        <v>19346</v>
      </c>
      <c r="L5" s="4">
        <f t="shared" si="0"/>
        <v>77</v>
      </c>
      <c r="M5" s="4">
        <f t="shared" si="0"/>
        <v>7012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1175.43</v>
      </c>
      <c r="AA5" s="4">
        <f>SUM(AA6:AA9999)</f>
        <v>757.98</v>
      </c>
      <c r="AB5" s="4">
        <f>SUM(AB6:AB9999)</f>
        <v>877.43</v>
      </c>
      <c r="AC5" s="4">
        <f>SUM(AC6:AC9999)</f>
        <v>767.7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14</v>
      </c>
      <c r="AI6">
        <f>SUMIF('库存（子SKU）'!$C:$C,$A6,'库存（子SKU）'!AK:AK)</f>
        <v>14</v>
      </c>
      <c r="AJ6">
        <f>SUMIF('库存（子SKU）'!$C:$C,$A6,'库存（子SKU）'!AL:AL)</f>
        <v>14</v>
      </c>
      <c r="AK6">
        <f>SUMIF('库存（子SKU）'!$C:$C,$A6,'库存（子SKU）'!AM:AM)</f>
        <v>12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4</v>
      </c>
      <c r="C7">
        <f>SUMIF('库存（子SKU）'!$C:$C,$A7,'库存（子SKU）'!E:E)</f>
        <v>4</v>
      </c>
      <c r="D7">
        <f>SUMIF('库存（子SKU）'!$C:$C,$A7,'库存（子SKU）'!F:F)</f>
        <v>3</v>
      </c>
      <c r="E7">
        <f>SUMIF('库存（子SKU）'!$C:$C,$A7,'库存（子SKU）'!G:G)</f>
        <v>4</v>
      </c>
      <c r="F7" s="5">
        <v>35</v>
      </c>
      <c r="G7">
        <f>SUMIF('库存（子SKU）'!$C:$C,$A7,'库存（子SKU）'!I:I)</f>
        <v>762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7</v>
      </c>
      <c r="K7">
        <f t="shared" si="1"/>
        <v>769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507</v>
      </c>
      <c r="AI7">
        <f>SUMIF('库存（子SKU）'!$C:$C,$A7,'库存（子SKU）'!AK:AK)</f>
        <v>395</v>
      </c>
      <c r="AJ7">
        <f>SUMIF('库存（子SKU）'!$C:$C,$A7,'库存（子SKU）'!AL:AL)</f>
        <v>441</v>
      </c>
      <c r="AK7">
        <f>SUMIF('库存（子SKU）'!$C:$C,$A7,'库存（子SKU）'!AM:AM)</f>
        <v>544</v>
      </c>
      <c r="AL7" s="18">
        <f t="shared" si="10"/>
        <v>0.00788954635108481</v>
      </c>
      <c r="AM7" s="18">
        <f t="shared" si="11"/>
        <v>0.010126582278481</v>
      </c>
      <c r="AN7" s="18">
        <f t="shared" si="12"/>
        <v>0.00680272108843537</v>
      </c>
      <c r="AO7" s="18">
        <f t="shared" si="13"/>
        <v>0.00735294117647059</v>
      </c>
      <c r="AP7" s="5">
        <f t="shared" si="14"/>
        <v>0.571428571428571</v>
      </c>
      <c r="AQ7" s="5">
        <f t="shared" si="15"/>
        <v>34.2857142857143</v>
      </c>
      <c r="AR7" s="5">
        <f t="shared" si="16"/>
        <v>734.714285714286</v>
      </c>
      <c r="AS7">
        <f t="shared" si="17"/>
        <v>1345</v>
      </c>
      <c r="AT7" s="2">
        <f>IFERROR(时间!$B$4+AS7,"上周无销量")</f>
        <v>44663</v>
      </c>
    </row>
    <row r="8" spans="1:46">
      <c r="A8" t="s">
        <v>144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1</v>
      </c>
      <c r="E8">
        <f>SUMIF('库存（子SKU）'!$C:$C,$A8,'库存（子SKU）'!G:G)</f>
        <v>0</v>
      </c>
      <c r="F8" s="5">
        <v>30</v>
      </c>
      <c r="G8">
        <f>SUMIF('库存（子SKU）'!$C:$C,$A8,'库存（子SKU）'!I:I)</f>
        <v>607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5</v>
      </c>
      <c r="K8">
        <f t="shared" si="1"/>
        <v>612</v>
      </c>
      <c r="L8">
        <f>SUMIF('库存（子SKU）'!$C:$C,$A8,'库存（子SKU）'!N:N)</f>
        <v>4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312</v>
      </c>
      <c r="AI8">
        <f>SUMIF('库存（子SKU）'!$C:$C,$A8,'库存（子SKU）'!AK:AK)</f>
        <v>386</v>
      </c>
      <c r="AJ8">
        <f>SUMIF('库存（子SKU）'!$C:$C,$A8,'库存（子SKU）'!AL:AL)</f>
        <v>514</v>
      </c>
      <c r="AK8">
        <f>SUMIF('库存（子SKU）'!$C:$C,$A8,'库存（子SKU）'!AM:AM)</f>
        <v>415</v>
      </c>
      <c r="AL8" s="18">
        <f t="shared" si="10"/>
        <v>0</v>
      </c>
      <c r="AM8" s="18">
        <f t="shared" si="11"/>
        <v>0</v>
      </c>
      <c r="AN8" s="18">
        <f t="shared" si="12"/>
        <v>0.00194552529182879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612</v>
      </c>
      <c r="AS8" t="str">
        <f t="shared" si="17"/>
        <v>库存为612</v>
      </c>
      <c r="AT8" s="2" t="str">
        <f>IFERROR(时间!$B$4+AS8,"上周无销量")</f>
        <v>上周无销量</v>
      </c>
    </row>
    <row r="9" spans="1:46">
      <c r="A9" t="s">
        <v>213</v>
      </c>
      <c r="B9">
        <f>SUMIF('库存（子SKU）'!$C:$C,$A9,'库存（子SKU）'!D:D)</f>
        <v>1</v>
      </c>
      <c r="C9">
        <f>SUMIF('库存（子SKU）'!$C:$C,$A9,'库存（子SKU）'!E:E)</f>
        <v>0</v>
      </c>
      <c r="D9">
        <f>SUMIF('库存（子SKU）'!$C:$C,$A9,'库存（子SKU）'!F:F)</f>
        <v>1</v>
      </c>
      <c r="E9">
        <f>SUMIF('库存（子SKU）'!$C:$C,$A9,'库存（子SKU）'!G:G)</f>
        <v>0</v>
      </c>
      <c r="F9" s="5">
        <v>60.98</v>
      </c>
      <c r="G9">
        <f>SUMIF('库存（子SKU）'!$C:$C,$A9,'库存（子SKU）'!I:I)</f>
        <v>7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7</v>
      </c>
      <c r="L9">
        <f>SUMIF('库存（子SKU）'!$C:$C,$A9,'库存（子SKU）'!N:N)</f>
        <v>1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22</v>
      </c>
      <c r="AI9">
        <f>SUMIF('库存（子SKU）'!$C:$C,$A9,'库存（子SKU）'!AK:AK)</f>
        <v>64</v>
      </c>
      <c r="AJ9">
        <f>SUMIF('库存（子SKU）'!$C:$C,$A9,'库存（子SKU）'!AL:AL)</f>
        <v>21</v>
      </c>
      <c r="AK9">
        <f>SUMIF('库存（子SKU）'!$C:$C,$A9,'库存（子SKU）'!AM:AM)</f>
        <v>11</v>
      </c>
      <c r="AL9" s="18">
        <f t="shared" si="10"/>
        <v>0.0454545454545455</v>
      </c>
      <c r="AM9" s="18">
        <f t="shared" si="11"/>
        <v>0</v>
      </c>
      <c r="AN9" s="18">
        <f t="shared" si="12"/>
        <v>0.0476190476190476</v>
      </c>
      <c r="AO9" s="18">
        <f t="shared" si="13"/>
        <v>0</v>
      </c>
      <c r="AP9" s="5">
        <f t="shared" si="14"/>
        <v>0.142857142857143</v>
      </c>
      <c r="AQ9" s="5">
        <f t="shared" si="15"/>
        <v>8.57142857142857</v>
      </c>
      <c r="AR9" s="5">
        <f t="shared" si="16"/>
        <v>-1.57142857142857</v>
      </c>
      <c r="AS9">
        <f t="shared" si="17"/>
        <v>49</v>
      </c>
      <c r="AT9" s="2">
        <f>IFERROR(时间!$B$4+AS9,"上周无销量")</f>
        <v>43367</v>
      </c>
    </row>
    <row r="10" spans="1:46">
      <c r="A10" t="s">
        <v>232</v>
      </c>
      <c r="B10">
        <f>SUMIF('库存（子SKU）'!$C:$C,$A10,'库存（子SKU）'!D:D)</f>
        <v>0</v>
      </c>
      <c r="C10">
        <f>SUMIF('库存（子SKU）'!$C:$C,$A10,'库存（子SKU）'!E:E)</f>
        <v>1</v>
      </c>
      <c r="D10">
        <f>SUMIF('库存（子SKU）'!$C:$C,$A10,'库存（子SKU）'!F:F)</f>
        <v>1</v>
      </c>
      <c r="E10">
        <f>SUMIF('库存（子SKU）'!$C:$C,$A10,'库存（子SKU）'!G:G)</f>
        <v>0</v>
      </c>
      <c r="F10" s="5">
        <v>64.48</v>
      </c>
      <c r="G10">
        <f>SUMIF('库存（子SKU）'!$C:$C,$A10,'库存（子SKU）'!I:I)</f>
        <v>10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10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24</v>
      </c>
      <c r="AI10">
        <f>SUMIF('库存（子SKU）'!$C:$C,$A10,'库存（子SKU）'!AK:AK)</f>
        <v>37</v>
      </c>
      <c r="AJ10">
        <f>SUMIF('库存（子SKU）'!$C:$C,$A10,'库存（子SKU）'!AL:AL)</f>
        <v>23</v>
      </c>
      <c r="AK10">
        <f>SUMIF('库存（子SKU）'!$C:$C,$A10,'库存（子SKU）'!AM:AM)</f>
        <v>16</v>
      </c>
      <c r="AL10" s="18">
        <f t="shared" si="10"/>
        <v>0</v>
      </c>
      <c r="AM10" s="18">
        <f t="shared" si="11"/>
        <v>0.027027027027027</v>
      </c>
      <c r="AN10" s="18">
        <f t="shared" si="12"/>
        <v>0.0434782608695652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10</v>
      </c>
      <c r="AS10" t="str">
        <f t="shared" si="17"/>
        <v>库存为10</v>
      </c>
      <c r="AT10" s="2" t="str">
        <f>IFERROR(时间!$B$4+AS10,"上周无销量")</f>
        <v>上周无销量</v>
      </c>
    </row>
    <row r="11" spans="1:46">
      <c r="A11" t="s">
        <v>251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1</v>
      </c>
      <c r="F11" s="5">
        <v>65.73</v>
      </c>
      <c r="G11">
        <f>SUMIF('库存（子SKU）'!$C:$C,$A11,'库存（子SKU）'!I:I)</f>
        <v>10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10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2494</v>
      </c>
      <c r="O11">
        <f>SUMIF('库存（子SKU）'!$C:$C,$A11,'库存（子SKU）'!Q:Q)</f>
        <v>2912</v>
      </c>
      <c r="P11">
        <f>SUMIF('库存（子SKU）'!$C:$C,$A11,'库存（子SKU）'!R:R)</f>
        <v>2176</v>
      </c>
      <c r="Q11">
        <f>SUMIF('库存（子SKU）'!$C:$C,$A11,'库存（子SKU）'!S:S)</f>
        <v>2149</v>
      </c>
      <c r="R11">
        <f>SUMIF('库存（子SKU）'!$C:$C,$A11,'库存（子SKU）'!T:T)</f>
        <v>3</v>
      </c>
      <c r="S11">
        <f>SUMIF('库存（子SKU）'!$C:$C,$A11,'库存（子SKU）'!U:U)</f>
        <v>8</v>
      </c>
      <c r="T11">
        <f>SUMIF('库存（子SKU）'!$C:$C,$A11,'库存（子SKU）'!V:V)</f>
        <v>4</v>
      </c>
      <c r="U11">
        <f>SUMIF('库存（子SKU）'!$C:$C,$A11,'库存（子SKU）'!W:W)</f>
        <v>3</v>
      </c>
      <c r="V11" s="18">
        <f t="shared" si="2"/>
        <v>0.00120288692862871</v>
      </c>
      <c r="W11" s="18">
        <f t="shared" si="3"/>
        <v>0.00274725274725275</v>
      </c>
      <c r="X11" s="18">
        <f t="shared" si="4"/>
        <v>0.00183823529411765</v>
      </c>
      <c r="Y11" s="18">
        <f t="shared" si="5"/>
        <v>0.00139599813866915</v>
      </c>
      <c r="Z11">
        <f>SUMIF('库存（子SKU）'!$C:$C,$A11,'库存（子SKU）'!AB:AB)</f>
        <v>1.02</v>
      </c>
      <c r="AA11">
        <f>SUMIF('库存（子SKU）'!$C:$C,$A11,'库存（子SKU）'!AC:AC)</f>
        <v>3.39</v>
      </c>
      <c r="AB11">
        <f>SUMIF('库存（子SKU）'!$C:$C,$A11,'库存（子SKU）'!AD:AD)</f>
        <v>1.28</v>
      </c>
      <c r="AC11">
        <f>SUMIF('库存（子SKU）'!$C:$C,$A11,'库存（子SKU）'!AE:AE)</f>
        <v>1.47</v>
      </c>
      <c r="AD11" s="18">
        <f t="shared" si="6"/>
        <v>0.015518028297581</v>
      </c>
      <c r="AE11" s="18">
        <f t="shared" si="7"/>
        <v>0.0515746234596075</v>
      </c>
      <c r="AF11" s="18">
        <f t="shared" si="8"/>
        <v>0.0194736041381409</v>
      </c>
      <c r="AG11" s="18">
        <f t="shared" si="9"/>
        <v>0.0223642172523962</v>
      </c>
      <c r="AH11">
        <f>SUMIF('库存（子SKU）'!$C:$C,$A11,'库存（子SKU）'!AJ:AJ)</f>
        <v>39</v>
      </c>
      <c r="AI11">
        <f>SUMIF('库存（子SKU）'!$C:$C,$A11,'库存（子SKU）'!AK:AK)</f>
        <v>43</v>
      </c>
      <c r="AJ11">
        <f>SUMIF('库存（子SKU）'!$C:$C,$A11,'库存（子SKU）'!AL:AL)</f>
        <v>43</v>
      </c>
      <c r="AK11">
        <f>SUMIF('库存（子SKU）'!$C:$C,$A11,'库存（子SKU）'!AM:AM)</f>
        <v>41</v>
      </c>
      <c r="AL11" s="18">
        <f t="shared" si="10"/>
        <v>0.0256410256410256</v>
      </c>
      <c r="AM11" s="18">
        <f t="shared" si="11"/>
        <v>0.0232558139534884</v>
      </c>
      <c r="AN11" s="18">
        <f t="shared" si="12"/>
        <v>0.0232558139534884</v>
      </c>
      <c r="AO11" s="18">
        <f t="shared" si="13"/>
        <v>0.024390243902439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1.42857142857143</v>
      </c>
      <c r="AS11">
        <f t="shared" si="17"/>
        <v>70</v>
      </c>
      <c r="AT11" s="2">
        <f>IFERROR(时间!$B$4+AS11,"上周无销量")</f>
        <v>43388</v>
      </c>
    </row>
    <row r="12" spans="1:46">
      <c r="A12" t="s">
        <v>286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">
        <v>52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289</v>
      </c>
      <c r="B13">
        <f>SUMIF('库存（子SKU）'!$C:$C,$A13,'库存（子SKU）'!D:D)</f>
        <v>2</v>
      </c>
      <c r="C13">
        <f>SUMIF('库存（子SKU）'!$C:$C,$A13,'库存（子SKU）'!E:E)</f>
        <v>0</v>
      </c>
      <c r="D13">
        <f>SUMIF('库存（子SKU）'!$C:$C,$A13,'库存（子SKU）'!F:F)</f>
        <v>2</v>
      </c>
      <c r="E13">
        <f>SUMIF('库存（子SKU）'!$C:$C,$A13,'库存（子SKU）'!G:G)</f>
        <v>2</v>
      </c>
      <c r="F13" s="5">
        <v>22.98</v>
      </c>
      <c r="G13">
        <f>SUMIF('库存（子SKU）'!$C:$C,$A13,'库存（子SKU）'!I:I)</f>
        <v>206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1"/>
        <v>207</v>
      </c>
      <c r="L13">
        <f>SUMIF('库存（子SKU）'!$C:$C,$A13,'库存（子SKU）'!N:N)</f>
        <v>1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189</v>
      </c>
      <c r="AI13">
        <f>SUMIF('库存（子SKU）'!$C:$C,$A13,'库存（子SKU）'!AK:AK)</f>
        <v>341</v>
      </c>
      <c r="AJ13">
        <f>SUMIF('库存（子SKU）'!$C:$C,$A13,'库存（子SKU）'!AL:AL)</f>
        <v>407</v>
      </c>
      <c r="AK13">
        <f>SUMIF('库存（子SKU）'!$C:$C,$A13,'库存（子SKU）'!AM:AM)</f>
        <v>393</v>
      </c>
      <c r="AL13" s="18">
        <f t="shared" si="10"/>
        <v>0.0105820105820106</v>
      </c>
      <c r="AM13" s="18">
        <f t="shared" si="11"/>
        <v>0</v>
      </c>
      <c r="AN13" s="18">
        <f t="shared" si="12"/>
        <v>0.00491400491400491</v>
      </c>
      <c r="AO13" s="18">
        <f t="shared" si="13"/>
        <v>0.00508905852417303</v>
      </c>
      <c r="AP13" s="5">
        <f t="shared" si="14"/>
        <v>0.285714285714286</v>
      </c>
      <c r="AQ13" s="5">
        <f t="shared" si="15"/>
        <v>17.1428571428571</v>
      </c>
      <c r="AR13" s="5">
        <f t="shared" si="16"/>
        <v>189.857142857143</v>
      </c>
      <c r="AS13">
        <f t="shared" si="17"/>
        <v>724</v>
      </c>
      <c r="AT13" s="2">
        <f>IFERROR(时间!$B$4+AS13,"上周无销量")</f>
        <v>44042</v>
      </c>
    </row>
    <row r="14" spans="1:46">
      <c r="A14" t="s">
        <v>320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2</v>
      </c>
      <c r="E14">
        <f>SUMIF('库存（子SKU）'!$C:$C,$A14,'库存（子SKU）'!G:G)</f>
        <v>0</v>
      </c>
      <c r="F14" s="5">
        <v>22.98</v>
      </c>
      <c r="G14">
        <f>SUMIF('库存（子SKU）'!$C:$C,$A14,'库存（子SKU）'!I:I)</f>
        <v>31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31</v>
      </c>
      <c r="L14">
        <f>SUMIF('库存（子SKU）'!$C:$C,$A14,'库存（子SKU）'!N:N)</f>
        <v>0</v>
      </c>
      <c r="M14">
        <f>SUMIF('库存（子SKU）'!$C:$C,$A14,'库存（子SKU）'!O:O)</f>
        <v>15</v>
      </c>
      <c r="N14">
        <f>SUMIF('库存（子SKU）'!$C:$C,$A14,'库存（子SKU）'!P:P)</f>
        <v>298</v>
      </c>
      <c r="O14">
        <f>SUMIF('库存（子SKU）'!$C:$C,$A14,'库存（子SKU）'!Q:Q)</f>
        <v>52</v>
      </c>
      <c r="P14">
        <f>SUMIF('库存（子SKU）'!$C:$C,$A14,'库存（子SKU）'!R:R)</f>
        <v>233</v>
      </c>
      <c r="Q14">
        <f>SUMIF('库存（子SKU）'!$C:$C,$A14,'库存（子SKU）'!S:S)</f>
        <v>96</v>
      </c>
      <c r="R14">
        <f>SUMIF('库存（子SKU）'!$C:$C,$A14,'库存（子SKU）'!T:T)</f>
        <v>0</v>
      </c>
      <c r="S14">
        <f>SUMIF('库存（子SKU）'!$C:$C,$A14,'库存（子SKU）'!U:U)</f>
        <v>1</v>
      </c>
      <c r="T14">
        <f>SUMIF('库存（子SKU）'!$C:$C,$A14,'库存（子SKU）'!V:V)</f>
        <v>1</v>
      </c>
      <c r="U14">
        <f>SUMIF('库存（子SKU）'!$C:$C,$A14,'库存（子SKU）'!W:W)</f>
        <v>0</v>
      </c>
      <c r="V14" s="18">
        <f t="shared" si="2"/>
        <v>0</v>
      </c>
      <c r="W14" s="18">
        <f t="shared" si="3"/>
        <v>0.0192307692307692</v>
      </c>
      <c r="X14" s="18">
        <f t="shared" si="4"/>
        <v>0.00429184549356223</v>
      </c>
      <c r="Y14" s="18">
        <f t="shared" si="5"/>
        <v>0</v>
      </c>
      <c r="Z14">
        <f>SUMIF('库存（子SKU）'!$C:$C,$A14,'库存（子SKU）'!AB:AB)</f>
        <v>0</v>
      </c>
      <c r="AA14">
        <f>SUMIF('库存（子SKU）'!$C:$C,$A14,'库存（子SKU）'!AC:AC)</f>
        <v>0.32</v>
      </c>
      <c r="AB14">
        <f>SUMIF('库存（子SKU）'!$C:$C,$A14,'库存（子SKU）'!AD:AD)</f>
        <v>0.32</v>
      </c>
      <c r="AC14">
        <f>SUMIF('库存（子SKU）'!$C:$C,$A14,'库存（子SKU）'!AE:AE)</f>
        <v>0</v>
      </c>
      <c r="AD14" s="18">
        <f t="shared" si="6"/>
        <v>0</v>
      </c>
      <c r="AE14" s="18" t="str">
        <f t="shared" si="7"/>
        <v>有广告无销量</v>
      </c>
      <c r="AF14" s="18">
        <f t="shared" si="8"/>
        <v>0.00696257615317668</v>
      </c>
      <c r="AG14" s="18">
        <f t="shared" si="9"/>
        <v>0</v>
      </c>
      <c r="AH14">
        <f>SUMIF('库存（子SKU）'!$C:$C,$A14,'库存（子SKU）'!AJ:AJ)</f>
        <v>10</v>
      </c>
      <c r="AI14">
        <f>SUMIF('库存（子SKU）'!$C:$C,$A14,'库存（子SKU）'!AK:AK)</f>
        <v>9</v>
      </c>
      <c r="AJ14">
        <f>SUMIF('库存（子SKU）'!$C:$C,$A14,'库存（子SKU）'!AL:AL)</f>
        <v>9</v>
      </c>
      <c r="AK14">
        <f>SUMIF('库存（子SKU）'!$C:$C,$A14,'库存（子SKU）'!AM:AM)</f>
        <v>9</v>
      </c>
      <c r="AL14" s="18">
        <f t="shared" si="10"/>
        <v>0</v>
      </c>
      <c r="AM14" s="18">
        <f t="shared" si="11"/>
        <v>0</v>
      </c>
      <c r="AN14" s="18">
        <f t="shared" si="12"/>
        <v>0.222222222222222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31</v>
      </c>
      <c r="AS14" t="str">
        <f t="shared" si="17"/>
        <v>库存为31</v>
      </c>
      <c r="AT14" s="2" t="str">
        <f>IFERROR(时间!$B$4+AS14,"上周无销量")</f>
        <v>上周无销量</v>
      </c>
    </row>
    <row r="15" spans="1:46">
      <c r="A15" t="s">
        <v>324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87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87</v>
      </c>
      <c r="L15">
        <f>SUMIF('库存（子SKU）'!$C:$C,$A15,'库存（子SKU）'!N:N)</f>
        <v>0</v>
      </c>
      <c r="M15">
        <f>SUMIF('库存（子SKU）'!$C:$C,$A15,'库存（子SKU）'!O:O)</f>
        <v>18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70</v>
      </c>
      <c r="AI15">
        <f>SUMIF('库存（子SKU）'!$C:$C,$A15,'库存（子SKU）'!AK:AK)</f>
        <v>61</v>
      </c>
      <c r="AJ15">
        <f>SUMIF('库存（子SKU）'!$C:$C,$A15,'库存（子SKU）'!AL:AL)</f>
        <v>80</v>
      </c>
      <c r="AK15">
        <f>SUMIF('库存（子SKU）'!$C:$C,$A15,'库存（子SKU）'!AM:AM)</f>
        <v>58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87</v>
      </c>
      <c r="AS15" t="str">
        <f t="shared" si="17"/>
        <v>库存为87</v>
      </c>
      <c r="AT15" s="2" t="str">
        <f>IFERROR(时间!$B$4+AS15,"上周无销量")</f>
        <v>上周无销量</v>
      </c>
    </row>
    <row r="16" spans="1:46">
      <c r="A16" t="s">
        <v>357</v>
      </c>
      <c r="B16">
        <f>SUMIF('库存（子SKU）'!$C:$C,$A16,'库存（子SKU）'!D:D)</f>
        <v>95</v>
      </c>
      <c r="C16">
        <f>SUMIF('库存（子SKU）'!$C:$C,$A16,'库存（子SKU）'!E:E)</f>
        <v>57</v>
      </c>
      <c r="D16">
        <f>SUMIF('库存（子SKU）'!$C:$C,$A16,'库存（子SKU）'!F:F)</f>
        <v>90</v>
      </c>
      <c r="E16">
        <f>SUMIF('库存（子SKU）'!$C:$C,$A16,'库存（子SKU）'!G:G)</f>
        <v>62</v>
      </c>
      <c r="F16" s="5">
        <v>23.6048684210526</v>
      </c>
      <c r="G16">
        <f>SUMIF('库存（子SKU）'!$C:$C,$A16,'库存（子SKU）'!I:I)</f>
        <v>246</v>
      </c>
      <c r="H16">
        <f>SUMIF('库存（子SKU）'!$C:$C,$A16,'库存（子SKU）'!J:J)</f>
        <v>175</v>
      </c>
      <c r="I16">
        <f>SUMIF('库存（子SKU）'!$C:$C,$A16,'库存（子SKU）'!K:K)</f>
        <v>0</v>
      </c>
      <c r="J16">
        <f>SUMIF('库存（子SKU）'!$C:$C,$A16,'库存（子SKU）'!L:L)</f>
        <v>31</v>
      </c>
      <c r="K16">
        <f t="shared" si="1"/>
        <v>452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669</v>
      </c>
      <c r="AI16">
        <f>SUMIF('库存（子SKU）'!$C:$C,$A16,'库存（子SKU）'!AK:AK)</f>
        <v>591</v>
      </c>
      <c r="AJ16">
        <f>SUMIF('库存（子SKU）'!$C:$C,$A16,'库存（子SKU）'!AL:AL)</f>
        <v>747</v>
      </c>
      <c r="AK16">
        <f>SUMIF('库存（子SKU）'!$C:$C,$A16,'库存（子SKU）'!AM:AM)</f>
        <v>671</v>
      </c>
      <c r="AL16" s="18">
        <f t="shared" si="10"/>
        <v>0.142002989536622</v>
      </c>
      <c r="AM16" s="18">
        <f t="shared" si="11"/>
        <v>0.0964467005076142</v>
      </c>
      <c r="AN16" s="18">
        <f t="shared" si="12"/>
        <v>0.120481927710843</v>
      </c>
      <c r="AO16" s="18">
        <f t="shared" si="13"/>
        <v>0.0923994038748137</v>
      </c>
      <c r="AP16" s="5">
        <f t="shared" si="14"/>
        <v>13.5714285714286</v>
      </c>
      <c r="AQ16" s="5">
        <f t="shared" si="15"/>
        <v>814.285714285714</v>
      </c>
      <c r="AR16" s="5">
        <f t="shared" si="16"/>
        <v>-362.285714285714</v>
      </c>
      <c r="AS16">
        <f t="shared" si="17"/>
        <v>33</v>
      </c>
      <c r="AT16" s="2">
        <f>IFERROR(时间!$B$4+AS16,"上周无销量")</f>
        <v>43351</v>
      </c>
    </row>
    <row r="17" spans="1:46">
      <c r="A17" t="s">
        <v>407</v>
      </c>
      <c r="B17">
        <f>SUMIF('库存（子SKU）'!$C:$C,$A17,'库存（子SKU）'!D:D)</f>
        <v>1</v>
      </c>
      <c r="C17">
        <f>SUMIF('库存（子SKU）'!$C:$C,$A17,'库存（子SKU）'!E:E)</f>
        <v>2</v>
      </c>
      <c r="D17">
        <f>SUMIF('库存（子SKU）'!$C:$C,$A17,'库存（子SKU）'!F:F)</f>
        <v>0</v>
      </c>
      <c r="E17">
        <f>SUMIF('库存（子SKU）'!$C:$C,$A17,'库存（子SKU）'!G:G)</f>
        <v>2</v>
      </c>
      <c r="F17" s="5">
        <v>24.98</v>
      </c>
      <c r="G17">
        <f>SUMIF('库存（子SKU）'!$C:$C,$A17,'库存（子SKU）'!I:I)</f>
        <v>24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24</v>
      </c>
      <c r="L17">
        <f>SUMIF('库存（子SKU）'!$C:$C,$A17,'库存（子SKU）'!N:N)</f>
        <v>0</v>
      </c>
      <c r="M17">
        <f>SUMIF('库存（子SKU）'!$C:$C,$A17,'库存（子SKU）'!O:O)</f>
        <v>23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7</v>
      </c>
      <c r="AI17">
        <f>SUMIF('库存（子SKU）'!$C:$C,$A17,'库存（子SKU）'!AK:AK)</f>
        <v>13</v>
      </c>
      <c r="AJ17">
        <f>SUMIF('库存（子SKU）'!$C:$C,$A17,'库存（子SKU）'!AL:AL)</f>
        <v>11</v>
      </c>
      <c r="AK17">
        <f>SUMIF('库存（子SKU）'!$C:$C,$A17,'库存（子SKU）'!AM:AM)</f>
        <v>11</v>
      </c>
      <c r="AL17" s="18">
        <f t="shared" si="10"/>
        <v>0.142857142857143</v>
      </c>
      <c r="AM17" s="18">
        <f t="shared" si="11"/>
        <v>0.153846153846154</v>
      </c>
      <c r="AN17" s="18">
        <f t="shared" si="12"/>
        <v>0</v>
      </c>
      <c r="AO17" s="18">
        <f t="shared" si="13"/>
        <v>0.181818181818182</v>
      </c>
      <c r="AP17" s="5">
        <f t="shared" si="14"/>
        <v>0.142857142857143</v>
      </c>
      <c r="AQ17" s="5">
        <f t="shared" si="15"/>
        <v>8.57142857142857</v>
      </c>
      <c r="AR17" s="5">
        <f t="shared" si="16"/>
        <v>15.4285714285714</v>
      </c>
      <c r="AS17">
        <f t="shared" si="17"/>
        <v>168</v>
      </c>
      <c r="AT17" s="2">
        <f>IFERROR(时间!$B$4+AS17,"上周无销量")</f>
        <v>43486</v>
      </c>
    </row>
    <row r="18" spans="1:46">
      <c r="A18" t="s">
        <v>409</v>
      </c>
      <c r="B18">
        <f>SUMIF('库存（子SKU）'!$C:$C,$A18,'库存（子SKU）'!D:D)</f>
        <v>7</v>
      </c>
      <c r="C18">
        <f>SUMIF('库存（子SKU）'!$C:$C,$A18,'库存（子SKU）'!E:E)</f>
        <v>19</v>
      </c>
      <c r="D18">
        <f>SUMIF('库存（子SKU）'!$C:$C,$A18,'库存（子SKU）'!F:F)</f>
        <v>26</v>
      </c>
      <c r="E18">
        <f>SUMIF('库存（子SKU）'!$C:$C,$A18,'库存（子SKU）'!G:G)</f>
        <v>26</v>
      </c>
      <c r="F18" s="5">
        <v>24.8517948717949</v>
      </c>
      <c r="G18">
        <f>SUMIF('库存（子SKU）'!$C:$C,$A18,'库存（子SKU）'!I:I)</f>
        <v>182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1</v>
      </c>
      <c r="K18">
        <f t="shared" si="1"/>
        <v>183</v>
      </c>
      <c r="L18">
        <f>SUMIF('库存（子SKU）'!$C:$C,$A18,'库存（子SKU）'!N:N)</f>
        <v>1</v>
      </c>
      <c r="M18">
        <f>SUMIF('库存（子SKU）'!$C:$C,$A18,'库存（子SKU）'!O:O)</f>
        <v>130</v>
      </c>
      <c r="N18">
        <f>SUMIF('库存（子SKU）'!$C:$C,$A18,'库存（子SKU）'!P:P)</f>
        <v>22989</v>
      </c>
      <c r="O18">
        <f>SUMIF('库存（子SKU）'!$C:$C,$A18,'库存（子SKU）'!Q:Q)</f>
        <v>45983</v>
      </c>
      <c r="P18">
        <f>SUMIF('库存（子SKU）'!$C:$C,$A18,'库存（子SKU）'!R:R)</f>
        <v>38418</v>
      </c>
      <c r="Q18">
        <f>SUMIF('库存（子SKU）'!$C:$C,$A18,'库存（子SKU）'!S:S)</f>
        <v>35577</v>
      </c>
      <c r="R18">
        <f>SUMIF('库存（子SKU）'!$C:$C,$A18,'库存（子SKU）'!T:T)</f>
        <v>138</v>
      </c>
      <c r="S18">
        <f>SUMIF('库存（子SKU）'!$C:$C,$A18,'库存（子SKU）'!U:U)</f>
        <v>233</v>
      </c>
      <c r="T18">
        <f>SUMIF('库存（子SKU）'!$C:$C,$A18,'库存（子SKU）'!V:V)</f>
        <v>228</v>
      </c>
      <c r="U18">
        <f>SUMIF('库存（子SKU）'!$C:$C,$A18,'库存（子SKU）'!W:W)</f>
        <v>216</v>
      </c>
      <c r="V18" s="18">
        <f t="shared" si="2"/>
        <v>0.00600287093827483</v>
      </c>
      <c r="W18" s="18">
        <f t="shared" si="3"/>
        <v>0.005067090011526</v>
      </c>
      <c r="X18" s="18">
        <f t="shared" si="4"/>
        <v>0.00593471810089021</v>
      </c>
      <c r="Y18" s="18">
        <f t="shared" si="5"/>
        <v>0.00607133822413357</v>
      </c>
      <c r="Z18">
        <f>SUMIF('库存（子SKU）'!$C:$C,$A18,'库存（子SKU）'!AB:AB)</f>
        <v>68.58</v>
      </c>
      <c r="AA18">
        <f>SUMIF('库存（子SKU）'!$C:$C,$A18,'库存（子SKU）'!AC:AC)</f>
        <v>109.59</v>
      </c>
      <c r="AB18">
        <f>SUMIF('库存（子SKU）'!$C:$C,$A18,'库存（子SKU）'!AD:AD)</f>
        <v>121.59</v>
      </c>
      <c r="AC18">
        <f>SUMIF('库存（子SKU）'!$C:$C,$A18,'库存（子SKU）'!AE:AE)</f>
        <v>103.8</v>
      </c>
      <c r="AD18" s="18">
        <f t="shared" si="6"/>
        <v>0.394222747599689</v>
      </c>
      <c r="AE18" s="18">
        <f t="shared" si="7"/>
        <v>0.232091676540767</v>
      </c>
      <c r="AF18" s="18">
        <f t="shared" si="8"/>
        <v>0.188177090856565</v>
      </c>
      <c r="AG18" s="18">
        <f t="shared" si="9"/>
        <v>0.160644642083325</v>
      </c>
      <c r="AH18">
        <f>SUMIF('库存（子SKU）'!$C:$C,$A18,'库存（子SKU）'!AJ:AJ)</f>
        <v>182</v>
      </c>
      <c r="AI18">
        <f>SUMIF('库存（子SKU）'!$C:$C,$A18,'库存（子SKU）'!AK:AK)</f>
        <v>328</v>
      </c>
      <c r="AJ18">
        <f>SUMIF('库存（子SKU）'!$C:$C,$A18,'库存（子SKU）'!AL:AL)</f>
        <v>396</v>
      </c>
      <c r="AK18">
        <f>SUMIF('库存（子SKU）'!$C:$C,$A18,'库存（子SKU）'!AM:AM)</f>
        <v>382</v>
      </c>
      <c r="AL18" s="18">
        <f t="shared" si="10"/>
        <v>0.0384615384615385</v>
      </c>
      <c r="AM18" s="18">
        <f t="shared" si="11"/>
        <v>0.0579268292682927</v>
      </c>
      <c r="AN18" s="18">
        <f t="shared" si="12"/>
        <v>0.0656565656565657</v>
      </c>
      <c r="AO18" s="18">
        <f t="shared" si="13"/>
        <v>0.0680628272251309</v>
      </c>
      <c r="AP18" s="5">
        <f t="shared" si="14"/>
        <v>1</v>
      </c>
      <c r="AQ18" s="5">
        <f t="shared" si="15"/>
        <v>60</v>
      </c>
      <c r="AR18" s="5">
        <f t="shared" si="16"/>
        <v>123</v>
      </c>
      <c r="AS18">
        <f t="shared" si="17"/>
        <v>183</v>
      </c>
      <c r="AT18" s="2">
        <f>IFERROR(时间!$B$4+AS18,"上周无销量")</f>
        <v>43501</v>
      </c>
    </row>
    <row r="19" spans="1:46">
      <c r="A19" t="s">
        <v>425</v>
      </c>
      <c r="B19">
        <f>SUMIF('库存（子SKU）'!$C:$C,$A19,'库存（子SKU）'!D:D)</f>
        <v>2</v>
      </c>
      <c r="C19">
        <f>SUMIF('库存（子SKU）'!$C:$C,$A19,'库存（子SKU）'!E:E)</f>
        <v>0</v>
      </c>
      <c r="D19">
        <f>SUMIF('库存（子SKU）'!$C:$C,$A19,'库存（子SKU）'!F:F)</f>
        <v>6</v>
      </c>
      <c r="E19">
        <f>SUMIF('库存（子SKU）'!$C:$C,$A19,'库存（子SKU）'!G:G)</f>
        <v>0</v>
      </c>
      <c r="F19" s="5">
        <v>26.98</v>
      </c>
      <c r="G19">
        <f>SUMIF('库存（子SKU）'!$C:$C,$A19,'库存（子SKU）'!I:I)</f>
        <v>87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87</v>
      </c>
      <c r="L19">
        <f>SUMIF('库存（子SKU）'!$C:$C,$A19,'库存（子SKU）'!N:N)</f>
        <v>0</v>
      </c>
      <c r="M19">
        <f>SUMIF('库存（子SKU）'!$C:$C,$A19,'库存（子SKU）'!O:O)</f>
        <v>65</v>
      </c>
      <c r="N19">
        <f>SUMIF('库存（子SKU）'!$C:$C,$A19,'库存（子SKU）'!P:P)</f>
        <v>814</v>
      </c>
      <c r="O19">
        <f>SUMIF('库存（子SKU）'!$C:$C,$A19,'库存（子SKU）'!Q:Q)</f>
        <v>418</v>
      </c>
      <c r="P19">
        <f>SUMIF('库存（子SKU）'!$C:$C,$A19,'库存（子SKU）'!R:R)</f>
        <v>523</v>
      </c>
      <c r="Q19">
        <f>SUMIF('库存（子SKU）'!$C:$C,$A19,'库存（子SKU）'!S:S)</f>
        <v>652</v>
      </c>
      <c r="R19">
        <f>SUMIF('库存（子SKU）'!$C:$C,$A19,'库存（子SKU）'!T:T)</f>
        <v>1</v>
      </c>
      <c r="S19">
        <f>SUMIF('库存（子SKU）'!$C:$C,$A19,'库存（子SKU）'!U:U)</f>
        <v>4</v>
      </c>
      <c r="T19">
        <f>SUMIF('库存（子SKU）'!$C:$C,$A19,'库存（子SKU）'!V:V)</f>
        <v>1</v>
      </c>
      <c r="U19">
        <f>SUMIF('库存（子SKU）'!$C:$C,$A19,'库存（子SKU）'!W:W)</f>
        <v>4</v>
      </c>
      <c r="V19" s="18">
        <f t="shared" si="2"/>
        <v>0.00122850122850123</v>
      </c>
      <c r="W19" s="18">
        <f t="shared" si="3"/>
        <v>0.00956937799043062</v>
      </c>
      <c r="X19" s="18">
        <f t="shared" si="4"/>
        <v>0.00191204588910134</v>
      </c>
      <c r="Y19" s="18">
        <f t="shared" si="5"/>
        <v>0.00613496932515337</v>
      </c>
      <c r="Z19">
        <f>SUMIF('库存（子SKU）'!$C:$C,$A19,'库存（子SKU）'!AB:AB)</f>
        <v>1.13</v>
      </c>
      <c r="AA19">
        <f>SUMIF('库存（子SKU）'!$C:$C,$A19,'库存（子SKU）'!AC:AC)</f>
        <v>1.86</v>
      </c>
      <c r="AB19">
        <f>SUMIF('库存（子SKU）'!$C:$C,$A19,'库存（子SKU）'!AD:AD)</f>
        <v>0.3</v>
      </c>
      <c r="AC19">
        <f>SUMIF('库存（子SKU）'!$C:$C,$A19,'库存（子SKU）'!AE:AE)</f>
        <v>2.34</v>
      </c>
      <c r="AD19" s="18">
        <f t="shared" si="6"/>
        <v>0.020941438102298</v>
      </c>
      <c r="AE19" s="18" t="str">
        <f t="shared" si="7"/>
        <v>有广告无销量</v>
      </c>
      <c r="AF19" s="18">
        <f t="shared" si="8"/>
        <v>0.00185322461082283</v>
      </c>
      <c r="AG19" s="18" t="str">
        <f t="shared" si="9"/>
        <v>有广告无销量</v>
      </c>
      <c r="AH19">
        <f>SUMIF('库存（子SKU）'!$C:$C,$A19,'库存（子SKU）'!AJ:AJ)</f>
        <v>70</v>
      </c>
      <c r="AI19">
        <f>SUMIF('库存（子SKU）'!$C:$C,$A19,'库存（子SKU）'!AK:AK)</f>
        <v>61</v>
      </c>
      <c r="AJ19">
        <f>SUMIF('库存（子SKU）'!$C:$C,$A19,'库存（子SKU）'!AL:AL)</f>
        <v>80</v>
      </c>
      <c r="AK19">
        <f>SUMIF('库存（子SKU）'!$C:$C,$A19,'库存（子SKU）'!AM:AM)</f>
        <v>58</v>
      </c>
      <c r="AL19" s="18">
        <f t="shared" si="10"/>
        <v>0.0285714285714286</v>
      </c>
      <c r="AM19" s="18">
        <f t="shared" si="11"/>
        <v>0</v>
      </c>
      <c r="AN19" s="18">
        <f t="shared" si="12"/>
        <v>0.075</v>
      </c>
      <c r="AO19" s="18">
        <f t="shared" si="13"/>
        <v>0</v>
      </c>
      <c r="AP19" s="5">
        <f t="shared" si="14"/>
        <v>0.285714285714286</v>
      </c>
      <c r="AQ19" s="5">
        <f t="shared" si="15"/>
        <v>17.1428571428571</v>
      </c>
      <c r="AR19" s="5">
        <f t="shared" si="16"/>
        <v>69.8571428571429</v>
      </c>
      <c r="AS19">
        <f t="shared" si="17"/>
        <v>304</v>
      </c>
      <c r="AT19" s="2">
        <f>IFERROR(时间!$B$4+AS19,"上周无销量")</f>
        <v>43622</v>
      </c>
    </row>
    <row r="20" spans="1:46">
      <c r="A20" t="s">
        <v>445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">
        <v>52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5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52</v>
      </c>
      <c r="AI20">
        <f>SUMIF('库存（子SKU）'!$C:$C,$A20,'库存（子SKU）'!AK:AK)</f>
        <v>54</v>
      </c>
      <c r="AJ20">
        <f>SUMIF('库存（子SKU）'!$C:$C,$A20,'库存（子SKU）'!AL:AL)</f>
        <v>48</v>
      </c>
      <c r="AK20">
        <f>SUMIF('库存（子SKU）'!$C:$C,$A20,'库存（子SKU）'!AM:AM)</f>
        <v>58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5</v>
      </c>
      <c r="AS20" t="str">
        <f t="shared" si="17"/>
        <v>库存为5</v>
      </c>
      <c r="AT20" s="2" t="str">
        <f>IFERROR(时间!$B$4+AS20,"上周无销量")</f>
        <v>上周无销量</v>
      </c>
    </row>
    <row r="21" spans="1:46">
      <c r="A21" t="s">
        <v>448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2</v>
      </c>
      <c r="K21">
        <f t="shared" si="1"/>
        <v>35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503</v>
      </c>
      <c r="AI21">
        <f>SUMIF('库存（子SKU）'!$C:$C,$A21,'库存（子SKU）'!AK:AK)</f>
        <v>401</v>
      </c>
      <c r="AJ21">
        <f>SUMIF('库存（子SKU）'!$C:$C,$A21,'库存（子SKU）'!AL:AL)</f>
        <v>270</v>
      </c>
      <c r="AK21">
        <f>SUMIF('库存（子SKU）'!$C:$C,$A21,'库存（子SKU）'!AM:AM)</f>
        <v>292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35</v>
      </c>
      <c r="AS21" t="str">
        <f t="shared" si="17"/>
        <v>库存为35</v>
      </c>
      <c r="AT21" s="2" t="str">
        <f>IFERROR(时间!$B$4+AS21,"上周无销量")</f>
        <v>上周无销量</v>
      </c>
    </row>
    <row r="22" spans="1:46">
      <c r="A22" t="s">
        <v>509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">
        <v>52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8</v>
      </c>
      <c r="AI22">
        <f>SUMIF('库存（子SKU）'!$C:$C,$A22,'库存（子SKU）'!AK:AK)</f>
        <v>4</v>
      </c>
      <c r="AJ22">
        <f>SUMIF('库存（子SKU）'!$C:$C,$A22,'库存（子SKU）'!AL:AL)</f>
        <v>8</v>
      </c>
      <c r="AK22">
        <f>SUMIF('库存（子SKU）'!$C:$C,$A22,'库存（子SKU）'!AM:AM)</f>
        <v>6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512</v>
      </c>
      <c r="B23">
        <f>SUMIF('库存（子SKU）'!$C:$C,$A23,'库存（子SKU）'!D:D)</f>
        <v>14</v>
      </c>
      <c r="C23">
        <f>SUMIF('库存（子SKU）'!$C:$C,$A23,'库存（子SKU）'!E:E)</f>
        <v>11</v>
      </c>
      <c r="D23">
        <f>SUMIF('库存（子SKU）'!$C:$C,$A23,'库存（子SKU）'!F:F)</f>
        <v>9</v>
      </c>
      <c r="E23">
        <f>SUMIF('库存（子SKU）'!$C:$C,$A23,'库存（子SKU）'!G:G)</f>
        <v>7</v>
      </c>
      <c r="F23" s="5">
        <v>27.6141463414634</v>
      </c>
      <c r="G23">
        <f>SUMIF('库存（子SKU）'!$C:$C,$A23,'库存（子SKU）'!I:I)</f>
        <v>272</v>
      </c>
      <c r="H23">
        <f>SUMIF('库存（子SKU）'!$C:$C,$A23,'库存（子SKU）'!J:J)</f>
        <v>312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584</v>
      </c>
      <c r="L23">
        <f>SUMIF('库存（子SKU）'!$C:$C,$A23,'库存（子SKU）'!N:N)</f>
        <v>0</v>
      </c>
      <c r="M23">
        <f>SUMIF('库存（子SKU）'!$C:$C,$A23,'库存（子SKU）'!O:O)</f>
        <v>82</v>
      </c>
      <c r="N23">
        <f>SUMIF('库存（子SKU）'!$C:$C,$A23,'库存（子SKU）'!P:P)</f>
        <v>52769</v>
      </c>
      <c r="O23">
        <f>SUMIF('库存（子SKU）'!$C:$C,$A23,'库存（子SKU）'!Q:Q)</f>
        <v>7931</v>
      </c>
      <c r="P23">
        <f>SUMIF('库存（子SKU）'!$C:$C,$A23,'库存（子SKU）'!R:R)</f>
        <v>499</v>
      </c>
      <c r="Q23">
        <f>SUMIF('库存（子SKU）'!$C:$C,$A23,'库存（子SKU）'!S:S)</f>
        <v>454</v>
      </c>
      <c r="R23">
        <f>SUMIF('库存（子SKU）'!$C:$C,$A23,'库存（子SKU）'!T:T)</f>
        <v>114</v>
      </c>
      <c r="S23">
        <f>SUMIF('库存（子SKU）'!$C:$C,$A23,'库存（子SKU）'!U:U)</f>
        <v>25</v>
      </c>
      <c r="T23">
        <f>SUMIF('库存（子SKU）'!$C:$C,$A23,'库存（子SKU）'!V:V)</f>
        <v>3</v>
      </c>
      <c r="U23">
        <f>SUMIF('库存（子SKU）'!$C:$C,$A23,'库存（子SKU）'!W:W)</f>
        <v>2</v>
      </c>
      <c r="V23" s="18">
        <f t="shared" si="2"/>
        <v>0.00216035930186284</v>
      </c>
      <c r="W23" s="18">
        <f t="shared" si="3"/>
        <v>0.00315218761820704</v>
      </c>
      <c r="X23" s="18">
        <f t="shared" si="4"/>
        <v>0.00601202404809619</v>
      </c>
      <c r="Y23" s="18">
        <f t="shared" si="5"/>
        <v>0.00440528634361234</v>
      </c>
      <c r="Z23">
        <f>SUMIF('库存（子SKU）'!$C:$C,$A23,'库存（子SKU）'!AB:AB)</f>
        <v>60.09</v>
      </c>
      <c r="AA23">
        <f>SUMIF('库存（子SKU）'!$C:$C,$A23,'库存（子SKU）'!AC:AC)</f>
        <v>10.53</v>
      </c>
      <c r="AB23">
        <f>SUMIF('库存（子SKU）'!$C:$C,$A23,'库存（子SKU）'!AD:AD)</f>
        <v>1.45</v>
      </c>
      <c r="AC23">
        <f>SUMIF('库存（子SKU）'!$C:$C,$A23,'库存（子SKU）'!AE:AE)</f>
        <v>0.82</v>
      </c>
      <c r="AD23" s="18">
        <f t="shared" si="6"/>
        <v>0.155432755518431</v>
      </c>
      <c r="AE23" s="18">
        <f t="shared" si="7"/>
        <v>0.0346660264429524</v>
      </c>
      <c r="AF23" s="18">
        <f t="shared" si="8"/>
        <v>0.00583436870069738</v>
      </c>
      <c r="AG23" s="18">
        <f t="shared" si="9"/>
        <v>0.00424213211932479</v>
      </c>
      <c r="AH23">
        <f>SUMIF('库存（子SKU）'!$C:$C,$A23,'库存（子SKU）'!AJ:AJ)</f>
        <v>522</v>
      </c>
      <c r="AI23">
        <f>SUMIF('库存（子SKU）'!$C:$C,$A23,'库存（子SKU）'!AK:AK)</f>
        <v>498</v>
      </c>
      <c r="AJ23">
        <f>SUMIF('库存（子SKU）'!$C:$C,$A23,'库存（子SKU）'!AL:AL)</f>
        <v>330</v>
      </c>
      <c r="AK23">
        <f>SUMIF('库存（子SKU）'!$C:$C,$A23,'库存（子SKU）'!AM:AM)</f>
        <v>284</v>
      </c>
      <c r="AL23" s="18">
        <f t="shared" si="10"/>
        <v>0.0268199233716475</v>
      </c>
      <c r="AM23" s="18">
        <f t="shared" si="11"/>
        <v>0.0220883534136546</v>
      </c>
      <c r="AN23" s="18">
        <f t="shared" si="12"/>
        <v>0.0272727272727273</v>
      </c>
      <c r="AO23" s="18">
        <f t="shared" si="13"/>
        <v>0.0246478873239437</v>
      </c>
      <c r="AP23" s="5">
        <f t="shared" si="14"/>
        <v>2</v>
      </c>
      <c r="AQ23" s="5">
        <f t="shared" si="15"/>
        <v>120</v>
      </c>
      <c r="AR23" s="5">
        <f t="shared" si="16"/>
        <v>464</v>
      </c>
      <c r="AS23">
        <f t="shared" si="17"/>
        <v>292</v>
      </c>
      <c r="AT23" s="2">
        <f>IFERROR(时间!$B$4+AS23,"上周无销量")</f>
        <v>43610</v>
      </c>
    </row>
    <row r="24" spans="1:46">
      <c r="A24" t="s">
        <v>625</v>
      </c>
      <c r="B24">
        <f>SUMIF('库存（子SKU）'!$C:$C,$A24,'库存（子SKU）'!D:D)</f>
        <v>18</v>
      </c>
      <c r="C24">
        <f>SUMIF('库存（子SKU）'!$C:$C,$A24,'库存（子SKU）'!E:E)</f>
        <v>5</v>
      </c>
      <c r="D24">
        <f>SUMIF('库存（子SKU）'!$C:$C,$A24,'库存（子SKU）'!F:F)</f>
        <v>14</v>
      </c>
      <c r="E24">
        <f>SUMIF('库存（子SKU）'!$C:$C,$A24,'库存（子SKU）'!G:G)</f>
        <v>11</v>
      </c>
      <c r="F24" s="5">
        <v>22.855</v>
      </c>
      <c r="G24">
        <f>SUMIF('库存（子SKU）'!$C:$C,$A24,'库存（子SKU）'!I:I)</f>
        <v>38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2</v>
      </c>
      <c r="K24">
        <f t="shared" si="1"/>
        <v>40</v>
      </c>
      <c r="L24">
        <f>SUMIF('库存（子SKU）'!$C:$C,$A24,'库存（子SKU）'!N:N)</f>
        <v>0</v>
      </c>
      <c r="M24">
        <f>SUMIF('库存（子SKU）'!$C:$C,$A24,'库存（子SKU）'!O:O)</f>
        <v>14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16024</v>
      </c>
      <c r="Q24">
        <f>SUMIF('库存（子SKU）'!$C:$C,$A24,'库存（子SKU）'!S:S)</f>
        <v>87796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76</v>
      </c>
      <c r="U24">
        <f>SUMIF('库存（子SKU）'!$C:$C,$A24,'库存（子SKU）'!W:W)</f>
        <v>311</v>
      </c>
      <c r="V24" s="18" t="str">
        <f t="shared" si="2"/>
        <v/>
      </c>
      <c r="W24" s="18" t="str">
        <f t="shared" si="3"/>
        <v/>
      </c>
      <c r="X24" s="18">
        <f t="shared" si="4"/>
        <v>0.00474288567149276</v>
      </c>
      <c r="Y24" s="18">
        <f t="shared" si="5"/>
        <v>0.00354230261059729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39.84</v>
      </c>
      <c r="AC24">
        <f>SUMIF('库存（子SKU）'!$C:$C,$A24,'库存（子SKU）'!AE:AE)</f>
        <v>196.44</v>
      </c>
      <c r="AD24" s="18">
        <f t="shared" si="6"/>
        <v>0</v>
      </c>
      <c r="AE24" s="18">
        <f t="shared" si="7"/>
        <v>0</v>
      </c>
      <c r="AF24" s="18">
        <f t="shared" si="8"/>
        <v>0.124511672969341</v>
      </c>
      <c r="AG24" s="18">
        <f t="shared" si="9"/>
        <v>0.781368707861817</v>
      </c>
      <c r="AH24">
        <f>SUMIF('库存（子SKU）'!$C:$C,$A24,'库存（子SKU）'!AJ:AJ)</f>
        <v>503</v>
      </c>
      <c r="AI24">
        <f>SUMIF('库存（子SKU）'!$C:$C,$A24,'库存（子SKU）'!AK:AK)</f>
        <v>401</v>
      </c>
      <c r="AJ24">
        <f>SUMIF('库存（子SKU）'!$C:$C,$A24,'库存（子SKU）'!AL:AL)</f>
        <v>270</v>
      </c>
      <c r="AK24">
        <f>SUMIF('库存（子SKU）'!$C:$C,$A24,'库存（子SKU）'!AM:AM)</f>
        <v>292</v>
      </c>
      <c r="AL24" s="18">
        <f t="shared" si="10"/>
        <v>0.0357852882703777</v>
      </c>
      <c r="AM24" s="18">
        <f t="shared" si="11"/>
        <v>0.0124688279301746</v>
      </c>
      <c r="AN24" s="18">
        <f t="shared" si="12"/>
        <v>0.0518518518518519</v>
      </c>
      <c r="AO24" s="18">
        <f t="shared" si="13"/>
        <v>0.0376712328767123</v>
      </c>
      <c r="AP24" s="5">
        <f t="shared" si="14"/>
        <v>2.57142857142857</v>
      </c>
      <c r="AQ24" s="5">
        <f t="shared" si="15"/>
        <v>154.285714285714</v>
      </c>
      <c r="AR24" s="5">
        <f t="shared" si="16"/>
        <v>-114.285714285714</v>
      </c>
      <c r="AS24">
        <f t="shared" si="17"/>
        <v>15</v>
      </c>
      <c r="AT24" s="2">
        <f>IFERROR(时间!$B$4+AS24,"上周无销量")</f>
        <v>43333</v>
      </c>
    </row>
    <row r="25" spans="1:46">
      <c r="A25" t="s">
        <v>659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5" t="s">
        <v>52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730</v>
      </c>
      <c r="B26">
        <f>SUMIF('库存（子SKU）'!$C:$C,$A26,'库存（子SKU）'!D:D)</f>
        <v>27</v>
      </c>
      <c r="C26">
        <f>SUMIF('库存（子SKU）'!$C:$C,$A26,'库存（子SKU）'!E:E)</f>
        <v>21</v>
      </c>
      <c r="D26">
        <f>SUMIF('库存（子SKU）'!$C:$C,$A26,'库存（子SKU）'!F:F)</f>
        <v>78</v>
      </c>
      <c r="E26">
        <f>SUMIF('库存（子SKU）'!$C:$C,$A26,'库存（子SKU）'!G:G)</f>
        <v>15</v>
      </c>
      <c r="F26" s="5">
        <v>35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3.85714285714286</v>
      </c>
      <c r="AQ26" s="5">
        <f t="shared" si="15"/>
        <v>231.428571428571</v>
      </c>
      <c r="AR26" s="5">
        <f t="shared" si="16"/>
        <v>-231.428571428571</v>
      </c>
      <c r="AS26">
        <f t="shared" si="17"/>
        <v>0</v>
      </c>
      <c r="AT26" s="2">
        <f>IFERROR(时间!$B$4+AS26,"上周无销量")</f>
        <v>43318</v>
      </c>
    </row>
    <row r="27" spans="1:46">
      <c r="A27" t="s">
        <v>811</v>
      </c>
      <c r="B27">
        <f>SUMIF('库存（子SKU）'!$C:$C,$A27,'库存（子SKU）'!D:D)</f>
        <v>6</v>
      </c>
      <c r="C27">
        <f>SUMIF('库存（子SKU）'!$C:$C,$A27,'库存（子SKU）'!E:E)</f>
        <v>4</v>
      </c>
      <c r="D27">
        <f>SUMIF('库存（子SKU）'!$C:$C,$A27,'库存（子SKU）'!F:F)</f>
        <v>11</v>
      </c>
      <c r="E27">
        <f>SUMIF('库存（子SKU）'!$C:$C,$A27,'库存（子SKU）'!G:G)</f>
        <v>2</v>
      </c>
      <c r="F27" s="5">
        <v>35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8" t="str">
        <f t="shared" si="10"/>
        <v/>
      </c>
      <c r="AM27" s="18" t="str">
        <f t="shared" si="11"/>
        <v/>
      </c>
      <c r="AN27" s="18" t="str">
        <f t="shared" si="12"/>
        <v/>
      </c>
      <c r="AO27" s="18" t="str">
        <f t="shared" si="13"/>
        <v/>
      </c>
      <c r="AP27" s="5">
        <f t="shared" si="14"/>
        <v>0.857142857142857</v>
      </c>
      <c r="AQ27" s="5">
        <f t="shared" si="15"/>
        <v>51.4285714285714</v>
      </c>
      <c r="AR27" s="5">
        <f t="shared" si="16"/>
        <v>-51.4285714285714</v>
      </c>
      <c r="AS27">
        <f t="shared" si="17"/>
        <v>0</v>
      </c>
      <c r="AT27" s="2">
        <f>IFERROR(时间!$B$4+AS27,"上周无销量")</f>
        <v>43318</v>
      </c>
    </row>
    <row r="28" spans="1:46">
      <c r="A28" t="s">
        <v>856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0</v>
      </c>
      <c r="H28">
        <f>SUMIF('库存（子SKU）'!$C:$C,$A28,'库存（子SKU）'!J:J)</f>
        <v>4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4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133</v>
      </c>
      <c r="AI28">
        <f>SUMIF('库存（子SKU）'!$C:$C,$A28,'库存（子SKU）'!AK:AK)</f>
        <v>59</v>
      </c>
      <c r="AJ28">
        <f>SUMIF('库存（子SKU）'!$C:$C,$A28,'库存（子SKU）'!AL:AL)</f>
        <v>221</v>
      </c>
      <c r="AK28">
        <f>SUMIF('库存（子SKU）'!$C:$C,$A28,'库存（子SKU）'!AM:AM)</f>
        <v>133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4</v>
      </c>
      <c r="AS28" t="str">
        <f t="shared" si="17"/>
        <v>库存为4</v>
      </c>
      <c r="AT28" s="2" t="str">
        <f>IFERROR(时间!$B$4+AS28,"上周无销量")</f>
        <v>上周无销量</v>
      </c>
    </row>
    <row r="29" spans="1:46">
      <c r="A29" t="s">
        <v>927</v>
      </c>
      <c r="B29">
        <f>SUMIF('库存（子SKU）'!$C:$C,$A29,'库存（子SKU）'!D:D)</f>
        <v>6</v>
      </c>
      <c r="C29">
        <f>SUMIF('库存（子SKU）'!$C:$C,$A29,'库存（子SKU）'!E:E)</f>
        <v>10</v>
      </c>
      <c r="D29">
        <f>SUMIF('库存（子SKU）'!$C:$C,$A29,'库存（子SKU）'!F:F)</f>
        <v>15</v>
      </c>
      <c r="E29">
        <f>SUMIF('库存（子SKU）'!$C:$C,$A29,'库存（子SKU）'!G:G)</f>
        <v>8</v>
      </c>
      <c r="F29" s="5">
        <v>24.954358974359</v>
      </c>
      <c r="G29">
        <f>SUMIF('库存（子SKU）'!$C:$C,$A29,'库存（子SKU）'!I:I)</f>
        <v>132</v>
      </c>
      <c r="H29">
        <f>SUMIF('库存（子SKU）'!$C:$C,$A29,'库存（子SKU）'!J:J)</f>
        <v>7</v>
      </c>
      <c r="I29">
        <f>SUMIF('库存（子SKU）'!$C:$C,$A29,'库存（子SKU）'!K:K)</f>
        <v>0</v>
      </c>
      <c r="J29">
        <f>SUMIF('库存（子SKU）'!$C:$C,$A29,'库存（子SKU）'!L:L)</f>
        <v>21</v>
      </c>
      <c r="K29">
        <f t="shared" si="1"/>
        <v>160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224</v>
      </c>
      <c r="AI29">
        <f>SUMIF('库存（子SKU）'!$C:$C,$A29,'库存（子SKU）'!AK:AK)</f>
        <v>408</v>
      </c>
      <c r="AJ29">
        <f>SUMIF('库存（子SKU）'!$C:$C,$A29,'库存（子SKU）'!AL:AL)</f>
        <v>460</v>
      </c>
      <c r="AK29">
        <f>SUMIF('库存（子SKU）'!$C:$C,$A29,'库存（子SKU）'!AM:AM)</f>
        <v>420</v>
      </c>
      <c r="AL29" s="18">
        <f t="shared" si="10"/>
        <v>0.0267857142857143</v>
      </c>
      <c r="AM29" s="18">
        <f t="shared" si="11"/>
        <v>0.0245098039215686</v>
      </c>
      <c r="AN29" s="18">
        <f t="shared" si="12"/>
        <v>0.0326086956521739</v>
      </c>
      <c r="AO29" s="18">
        <f t="shared" si="13"/>
        <v>0.019047619047619</v>
      </c>
      <c r="AP29" s="5">
        <f t="shared" si="14"/>
        <v>0.857142857142857</v>
      </c>
      <c r="AQ29" s="5">
        <f t="shared" si="15"/>
        <v>51.4285714285714</v>
      </c>
      <c r="AR29" s="5">
        <f t="shared" si="16"/>
        <v>108.571428571429</v>
      </c>
      <c r="AS29">
        <f t="shared" si="17"/>
        <v>186</v>
      </c>
      <c r="AT29" s="2">
        <f>IFERROR(时间!$B$4+AS29,"上周无销量")</f>
        <v>43504</v>
      </c>
    </row>
    <row r="30" spans="1:46">
      <c r="A30" t="s">
        <v>957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">
        <v>52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248</v>
      </c>
      <c r="AI30">
        <f>SUMIF('库存（子SKU）'!$C:$C,$A30,'库存（子SKU）'!AK:AK)</f>
        <v>192</v>
      </c>
      <c r="AJ30">
        <f>SUMIF('库存（子SKU）'!$C:$C,$A30,'库存（子SKU）'!AL:AL)</f>
        <v>195</v>
      </c>
      <c r="AK30">
        <f>SUMIF('库存（子SKU）'!$C:$C,$A30,'库存（子SKU）'!AM:AM)</f>
        <v>128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1028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212</v>
      </c>
      <c r="AI31">
        <f>SUMIF('库存（子SKU）'!$C:$C,$A31,'库存（子SKU）'!AK:AK)</f>
        <v>211</v>
      </c>
      <c r="AJ31">
        <f>SUMIF('库存（子SKU）'!$C:$C,$A31,'库存（子SKU）'!AL:AL)</f>
        <v>257</v>
      </c>
      <c r="AK31">
        <f>SUMIF('库存（子SKU）'!$C:$C,$A31,'库存（子SKU）'!AM:AM)</f>
        <v>235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0</v>
      </c>
      <c r="AS31" t="str">
        <f t="shared" si="17"/>
        <v>库存为0</v>
      </c>
      <c r="AT31" s="2" t="str">
        <f>IFERROR(时间!$B$4+AS31,"上周无销量")</f>
        <v>上周无销量</v>
      </c>
    </row>
    <row r="32" spans="1:46">
      <c r="A32" t="s">
        <v>1098</v>
      </c>
      <c r="B32">
        <f>SUMIF('库存（子SKU）'!$C:$C,$A32,'库存（子SKU）'!D:D)</f>
        <v>0</v>
      </c>
      <c r="C32">
        <f>SUMIF('库存（子SKU）'!$C:$C,$A32,'库存（子SKU）'!E:E)</f>
        <v>0</v>
      </c>
      <c r="D32">
        <f>SUMIF('库存（子SKU）'!$C:$C,$A32,'库存（子SKU）'!F:F)</f>
        <v>0</v>
      </c>
      <c r="E32">
        <f>SUMIF('库存（子SKU）'!$C:$C,$A32,'库存（子SKU）'!G:G)</f>
        <v>0</v>
      </c>
      <c r="F32" s="5" t="s">
        <v>52</v>
      </c>
      <c r="G32">
        <f>SUMIF('库存（子SKU）'!$C:$C,$A32,'库存（子SKU）'!I:I)</f>
        <v>10</v>
      </c>
      <c r="H32">
        <f>SUMIF('库存（子SKU）'!$C:$C,$A32,'库存（子SKU）'!J:J)</f>
        <v>10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20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118</v>
      </c>
      <c r="AI32">
        <f>SUMIF('库存（子SKU）'!$C:$C,$A32,'库存（子SKU）'!AK:AK)</f>
        <v>127</v>
      </c>
      <c r="AJ32">
        <f>SUMIF('库存（子SKU）'!$C:$C,$A32,'库存（子SKU）'!AL:AL)</f>
        <v>158</v>
      </c>
      <c r="AK32">
        <f>SUMIF('库存（子SKU）'!$C:$C,$A32,'库存（子SKU）'!AM:AM)</f>
        <v>98</v>
      </c>
      <c r="AL32" s="18">
        <f t="shared" si="10"/>
        <v>0</v>
      </c>
      <c r="AM32" s="18">
        <f t="shared" si="11"/>
        <v>0</v>
      </c>
      <c r="AN32" s="18">
        <f t="shared" si="12"/>
        <v>0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20</v>
      </c>
      <c r="AS32" t="str">
        <f t="shared" si="17"/>
        <v>库存为20</v>
      </c>
      <c r="AT32" s="2" t="str">
        <f>IFERROR(时间!$B$4+AS32,"上周无销量")</f>
        <v>上周无销量</v>
      </c>
    </row>
    <row r="33" spans="1:46">
      <c r="A33" t="s">
        <v>1159</v>
      </c>
      <c r="B33">
        <f>SUMIF('库存（子SKU）'!$C:$C,$A33,'库存（子SKU）'!D:D)</f>
        <v>28</v>
      </c>
      <c r="C33">
        <f>SUMIF('库存（子SKU）'!$C:$C,$A33,'库存（子SKU）'!E:E)</f>
        <v>33</v>
      </c>
      <c r="D33">
        <f>SUMIF('库存（子SKU）'!$C:$C,$A33,'库存（子SKU）'!F:F)</f>
        <v>69</v>
      </c>
      <c r="E33">
        <f>SUMIF('库存（子SKU）'!$C:$C,$A33,'库存（子SKU）'!G:G)</f>
        <v>49</v>
      </c>
      <c r="F33" s="5">
        <v>21.2986592178771</v>
      </c>
      <c r="G33">
        <f>SUMIF('库存（子SKU）'!$C:$C,$A33,'库存（子SKU）'!I:I)</f>
        <v>278</v>
      </c>
      <c r="H33">
        <f>SUMIF('库存（子SKU）'!$C:$C,$A33,'库存（子SKU）'!J:J)</f>
        <v>7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1"/>
        <v>286</v>
      </c>
      <c r="L33">
        <f>SUMIF('库存（子SKU）'!$C:$C,$A33,'库存（子SKU）'!N:N)</f>
        <v>3</v>
      </c>
      <c r="M33">
        <f>SUMIF('库存（子SKU）'!$C:$C,$A33,'库存（子SKU）'!O:O)</f>
        <v>0</v>
      </c>
      <c r="N33">
        <f>SUMIF('库存（子SKU）'!$C:$C,$A33,'库存（子SKU）'!P:P)</f>
        <v>228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6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>
        <f t="shared" si="2"/>
        <v>0.0263157894736842</v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3.04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0.00509757104711543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778</v>
      </c>
      <c r="AI33">
        <f>SUMIF('库存（子SKU）'!$C:$C,$A33,'库存（子SKU）'!AK:AK)</f>
        <v>807</v>
      </c>
      <c r="AJ33">
        <f>SUMIF('库存（子SKU）'!$C:$C,$A33,'库存（子SKU）'!AL:AL)</f>
        <v>1142</v>
      </c>
      <c r="AK33">
        <f>SUMIF('库存（子SKU）'!$C:$C,$A33,'库存（子SKU）'!AM:AM)</f>
        <v>1180</v>
      </c>
      <c r="AL33" s="18">
        <f t="shared" si="10"/>
        <v>0.0359897172236504</v>
      </c>
      <c r="AM33" s="18">
        <f t="shared" si="11"/>
        <v>0.0408921933085502</v>
      </c>
      <c r="AN33" s="18">
        <f t="shared" si="12"/>
        <v>0.0604203152364273</v>
      </c>
      <c r="AO33" s="18">
        <f t="shared" si="13"/>
        <v>0.0415254237288136</v>
      </c>
      <c r="AP33" s="5">
        <f t="shared" si="14"/>
        <v>4</v>
      </c>
      <c r="AQ33" s="5">
        <f t="shared" si="15"/>
        <v>240</v>
      </c>
      <c r="AR33" s="5">
        <f t="shared" si="16"/>
        <v>46</v>
      </c>
      <c r="AS33">
        <f t="shared" si="17"/>
        <v>71</v>
      </c>
      <c r="AT33" s="2">
        <f>IFERROR(时间!$B$4+AS33,"上周无销量")</f>
        <v>43389</v>
      </c>
    </row>
    <row r="34" spans="1:46">
      <c r="A34" t="s">
        <v>1248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0</v>
      </c>
      <c r="E34">
        <f>SUMIF('库存（子SKU）'!$C:$C,$A34,'库存（子SKU）'!G:G)</f>
        <v>0</v>
      </c>
      <c r="F34" s="5" t="s">
        <v>52</v>
      </c>
      <c r="G34">
        <f>SUMIF('库存（子SKU）'!$C:$C,$A34,'库存（子SKU）'!I:I)</f>
        <v>18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18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70</v>
      </c>
      <c r="AI34">
        <f>SUMIF('库存（子SKU）'!$C:$C,$A34,'库存（子SKU）'!AK:AK)</f>
        <v>61</v>
      </c>
      <c r="AJ34">
        <f>SUMIF('库存（子SKU）'!$C:$C,$A34,'库存（子SKU）'!AL:AL)</f>
        <v>80</v>
      </c>
      <c r="AK34">
        <f>SUMIF('库存（子SKU）'!$C:$C,$A34,'库存（子SKU）'!AM:AM)</f>
        <v>58</v>
      </c>
      <c r="AL34" s="18">
        <f t="shared" si="10"/>
        <v>0</v>
      </c>
      <c r="AM34" s="18">
        <f t="shared" si="11"/>
        <v>0</v>
      </c>
      <c r="AN34" s="18">
        <f t="shared" si="12"/>
        <v>0</v>
      </c>
      <c r="AO34" s="18">
        <f t="shared" si="13"/>
        <v>0</v>
      </c>
      <c r="AP34" s="5">
        <f t="shared" si="14"/>
        <v>0</v>
      </c>
      <c r="AQ34" s="5">
        <f t="shared" si="15"/>
        <v>0</v>
      </c>
      <c r="AR34" s="5">
        <f t="shared" si="16"/>
        <v>18</v>
      </c>
      <c r="AS34" t="str">
        <f t="shared" si="17"/>
        <v>库存为18</v>
      </c>
      <c r="AT34" s="2" t="str">
        <f>IFERROR(时间!$B$4+AS34,"上周无销量")</f>
        <v>上周无销量</v>
      </c>
    </row>
    <row r="35" spans="1:46">
      <c r="A35" t="s">
        <v>1274</v>
      </c>
      <c r="B35">
        <f>SUMIF('库存（子SKU）'!$C:$C,$A35,'库存（子SKU）'!D:D)</f>
        <v>17</v>
      </c>
      <c r="C35">
        <f>SUMIF('库存（子SKU）'!$C:$C,$A35,'库存（子SKU）'!E:E)</f>
        <v>13</v>
      </c>
      <c r="D35">
        <f>SUMIF('库存（子SKU）'!$C:$C,$A35,'库存（子SKU）'!F:F)</f>
        <v>18</v>
      </c>
      <c r="E35">
        <f>SUMIF('库存（子SKU）'!$C:$C,$A35,'库存（子SKU）'!G:G)</f>
        <v>8</v>
      </c>
      <c r="F35" s="5">
        <v>23.98</v>
      </c>
      <c r="G35">
        <f>SUMIF('库存（子SKU）'!$C:$C,$A35,'库存（子SKU）'!I:I)</f>
        <v>19</v>
      </c>
      <c r="H35">
        <f>SUMIF('库存（子SKU）'!$C:$C,$A35,'库存（子SKU）'!J:J)</f>
        <v>57</v>
      </c>
      <c r="I35">
        <f>SUMIF('库存（子SKU）'!$C:$C,$A35,'库存（子SKU）'!K:K)</f>
        <v>0</v>
      </c>
      <c r="J35">
        <f>SUMIF('库存（子SKU）'!$C:$C,$A35,'库存（子SKU）'!L:L)</f>
        <v>24</v>
      </c>
      <c r="K35">
        <f t="shared" si="1"/>
        <v>100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23097</v>
      </c>
      <c r="O35">
        <f>SUMIF('库存（子SKU）'!$C:$C,$A35,'库存（子SKU）'!Q:Q)</f>
        <v>43639</v>
      </c>
      <c r="P35">
        <f>SUMIF('库存（子SKU）'!$C:$C,$A35,'库存（子SKU）'!R:R)</f>
        <v>42965</v>
      </c>
      <c r="Q35">
        <f>SUMIF('库存（子SKU）'!$C:$C,$A35,'库存（子SKU）'!S:S)</f>
        <v>5090</v>
      </c>
      <c r="R35">
        <f>SUMIF('库存（子SKU）'!$C:$C,$A35,'库存（子SKU）'!T:T)</f>
        <v>71</v>
      </c>
      <c r="S35">
        <f>SUMIF('库存（子SKU）'!$C:$C,$A35,'库存（子SKU）'!U:U)</f>
        <v>126</v>
      </c>
      <c r="T35">
        <f>SUMIF('库存（子SKU）'!$C:$C,$A35,'库存（子SKU）'!V:V)</f>
        <v>125</v>
      </c>
      <c r="U35">
        <f>SUMIF('库存（子SKU）'!$C:$C,$A35,'库存（子SKU）'!W:W)</f>
        <v>17</v>
      </c>
      <c r="V35" s="18">
        <f t="shared" si="2"/>
        <v>0.00307399229337143</v>
      </c>
      <c r="W35" s="18">
        <f t="shared" si="3"/>
        <v>0.00288732555741424</v>
      </c>
      <c r="X35" s="18">
        <f t="shared" si="4"/>
        <v>0.00290934481554754</v>
      </c>
      <c r="Y35" s="18">
        <f t="shared" si="5"/>
        <v>0.00333988212180747</v>
      </c>
      <c r="Z35">
        <f>SUMIF('库存（子SKU）'!$C:$C,$A35,'库存（子SKU）'!AB:AB)</f>
        <v>38.39</v>
      </c>
      <c r="AA35">
        <f>SUMIF('库存（子SKU）'!$C:$C,$A35,'库存（子SKU）'!AC:AC)</f>
        <v>69.48</v>
      </c>
      <c r="AB35">
        <f>SUMIF('库存（子SKU）'!$C:$C,$A35,'库存（子SKU）'!AD:AD)</f>
        <v>63.94</v>
      </c>
      <c r="AC35">
        <f>SUMIF('库存（子SKU）'!$C:$C,$A35,'库存（子SKU）'!AE:AE)</f>
        <v>8.26</v>
      </c>
      <c r="AD35" s="18">
        <f t="shared" si="6"/>
        <v>0.0941716135995683</v>
      </c>
      <c r="AE35" s="18">
        <f t="shared" si="7"/>
        <v>0.222878039391801</v>
      </c>
      <c r="AF35" s="18">
        <f t="shared" si="8"/>
        <v>0.148132703178575</v>
      </c>
      <c r="AG35" s="18">
        <f t="shared" si="9"/>
        <v>0.0430567139282736</v>
      </c>
      <c r="AH35">
        <f>SUMIF('库存（子SKU）'!$C:$C,$A35,'库存（子SKU）'!AJ:AJ)</f>
        <v>84</v>
      </c>
      <c r="AI35">
        <f>SUMIF('库存（子SKU）'!$C:$C,$A35,'库存（子SKU）'!AK:AK)</f>
        <v>82</v>
      </c>
      <c r="AJ35">
        <f>SUMIF('库存（子SKU）'!$C:$C,$A35,'库存（子SKU）'!AL:AL)</f>
        <v>110</v>
      </c>
      <c r="AK35">
        <f>SUMIF('库存（子SKU）'!$C:$C,$A35,'库存（子SKU）'!AM:AM)</f>
        <v>130</v>
      </c>
      <c r="AL35" s="18">
        <f t="shared" si="10"/>
        <v>0.202380952380952</v>
      </c>
      <c r="AM35" s="18">
        <f t="shared" si="11"/>
        <v>0.158536585365854</v>
      </c>
      <c r="AN35" s="18">
        <f t="shared" si="12"/>
        <v>0.163636363636364</v>
      </c>
      <c r="AO35" s="18">
        <f t="shared" si="13"/>
        <v>0.0615384615384615</v>
      </c>
      <c r="AP35" s="5">
        <f t="shared" si="14"/>
        <v>2.42857142857143</v>
      </c>
      <c r="AQ35" s="5">
        <f t="shared" si="15"/>
        <v>145.714285714286</v>
      </c>
      <c r="AR35" s="5">
        <f t="shared" si="16"/>
        <v>-45.7142857142857</v>
      </c>
      <c r="AS35">
        <f t="shared" si="17"/>
        <v>41</v>
      </c>
      <c r="AT35" s="2">
        <f>IFERROR(时间!$B$4+AS35,"上周无销量")</f>
        <v>43359</v>
      </c>
    </row>
    <row r="36" spans="1:46">
      <c r="A36" t="s">
        <v>1280</v>
      </c>
      <c r="B36">
        <f>SUMIF('库存（子SKU）'!$C:$C,$A36,'库存（子SKU）'!D:D)</f>
        <v>32</v>
      </c>
      <c r="C36">
        <f>SUMIF('库存（子SKU）'!$C:$C,$A36,'库存（子SKU）'!E:E)</f>
        <v>25</v>
      </c>
      <c r="D36">
        <f>SUMIF('库存（子SKU）'!$C:$C,$A36,'库存（子SKU）'!F:F)</f>
        <v>12</v>
      </c>
      <c r="E36">
        <f>SUMIF('库存（子SKU）'!$C:$C,$A36,'库存（子SKU）'!G:G)</f>
        <v>16</v>
      </c>
      <c r="F36" s="5">
        <v>22.38</v>
      </c>
      <c r="G36">
        <f>SUMIF('库存（子SKU）'!$C:$C,$A36,'库存（子SKU）'!I:I)</f>
        <v>427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2</v>
      </c>
      <c r="K36">
        <f t="shared" si="1"/>
        <v>429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60894</v>
      </c>
      <c r="O36">
        <f>SUMIF('库存（子SKU）'!$C:$C,$A36,'库存（子SKU）'!Q:Q)</f>
        <v>0</v>
      </c>
      <c r="P36">
        <f>SUMIF('库存（子SKU）'!$C:$C,$A36,'库存（子SKU）'!R:R)</f>
        <v>120</v>
      </c>
      <c r="Q36">
        <f>SUMIF('库存（子SKU）'!$C:$C,$A36,'库存（子SKU）'!S:S)</f>
        <v>936</v>
      </c>
      <c r="R36">
        <f>SUMIF('库存（子SKU）'!$C:$C,$A36,'库存（子SKU）'!T:T)</f>
        <v>181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3</v>
      </c>
      <c r="V36" s="18">
        <f t="shared" si="2"/>
        <v>0.0029723782310244</v>
      </c>
      <c r="W36" s="18" t="str">
        <f t="shared" si="3"/>
        <v/>
      </c>
      <c r="X36" s="18">
        <f t="shared" si="4"/>
        <v>0</v>
      </c>
      <c r="Y36" s="18">
        <f t="shared" si="5"/>
        <v>0.00320512820512821</v>
      </c>
      <c r="Z36">
        <f>SUMIF('库存（子SKU）'!$C:$C,$A36,'库存（子SKU）'!AB:AB)</f>
        <v>137.89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1.4</v>
      </c>
      <c r="AD36" s="18">
        <f t="shared" si="6"/>
        <v>0.192540773011618</v>
      </c>
      <c r="AE36" s="18">
        <f t="shared" si="7"/>
        <v>0</v>
      </c>
      <c r="AF36" s="18">
        <f t="shared" si="8"/>
        <v>0</v>
      </c>
      <c r="AG36" s="18">
        <f t="shared" si="9"/>
        <v>0.00390974084003575</v>
      </c>
      <c r="AH36">
        <f>SUMIF('库存（子SKU）'!$C:$C,$A36,'库存（子SKU）'!AJ:AJ)</f>
        <v>508</v>
      </c>
      <c r="AI36">
        <f>SUMIF('库存（子SKU）'!$C:$C,$A36,'库存（子SKU）'!AK:AK)</f>
        <v>400</v>
      </c>
      <c r="AJ36">
        <f>SUMIF('库存（子SKU）'!$C:$C,$A36,'库存（子SKU）'!AL:AL)</f>
        <v>271</v>
      </c>
      <c r="AK36">
        <f>SUMIF('库存（子SKU）'!$C:$C,$A36,'库存（子SKU）'!AM:AM)</f>
        <v>297</v>
      </c>
      <c r="AL36" s="18">
        <f t="shared" si="10"/>
        <v>0.062992125984252</v>
      </c>
      <c r="AM36" s="18">
        <f t="shared" si="11"/>
        <v>0.0625</v>
      </c>
      <c r="AN36" s="18">
        <f t="shared" si="12"/>
        <v>0.044280442804428</v>
      </c>
      <c r="AO36" s="18">
        <f t="shared" si="13"/>
        <v>0.0538720538720539</v>
      </c>
      <c r="AP36" s="5">
        <f t="shared" si="14"/>
        <v>4.57142857142857</v>
      </c>
      <c r="AQ36" s="5">
        <f t="shared" si="15"/>
        <v>274.285714285714</v>
      </c>
      <c r="AR36" s="5">
        <f t="shared" si="16"/>
        <v>154.714285714286</v>
      </c>
      <c r="AS36">
        <f t="shared" si="17"/>
        <v>93</v>
      </c>
      <c r="AT36" s="2">
        <f>IFERROR(时间!$B$4+AS36,"上周无销量")</f>
        <v>43411</v>
      </c>
    </row>
    <row r="37" spans="1:46">
      <c r="A37" t="s">
        <v>1313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">
        <v>52</v>
      </c>
      <c r="G37">
        <f>SUMIF('库存（子SKU）'!$C:$C,$A37,'库存（子SKU）'!I:I)</f>
        <v>1</v>
      </c>
      <c r="H37">
        <f>SUMIF('库存（子SKU）'!$C:$C,$A37,'库存（子SKU）'!J:J)</f>
        <v>1</v>
      </c>
      <c r="I37">
        <f>SUMIF('库存（子SKU）'!$C:$C,$A37,'库存（子SKU）'!K:K)</f>
        <v>0</v>
      </c>
      <c r="J37">
        <f>SUMIF('库存（子SKU）'!$C:$C,$A37,'库存（子SKU）'!L:L)</f>
        <v>1</v>
      </c>
      <c r="K37">
        <f t="shared" si="1"/>
        <v>3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464</v>
      </c>
      <c r="AI37">
        <f>SUMIF('库存（子SKU）'!$C:$C,$A37,'库存（子SKU）'!AK:AK)</f>
        <v>338</v>
      </c>
      <c r="AJ37">
        <f>SUMIF('库存（子SKU）'!$C:$C,$A37,'库存（子SKU）'!AL:AL)</f>
        <v>381</v>
      </c>
      <c r="AK37">
        <f>SUMIF('库存（子SKU）'!$C:$C,$A37,'库存（子SKU）'!AM:AM)</f>
        <v>465</v>
      </c>
      <c r="AL37" s="18">
        <f t="shared" si="10"/>
        <v>0</v>
      </c>
      <c r="AM37" s="18">
        <f t="shared" si="11"/>
        <v>0</v>
      </c>
      <c r="AN37" s="18">
        <f t="shared" si="12"/>
        <v>0</v>
      </c>
      <c r="AO37" s="18">
        <f t="shared" si="13"/>
        <v>0</v>
      </c>
      <c r="AP37" s="5">
        <f t="shared" si="14"/>
        <v>0</v>
      </c>
      <c r="AQ37" s="5">
        <f t="shared" si="15"/>
        <v>0</v>
      </c>
      <c r="AR37" s="5">
        <f t="shared" si="16"/>
        <v>3</v>
      </c>
      <c r="AS37" t="str">
        <f t="shared" si="17"/>
        <v>库存为3</v>
      </c>
      <c r="AT37" s="2" t="str">
        <f>IFERROR(时间!$B$4+AS37,"上周无销量")</f>
        <v>上周无销量</v>
      </c>
    </row>
    <row r="38" spans="1:46">
      <c r="A38" t="s">
        <v>1365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7</v>
      </c>
      <c r="AI38">
        <f>SUMIF('库存（子SKU）'!$C:$C,$A38,'库存（子SKU）'!AK:AK)</f>
        <v>13</v>
      </c>
      <c r="AJ38">
        <f>SUMIF('库存（子SKU）'!$C:$C,$A38,'库存（子SKU）'!AL:AL)</f>
        <v>16</v>
      </c>
      <c r="AK38">
        <f>SUMIF('库存（子SKU）'!$C:$C,$A38,'库存（子SKU）'!AM:AM)</f>
        <v>12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1376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5" t="s">
        <v>52</v>
      </c>
      <c r="G39">
        <f>SUMIF('库存（子SKU）'!$C:$C,$A39,'库存（子SKU）'!I:I)</f>
        <v>13</v>
      </c>
      <c r="H39">
        <f>SUMIF('库存（子SKU）'!$C:$C,$A39,'库存（子SKU）'!J:J)</f>
        <v>144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157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208</v>
      </c>
      <c r="AI39">
        <f>SUMIF('库存（子SKU）'!$C:$C,$A39,'库存（子SKU）'!AK:AK)</f>
        <v>191</v>
      </c>
      <c r="AJ39">
        <f>SUMIF('库存（子SKU）'!$C:$C,$A39,'库存（子SKU）'!AL:AL)</f>
        <v>203</v>
      </c>
      <c r="AK39">
        <f>SUMIF('库存（子SKU）'!$C:$C,$A39,'库存（子SKU）'!AM:AM)</f>
        <v>124</v>
      </c>
      <c r="AL39" s="18">
        <f t="shared" si="10"/>
        <v>0</v>
      </c>
      <c r="AM39" s="18">
        <f t="shared" si="11"/>
        <v>0</v>
      </c>
      <c r="AN39" s="18">
        <f t="shared" si="12"/>
        <v>0</v>
      </c>
      <c r="AO39" s="18">
        <f t="shared" si="13"/>
        <v>0</v>
      </c>
      <c r="AP39" s="5">
        <f t="shared" si="14"/>
        <v>0</v>
      </c>
      <c r="AQ39" s="5">
        <f t="shared" si="15"/>
        <v>0</v>
      </c>
      <c r="AR39" s="5">
        <f t="shared" si="16"/>
        <v>157</v>
      </c>
      <c r="AS39" t="str">
        <f t="shared" si="17"/>
        <v>库存为157</v>
      </c>
      <c r="AT39" s="2" t="str">
        <f>IFERROR(时间!$B$4+AS39,"上周无销量")</f>
        <v>上周无销量</v>
      </c>
    </row>
    <row r="40" spans="1:46">
      <c r="A40" t="s">
        <v>1467</v>
      </c>
      <c r="B40">
        <f>SUMIF('库存（子SKU）'!$C:$C,$A40,'库存（子SKU）'!D:D)</f>
        <v>445</v>
      </c>
      <c r="C40">
        <f>SUMIF('库存（子SKU）'!$C:$C,$A40,'库存（子SKU）'!E:E)</f>
        <v>382</v>
      </c>
      <c r="D40">
        <f>SUMIF('库存（子SKU）'!$C:$C,$A40,'库存（子SKU）'!F:F)</f>
        <v>397</v>
      </c>
      <c r="E40">
        <f>SUMIF('库存（子SKU）'!$C:$C,$A40,'库存（子SKU）'!G:G)</f>
        <v>203</v>
      </c>
      <c r="F40" s="5">
        <v>23.9386124737211</v>
      </c>
      <c r="G40">
        <f>SUMIF('库存（子SKU）'!$C:$C,$A40,'库存（子SKU）'!I:I)</f>
        <v>1272</v>
      </c>
      <c r="H40">
        <f>SUMIF('库存（子SKU）'!$C:$C,$A40,'库存（子SKU）'!J:J)</f>
        <v>598</v>
      </c>
      <c r="I40">
        <f>SUMIF('库存（子SKU）'!$C:$C,$A40,'库存（子SKU）'!K:K)</f>
        <v>64</v>
      </c>
      <c r="J40">
        <f>SUMIF('库存（子SKU）'!$C:$C,$A40,'库存（子SKU）'!L:L)</f>
        <v>158</v>
      </c>
      <c r="K40">
        <f t="shared" si="1"/>
        <v>2092</v>
      </c>
      <c r="L40">
        <f>SUMIF('库存（子SKU）'!$C:$C,$A40,'库存（子SKU）'!N:N)</f>
        <v>8</v>
      </c>
      <c r="M40">
        <f>SUMIF('库存（子SKU）'!$C:$C,$A40,'库存（子SKU）'!O:O)</f>
        <v>0</v>
      </c>
      <c r="N40">
        <f>SUMIF('库存（子SKU）'!$C:$C,$A40,'库存（子SKU）'!P:P)</f>
        <v>85166</v>
      </c>
      <c r="O40">
        <f>SUMIF('库存（子SKU）'!$C:$C,$A40,'库存（子SKU）'!Q:Q)</f>
        <v>28633</v>
      </c>
      <c r="P40">
        <f>SUMIF('库存（子SKU）'!$C:$C,$A40,'库存（子SKU）'!R:R)</f>
        <v>18800</v>
      </c>
      <c r="Q40">
        <f>SUMIF('库存（子SKU）'!$C:$C,$A40,'库存（子SKU）'!S:S)</f>
        <v>350</v>
      </c>
      <c r="R40">
        <f>SUMIF('库存（子SKU）'!$C:$C,$A40,'库存（子SKU）'!T:T)</f>
        <v>242</v>
      </c>
      <c r="S40">
        <f>SUMIF('库存（子SKU）'!$C:$C,$A40,'库存（子SKU）'!U:U)</f>
        <v>151</v>
      </c>
      <c r="T40">
        <f>SUMIF('库存（子SKU）'!$C:$C,$A40,'库存（子SKU）'!V:V)</f>
        <v>85</v>
      </c>
      <c r="U40">
        <f>SUMIF('库存（子SKU）'!$C:$C,$A40,'库存（子SKU）'!W:W)</f>
        <v>1</v>
      </c>
      <c r="V40" s="18">
        <f t="shared" si="2"/>
        <v>0.00284150952257943</v>
      </c>
      <c r="W40" s="18">
        <f t="shared" si="3"/>
        <v>0.00527363531589425</v>
      </c>
      <c r="X40" s="18">
        <f t="shared" si="4"/>
        <v>0.00452127659574468</v>
      </c>
      <c r="Y40" s="18">
        <f t="shared" si="5"/>
        <v>0.00285714285714286</v>
      </c>
      <c r="Z40">
        <f>SUMIF('库存（子SKU）'!$C:$C,$A40,'库存（子SKU）'!AB:AB)</f>
        <v>174.2</v>
      </c>
      <c r="AA40">
        <f>SUMIF('库存（子SKU）'!$C:$C,$A40,'库存（子SKU）'!AC:AC)</f>
        <v>115.98</v>
      </c>
      <c r="AB40">
        <f>SUMIF('库存（子SKU）'!$C:$C,$A40,'库存（子SKU）'!AD:AD)</f>
        <v>67.54</v>
      </c>
      <c r="AC40">
        <f>SUMIF('库存（子SKU）'!$C:$C,$A40,'库存（子SKU）'!AE:AE)</f>
        <v>0.95</v>
      </c>
      <c r="AD40" s="18">
        <f t="shared" si="6"/>
        <v>0.0163526885523141</v>
      </c>
      <c r="AE40" s="18">
        <f t="shared" si="7"/>
        <v>0.0126829642185118</v>
      </c>
      <c r="AF40" s="18">
        <f t="shared" si="8"/>
        <v>0.00710675878859481</v>
      </c>
      <c r="AG40" s="18">
        <f t="shared" si="9"/>
        <v>0.000195491821458004</v>
      </c>
      <c r="AH40">
        <f>SUMIF('库存（子SKU）'!$C:$C,$A40,'库存（子SKU）'!AJ:AJ)</f>
        <v>2876</v>
      </c>
      <c r="AI40">
        <f>SUMIF('库存（子SKU）'!$C:$C,$A40,'库存（子SKU）'!AK:AK)</f>
        <v>2780</v>
      </c>
      <c r="AJ40">
        <f>SUMIF('库存（子SKU）'!$C:$C,$A40,'库存（子SKU）'!AL:AL)</f>
        <v>3417</v>
      </c>
      <c r="AK40">
        <f>SUMIF('库存（子SKU）'!$C:$C,$A40,'库存（子SKU）'!AM:AM)</f>
        <v>2376</v>
      </c>
      <c r="AL40" s="18">
        <f t="shared" si="10"/>
        <v>0.154728789986092</v>
      </c>
      <c r="AM40" s="18">
        <f t="shared" si="11"/>
        <v>0.137410071942446</v>
      </c>
      <c r="AN40" s="18">
        <f t="shared" si="12"/>
        <v>0.116183786947615</v>
      </c>
      <c r="AO40" s="18">
        <f t="shared" si="13"/>
        <v>0.0854377104377104</v>
      </c>
      <c r="AP40" s="5">
        <f t="shared" si="14"/>
        <v>63.5714285714286</v>
      </c>
      <c r="AQ40" s="5">
        <f t="shared" si="15"/>
        <v>3814.28571428571</v>
      </c>
      <c r="AR40" s="5">
        <f t="shared" si="16"/>
        <v>-1722.28571428571</v>
      </c>
      <c r="AS40">
        <f t="shared" si="17"/>
        <v>32</v>
      </c>
      <c r="AT40" s="2">
        <f>IFERROR(时间!$B$4+AS40,"上周无销量")</f>
        <v>43350</v>
      </c>
    </row>
    <row r="41" spans="1:46">
      <c r="A41" t="s">
        <v>1559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345</v>
      </c>
      <c r="AI41">
        <f>SUMIF('库存（子SKU）'!$C:$C,$A41,'库存（子SKU）'!AK:AK)</f>
        <v>482</v>
      </c>
      <c r="AJ41">
        <f>SUMIF('库存（子SKU）'!$C:$C,$A41,'库存（子SKU）'!AL:AL)</f>
        <v>654</v>
      </c>
      <c r="AK41">
        <f>SUMIF('库存（子SKU）'!$C:$C,$A41,'库存（子SKU）'!AM:AM)</f>
        <v>479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1615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">
        <v>52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307</v>
      </c>
      <c r="AI42">
        <f>SUMIF('库存（子SKU）'!$C:$C,$A42,'库存（子SKU）'!AK:AK)</f>
        <v>393</v>
      </c>
      <c r="AJ42">
        <f>SUMIF('库存（子SKU）'!$C:$C,$A42,'库存（子SKU）'!AL:AL)</f>
        <v>289</v>
      </c>
      <c r="AK42">
        <f>SUMIF('库存（子SKU）'!$C:$C,$A42,'库存（子SKU）'!AM:AM)</f>
        <v>379</v>
      </c>
      <c r="AL42" s="18">
        <f t="shared" si="10"/>
        <v>0</v>
      </c>
      <c r="AM42" s="18">
        <f t="shared" si="11"/>
        <v>0</v>
      </c>
      <c r="AN42" s="18">
        <f t="shared" si="12"/>
        <v>0</v>
      </c>
      <c r="AO42" s="18">
        <f t="shared" si="13"/>
        <v>0</v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1696</v>
      </c>
      <c r="B43">
        <f>SUMIF('库存（子SKU）'!$C:$C,$A43,'库存（子SKU）'!D:D)</f>
        <v>0</v>
      </c>
      <c r="C43">
        <f>SUMIF('库存（子SKU）'!$C:$C,$A43,'库存（子SKU）'!E:E)</f>
        <v>0</v>
      </c>
      <c r="D43">
        <f>SUMIF('库存（子SKU）'!$C:$C,$A43,'库存（子SKU）'!F:F)</f>
        <v>0</v>
      </c>
      <c r="E43">
        <f>SUMIF('库存（子SKU）'!$C:$C,$A43,'库存（子SKU）'!G:G)</f>
        <v>0</v>
      </c>
      <c r="F43" s="5" t="s">
        <v>52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8" t="str">
        <f t="shared" si="10"/>
        <v/>
      </c>
      <c r="AM43" s="18" t="str">
        <f t="shared" si="11"/>
        <v/>
      </c>
      <c r="AN43" s="18" t="str">
        <f t="shared" si="12"/>
        <v/>
      </c>
      <c r="AO43" s="18" t="str">
        <f t="shared" si="13"/>
        <v/>
      </c>
      <c r="AP43" s="5">
        <f t="shared" si="14"/>
        <v>0</v>
      </c>
      <c r="AQ43" s="5">
        <f t="shared" si="15"/>
        <v>0</v>
      </c>
      <c r="AR43" s="5">
        <f t="shared" si="16"/>
        <v>0</v>
      </c>
      <c r="AS43" t="str">
        <f t="shared" si="17"/>
        <v>库存为0</v>
      </c>
      <c r="AT43" s="2" t="str">
        <f>IFERROR(时间!$B$4+AS43,"上周无销量")</f>
        <v>上周无销量</v>
      </c>
    </row>
    <row r="44" spans="1:46">
      <c r="A44" t="s">
        <v>1700</v>
      </c>
      <c r="B44">
        <f>SUMIF('库存（子SKU）'!$C:$C,$A44,'库存（子SKU）'!D:D)</f>
        <v>45</v>
      </c>
      <c r="C44">
        <f>SUMIF('库存（子SKU）'!$C:$C,$A44,'库存（子SKU）'!E:E)</f>
        <v>30</v>
      </c>
      <c r="D44">
        <f>SUMIF('库存（子SKU）'!$C:$C,$A44,'库存（子SKU）'!F:F)</f>
        <v>64</v>
      </c>
      <c r="E44">
        <f>SUMIF('库存（子SKU）'!$C:$C,$A44,'库存（子SKU）'!G:G)</f>
        <v>51</v>
      </c>
      <c r="F44" s="5">
        <v>21.9485789473684</v>
      </c>
      <c r="G44">
        <f>SUMIF('库存（子SKU）'!$C:$C,$A44,'库存（子SKU）'!I:I)</f>
        <v>713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7</v>
      </c>
      <c r="K44">
        <f t="shared" si="1"/>
        <v>720</v>
      </c>
      <c r="L44">
        <f>SUMIF('库存（子SKU）'!$C:$C,$A44,'库存（子SKU）'!N:N)</f>
        <v>0</v>
      </c>
      <c r="M44">
        <f>SUMIF('库存（子SKU）'!$C:$C,$A44,'库存（子SKU）'!O:O)</f>
        <v>611</v>
      </c>
      <c r="N44">
        <f>SUMIF('库存（子SKU）'!$C:$C,$A44,'库存（子SKU）'!P:P)</f>
        <v>10368</v>
      </c>
      <c r="O44">
        <f>SUMIF('库存（子SKU）'!$C:$C,$A44,'库存（子SKU）'!Q:Q)</f>
        <v>3031</v>
      </c>
      <c r="P44">
        <f>SUMIF('库存（子SKU）'!$C:$C,$A44,'库存（子SKU）'!R:R)</f>
        <v>6067</v>
      </c>
      <c r="Q44">
        <f>SUMIF('库存（子SKU）'!$C:$C,$A44,'库存（子SKU）'!S:S)</f>
        <v>4639</v>
      </c>
      <c r="R44">
        <f>SUMIF('库存（子SKU）'!$C:$C,$A44,'库存（子SKU）'!T:T)</f>
        <v>28</v>
      </c>
      <c r="S44">
        <f>SUMIF('库存（子SKU）'!$C:$C,$A44,'库存（子SKU）'!U:U)</f>
        <v>16</v>
      </c>
      <c r="T44">
        <f>SUMIF('库存（子SKU）'!$C:$C,$A44,'库存（子SKU）'!V:V)</f>
        <v>36</v>
      </c>
      <c r="U44">
        <f>SUMIF('库存（子SKU）'!$C:$C,$A44,'库存（子SKU）'!W:W)</f>
        <v>31</v>
      </c>
      <c r="V44" s="18">
        <f t="shared" si="2"/>
        <v>0.00270061728395062</v>
      </c>
      <c r="W44" s="18">
        <f t="shared" si="3"/>
        <v>0.00527878587924777</v>
      </c>
      <c r="X44" s="18">
        <f t="shared" si="4"/>
        <v>0.00593373990440086</v>
      </c>
      <c r="Y44" s="18">
        <f t="shared" si="5"/>
        <v>0.00668247467126536</v>
      </c>
      <c r="Z44">
        <f>SUMIF('库存（子SKU）'!$C:$C,$A44,'库存（子SKU）'!AB:AB)</f>
        <v>16.76</v>
      </c>
      <c r="AA44">
        <f>SUMIF('库存（子SKU）'!$C:$C,$A44,'库存（子SKU）'!AC:AC)</f>
        <v>8.31</v>
      </c>
      <c r="AB44">
        <f>SUMIF('库存（子SKU）'!$C:$C,$A44,'库存（子SKU）'!AD:AD)</f>
        <v>18.32</v>
      </c>
      <c r="AC44">
        <f>SUMIF('库存（子SKU）'!$C:$C,$A44,'库存（子SKU）'!AE:AE)</f>
        <v>18.33</v>
      </c>
      <c r="AD44" s="18">
        <f t="shared" si="6"/>
        <v>0.0169689548165076</v>
      </c>
      <c r="AE44" s="18">
        <f t="shared" si="7"/>
        <v>0.0126204070279097</v>
      </c>
      <c r="AF44" s="18">
        <f t="shared" si="8"/>
        <v>0.0130418466127768</v>
      </c>
      <c r="AG44" s="18">
        <f t="shared" si="9"/>
        <v>0.016375172423132</v>
      </c>
      <c r="AH44">
        <f>SUMIF('库存（子SKU）'!$C:$C,$A44,'库存（子SKU）'!AJ:AJ)</f>
        <v>495</v>
      </c>
      <c r="AI44">
        <f>SUMIF('库存（子SKU）'!$C:$C,$A44,'库存（子SKU）'!AK:AK)</f>
        <v>385</v>
      </c>
      <c r="AJ44">
        <f>SUMIF('库存（子SKU）'!$C:$C,$A44,'库存（子SKU）'!AL:AL)</f>
        <v>421</v>
      </c>
      <c r="AK44">
        <f>SUMIF('库存（子SKU）'!$C:$C,$A44,'库存（子SKU）'!AM:AM)</f>
        <v>531</v>
      </c>
      <c r="AL44" s="18">
        <f t="shared" si="10"/>
        <v>0.0909090909090909</v>
      </c>
      <c r="AM44" s="18">
        <f t="shared" si="11"/>
        <v>0.0779220779220779</v>
      </c>
      <c r="AN44" s="18">
        <f t="shared" si="12"/>
        <v>0.152019002375297</v>
      </c>
      <c r="AO44" s="18">
        <f t="shared" si="13"/>
        <v>0.096045197740113</v>
      </c>
      <c r="AP44" s="5">
        <f t="shared" si="14"/>
        <v>6.42857142857143</v>
      </c>
      <c r="AQ44" s="5">
        <f t="shared" si="15"/>
        <v>385.714285714286</v>
      </c>
      <c r="AR44" s="5">
        <f t="shared" si="16"/>
        <v>334.285714285714</v>
      </c>
      <c r="AS44">
        <f t="shared" si="17"/>
        <v>112</v>
      </c>
      <c r="AT44" s="2">
        <f>IFERROR(时间!$B$4+AS44,"上周无销量")</f>
        <v>43430</v>
      </c>
    </row>
    <row r="45" spans="1:46">
      <c r="A45" t="s">
        <v>1747</v>
      </c>
      <c r="B45">
        <f>SUMIF('库存（子SKU）'!$C:$C,$A45,'库存（子SKU）'!D:D)</f>
        <v>41</v>
      </c>
      <c r="C45">
        <f>SUMIF('库存（子SKU）'!$C:$C,$A45,'库存（子SKU）'!E:E)</f>
        <v>41</v>
      </c>
      <c r="D45">
        <f>SUMIF('库存（子SKU）'!$C:$C,$A45,'库存（子SKU）'!F:F)</f>
        <v>41</v>
      </c>
      <c r="E45">
        <f>SUMIF('库存（子SKU）'!$C:$C,$A45,'库存（子SKU）'!G:G)</f>
        <v>13</v>
      </c>
      <c r="F45" s="5">
        <v>16.1926470588235</v>
      </c>
      <c r="G45">
        <f>SUMIF('库存（子SKU）'!$C:$C,$A45,'库存（子SKU）'!I:I)</f>
        <v>489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1</v>
      </c>
      <c r="K45">
        <f t="shared" si="1"/>
        <v>490</v>
      </c>
      <c r="L45">
        <f>SUMIF('库存（子SKU）'!$C:$C,$A45,'库存（子SKU）'!N:N)</f>
        <v>0</v>
      </c>
      <c r="M45">
        <f>SUMIF('库存（子SKU）'!$C:$C,$A45,'库存（子SKU）'!O:O)</f>
        <v>472</v>
      </c>
      <c r="N45">
        <f>SUMIF('库存（子SKU）'!$C:$C,$A45,'库存（子SKU）'!P:P)</f>
        <v>5486</v>
      </c>
      <c r="O45">
        <f>SUMIF('库存（子SKU）'!$C:$C,$A45,'库存（子SKU）'!Q:Q)</f>
        <v>9832</v>
      </c>
      <c r="P45">
        <f>SUMIF('库存（子SKU）'!$C:$C,$A45,'库存（子SKU）'!R:R)</f>
        <v>3241</v>
      </c>
      <c r="Q45">
        <f>SUMIF('库存（子SKU）'!$C:$C,$A45,'库存（子SKU）'!S:S)</f>
        <v>3362</v>
      </c>
      <c r="R45">
        <f>SUMIF('库存（子SKU）'!$C:$C,$A45,'库存（子SKU）'!T:T)</f>
        <v>18</v>
      </c>
      <c r="S45">
        <f>SUMIF('库存（子SKU）'!$C:$C,$A45,'库存（子SKU）'!U:U)</f>
        <v>21</v>
      </c>
      <c r="T45">
        <f>SUMIF('库存（子SKU）'!$C:$C,$A45,'库存（子SKU）'!V:V)</f>
        <v>11</v>
      </c>
      <c r="U45">
        <f>SUMIF('库存（子SKU）'!$C:$C,$A45,'库存（子SKU）'!W:W)</f>
        <v>2</v>
      </c>
      <c r="V45" s="18">
        <f t="shared" si="2"/>
        <v>0.003281079110463</v>
      </c>
      <c r="W45" s="18">
        <f t="shared" si="3"/>
        <v>0.00213588283157038</v>
      </c>
      <c r="X45" s="18">
        <f t="shared" si="4"/>
        <v>0.00339401419315026</v>
      </c>
      <c r="Y45" s="18">
        <f t="shared" si="5"/>
        <v>0.000594883997620464</v>
      </c>
      <c r="Z45">
        <f>SUMIF('库存（子SKU）'!$C:$C,$A45,'库存（子SKU）'!AB:AB)</f>
        <v>9.18</v>
      </c>
      <c r="AA45">
        <f>SUMIF('库存（子SKU）'!$C:$C,$A45,'库存（子SKU）'!AC:AC)</f>
        <v>9.58</v>
      </c>
      <c r="AB45">
        <f>SUMIF('库存（子SKU）'!$C:$C,$A45,'库存（子SKU）'!AD:AD)</f>
        <v>4.79</v>
      </c>
      <c r="AC45">
        <f>SUMIF('库存（子SKU）'!$C:$C,$A45,'库存（子SKU）'!AE:AE)</f>
        <v>1.44</v>
      </c>
      <c r="AD45" s="18">
        <f t="shared" si="6"/>
        <v>0.0138274142708733</v>
      </c>
      <c r="AE45" s="18">
        <f t="shared" si="7"/>
        <v>0.0144299159820224</v>
      </c>
      <c r="AF45" s="18">
        <f t="shared" si="8"/>
        <v>0.00721495799101122</v>
      </c>
      <c r="AG45" s="18">
        <f t="shared" si="9"/>
        <v>0.00684071173581664</v>
      </c>
      <c r="AH45">
        <f>SUMIF('库存（子SKU）'!$C:$C,$A45,'库存（子SKU）'!AJ:AJ)</f>
        <v>304</v>
      </c>
      <c r="AI45">
        <f>SUMIF('库存（子SKU）'!$C:$C,$A45,'库存（子SKU）'!AK:AK)</f>
        <v>342</v>
      </c>
      <c r="AJ45">
        <f>SUMIF('库存（子SKU）'!$C:$C,$A45,'库存（子SKU）'!AL:AL)</f>
        <v>455</v>
      </c>
      <c r="AK45">
        <f>SUMIF('库存（子SKU）'!$C:$C,$A45,'库存（子SKU）'!AM:AM)</f>
        <v>433</v>
      </c>
      <c r="AL45" s="18">
        <f t="shared" si="10"/>
        <v>0.134868421052632</v>
      </c>
      <c r="AM45" s="18">
        <f t="shared" si="11"/>
        <v>0.119883040935673</v>
      </c>
      <c r="AN45" s="18">
        <f t="shared" si="12"/>
        <v>0.0901098901098901</v>
      </c>
      <c r="AO45" s="18">
        <f t="shared" si="13"/>
        <v>0.0300230946882217</v>
      </c>
      <c r="AP45" s="5">
        <f t="shared" si="14"/>
        <v>5.85714285714286</v>
      </c>
      <c r="AQ45" s="5">
        <f t="shared" si="15"/>
        <v>351.428571428571</v>
      </c>
      <c r="AR45" s="5">
        <f t="shared" si="16"/>
        <v>138.571428571429</v>
      </c>
      <c r="AS45">
        <f t="shared" si="17"/>
        <v>83</v>
      </c>
      <c r="AT45" s="2">
        <f>IFERROR(时间!$B$4+AS45,"上周无销量")</f>
        <v>43401</v>
      </c>
    </row>
    <row r="46" spans="1:46">
      <c r="A46" t="s">
        <v>1831</v>
      </c>
      <c r="B46">
        <f>SUMIF('库存（子SKU）'!$C:$C,$A46,'库存（子SKU）'!D:D)</f>
        <v>20</v>
      </c>
      <c r="C46">
        <f>SUMIF('库存（子SKU）'!$C:$C,$A46,'库存（子SKU）'!E:E)</f>
        <v>4</v>
      </c>
      <c r="D46">
        <f>SUMIF('库存（子SKU）'!$C:$C,$A46,'库存（子SKU）'!F:F)</f>
        <v>4</v>
      </c>
      <c r="E46">
        <f>SUMIF('库存（子SKU）'!$C:$C,$A46,'库存（子SKU）'!G:G)</f>
        <v>1</v>
      </c>
      <c r="F46" s="5">
        <v>13.7041379310345</v>
      </c>
      <c r="G46">
        <f>SUMIF('库存（子SKU）'!$C:$C,$A46,'库存（子SKU）'!I:I)</f>
        <v>149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149</v>
      </c>
      <c r="L46">
        <f>SUMIF('库存（子SKU）'!$C:$C,$A46,'库存（子SKU）'!N:N)</f>
        <v>0</v>
      </c>
      <c r="M46">
        <f>SUMIF('库存（子SKU）'!$C:$C,$A46,'库存（子SKU）'!O:O)</f>
        <v>145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57</v>
      </c>
      <c r="AI46">
        <f>SUMIF('库存（子SKU）'!$C:$C,$A46,'库存（子SKU）'!AK:AK)</f>
        <v>45</v>
      </c>
      <c r="AJ46">
        <f>SUMIF('库存（子SKU）'!$C:$C,$A46,'库存（子SKU）'!AL:AL)</f>
        <v>43</v>
      </c>
      <c r="AK46">
        <f>SUMIF('库存（子SKU）'!$C:$C,$A46,'库存（子SKU）'!AM:AM)</f>
        <v>33</v>
      </c>
      <c r="AL46" s="18">
        <f t="shared" si="10"/>
        <v>0.350877192982456</v>
      </c>
      <c r="AM46" s="18">
        <f t="shared" si="11"/>
        <v>0.0888888888888889</v>
      </c>
      <c r="AN46" s="18">
        <f t="shared" si="12"/>
        <v>0.0930232558139535</v>
      </c>
      <c r="AO46" s="18">
        <f t="shared" si="13"/>
        <v>0.0303030303030303</v>
      </c>
      <c r="AP46" s="5">
        <f t="shared" si="14"/>
        <v>2.85714285714286</v>
      </c>
      <c r="AQ46" s="5">
        <f t="shared" si="15"/>
        <v>171.428571428571</v>
      </c>
      <c r="AR46" s="5">
        <f t="shared" si="16"/>
        <v>-22.4285714285714</v>
      </c>
      <c r="AS46">
        <f t="shared" si="17"/>
        <v>52</v>
      </c>
      <c r="AT46" s="2">
        <f>IFERROR(时间!$B$4+AS46,"上周无销量")</f>
        <v>43370</v>
      </c>
    </row>
    <row r="47" spans="1:46">
      <c r="A47" t="s">
        <v>1860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5" t="s">
        <v>52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8" t="str">
        <f t="shared" si="10"/>
        <v/>
      </c>
      <c r="AM47" s="18" t="str">
        <f t="shared" si="11"/>
        <v/>
      </c>
      <c r="AN47" s="18" t="str">
        <f t="shared" si="12"/>
        <v/>
      </c>
      <c r="AO47" s="18" t="str">
        <f t="shared" si="13"/>
        <v/>
      </c>
      <c r="AP47" s="5">
        <f t="shared" si="14"/>
        <v>0</v>
      </c>
      <c r="AQ47" s="5">
        <f t="shared" si="15"/>
        <v>0</v>
      </c>
      <c r="AR47" s="5">
        <f t="shared" si="16"/>
        <v>0</v>
      </c>
      <c r="AS47" t="str">
        <f t="shared" si="17"/>
        <v>库存为0</v>
      </c>
      <c r="AT47" s="2" t="str">
        <f>IFERROR(时间!$B$4+AS47,"上周无销量")</f>
        <v>上周无销量</v>
      </c>
    </row>
    <row r="48" spans="1:46">
      <c r="A48" t="s">
        <v>1870</v>
      </c>
      <c r="B48">
        <f>SUMIF('库存（子SKU）'!$C:$C,$A48,'库存（子SKU）'!D:D)</f>
        <v>8</v>
      </c>
      <c r="C48">
        <f>SUMIF('库存（子SKU）'!$C:$C,$A48,'库存（子SKU）'!E:E)</f>
        <v>2</v>
      </c>
      <c r="D48">
        <f>SUMIF('库存（子SKU）'!$C:$C,$A48,'库存（子SKU）'!F:F)</f>
        <v>5</v>
      </c>
      <c r="E48">
        <f>SUMIF('库存（子SKU）'!$C:$C,$A48,'库存（子SKU）'!G:G)</f>
        <v>4</v>
      </c>
      <c r="F48" s="5">
        <v>26.8221052631579</v>
      </c>
      <c r="G48">
        <f>SUMIF('库存（子SKU）'!$C:$C,$A48,'库存（子SKU）'!I:I)</f>
        <v>197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2</v>
      </c>
      <c r="K48">
        <f t="shared" si="1"/>
        <v>199</v>
      </c>
      <c r="L48">
        <f>SUMIF('库存（子SKU）'!$C:$C,$A48,'库存（子SKU）'!N:N)</f>
        <v>1</v>
      </c>
      <c r="M48">
        <f>SUMIF('库存（子SKU）'!$C:$C,$A48,'库存（子SKU）'!O:O)</f>
        <v>173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189</v>
      </c>
      <c r="AI48">
        <f>SUMIF('库存（子SKU）'!$C:$C,$A48,'库存（子SKU）'!AK:AK)</f>
        <v>182</v>
      </c>
      <c r="AJ48">
        <f>SUMIF('库存（子SKU）'!$C:$C,$A48,'库存（子SKU）'!AL:AL)</f>
        <v>195</v>
      </c>
      <c r="AK48">
        <f>SUMIF('库存（子SKU）'!$C:$C,$A48,'库存（子SKU）'!AM:AM)</f>
        <v>105</v>
      </c>
      <c r="AL48" s="18">
        <f t="shared" si="10"/>
        <v>0.0423280423280423</v>
      </c>
      <c r="AM48" s="18">
        <f t="shared" si="11"/>
        <v>0.010989010989011</v>
      </c>
      <c r="AN48" s="18">
        <f t="shared" si="12"/>
        <v>0.0256410256410256</v>
      </c>
      <c r="AO48" s="18">
        <f t="shared" si="13"/>
        <v>0.0380952380952381</v>
      </c>
      <c r="AP48" s="5">
        <f t="shared" si="14"/>
        <v>1.14285714285714</v>
      </c>
      <c r="AQ48" s="5">
        <f t="shared" si="15"/>
        <v>68.5714285714286</v>
      </c>
      <c r="AR48" s="5">
        <f t="shared" si="16"/>
        <v>130.428571428571</v>
      </c>
      <c r="AS48">
        <f t="shared" si="17"/>
        <v>174</v>
      </c>
      <c r="AT48" s="2">
        <f>IFERROR(时间!$B$4+AS48,"上周无销量")</f>
        <v>43492</v>
      </c>
    </row>
    <row r="49" spans="1:46">
      <c r="A49" t="s">
        <v>1911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1920</v>
      </c>
      <c r="B50">
        <f>SUMIF('库存（子SKU）'!$C:$C,$A50,'库存（子SKU）'!D:D)</f>
        <v>8</v>
      </c>
      <c r="C50">
        <f>SUMIF('库存（子SKU）'!$C:$C,$A50,'库存（子SKU）'!E:E)</f>
        <v>8</v>
      </c>
      <c r="D50">
        <f>SUMIF('库存（子SKU）'!$C:$C,$A50,'库存（子SKU）'!F:F)</f>
        <v>13</v>
      </c>
      <c r="E50">
        <f>SUMIF('库存（子SKU）'!$C:$C,$A50,'库存（子SKU）'!G:G)</f>
        <v>22</v>
      </c>
      <c r="F50" s="5">
        <v>20.98</v>
      </c>
      <c r="G50">
        <f>SUMIF('库存（子SKU）'!$C:$C,$A50,'库存（子SKU）'!I:I)</f>
        <v>22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3</v>
      </c>
      <c r="K50">
        <f t="shared" si="1"/>
        <v>25</v>
      </c>
      <c r="L50">
        <f>SUMIF('库存（子SKU）'!$C:$C,$A50,'库存（子SKU）'!N:N)</f>
        <v>2</v>
      </c>
      <c r="M50">
        <f>SUMIF('库存（子SKU）'!$C:$C,$A50,'库存（子SKU）'!O:O)</f>
        <v>2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358</v>
      </c>
      <c r="AI50">
        <f>SUMIF('库存（子SKU）'!$C:$C,$A50,'库存（子SKU）'!AK:AK)</f>
        <v>397</v>
      </c>
      <c r="AJ50">
        <f>SUMIF('库存（子SKU）'!$C:$C,$A50,'库存（子SKU）'!AL:AL)</f>
        <v>502</v>
      </c>
      <c r="AK50">
        <f>SUMIF('库存（子SKU）'!$C:$C,$A50,'库存（子SKU）'!AM:AM)</f>
        <v>388</v>
      </c>
      <c r="AL50" s="18">
        <f t="shared" si="10"/>
        <v>0.0223463687150838</v>
      </c>
      <c r="AM50" s="18">
        <f t="shared" si="11"/>
        <v>0.0201511335012594</v>
      </c>
      <c r="AN50" s="18">
        <f t="shared" si="12"/>
        <v>0.0258964143426295</v>
      </c>
      <c r="AO50" s="18">
        <f t="shared" si="13"/>
        <v>0.0567010309278351</v>
      </c>
      <c r="AP50" s="5">
        <f t="shared" si="14"/>
        <v>1.14285714285714</v>
      </c>
      <c r="AQ50" s="5">
        <f t="shared" si="15"/>
        <v>68.5714285714286</v>
      </c>
      <c r="AR50" s="5">
        <f t="shared" si="16"/>
        <v>-43.5714285714286</v>
      </c>
      <c r="AS50">
        <f t="shared" si="17"/>
        <v>21</v>
      </c>
      <c r="AT50" s="2">
        <f>IFERROR(时间!$B$4+AS50,"上周无销量")</f>
        <v>43339</v>
      </c>
    </row>
    <row r="51" spans="1:46">
      <c r="A51" t="s">
        <v>1977</v>
      </c>
      <c r="B51">
        <f>SUMIF('库存（子SKU）'!$C:$C,$A51,'库存（子SKU）'!D:D)</f>
        <v>40</v>
      </c>
      <c r="C51">
        <f>SUMIF('库存（子SKU）'!$C:$C,$A51,'库存（子SKU）'!E:E)</f>
        <v>21</v>
      </c>
      <c r="D51">
        <f>SUMIF('库存（子SKU）'!$C:$C,$A51,'库存（子SKU）'!F:F)</f>
        <v>67</v>
      </c>
      <c r="E51">
        <f>SUMIF('库存（子SKU）'!$C:$C,$A51,'库存（子SKU）'!G:G)</f>
        <v>17</v>
      </c>
      <c r="F51" s="5">
        <v>18.8765517241379</v>
      </c>
      <c r="G51">
        <f>SUMIF('库存（子SKU）'!$C:$C,$A51,'库存（子SKU）'!I:I)</f>
        <v>607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5</v>
      </c>
      <c r="K51">
        <f t="shared" si="1"/>
        <v>612</v>
      </c>
      <c r="L51">
        <f>SUMIF('库存（子SKU）'!$C:$C,$A51,'库存（子SKU）'!N:N)</f>
        <v>4</v>
      </c>
      <c r="M51">
        <f>SUMIF('库存（子SKU）'!$C:$C,$A51,'库存（子SKU）'!O:O)</f>
        <v>558</v>
      </c>
      <c r="N51">
        <f>SUMIF('库存（子SKU）'!$C:$C,$A51,'库存（子SKU）'!P:P)</f>
        <v>7910</v>
      </c>
      <c r="O51">
        <f>SUMIF('库存（子SKU）'!$C:$C,$A51,'库存（子SKU）'!Q:Q)</f>
        <v>9665</v>
      </c>
      <c r="P51">
        <f>SUMIF('库存（子SKU）'!$C:$C,$A51,'库存（子SKU）'!R:R)</f>
        <v>9760</v>
      </c>
      <c r="Q51">
        <f>SUMIF('库存（子SKU）'!$C:$C,$A51,'库存（子SKU）'!S:S)</f>
        <v>10027</v>
      </c>
      <c r="R51">
        <f>SUMIF('库存（子SKU）'!$C:$C,$A51,'库存（子SKU）'!T:T)</f>
        <v>11</v>
      </c>
      <c r="S51">
        <f>SUMIF('库存（子SKU）'!$C:$C,$A51,'库存（子SKU）'!U:U)</f>
        <v>36</v>
      </c>
      <c r="T51">
        <f>SUMIF('库存（子SKU）'!$C:$C,$A51,'库存（子SKU）'!V:V)</f>
        <v>21</v>
      </c>
      <c r="U51">
        <f>SUMIF('库存（子SKU）'!$C:$C,$A51,'库存（子SKU）'!W:W)</f>
        <v>15</v>
      </c>
      <c r="V51" s="18">
        <f t="shared" si="2"/>
        <v>0.00139064475347661</v>
      </c>
      <c r="W51" s="18">
        <f t="shared" si="3"/>
        <v>0.00372478013450595</v>
      </c>
      <c r="X51" s="18">
        <f t="shared" si="4"/>
        <v>0.0021516393442623</v>
      </c>
      <c r="Y51" s="18">
        <f t="shared" si="5"/>
        <v>0.001495960905555</v>
      </c>
      <c r="Z51">
        <f>SUMIF('库存（子SKU）'!$C:$C,$A51,'库存（子SKU）'!AB:AB)</f>
        <v>5.45</v>
      </c>
      <c r="AA51">
        <f>SUMIF('库存（子SKU）'!$C:$C,$A51,'库存（子SKU）'!AC:AC)</f>
        <v>17.79</v>
      </c>
      <c r="AB51">
        <f>SUMIF('库存（子SKU）'!$C:$C,$A51,'库存（子SKU）'!AD:AD)</f>
        <v>9.37</v>
      </c>
      <c r="AC51">
        <f>SUMIF('库存（子SKU）'!$C:$C,$A51,'库存（子SKU）'!AE:AE)</f>
        <v>7.68</v>
      </c>
      <c r="AD51" s="18">
        <f t="shared" si="6"/>
        <v>0.00721794965474408</v>
      </c>
      <c r="AE51" s="18">
        <f t="shared" si="7"/>
        <v>0.0448780513264822</v>
      </c>
      <c r="AF51" s="18">
        <f t="shared" si="8"/>
        <v>0.00740870198712333</v>
      </c>
      <c r="AG51" s="18">
        <f t="shared" si="9"/>
        <v>0.0239325864429291</v>
      </c>
      <c r="AH51">
        <f>SUMIF('库存（子SKU）'!$C:$C,$A51,'库存（子SKU）'!AJ:AJ)</f>
        <v>312</v>
      </c>
      <c r="AI51">
        <f>SUMIF('库存（子SKU）'!$C:$C,$A51,'库存（子SKU）'!AK:AK)</f>
        <v>386</v>
      </c>
      <c r="AJ51">
        <f>SUMIF('库存（子SKU）'!$C:$C,$A51,'库存（子SKU）'!AL:AL)</f>
        <v>514</v>
      </c>
      <c r="AK51">
        <f>SUMIF('库存（子SKU）'!$C:$C,$A51,'库存（子SKU）'!AM:AM)</f>
        <v>415</v>
      </c>
      <c r="AL51" s="18">
        <f t="shared" si="10"/>
        <v>0.128205128205128</v>
      </c>
      <c r="AM51" s="18">
        <f t="shared" si="11"/>
        <v>0.0544041450777202</v>
      </c>
      <c r="AN51" s="18">
        <f t="shared" si="12"/>
        <v>0.130350194552529</v>
      </c>
      <c r="AO51" s="18">
        <f t="shared" si="13"/>
        <v>0.0409638554216867</v>
      </c>
      <c r="AP51" s="5">
        <f t="shared" si="14"/>
        <v>5.71428571428571</v>
      </c>
      <c r="AQ51" s="5">
        <f t="shared" si="15"/>
        <v>342.857142857143</v>
      </c>
      <c r="AR51" s="5">
        <f t="shared" si="16"/>
        <v>269.142857142857</v>
      </c>
      <c r="AS51">
        <f t="shared" si="17"/>
        <v>107</v>
      </c>
      <c r="AT51" s="2">
        <f>IFERROR(时间!$B$4+AS51,"上周无销量")</f>
        <v>43425</v>
      </c>
    </row>
    <row r="52" spans="1:46">
      <c r="A52" t="s">
        <v>2014</v>
      </c>
      <c r="B52">
        <f>SUMIF('库存（子SKU）'!$C:$C,$A52,'库存（子SKU）'!D:D)</f>
        <v>40</v>
      </c>
      <c r="C52">
        <f>SUMIF('库存（子SKU）'!$C:$C,$A52,'库存（子SKU）'!E:E)</f>
        <v>27</v>
      </c>
      <c r="D52">
        <f>SUMIF('库存（子SKU）'!$C:$C,$A52,'库存（子SKU）'!F:F)</f>
        <v>43</v>
      </c>
      <c r="E52">
        <f>SUMIF('库存（子SKU）'!$C:$C,$A52,'库存（子SKU）'!G:G)</f>
        <v>25</v>
      </c>
      <c r="F52" s="5">
        <v>22.7651851851852</v>
      </c>
      <c r="G52">
        <f>SUMIF('库存（子SKU）'!$C:$C,$A52,'库存（子SKU）'!I:I)</f>
        <v>423</v>
      </c>
      <c r="H52">
        <f>SUMIF('库存（子SKU）'!$C:$C,$A52,'库存（子SKU）'!J:J)</f>
        <v>13</v>
      </c>
      <c r="I52">
        <f>SUMIF('库存（子SKU）'!$C:$C,$A52,'库存（子SKU）'!K:K)</f>
        <v>0</v>
      </c>
      <c r="J52">
        <f>SUMIF('库存（子SKU）'!$C:$C,$A52,'库存（子SKU）'!L:L)</f>
        <v>6</v>
      </c>
      <c r="K52">
        <f t="shared" si="1"/>
        <v>442</v>
      </c>
      <c r="L52">
        <f>SUMIF('库存（子SKU）'!$C:$C,$A52,'库存（子SKU）'!N:N)</f>
        <v>2</v>
      </c>
      <c r="M52">
        <f>SUMIF('库存（子SKU）'!$C:$C,$A52,'库存（子SKU）'!O:O)</f>
        <v>283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305</v>
      </c>
      <c r="AI52">
        <f>SUMIF('库存（子SKU）'!$C:$C,$A52,'库存（子SKU）'!AK:AK)</f>
        <v>356</v>
      </c>
      <c r="AJ52">
        <f>SUMIF('库存（子SKU）'!$C:$C,$A52,'库存（子SKU）'!AL:AL)</f>
        <v>362</v>
      </c>
      <c r="AK52">
        <f>SUMIF('库存（子SKU）'!$C:$C,$A52,'库存（子SKU）'!AM:AM)</f>
        <v>330</v>
      </c>
      <c r="AL52" s="18">
        <f t="shared" si="10"/>
        <v>0.131147540983607</v>
      </c>
      <c r="AM52" s="18">
        <f t="shared" si="11"/>
        <v>0.0758426966292135</v>
      </c>
      <c r="AN52" s="18">
        <f t="shared" si="12"/>
        <v>0.11878453038674</v>
      </c>
      <c r="AO52" s="18">
        <f t="shared" si="13"/>
        <v>0.0757575757575758</v>
      </c>
      <c r="AP52" s="5">
        <f t="shared" si="14"/>
        <v>5.71428571428571</v>
      </c>
      <c r="AQ52" s="5">
        <f t="shared" si="15"/>
        <v>342.857142857143</v>
      </c>
      <c r="AR52" s="5">
        <f t="shared" si="16"/>
        <v>99.1428571428571</v>
      </c>
      <c r="AS52">
        <f t="shared" si="17"/>
        <v>77</v>
      </c>
      <c r="AT52" s="2">
        <f>IFERROR(时间!$B$4+AS52,"上周无销量")</f>
        <v>43395</v>
      </c>
    </row>
    <row r="53" spans="1:46">
      <c r="A53" t="s">
        <v>2063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">
        <v>52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280</v>
      </c>
      <c r="AI53">
        <f>SUMIF('库存（子SKU）'!$C:$C,$A53,'库存（子SKU）'!AK:AK)</f>
        <v>372</v>
      </c>
      <c r="AJ53">
        <f>SUMIF('库存（子SKU）'!$C:$C,$A53,'库存（子SKU）'!AL:AL)</f>
        <v>471</v>
      </c>
      <c r="AK53">
        <f>SUMIF('库存（子SKU）'!$C:$C,$A53,'库存（子SKU）'!AM:AM)</f>
        <v>363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0</v>
      </c>
      <c r="AS53" t="str">
        <f t="shared" si="17"/>
        <v>库存为0</v>
      </c>
      <c r="AT53" s="2" t="str">
        <f>IFERROR(时间!$B$4+AS53,"上周无销量")</f>
        <v>上周无销量</v>
      </c>
    </row>
    <row r="54" spans="1:46">
      <c r="A54" t="s">
        <v>2127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">
        <v>52</v>
      </c>
      <c r="G54">
        <f>SUMIF('库存（子SKU）'!$C:$C,$A54,'库存（子SKU）'!I:I)</f>
        <v>0</v>
      </c>
      <c r="H54">
        <f>SUMIF('库存（子SKU）'!$C:$C,$A54,'库存（子SKU）'!J:J)</f>
        <v>13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13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295</v>
      </c>
      <c r="AI54">
        <f>SUMIF('库存（子SKU）'!$C:$C,$A54,'库存（子SKU）'!AK:AK)</f>
        <v>391</v>
      </c>
      <c r="AJ54">
        <f>SUMIF('库存（子SKU）'!$C:$C,$A54,'库存（子SKU）'!AL:AL)</f>
        <v>243</v>
      </c>
      <c r="AK54">
        <f>SUMIF('库存（子SKU）'!$C:$C,$A54,'库存（子SKU）'!AM:AM)</f>
        <v>349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13</v>
      </c>
      <c r="AS54" t="str">
        <f t="shared" si="17"/>
        <v>库存为13</v>
      </c>
      <c r="AT54" s="2" t="str">
        <f>IFERROR(时间!$B$4+AS54,"上周无销量")</f>
        <v>上周无销量</v>
      </c>
    </row>
    <row r="55" spans="1:46">
      <c r="A55" t="s">
        <v>2189</v>
      </c>
      <c r="B55">
        <f>SUMIF('库存（子SKU）'!$C:$C,$A55,'库存（子SKU）'!D:D)</f>
        <v>11</v>
      </c>
      <c r="C55">
        <f>SUMIF('库存（子SKU）'!$C:$C,$A55,'库存（子SKU）'!E:E)</f>
        <v>7</v>
      </c>
      <c r="D55">
        <f>SUMIF('库存（子SKU）'!$C:$C,$A55,'库存（子SKU）'!F:F)</f>
        <v>9</v>
      </c>
      <c r="E55">
        <f>SUMIF('库存（子SKU）'!$C:$C,$A55,'库存（子SKU）'!G:G)</f>
        <v>10</v>
      </c>
      <c r="F55" s="5">
        <v>20.007027027027</v>
      </c>
      <c r="G55">
        <f>SUMIF('库存（子SKU）'!$C:$C,$A55,'库存（子SKU）'!I:I)</f>
        <v>659</v>
      </c>
      <c r="H55">
        <f>SUMIF('库存（子SKU）'!$C:$C,$A55,'库存（子SKU）'!J:J)</f>
        <v>146</v>
      </c>
      <c r="I55">
        <f>SUMIF('库存（子SKU）'!$C:$C,$A55,'库存（子SKU）'!K:K)</f>
        <v>0</v>
      </c>
      <c r="J55">
        <f>SUMIF('库存（子SKU）'!$C:$C,$A55,'库存（子SKU）'!L:L)</f>
        <v>6</v>
      </c>
      <c r="K55">
        <f t="shared" si="1"/>
        <v>811</v>
      </c>
      <c r="L55">
        <f>SUMIF('库存（子SKU）'!$C:$C,$A55,'库存（子SKU）'!N:N)</f>
        <v>0</v>
      </c>
      <c r="M55">
        <f>SUMIF('库存（子SKU）'!$C:$C,$A55,'库存（子SKU）'!O:O)</f>
        <v>325</v>
      </c>
      <c r="N55">
        <f>SUMIF('库存（子SKU）'!$C:$C,$A55,'库存（子SKU）'!P:P)</f>
        <v>3094</v>
      </c>
      <c r="O55">
        <f>SUMIF('库存（子SKU）'!$C:$C,$A55,'库存（子SKU）'!Q:Q)</f>
        <v>624</v>
      </c>
      <c r="P55">
        <f>SUMIF('库存（子SKU）'!$C:$C,$A55,'库存（子SKU）'!R:R)</f>
        <v>1077</v>
      </c>
      <c r="Q55">
        <f>SUMIF('库存（子SKU）'!$C:$C,$A55,'库存（子SKU）'!S:S)</f>
        <v>993</v>
      </c>
      <c r="R55">
        <f>SUMIF('库存（子SKU）'!$C:$C,$A55,'库存（子SKU）'!T:T)</f>
        <v>5</v>
      </c>
      <c r="S55">
        <f>SUMIF('库存（子SKU）'!$C:$C,$A55,'库存（子SKU）'!U:U)</f>
        <v>7</v>
      </c>
      <c r="T55">
        <f>SUMIF('库存（子SKU）'!$C:$C,$A55,'库存（子SKU）'!V:V)</f>
        <v>5</v>
      </c>
      <c r="U55">
        <f>SUMIF('库存（子SKU）'!$C:$C,$A55,'库存（子SKU）'!W:W)</f>
        <v>8</v>
      </c>
      <c r="V55" s="18">
        <f t="shared" si="2"/>
        <v>0.00161603102779573</v>
      </c>
      <c r="W55" s="18">
        <f t="shared" si="3"/>
        <v>0.0112179487179487</v>
      </c>
      <c r="X55" s="18">
        <f t="shared" si="4"/>
        <v>0.00464252553389044</v>
      </c>
      <c r="Y55" s="18">
        <f t="shared" si="5"/>
        <v>0.0080563947633434</v>
      </c>
      <c r="Z55">
        <f>SUMIF('库存（子SKU）'!$C:$C,$A55,'库存（子SKU）'!AB:AB)</f>
        <v>2.71</v>
      </c>
      <c r="AA55">
        <f>SUMIF('库存（子SKU）'!$C:$C,$A55,'库存（子SKU）'!AC:AC)</f>
        <v>3.44</v>
      </c>
      <c r="AB55">
        <f>SUMIF('库存（子SKU）'!$C:$C,$A55,'库存（子SKU）'!AD:AD)</f>
        <v>3.01</v>
      </c>
      <c r="AC55">
        <f>SUMIF('库存（子SKU）'!$C:$C,$A55,'库存（子SKU）'!AE:AE)</f>
        <v>4.96</v>
      </c>
      <c r="AD55" s="18">
        <f t="shared" si="6"/>
        <v>0.0123138553284718</v>
      </c>
      <c r="AE55" s="18">
        <f t="shared" si="7"/>
        <v>0.0245627983990181</v>
      </c>
      <c r="AF55" s="18">
        <f t="shared" si="8"/>
        <v>0.0167163489104429</v>
      </c>
      <c r="AG55" s="18">
        <f t="shared" si="9"/>
        <v>0.024791289546916</v>
      </c>
      <c r="AH55">
        <f>SUMIF('库存（子SKU）'!$C:$C,$A55,'库存（子SKU）'!AJ:AJ)</f>
        <v>257</v>
      </c>
      <c r="AI55">
        <f>SUMIF('库存（子SKU）'!$C:$C,$A55,'库存（子SKU）'!AK:AK)</f>
        <v>117</v>
      </c>
      <c r="AJ55">
        <f>SUMIF('库存（子SKU）'!$C:$C,$A55,'库存（子SKU）'!AL:AL)</f>
        <v>425</v>
      </c>
      <c r="AK55">
        <f>SUMIF('库存（子SKU）'!$C:$C,$A55,'库存（子SKU）'!AM:AM)</f>
        <v>262</v>
      </c>
      <c r="AL55" s="18">
        <f t="shared" si="10"/>
        <v>0.0428015564202335</v>
      </c>
      <c r="AM55" s="18">
        <f t="shared" si="11"/>
        <v>0.0598290598290598</v>
      </c>
      <c r="AN55" s="18">
        <f t="shared" si="12"/>
        <v>0.0211764705882353</v>
      </c>
      <c r="AO55" s="18">
        <f t="shared" si="13"/>
        <v>0.0381679389312977</v>
      </c>
      <c r="AP55" s="5">
        <f t="shared" si="14"/>
        <v>1.57142857142857</v>
      </c>
      <c r="AQ55" s="5">
        <f t="shared" si="15"/>
        <v>94.2857142857143</v>
      </c>
      <c r="AR55" s="5">
        <f t="shared" si="16"/>
        <v>716.714285714286</v>
      </c>
      <c r="AS55">
        <f t="shared" si="17"/>
        <v>516</v>
      </c>
      <c r="AT55" s="2">
        <f>IFERROR(时间!$B$4+AS55,"上周无销量")</f>
        <v>43834</v>
      </c>
    </row>
    <row r="56" spans="1:46">
      <c r="A56" t="s">
        <v>2228</v>
      </c>
      <c r="B56">
        <f>SUMIF('库存（子SKU）'!$C:$C,$A56,'库存（子SKU）'!D:D)</f>
        <v>7</v>
      </c>
      <c r="C56">
        <f>SUMIF('库存（子SKU）'!$C:$C,$A56,'库存（子SKU）'!E:E)</f>
        <v>8</v>
      </c>
      <c r="D56">
        <f>SUMIF('库存（子SKU）'!$C:$C,$A56,'库存（子SKU）'!F:F)</f>
        <v>10</v>
      </c>
      <c r="E56">
        <f>SUMIF('库存（子SKU）'!$C:$C,$A56,'库存（子SKU）'!G:G)</f>
        <v>11</v>
      </c>
      <c r="F56" s="5">
        <v>22.8705555555556</v>
      </c>
      <c r="G56">
        <f>SUMIF('库存（子SKU）'!$C:$C,$A56,'库存（子SKU）'!I:I)</f>
        <v>102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3</v>
      </c>
      <c r="K56">
        <f t="shared" si="1"/>
        <v>105</v>
      </c>
      <c r="L56">
        <f>SUMIF('库存（子SKU）'!$C:$C,$A56,'库存（子SKU）'!N:N)</f>
        <v>0</v>
      </c>
      <c r="M56">
        <f>SUMIF('库存（子SKU）'!$C:$C,$A56,'库存（子SKU）'!O:O)</f>
        <v>96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8" t="str">
        <f t="shared" si="2"/>
        <v/>
      </c>
      <c r="W56" s="18" t="str">
        <f t="shared" si="3"/>
        <v/>
      </c>
      <c r="X56" s="18" t="str">
        <f t="shared" si="4"/>
        <v/>
      </c>
      <c r="Y56" s="18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8">
        <f t="shared" si="6"/>
        <v>0</v>
      </c>
      <c r="AE56" s="18">
        <f t="shared" si="7"/>
        <v>0</v>
      </c>
      <c r="AF56" s="18">
        <f t="shared" si="8"/>
        <v>0</v>
      </c>
      <c r="AG56" s="18">
        <f t="shared" si="9"/>
        <v>0</v>
      </c>
      <c r="AH56">
        <f>SUMIF('库存（子SKU）'!$C:$C,$A56,'库存（子SKU）'!AJ:AJ)</f>
        <v>123</v>
      </c>
      <c r="AI56">
        <f>SUMIF('库存（子SKU）'!$C:$C,$A56,'库存（子SKU）'!AK:AK)</f>
        <v>147</v>
      </c>
      <c r="AJ56">
        <f>SUMIF('库存（子SKU）'!$C:$C,$A56,'库存（子SKU）'!AL:AL)</f>
        <v>176</v>
      </c>
      <c r="AK56">
        <f>SUMIF('库存（子SKU）'!$C:$C,$A56,'库存（子SKU）'!AM:AM)</f>
        <v>117</v>
      </c>
      <c r="AL56" s="18">
        <f t="shared" si="10"/>
        <v>0.0569105691056911</v>
      </c>
      <c r="AM56" s="18">
        <f t="shared" si="11"/>
        <v>0.054421768707483</v>
      </c>
      <c r="AN56" s="18">
        <f t="shared" si="12"/>
        <v>0.0568181818181818</v>
      </c>
      <c r="AO56" s="18">
        <f t="shared" si="13"/>
        <v>0.094017094017094</v>
      </c>
      <c r="AP56" s="5">
        <f t="shared" si="14"/>
        <v>1</v>
      </c>
      <c r="AQ56" s="5">
        <f t="shared" si="15"/>
        <v>60</v>
      </c>
      <c r="AR56" s="5">
        <f t="shared" si="16"/>
        <v>45</v>
      </c>
      <c r="AS56">
        <f t="shared" si="17"/>
        <v>105</v>
      </c>
      <c r="AT56" s="2">
        <f>IFERROR(时间!$B$4+AS56,"上周无销量")</f>
        <v>43423</v>
      </c>
    </row>
    <row r="57" spans="1:46">
      <c r="A57" t="s">
        <v>2257</v>
      </c>
      <c r="B57">
        <f>SUMIF('库存（子SKU）'!$C:$C,$A57,'库存（子SKU）'!D:D)</f>
        <v>31</v>
      </c>
      <c r="C57">
        <f>SUMIF('库存（子SKU）'!$C:$C,$A57,'库存（子SKU）'!E:E)</f>
        <v>12</v>
      </c>
      <c r="D57">
        <f>SUMIF('库存（子SKU）'!$C:$C,$A57,'库存（子SKU）'!F:F)</f>
        <v>13</v>
      </c>
      <c r="E57">
        <f>SUMIF('库存（子SKU）'!$C:$C,$A57,'库存（子SKU）'!G:G)</f>
        <v>3</v>
      </c>
      <c r="F57" s="5">
        <v>22.4379661016949</v>
      </c>
      <c r="G57">
        <f>SUMIF('库存（子SKU）'!$C:$C,$A57,'库存（子SKU）'!I:I)</f>
        <v>713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1"/>
        <v>714</v>
      </c>
      <c r="L57">
        <f>SUMIF('库存（子SKU）'!$C:$C,$A57,'库存（子SKU）'!N:N)</f>
        <v>0</v>
      </c>
      <c r="M57">
        <f>SUMIF('库存（子SKU）'!$C:$C,$A57,'库存（子SKU）'!O:O)</f>
        <v>264</v>
      </c>
      <c r="N57">
        <f>SUMIF('库存（子SKU）'!$C:$C,$A57,'库存（子SKU）'!P:P)</f>
        <v>5761</v>
      </c>
      <c r="O57">
        <f>SUMIF('库存（子SKU）'!$C:$C,$A57,'库存（子SKU）'!Q:Q)</f>
        <v>1670</v>
      </c>
      <c r="P57">
        <f>SUMIF('库存（子SKU）'!$C:$C,$A57,'库存（子SKU）'!R:R)</f>
        <v>3146</v>
      </c>
      <c r="Q57">
        <f>SUMIF('库存（子SKU）'!$C:$C,$A57,'库存（子SKU）'!S:S)</f>
        <v>2666</v>
      </c>
      <c r="R57">
        <f>SUMIF('库存（子SKU）'!$C:$C,$A57,'库存（子SKU）'!T:T)</f>
        <v>12</v>
      </c>
      <c r="S57">
        <f>SUMIF('库存（子SKU）'!$C:$C,$A57,'库存（子SKU）'!U:U)</f>
        <v>11</v>
      </c>
      <c r="T57">
        <f>SUMIF('库存（子SKU）'!$C:$C,$A57,'库存（子SKU）'!V:V)</f>
        <v>9</v>
      </c>
      <c r="U57">
        <f>SUMIF('库存（子SKU）'!$C:$C,$A57,'库存（子SKU）'!W:W)</f>
        <v>2</v>
      </c>
      <c r="V57" s="18">
        <f t="shared" si="2"/>
        <v>0.00208297170630099</v>
      </c>
      <c r="W57" s="18">
        <f t="shared" si="3"/>
        <v>0.00658682634730539</v>
      </c>
      <c r="X57" s="18">
        <f t="shared" si="4"/>
        <v>0.00286077558804832</v>
      </c>
      <c r="Y57" s="18">
        <f t="shared" si="5"/>
        <v>0.000750187546886722</v>
      </c>
      <c r="Z57">
        <f>SUMIF('库存（子SKU）'!$C:$C,$A57,'库存（子SKU）'!AB:AB)</f>
        <v>8.91</v>
      </c>
      <c r="AA57">
        <f>SUMIF('库存（子SKU）'!$C:$C,$A57,'库存（子SKU）'!AC:AC)</f>
        <v>5.58</v>
      </c>
      <c r="AB57">
        <f>SUMIF('库存（子SKU）'!$C:$C,$A57,'库存（子SKU）'!AD:AD)</f>
        <v>4.54</v>
      </c>
      <c r="AC57">
        <f>SUMIF('库存（子SKU）'!$C:$C,$A57,'库存（子SKU）'!AE:AE)</f>
        <v>0.84</v>
      </c>
      <c r="AD57" s="18">
        <f t="shared" si="6"/>
        <v>0.0128095101639805</v>
      </c>
      <c r="AE57" s="18">
        <f t="shared" si="7"/>
        <v>0.0207238034807832</v>
      </c>
      <c r="AF57" s="18">
        <f t="shared" si="8"/>
        <v>0.0155642792064112</v>
      </c>
      <c r="AG57" s="18">
        <f t="shared" si="9"/>
        <v>0.0124788494077834</v>
      </c>
      <c r="AH57">
        <f>SUMIF('库存（子SKU）'!$C:$C,$A57,'库存（子SKU）'!AJ:AJ)</f>
        <v>248</v>
      </c>
      <c r="AI57">
        <f>SUMIF('库存（子SKU）'!$C:$C,$A57,'库存（子SKU）'!AK:AK)</f>
        <v>192</v>
      </c>
      <c r="AJ57">
        <f>SUMIF('库存（子SKU）'!$C:$C,$A57,'库存（子SKU）'!AL:AL)</f>
        <v>195</v>
      </c>
      <c r="AK57">
        <f>SUMIF('库存（子SKU）'!$C:$C,$A57,'库存（子SKU）'!AM:AM)</f>
        <v>128</v>
      </c>
      <c r="AL57" s="18">
        <f t="shared" si="10"/>
        <v>0.125</v>
      </c>
      <c r="AM57" s="18">
        <f t="shared" si="11"/>
        <v>0.0625</v>
      </c>
      <c r="AN57" s="18">
        <f t="shared" si="12"/>
        <v>0.0666666666666667</v>
      </c>
      <c r="AO57" s="18">
        <f t="shared" si="13"/>
        <v>0.0234375</v>
      </c>
      <c r="AP57" s="5">
        <f t="shared" si="14"/>
        <v>4.42857142857143</v>
      </c>
      <c r="AQ57" s="5">
        <f t="shared" si="15"/>
        <v>265.714285714286</v>
      </c>
      <c r="AR57" s="5">
        <f t="shared" si="16"/>
        <v>448.285714285714</v>
      </c>
      <c r="AS57">
        <f t="shared" si="17"/>
        <v>161</v>
      </c>
      <c r="AT57" s="2">
        <f>IFERROR(时间!$B$4+AS57,"上周无销量")</f>
        <v>43479</v>
      </c>
    </row>
    <row r="58" spans="1:46">
      <c r="A58" t="s">
        <v>2296</v>
      </c>
      <c r="B58">
        <f>SUMIF('库存（子SKU）'!$C:$C,$A58,'库存（子SKU）'!D:D)</f>
        <v>6</v>
      </c>
      <c r="C58">
        <f>SUMIF('库存（子SKU）'!$C:$C,$A58,'库存（子SKU）'!E:E)</f>
        <v>6</v>
      </c>
      <c r="D58">
        <f>SUMIF('库存（子SKU）'!$C:$C,$A58,'库存（子SKU）'!F:F)</f>
        <v>7</v>
      </c>
      <c r="E58">
        <f>SUMIF('库存（子SKU）'!$C:$C,$A58,'库存（子SKU）'!G:G)</f>
        <v>6</v>
      </c>
      <c r="F58" s="5">
        <v>22.98</v>
      </c>
      <c r="G58">
        <f>SUMIF('库存（子SKU）'!$C:$C,$A58,'库存（子SKU）'!I:I)</f>
        <v>465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465</v>
      </c>
      <c r="L58">
        <f>SUMIF('库存（子SKU）'!$C:$C,$A58,'库存（子SKU）'!N:N)</f>
        <v>0</v>
      </c>
      <c r="M58">
        <f>SUMIF('库存（子SKU）'!$C:$C,$A58,'库存（子SKU）'!O:O)</f>
        <v>365</v>
      </c>
      <c r="N58">
        <f>SUMIF('库存（子SKU）'!$C:$C,$A58,'库存（子SKU）'!P:P)</f>
        <v>8205</v>
      </c>
      <c r="O58">
        <f>SUMIF('库存（子SKU）'!$C:$C,$A58,'库存（子SKU）'!Q:Q)</f>
        <v>975</v>
      </c>
      <c r="P58">
        <f>SUMIF('库存（子SKU）'!$C:$C,$A58,'库存（子SKU）'!R:R)</f>
        <v>1352</v>
      </c>
      <c r="Q58">
        <f>SUMIF('库存（子SKU）'!$C:$C,$A58,'库存（子SKU）'!S:S)</f>
        <v>1539</v>
      </c>
      <c r="R58">
        <f>SUMIF('库存（子SKU）'!$C:$C,$A58,'库存（子SKU）'!T:T)</f>
        <v>18</v>
      </c>
      <c r="S58">
        <f>SUMIF('库存（子SKU）'!$C:$C,$A58,'库存（子SKU）'!U:U)</f>
        <v>6</v>
      </c>
      <c r="T58">
        <f>SUMIF('库存（子SKU）'!$C:$C,$A58,'库存（子SKU）'!V:V)</f>
        <v>6</v>
      </c>
      <c r="U58">
        <f>SUMIF('库存（子SKU）'!$C:$C,$A58,'库存（子SKU）'!W:W)</f>
        <v>5</v>
      </c>
      <c r="V58" s="18">
        <f t="shared" si="2"/>
        <v>0.00219378427787934</v>
      </c>
      <c r="W58" s="18">
        <f t="shared" si="3"/>
        <v>0.00615384615384615</v>
      </c>
      <c r="X58" s="18">
        <f t="shared" si="4"/>
        <v>0.00443786982248521</v>
      </c>
      <c r="Y58" s="18">
        <f t="shared" si="5"/>
        <v>0.0032488628979857</v>
      </c>
      <c r="Z58">
        <f>SUMIF('库存（子SKU）'!$C:$C,$A58,'库存（子SKU）'!AB:AB)</f>
        <v>10.79</v>
      </c>
      <c r="AA58">
        <f>SUMIF('库存（子SKU）'!$C:$C,$A58,'库存（子SKU）'!AC:AC)</f>
        <v>2.3</v>
      </c>
      <c r="AB58">
        <f>SUMIF('库存（子SKU）'!$C:$C,$A58,'库存（子SKU）'!AD:AD)</f>
        <v>1.81</v>
      </c>
      <c r="AC58">
        <f>SUMIF('库存（子SKU）'!$C:$C,$A58,'库存（子SKU）'!AE:AE)</f>
        <v>1.92</v>
      </c>
      <c r="AD58" s="18">
        <f t="shared" si="6"/>
        <v>0.0782564548883087</v>
      </c>
      <c r="AE58" s="18">
        <f t="shared" si="7"/>
        <v>0.0166811720336524</v>
      </c>
      <c r="AF58" s="18">
        <f t="shared" si="8"/>
        <v>0.0112520203904016</v>
      </c>
      <c r="AG58" s="18">
        <f t="shared" si="9"/>
        <v>0.0139251523063534</v>
      </c>
      <c r="AH58">
        <f>SUMIF('库存（子SKU）'!$C:$C,$A58,'库存（子SKU）'!AJ:AJ)</f>
        <v>210</v>
      </c>
      <c r="AI58">
        <f>SUMIF('库存（子SKU）'!$C:$C,$A58,'库存（子SKU）'!AK:AK)</f>
        <v>207</v>
      </c>
      <c r="AJ58">
        <f>SUMIF('库存（子SKU）'!$C:$C,$A58,'库存（子SKU）'!AL:AL)</f>
        <v>250</v>
      </c>
      <c r="AK58">
        <f>SUMIF('库存（子SKU）'!$C:$C,$A58,'库存（子SKU）'!AM:AM)</f>
        <v>232</v>
      </c>
      <c r="AL58" s="18">
        <f t="shared" si="10"/>
        <v>0.0285714285714286</v>
      </c>
      <c r="AM58" s="18">
        <f t="shared" si="11"/>
        <v>0.0289855072463768</v>
      </c>
      <c r="AN58" s="18">
        <f t="shared" si="12"/>
        <v>0.028</v>
      </c>
      <c r="AO58" s="18">
        <f t="shared" si="13"/>
        <v>0.0258620689655172</v>
      </c>
      <c r="AP58" s="5">
        <f t="shared" si="14"/>
        <v>0.857142857142857</v>
      </c>
      <c r="AQ58" s="5">
        <f t="shared" si="15"/>
        <v>51.4285714285714</v>
      </c>
      <c r="AR58" s="5">
        <f t="shared" si="16"/>
        <v>413.571428571429</v>
      </c>
      <c r="AS58">
        <f t="shared" si="17"/>
        <v>542</v>
      </c>
      <c r="AT58" s="2">
        <f>IFERROR(时间!$B$4+AS58,"上周无销量")</f>
        <v>43860</v>
      </c>
    </row>
    <row r="59" spans="1:46">
      <c r="A59" t="s">
        <v>2337</v>
      </c>
      <c r="B59">
        <f>SUMIF('库存（子SKU）'!$C:$C,$A59,'库存（子SKU）'!D:D)</f>
        <v>10</v>
      </c>
      <c r="C59">
        <f>SUMIF('库存（子SKU）'!$C:$C,$A59,'库存（子SKU）'!E:E)</f>
        <v>10</v>
      </c>
      <c r="D59">
        <f>SUMIF('库存（子SKU）'!$C:$C,$A59,'库存（子SKU）'!F:F)</f>
        <v>17</v>
      </c>
      <c r="E59">
        <f>SUMIF('库存（子SKU）'!$C:$C,$A59,'库存（子SKU）'!G:G)</f>
        <v>20</v>
      </c>
      <c r="F59" s="5">
        <v>20.1887719298246</v>
      </c>
      <c r="G59">
        <f>SUMIF('库存（子SKU）'!$C:$C,$A59,'库存（子SKU）'!I:I)</f>
        <v>363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3</v>
      </c>
      <c r="K59">
        <f t="shared" si="1"/>
        <v>366</v>
      </c>
      <c r="L59">
        <f>SUMIF('库存（子SKU）'!$C:$C,$A59,'库存（子SKU）'!N:N)</f>
        <v>0</v>
      </c>
      <c r="M59">
        <f>SUMIF('库存（子SKU）'!$C:$C,$A59,'库存（子SKU）'!O:O)</f>
        <v>310</v>
      </c>
      <c r="N59">
        <f>SUMIF('库存（子SKU）'!$C:$C,$A59,'库存（子SKU）'!P:P)</f>
        <v>2289</v>
      </c>
      <c r="O59">
        <f>SUMIF('库存（子SKU）'!$C:$C,$A59,'库存（子SKU）'!Q:Q)</f>
        <v>6726</v>
      </c>
      <c r="P59">
        <f>SUMIF('库存（子SKU）'!$C:$C,$A59,'库存（子SKU）'!R:R)</f>
        <v>10067</v>
      </c>
      <c r="Q59">
        <f>SUMIF('库存（子SKU）'!$C:$C,$A59,'库存（子SKU）'!S:S)</f>
        <v>24132</v>
      </c>
      <c r="R59">
        <f>SUMIF('库存（子SKU）'!$C:$C,$A59,'库存（子SKU）'!T:T)</f>
        <v>9</v>
      </c>
      <c r="S59">
        <f>SUMIF('库存（子SKU）'!$C:$C,$A59,'库存（子SKU）'!U:U)</f>
        <v>6</v>
      </c>
      <c r="T59">
        <f>SUMIF('库存（子SKU）'!$C:$C,$A59,'库存（子SKU）'!V:V)</f>
        <v>6</v>
      </c>
      <c r="U59">
        <f>SUMIF('库存（子SKU）'!$C:$C,$A59,'库存（子SKU）'!W:W)</f>
        <v>18</v>
      </c>
      <c r="V59" s="18">
        <f t="shared" si="2"/>
        <v>0.00393184796854522</v>
      </c>
      <c r="W59" s="18">
        <f t="shared" si="3"/>
        <v>0.000892060660124889</v>
      </c>
      <c r="X59" s="18">
        <f t="shared" si="4"/>
        <v>0.00059600675474322</v>
      </c>
      <c r="Y59" s="18">
        <f t="shared" si="5"/>
        <v>0.000745897563401293</v>
      </c>
      <c r="Z59">
        <f>SUMIF('库存（子SKU）'!$C:$C,$A59,'库存（子SKU）'!AB:AB)</f>
        <v>3.45</v>
      </c>
      <c r="AA59">
        <f>SUMIF('库存（子SKU）'!$C:$C,$A59,'库存（子SKU）'!AC:AC)</f>
        <v>2.78</v>
      </c>
      <c r="AB59">
        <f>SUMIF('库存（子SKU）'!$C:$C,$A59,'库存（子SKU）'!AD:AD)</f>
        <v>2.55</v>
      </c>
      <c r="AC59">
        <f>SUMIF('库存（子SKU）'!$C:$C,$A59,'库存（子SKU）'!AE:AE)</f>
        <v>9.7</v>
      </c>
      <c r="AD59" s="18">
        <f t="shared" si="6"/>
        <v>0.0170887065939031</v>
      </c>
      <c r="AE59" s="18">
        <f t="shared" si="7"/>
        <v>0.0137700302408843</v>
      </c>
      <c r="AF59" s="18">
        <f t="shared" si="8"/>
        <v>0.00742987243213179</v>
      </c>
      <c r="AG59" s="18">
        <f t="shared" si="9"/>
        <v>0.0240232541972261</v>
      </c>
      <c r="AH59">
        <f>SUMIF('库存（子SKU）'!$C:$C,$A59,'库存（子SKU）'!AJ:AJ)</f>
        <v>118</v>
      </c>
      <c r="AI59">
        <f>SUMIF('库存（子SKU）'!$C:$C,$A59,'库存（子SKU）'!AK:AK)</f>
        <v>127</v>
      </c>
      <c r="AJ59">
        <f>SUMIF('库存（子SKU）'!$C:$C,$A59,'库存（子SKU）'!AL:AL)</f>
        <v>158</v>
      </c>
      <c r="AK59">
        <f>SUMIF('库存（子SKU）'!$C:$C,$A59,'库存（子SKU）'!AM:AM)</f>
        <v>98</v>
      </c>
      <c r="AL59" s="18">
        <f t="shared" si="10"/>
        <v>0.0847457627118644</v>
      </c>
      <c r="AM59" s="18">
        <f t="shared" si="11"/>
        <v>0.078740157480315</v>
      </c>
      <c r="AN59" s="18">
        <f t="shared" si="12"/>
        <v>0.107594936708861</v>
      </c>
      <c r="AO59" s="18">
        <f t="shared" si="13"/>
        <v>0.204081632653061</v>
      </c>
      <c r="AP59" s="5">
        <f t="shared" si="14"/>
        <v>1.42857142857143</v>
      </c>
      <c r="AQ59" s="5">
        <f t="shared" si="15"/>
        <v>85.7142857142857</v>
      </c>
      <c r="AR59" s="5">
        <f t="shared" si="16"/>
        <v>280.285714285714</v>
      </c>
      <c r="AS59">
        <f t="shared" si="17"/>
        <v>256</v>
      </c>
      <c r="AT59" s="2">
        <f>IFERROR(时间!$B$4+AS59,"上周无销量")</f>
        <v>43574</v>
      </c>
    </row>
    <row r="60" spans="1:46">
      <c r="A60" t="s">
        <v>2375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0</v>
      </c>
      <c r="E60">
        <f>SUMIF('库存（子SKU）'!$C:$C,$A60,'库存（子SKU）'!G:G)</f>
        <v>0</v>
      </c>
      <c r="F60" s="5" t="s">
        <v>52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8" t="str">
        <f t="shared" si="2"/>
        <v/>
      </c>
      <c r="W60" s="18" t="str">
        <f t="shared" si="3"/>
        <v/>
      </c>
      <c r="X60" s="18" t="str">
        <f t="shared" si="4"/>
        <v/>
      </c>
      <c r="Y60" s="18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8">
        <f t="shared" si="6"/>
        <v>0</v>
      </c>
      <c r="AE60" s="18">
        <f t="shared" si="7"/>
        <v>0</v>
      </c>
      <c r="AF60" s="18">
        <f t="shared" si="8"/>
        <v>0</v>
      </c>
      <c r="AG60" s="18">
        <f t="shared" si="9"/>
        <v>0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8" t="str">
        <f t="shared" si="10"/>
        <v/>
      </c>
      <c r="AM60" s="18" t="str">
        <f t="shared" si="11"/>
        <v/>
      </c>
      <c r="AN60" s="18" t="str">
        <f t="shared" si="12"/>
        <v/>
      </c>
      <c r="AO60" s="18" t="str">
        <f t="shared" si="13"/>
        <v/>
      </c>
      <c r="AP60" s="5">
        <f t="shared" si="14"/>
        <v>0</v>
      </c>
      <c r="AQ60" s="5">
        <f t="shared" si="15"/>
        <v>0</v>
      </c>
      <c r="AR60" s="5">
        <f t="shared" si="16"/>
        <v>0</v>
      </c>
      <c r="AS60" t="str">
        <f t="shared" si="17"/>
        <v>库存为0</v>
      </c>
      <c r="AT60" s="2" t="str">
        <f>IFERROR(时间!$B$4+AS60,"上周无销量")</f>
        <v>上周无销量</v>
      </c>
    </row>
    <row r="61" spans="1:46">
      <c r="A61" t="s">
        <v>2382</v>
      </c>
      <c r="B61">
        <f>SUMIF('库存（子SKU）'!$C:$C,$A61,'库存（子SKU）'!D:D)</f>
        <v>93</v>
      </c>
      <c r="C61">
        <f>SUMIF('库存（子SKU）'!$C:$C,$A61,'库存（子SKU）'!E:E)</f>
        <v>91</v>
      </c>
      <c r="D61">
        <f>SUMIF('库存（子SKU）'!$C:$C,$A61,'库存（子SKU）'!F:F)</f>
        <v>113</v>
      </c>
      <c r="E61">
        <f>SUMIF('库存（子SKU）'!$C:$C,$A61,'库存（子SKU）'!G:G)</f>
        <v>134</v>
      </c>
      <c r="F61" s="5">
        <v>21.8411600928074</v>
      </c>
      <c r="G61">
        <f>SUMIF('库存（子SKU）'!$C:$C,$A61,'库存（子SKU）'!I:I)</f>
        <v>751</v>
      </c>
      <c r="H61">
        <f>SUMIF('库存（子SKU）'!$C:$C,$A61,'库存（子SKU）'!J:J)</f>
        <v>0</v>
      </c>
      <c r="I61">
        <f>SUMIF('库存（子SKU）'!$C:$C,$A61,'库存（子SKU）'!K:K)</f>
        <v>4</v>
      </c>
      <c r="J61">
        <f>SUMIF('库存（子SKU）'!$C:$C,$A61,'库存（子SKU）'!L:L)</f>
        <v>6</v>
      </c>
      <c r="K61">
        <f t="shared" si="1"/>
        <v>761</v>
      </c>
      <c r="L61">
        <f>SUMIF('库存（子SKU）'!$C:$C,$A61,'库存（子SKU）'!N:N)</f>
        <v>1</v>
      </c>
      <c r="M61">
        <f>SUMIF('库存（子SKU）'!$C:$C,$A61,'库存（子SKU）'!O:O)</f>
        <v>68</v>
      </c>
      <c r="N61">
        <f>SUMIF('库存（子SKU）'!$C:$C,$A61,'库存（子SKU）'!P:P)</f>
        <v>75575</v>
      </c>
      <c r="O61">
        <f>SUMIF('库存（子SKU）'!$C:$C,$A61,'库存（子SKU）'!Q:Q)</f>
        <v>93016</v>
      </c>
      <c r="P61">
        <f>SUMIF('库存（子SKU）'!$C:$C,$A61,'库存（子SKU）'!R:R)</f>
        <v>103148</v>
      </c>
      <c r="Q61">
        <f>SUMIF('库存（子SKU）'!$C:$C,$A61,'库存（子SKU）'!S:S)</f>
        <v>73196</v>
      </c>
      <c r="R61">
        <f>SUMIF('库存（子SKU）'!$C:$C,$A61,'库存（子SKU）'!T:T)</f>
        <v>182</v>
      </c>
      <c r="S61">
        <f>SUMIF('库存（子SKU）'!$C:$C,$A61,'库存（子SKU）'!U:U)</f>
        <v>176</v>
      </c>
      <c r="T61">
        <f>SUMIF('库存（子SKU）'!$C:$C,$A61,'库存（子SKU）'!V:V)</f>
        <v>220</v>
      </c>
      <c r="U61">
        <f>SUMIF('库存（子SKU）'!$C:$C,$A61,'库存（子SKU）'!W:W)</f>
        <v>178</v>
      </c>
      <c r="V61" s="18">
        <f t="shared" si="2"/>
        <v>0.00240820377108832</v>
      </c>
      <c r="W61" s="18">
        <f t="shared" si="3"/>
        <v>0.00189214758751183</v>
      </c>
      <c r="X61" s="18">
        <f t="shared" si="4"/>
        <v>0.00213285764144724</v>
      </c>
      <c r="Y61" s="18">
        <f t="shared" si="5"/>
        <v>0.00243182687578556</v>
      </c>
      <c r="Z61">
        <f>SUMIF('库存（子SKU）'!$C:$C,$A61,'库存（子SKU）'!AB:AB)</f>
        <v>143.3</v>
      </c>
      <c r="AA61">
        <f>SUMIF('库存（子SKU）'!$C:$C,$A61,'库存（子SKU）'!AC:AC)</f>
        <v>108.48</v>
      </c>
      <c r="AB61">
        <f>SUMIF('库存（子SKU）'!$C:$C,$A61,'库存（子SKU）'!AD:AD)</f>
        <v>138.17</v>
      </c>
      <c r="AC61">
        <f>SUMIF('库存（子SKU）'!$C:$C,$A61,'库存（子SKU）'!AE:AE)</f>
        <v>111.51</v>
      </c>
      <c r="AD61" s="18">
        <f t="shared" si="6"/>
        <v>0.0705484602698</v>
      </c>
      <c r="AE61" s="18">
        <f t="shared" si="7"/>
        <v>0.05457988069418</v>
      </c>
      <c r="AF61" s="18">
        <f t="shared" si="8"/>
        <v>0.055983443994558</v>
      </c>
      <c r="AG61" s="18">
        <f t="shared" si="9"/>
        <v>0.0381007316263627</v>
      </c>
      <c r="AH61">
        <f>SUMIF('库存（子SKU）'!$C:$C,$A61,'库存（子SKU）'!AJ:AJ)</f>
        <v>934</v>
      </c>
      <c r="AI61">
        <f>SUMIF('库存（子SKU）'!$C:$C,$A61,'库存（子SKU）'!AK:AK)</f>
        <v>965</v>
      </c>
      <c r="AJ61">
        <f>SUMIF('库存（子SKU）'!$C:$C,$A61,'库存（子SKU）'!AL:AL)</f>
        <v>1361</v>
      </c>
      <c r="AK61">
        <f>SUMIF('库存（子SKU）'!$C:$C,$A61,'库存（子SKU）'!AM:AM)</f>
        <v>1374</v>
      </c>
      <c r="AL61" s="18">
        <f t="shared" si="10"/>
        <v>0.0995717344753747</v>
      </c>
      <c r="AM61" s="18">
        <f t="shared" si="11"/>
        <v>0.094300518134715</v>
      </c>
      <c r="AN61" s="18">
        <f t="shared" si="12"/>
        <v>0.0830271858927259</v>
      </c>
      <c r="AO61" s="18">
        <f t="shared" si="13"/>
        <v>0.0975254730713246</v>
      </c>
      <c r="AP61" s="5">
        <f t="shared" si="14"/>
        <v>13.2857142857143</v>
      </c>
      <c r="AQ61" s="5">
        <f t="shared" si="15"/>
        <v>797.142857142857</v>
      </c>
      <c r="AR61" s="5">
        <f t="shared" si="16"/>
        <v>-36.1428571428572</v>
      </c>
      <c r="AS61">
        <f t="shared" si="17"/>
        <v>57</v>
      </c>
      <c r="AT61" s="2">
        <f>IFERROR(时间!$B$4+AS61,"上周无销量")</f>
        <v>43375</v>
      </c>
    </row>
    <row r="62" spans="1:46">
      <c r="A62" t="s">
        <v>2437</v>
      </c>
      <c r="B62">
        <f>SUMIF('库存（子SKU）'!$C:$C,$A62,'库存（子SKU）'!D:D)</f>
        <v>1</v>
      </c>
      <c r="C62">
        <f>SUMIF('库存（子SKU）'!$C:$C,$A62,'库存（子SKU）'!E:E)</f>
        <v>2</v>
      </c>
      <c r="D62">
        <f>SUMIF('库存（子SKU）'!$C:$C,$A62,'库存（子SKU）'!F:F)</f>
        <v>1</v>
      </c>
      <c r="E62">
        <f>SUMIF('库存（子SKU）'!$C:$C,$A62,'库存（子SKU）'!G:G)</f>
        <v>0</v>
      </c>
      <c r="F62" s="5">
        <v>18.98</v>
      </c>
      <c r="G62">
        <f>SUMIF('库存（子SKU）'!$C:$C,$A62,'库存（子SKU）'!I:I)</f>
        <v>77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1"/>
        <v>78</v>
      </c>
      <c r="L62">
        <f>SUMIF('库存（子SKU）'!$C:$C,$A62,'库存（子SKU）'!N:N)</f>
        <v>0</v>
      </c>
      <c r="M62">
        <f>SUMIF('库存（子SKU）'!$C:$C,$A62,'库存（子SKU）'!O:O)</f>
        <v>79</v>
      </c>
      <c r="N62">
        <f>SUMIF('库存（子SKU）'!$C:$C,$A62,'库存（子SKU）'!P:P)</f>
        <v>286</v>
      </c>
      <c r="O62">
        <f>SUMIF('库存（子SKU）'!$C:$C,$A62,'库存（子SKU）'!Q:Q)</f>
        <v>170</v>
      </c>
      <c r="P62">
        <f>SUMIF('库存（子SKU）'!$C:$C,$A62,'库存（子SKU）'!R:R)</f>
        <v>81</v>
      </c>
      <c r="Q62">
        <f>SUMIF('库存（子SKU）'!$C:$C,$A62,'库存（子SKU）'!S:S)</f>
        <v>142</v>
      </c>
      <c r="R62">
        <f>SUMIF('库存（子SKU）'!$C:$C,$A62,'库存（子SKU）'!T:T)</f>
        <v>2</v>
      </c>
      <c r="S62">
        <f>SUMIF('库存（子SKU）'!$C:$C,$A62,'库存（子SKU）'!U:U)</f>
        <v>1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>
        <f t="shared" si="2"/>
        <v>0.00699300699300699</v>
      </c>
      <c r="W62" s="18">
        <f t="shared" si="3"/>
        <v>0.00588235294117647</v>
      </c>
      <c r="X62" s="18">
        <f t="shared" si="4"/>
        <v>0</v>
      </c>
      <c r="Y62" s="18">
        <f t="shared" si="5"/>
        <v>0</v>
      </c>
      <c r="Z62">
        <f>SUMIF('库存（子SKU）'!$C:$C,$A62,'库存（子SKU）'!AB:AB)</f>
        <v>0.79</v>
      </c>
      <c r="AA62">
        <f>SUMIF('库存（子SKU）'!$C:$C,$A62,'库存（子SKU）'!AC:AC)</f>
        <v>0.49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0.041622760800843</v>
      </c>
      <c r="AE62" s="18">
        <f t="shared" si="7"/>
        <v>0.0129083245521602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33</v>
      </c>
      <c r="AI62">
        <f>SUMIF('库存（子SKU）'!$C:$C,$A62,'库存（子SKU）'!AK:AK)</f>
        <v>24</v>
      </c>
      <c r="AJ62">
        <f>SUMIF('库存（子SKU）'!$C:$C,$A62,'库存（子SKU）'!AL:AL)</f>
        <v>23</v>
      </c>
      <c r="AK62">
        <f>SUMIF('库存（子SKU）'!$C:$C,$A62,'库存（子SKU）'!AM:AM)</f>
        <v>21</v>
      </c>
      <c r="AL62" s="18">
        <f t="shared" si="10"/>
        <v>0.0303030303030303</v>
      </c>
      <c r="AM62" s="18">
        <f t="shared" si="11"/>
        <v>0.0833333333333333</v>
      </c>
      <c r="AN62" s="18">
        <f t="shared" si="12"/>
        <v>0.0434782608695652</v>
      </c>
      <c r="AO62" s="18">
        <f t="shared" si="13"/>
        <v>0</v>
      </c>
      <c r="AP62" s="5">
        <f t="shared" si="14"/>
        <v>0.142857142857143</v>
      </c>
      <c r="AQ62" s="5">
        <f t="shared" si="15"/>
        <v>8.57142857142857</v>
      </c>
      <c r="AR62" s="5">
        <f t="shared" si="16"/>
        <v>69.4285714285714</v>
      </c>
      <c r="AS62">
        <f t="shared" si="17"/>
        <v>546</v>
      </c>
      <c r="AT62" s="2">
        <f>IFERROR(时间!$B$4+AS62,"上周无销量")</f>
        <v>43864</v>
      </c>
    </row>
    <row r="63" spans="1:46">
      <c r="A63" t="s">
        <v>2457</v>
      </c>
      <c r="B63">
        <f>SUMIF('库存（子SKU）'!$C:$C,$A63,'库存（子SKU）'!D:D)</f>
        <v>0</v>
      </c>
      <c r="C63">
        <f>SUMIF('库存（子SKU）'!$C:$C,$A63,'库存（子SKU）'!E:E)</f>
        <v>4</v>
      </c>
      <c r="D63">
        <f>SUMIF('库存（子SKU）'!$C:$C,$A63,'库存（子SKU）'!F:F)</f>
        <v>7</v>
      </c>
      <c r="E63">
        <f>SUMIF('库存（子SKU）'!$C:$C,$A63,'库存（子SKU）'!G:G)</f>
        <v>5</v>
      </c>
      <c r="F63" s="5">
        <v>25.07625</v>
      </c>
      <c r="G63">
        <f>SUMIF('库存（子SKU）'!$C:$C,$A63,'库存（子SKU）'!I:I)</f>
        <v>146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146</v>
      </c>
      <c r="L63">
        <f>SUMIF('库存（子SKU）'!$C:$C,$A63,'库存（子SKU）'!N:N)</f>
        <v>0</v>
      </c>
      <c r="M63">
        <f>SUMIF('库存（子SKU）'!$C:$C,$A63,'库存（子SKU）'!O:O)</f>
        <v>120</v>
      </c>
      <c r="N63">
        <f>SUMIF('库存（子SKU）'!$C:$C,$A63,'库存（子SKU）'!P:P)</f>
        <v>303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1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>
        <f t="shared" si="2"/>
        <v>0.0033003300330033</v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0.47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 t="str">
        <f t="shared" si="6"/>
        <v>有广告无销量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145</v>
      </c>
      <c r="AI63">
        <f>SUMIF('库存（子SKU）'!$C:$C,$A63,'库存（子SKU）'!AK:AK)</f>
        <v>139</v>
      </c>
      <c r="AJ63">
        <f>SUMIF('库存（子SKU）'!$C:$C,$A63,'库存（子SKU）'!AL:AL)</f>
        <v>168</v>
      </c>
      <c r="AK63">
        <f>SUMIF('库存（子SKU）'!$C:$C,$A63,'库存（子SKU）'!AM:AM)</f>
        <v>107</v>
      </c>
      <c r="AL63" s="18">
        <f t="shared" si="10"/>
        <v>0</v>
      </c>
      <c r="AM63" s="18">
        <f t="shared" si="11"/>
        <v>0.0287769784172662</v>
      </c>
      <c r="AN63" s="18">
        <f t="shared" si="12"/>
        <v>0.0416666666666667</v>
      </c>
      <c r="AO63" s="18">
        <f t="shared" si="13"/>
        <v>0.0467289719626168</v>
      </c>
      <c r="AP63" s="5">
        <f t="shared" si="14"/>
        <v>0</v>
      </c>
      <c r="AQ63" s="5">
        <f t="shared" si="15"/>
        <v>0</v>
      </c>
      <c r="AR63" s="5">
        <f t="shared" si="16"/>
        <v>146</v>
      </c>
      <c r="AS63" t="str">
        <f t="shared" si="17"/>
        <v>库存为146</v>
      </c>
      <c r="AT63" s="2" t="str">
        <f>IFERROR(时间!$B$4+AS63,"上周无销量")</f>
        <v>上周无销量</v>
      </c>
    </row>
    <row r="64" spans="1:46">
      <c r="A64" t="s">
        <v>2497</v>
      </c>
      <c r="B64">
        <f>SUMIF('库存（子SKU）'!$C:$C,$A64,'库存（子SKU）'!D:D)</f>
        <v>76</v>
      </c>
      <c r="C64">
        <f>SUMIF('库存（子SKU）'!$C:$C,$A64,'库存（子SKU）'!E:E)</f>
        <v>76</v>
      </c>
      <c r="D64">
        <f>SUMIF('库存（子SKU）'!$C:$C,$A64,'库存（子SKU）'!F:F)</f>
        <v>124</v>
      </c>
      <c r="E64">
        <f>SUMIF('库存（子SKU）'!$C:$C,$A64,'库存（子SKU）'!G:G)</f>
        <v>75</v>
      </c>
      <c r="F64" s="5">
        <v>23.5925356125356</v>
      </c>
      <c r="G64">
        <f>SUMIF('库存（子SKU）'!$C:$C,$A64,'库存（子SKU）'!I:I)</f>
        <v>187</v>
      </c>
      <c r="H64">
        <f>SUMIF('库存（子SKU）'!$C:$C,$A64,'库存（子SKU）'!J:J)</f>
        <v>126</v>
      </c>
      <c r="I64">
        <f>SUMIF('库存（子SKU）'!$C:$C,$A64,'库存（子SKU）'!K:K)</f>
        <v>0</v>
      </c>
      <c r="J64">
        <f>SUMIF('库存（子SKU）'!$C:$C,$A64,'库存（子SKU）'!L:L)</f>
        <v>81</v>
      </c>
      <c r="K64">
        <f t="shared" si="1"/>
        <v>394</v>
      </c>
      <c r="L64">
        <f>SUMIF('库存（子SKU）'!$C:$C,$A64,'库存（子SKU）'!N:N)</f>
        <v>5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1338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18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>
        <f t="shared" si="5"/>
        <v>0.0134529147982063</v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12.62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0.00713219932906492</v>
      </c>
      <c r="AH64">
        <f>SUMIF('库存（子SKU）'!$C:$C,$A64,'库存（子SKU）'!AJ:AJ)</f>
        <v>1032</v>
      </c>
      <c r="AI64">
        <f>SUMIF('库存（子SKU）'!$C:$C,$A64,'库存（子SKU）'!AK:AK)</f>
        <v>869</v>
      </c>
      <c r="AJ64">
        <f>SUMIF('库存（子SKU）'!$C:$C,$A64,'库存（子SKU）'!AL:AL)</f>
        <v>1152</v>
      </c>
      <c r="AK64">
        <f>SUMIF('库存（子SKU）'!$C:$C,$A64,'库存（子SKU）'!AM:AM)</f>
        <v>1043</v>
      </c>
      <c r="AL64" s="18">
        <f t="shared" si="10"/>
        <v>0.0736434108527132</v>
      </c>
      <c r="AM64" s="18">
        <f t="shared" si="11"/>
        <v>0.0874568469505178</v>
      </c>
      <c r="AN64" s="18">
        <f t="shared" si="12"/>
        <v>0.107638888888889</v>
      </c>
      <c r="AO64" s="18">
        <f t="shared" si="13"/>
        <v>0.0719079578139981</v>
      </c>
      <c r="AP64" s="5">
        <f t="shared" si="14"/>
        <v>10.8571428571429</v>
      </c>
      <c r="AQ64" s="5">
        <f t="shared" si="15"/>
        <v>651.428571428571</v>
      </c>
      <c r="AR64" s="5">
        <f t="shared" si="16"/>
        <v>-257.428571428571</v>
      </c>
      <c r="AS64">
        <f t="shared" si="17"/>
        <v>36</v>
      </c>
      <c r="AT64" s="2">
        <f>IFERROR(时间!$B$4+AS64,"上周无销量")</f>
        <v>43354</v>
      </c>
    </row>
    <row r="65" spans="1:46">
      <c r="A65" t="s">
        <v>2542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38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2</v>
      </c>
      <c r="K65">
        <f t="shared" si="1"/>
        <v>40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503</v>
      </c>
      <c r="AI65">
        <f>SUMIF('库存（子SKU）'!$C:$C,$A65,'库存（子SKU）'!AK:AK)</f>
        <v>401</v>
      </c>
      <c r="AJ65">
        <f>SUMIF('库存（子SKU）'!$C:$C,$A65,'库存（子SKU）'!AL:AL)</f>
        <v>270</v>
      </c>
      <c r="AK65">
        <f>SUMIF('库存（子SKU）'!$C:$C,$A65,'库存（子SKU）'!AM:AM)</f>
        <v>292</v>
      </c>
      <c r="AL65" s="18">
        <f t="shared" si="10"/>
        <v>0</v>
      </c>
      <c r="AM65" s="18">
        <f t="shared" si="11"/>
        <v>0</v>
      </c>
      <c r="AN65" s="18">
        <f t="shared" si="12"/>
        <v>0</v>
      </c>
      <c r="AO65" s="18">
        <f t="shared" si="13"/>
        <v>0</v>
      </c>
      <c r="AP65" s="5">
        <f t="shared" si="14"/>
        <v>0</v>
      </c>
      <c r="AQ65" s="5">
        <f t="shared" si="15"/>
        <v>0</v>
      </c>
      <c r="AR65" s="5">
        <f t="shared" si="16"/>
        <v>40</v>
      </c>
      <c r="AS65" t="str">
        <f t="shared" si="17"/>
        <v>库存为40</v>
      </c>
      <c r="AT65" s="2" t="str">
        <f>IFERROR(时间!$B$4+AS65,"上周无销量")</f>
        <v>上周无销量</v>
      </c>
    </row>
    <row r="66" spans="1:46">
      <c r="A66" t="s">
        <v>2574</v>
      </c>
      <c r="B66">
        <f>SUMIF('库存（子SKU）'!$C:$C,$A66,'库存（子SKU）'!D:D)</f>
        <v>1</v>
      </c>
      <c r="C66">
        <f>SUMIF('库存（子SKU）'!$C:$C,$A66,'库存（子SKU）'!E:E)</f>
        <v>2</v>
      </c>
      <c r="D66">
        <f>SUMIF('库存（子SKU）'!$C:$C,$A66,'库存（子SKU）'!F:F)</f>
        <v>3</v>
      </c>
      <c r="E66">
        <f>SUMIF('库存（子SKU）'!$C:$C,$A66,'库存（子SKU）'!G:G)</f>
        <v>0</v>
      </c>
      <c r="F66" s="5">
        <v>21.83</v>
      </c>
      <c r="G66">
        <f>SUMIF('库存（子SKU）'!$C:$C,$A66,'库存（子SKU）'!I:I)</f>
        <v>69</v>
      </c>
      <c r="H66">
        <f>SUMIF('库存（子SKU）'!$C:$C,$A66,'库存（子SKU）'!J:J)</f>
        <v>40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109</v>
      </c>
      <c r="L66">
        <f>SUMIF('库存（子SKU）'!$C:$C,$A66,'库存（子SKU）'!N:N)</f>
        <v>0</v>
      </c>
      <c r="M66">
        <f>SUMIF('库存（子SKU）'!$C:$C,$A66,'库存（子SKU）'!O:O)</f>
        <v>57</v>
      </c>
      <c r="N66">
        <f>SUMIF('库存（子SKU）'!$C:$C,$A66,'库存（子SKU）'!P:P)</f>
        <v>1075</v>
      </c>
      <c r="O66">
        <f>SUMIF('库存（子SKU）'!$C:$C,$A66,'库存（子SKU）'!Q:Q)</f>
        <v>740</v>
      </c>
      <c r="P66">
        <f>SUMIF('库存（子SKU）'!$C:$C,$A66,'库存（子SKU）'!R:R)</f>
        <v>301</v>
      </c>
      <c r="Q66">
        <f>SUMIF('库存（子SKU）'!$C:$C,$A66,'库存（子SKU）'!S:S)</f>
        <v>433</v>
      </c>
      <c r="R66">
        <f>SUMIF('库存（子SKU）'!$C:$C,$A66,'库存（子SKU）'!T:T)</f>
        <v>9</v>
      </c>
      <c r="S66">
        <f>SUMIF('库存（子SKU）'!$C:$C,$A66,'库存（子SKU）'!U:U)</f>
        <v>8</v>
      </c>
      <c r="T66">
        <f>SUMIF('库存（子SKU）'!$C:$C,$A66,'库存（子SKU）'!V:V)</f>
        <v>2</v>
      </c>
      <c r="U66">
        <f>SUMIF('库存（子SKU）'!$C:$C,$A66,'库存（子SKU）'!W:W)</f>
        <v>2</v>
      </c>
      <c r="V66" s="18">
        <f t="shared" si="2"/>
        <v>0.00837209302325581</v>
      </c>
      <c r="W66" s="18">
        <f t="shared" si="3"/>
        <v>0.0108108108108108</v>
      </c>
      <c r="X66" s="18">
        <f t="shared" si="4"/>
        <v>0.00664451827242525</v>
      </c>
      <c r="Y66" s="18">
        <f t="shared" si="5"/>
        <v>0.0046189376443418</v>
      </c>
      <c r="Z66">
        <f>SUMIF('库存（子SKU）'!$C:$C,$A66,'库存（子SKU）'!AB:AB)</f>
        <v>6.35</v>
      </c>
      <c r="AA66">
        <f>SUMIF('库存（子SKU）'!$C:$C,$A66,'库存（子SKU）'!AC:AC)</f>
        <v>4.25</v>
      </c>
      <c r="AB66">
        <f>SUMIF('库存（子SKU）'!$C:$C,$A66,'库存（子SKU）'!AD:AD)</f>
        <v>1.26</v>
      </c>
      <c r="AC66">
        <f>SUMIF('库存（子SKU）'!$C:$C,$A66,'库存（子SKU）'!AE:AE)</f>
        <v>1.09</v>
      </c>
      <c r="AD66" s="18">
        <f t="shared" si="6"/>
        <v>0.290884104443426</v>
      </c>
      <c r="AE66" s="18">
        <f t="shared" si="7"/>
        <v>0.0973431058176821</v>
      </c>
      <c r="AF66" s="18">
        <f t="shared" si="8"/>
        <v>0.0192395785616125</v>
      </c>
      <c r="AG66" s="18" t="str">
        <f t="shared" si="9"/>
        <v>有广告无销量</v>
      </c>
      <c r="AH66">
        <f>SUMIF('库存（子SKU）'!$C:$C,$A66,'库存（子SKU）'!AJ:AJ)</f>
        <v>24</v>
      </c>
      <c r="AI66">
        <f>SUMIF('库存（子SKU）'!$C:$C,$A66,'库存（子SKU）'!AK:AK)</f>
        <v>20</v>
      </c>
      <c r="AJ66">
        <f>SUMIF('库存（子SKU）'!$C:$C,$A66,'库存（子SKU）'!AL:AL)</f>
        <v>42</v>
      </c>
      <c r="AK66">
        <f>SUMIF('库存（子SKU）'!$C:$C,$A66,'库存（子SKU）'!AM:AM)</f>
        <v>22</v>
      </c>
      <c r="AL66" s="18">
        <f t="shared" si="10"/>
        <v>0.0416666666666667</v>
      </c>
      <c r="AM66" s="18">
        <f t="shared" si="11"/>
        <v>0.1</v>
      </c>
      <c r="AN66" s="18">
        <f t="shared" si="12"/>
        <v>0.0714285714285714</v>
      </c>
      <c r="AO66" s="18">
        <f t="shared" si="13"/>
        <v>0</v>
      </c>
      <c r="AP66" s="5">
        <f t="shared" si="14"/>
        <v>0.142857142857143</v>
      </c>
      <c r="AQ66" s="5">
        <f t="shared" si="15"/>
        <v>8.57142857142857</v>
      </c>
      <c r="AR66" s="5">
        <f t="shared" si="16"/>
        <v>100.428571428571</v>
      </c>
      <c r="AS66">
        <f t="shared" si="17"/>
        <v>763</v>
      </c>
      <c r="AT66" s="2">
        <f>IFERROR(时间!$B$4+AS66,"上周无销量")</f>
        <v>44081</v>
      </c>
    </row>
    <row r="67" spans="1:46">
      <c r="A67" t="s">
        <v>2582</v>
      </c>
      <c r="B67">
        <f>SUMIF('库存（子SKU）'!$C:$C,$A67,'库存（子SKU）'!D:D)</f>
        <v>6</v>
      </c>
      <c r="C67">
        <f>SUMIF('库存（子SKU）'!$C:$C,$A67,'库存（子SKU）'!E:E)</f>
        <v>3</v>
      </c>
      <c r="D67">
        <f>SUMIF('库存（子SKU）'!$C:$C,$A67,'库存（子SKU）'!F:F)</f>
        <v>2</v>
      </c>
      <c r="E67">
        <f>SUMIF('库存（子SKU）'!$C:$C,$A67,'库存（子SKU）'!G:G)</f>
        <v>6</v>
      </c>
      <c r="F67" s="5">
        <v>18.98</v>
      </c>
      <c r="G67">
        <f>SUMIF('库存（子SKU）'!$C:$C,$A67,'库存（子SKU）'!I:I)</f>
        <v>101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101</v>
      </c>
      <c r="L67">
        <f>SUMIF('库存（子SKU）'!$C:$C,$A67,'库存（子SKU）'!N:N)</f>
        <v>1</v>
      </c>
      <c r="M67">
        <f>SUMIF('库存（子SKU）'!$C:$C,$A67,'库存（子SKU）'!O:O)</f>
        <v>93</v>
      </c>
      <c r="N67">
        <f>SUMIF('库存（子SKU）'!$C:$C,$A67,'库存（子SKU）'!P:P)</f>
        <v>2796</v>
      </c>
      <c r="O67">
        <f>SUMIF('库存（子SKU）'!$C:$C,$A67,'库存（子SKU）'!Q:Q)</f>
        <v>5445</v>
      </c>
      <c r="P67">
        <f>SUMIF('库存（子SKU）'!$C:$C,$A67,'库存（子SKU）'!R:R)</f>
        <v>6996</v>
      </c>
      <c r="Q67">
        <f>SUMIF('库存（子SKU）'!$C:$C,$A67,'库存（子SKU）'!S:S)</f>
        <v>7782</v>
      </c>
      <c r="R67">
        <f>SUMIF('库存（子SKU）'!$C:$C,$A67,'库存（子SKU）'!T:T)</f>
        <v>7</v>
      </c>
      <c r="S67">
        <f>SUMIF('库存（子SKU）'!$C:$C,$A67,'库存（子SKU）'!U:U)</f>
        <v>8</v>
      </c>
      <c r="T67">
        <f>SUMIF('库存（子SKU）'!$C:$C,$A67,'库存（子SKU）'!V:V)</f>
        <v>16</v>
      </c>
      <c r="U67">
        <f>SUMIF('库存（子SKU）'!$C:$C,$A67,'库存（子SKU）'!W:W)</f>
        <v>11</v>
      </c>
      <c r="V67" s="18">
        <f t="shared" si="2"/>
        <v>0.0025035765379113</v>
      </c>
      <c r="W67" s="18">
        <f t="shared" si="3"/>
        <v>0.0014692378328742</v>
      </c>
      <c r="X67" s="18">
        <f t="shared" si="4"/>
        <v>0.00228702115494568</v>
      </c>
      <c r="Y67" s="18">
        <f t="shared" si="5"/>
        <v>0.00141351837573888</v>
      </c>
      <c r="Z67">
        <f>SUMIF('库存（子SKU）'!$C:$C,$A67,'库存（子SKU）'!AB:AB)</f>
        <v>1.67</v>
      </c>
      <c r="AA67">
        <f>SUMIF('库存（子SKU）'!$C:$C,$A67,'库存（子SKU）'!AC:AC)</f>
        <v>1.97</v>
      </c>
      <c r="AB67">
        <f>SUMIF('库存（子SKU）'!$C:$C,$A67,'库存（子SKU）'!AD:AD)</f>
        <v>3.94</v>
      </c>
      <c r="AC67">
        <f>SUMIF('库存（子SKU）'!$C:$C,$A67,'库存（子SKU）'!AE:AE)</f>
        <v>2.47</v>
      </c>
      <c r="AD67" s="18">
        <f t="shared" si="6"/>
        <v>0.0146645591851071</v>
      </c>
      <c r="AE67" s="18">
        <f t="shared" si="7"/>
        <v>0.0345978222690551</v>
      </c>
      <c r="AF67" s="18">
        <f t="shared" si="8"/>
        <v>0.103793466807165</v>
      </c>
      <c r="AG67" s="18">
        <f t="shared" si="9"/>
        <v>0.021689497716895</v>
      </c>
      <c r="AH67">
        <f>SUMIF('库存（子SKU）'!$C:$C,$A67,'库存（子SKU）'!AJ:AJ)</f>
        <v>40</v>
      </c>
      <c r="AI67">
        <f>SUMIF('库存（子SKU）'!$C:$C,$A67,'库存（子SKU）'!AK:AK)</f>
        <v>29</v>
      </c>
      <c r="AJ67">
        <f>SUMIF('库存（子SKU）'!$C:$C,$A67,'库存（子SKU）'!AL:AL)</f>
        <v>34</v>
      </c>
      <c r="AK67">
        <f>SUMIF('库存（子SKU）'!$C:$C,$A67,'库存（子SKU）'!AM:AM)</f>
        <v>60</v>
      </c>
      <c r="AL67" s="18">
        <f t="shared" si="10"/>
        <v>0.15</v>
      </c>
      <c r="AM67" s="18">
        <f t="shared" si="11"/>
        <v>0.103448275862069</v>
      </c>
      <c r="AN67" s="18">
        <f t="shared" si="12"/>
        <v>0.0588235294117647</v>
      </c>
      <c r="AO67" s="18">
        <f t="shared" si="13"/>
        <v>0.1</v>
      </c>
      <c r="AP67" s="5">
        <f t="shared" si="14"/>
        <v>0.857142857142857</v>
      </c>
      <c r="AQ67" s="5">
        <f t="shared" si="15"/>
        <v>51.4285714285714</v>
      </c>
      <c r="AR67" s="5">
        <f t="shared" si="16"/>
        <v>49.5714285714286</v>
      </c>
      <c r="AS67">
        <f t="shared" si="17"/>
        <v>117</v>
      </c>
      <c r="AT67" s="2">
        <f>IFERROR(时间!$B$4+AS67,"上周无销量")</f>
        <v>43435</v>
      </c>
    </row>
    <row r="68" spans="1:46">
      <c r="A68" t="s">
        <v>2594</v>
      </c>
      <c r="B68">
        <f>SUMIF('库存（子SKU）'!$C:$C,$A68,'库存（子SKU）'!D:D)</f>
        <v>7</v>
      </c>
      <c r="C68">
        <f>SUMIF('库存（子SKU）'!$C:$C,$A68,'库存（子SKU）'!E:E)</f>
        <v>6</v>
      </c>
      <c r="D68">
        <f>SUMIF('库存（子SKU）'!$C:$C,$A68,'库存（子SKU）'!F:F)</f>
        <v>8</v>
      </c>
      <c r="E68">
        <f>SUMIF('库存（子SKU）'!$C:$C,$A68,'库存（子SKU）'!G:G)</f>
        <v>11</v>
      </c>
      <c r="F68" s="5">
        <v>26.70125</v>
      </c>
      <c r="G68">
        <f>SUMIF('库存（子SKU）'!$C:$C,$A68,'库存（子SKU）'!I:I)</f>
        <v>573</v>
      </c>
      <c r="H68">
        <f>SUMIF('库存（子SKU）'!$C:$C,$A68,'库存（子SKU）'!J:J)</f>
        <v>13</v>
      </c>
      <c r="I68">
        <f>SUMIF('库存（子SKU）'!$C:$C,$A68,'库存（子SKU）'!K:K)</f>
        <v>0</v>
      </c>
      <c r="J68">
        <f>SUMIF('库存（子SKU）'!$C:$C,$A68,'库存（子SKU）'!L:L)</f>
        <v>1</v>
      </c>
      <c r="K68">
        <f t="shared" si="1"/>
        <v>587</v>
      </c>
      <c r="L68">
        <f>SUMIF('库存（子SKU）'!$C:$C,$A68,'库存（子SKU）'!N:N)</f>
        <v>0</v>
      </c>
      <c r="M68">
        <f>SUMIF('库存（子SKU）'!$C:$C,$A68,'库存（子SKU）'!O:O)</f>
        <v>520</v>
      </c>
      <c r="N68">
        <f>SUMIF('库存（子SKU）'!$C:$C,$A68,'库存（子SKU）'!P:P)</f>
        <v>58617</v>
      </c>
      <c r="O68">
        <f>SUMIF('库存（子SKU）'!$C:$C,$A68,'库存（子SKU）'!Q:Q)</f>
        <v>1604</v>
      </c>
      <c r="P68">
        <f>SUMIF('库存（子SKU）'!$C:$C,$A68,'库存（子SKU）'!R:R)</f>
        <v>1797</v>
      </c>
      <c r="Q68">
        <f>SUMIF('库存（子SKU）'!$C:$C,$A68,'库存（子SKU）'!S:S)</f>
        <v>2046</v>
      </c>
      <c r="R68">
        <f>SUMIF('库存（子SKU）'!$C:$C,$A68,'库存（子SKU）'!T:T)</f>
        <v>97</v>
      </c>
      <c r="S68">
        <f>SUMIF('库存（子SKU）'!$C:$C,$A68,'库存（子SKU）'!U:U)</f>
        <v>8</v>
      </c>
      <c r="T68">
        <f>SUMIF('库存（子SKU）'!$C:$C,$A68,'库存（子SKU）'!V:V)</f>
        <v>6</v>
      </c>
      <c r="U68">
        <f>SUMIF('库存（子SKU）'!$C:$C,$A68,'库存（子SKU）'!W:W)</f>
        <v>6</v>
      </c>
      <c r="V68" s="18">
        <f t="shared" si="2"/>
        <v>0.00165481003804357</v>
      </c>
      <c r="W68" s="18">
        <f t="shared" si="3"/>
        <v>0.00498753117206983</v>
      </c>
      <c r="X68" s="18">
        <f t="shared" si="4"/>
        <v>0.00333889816360601</v>
      </c>
      <c r="Y68" s="18">
        <f t="shared" si="5"/>
        <v>0.00293255131964809</v>
      </c>
      <c r="Z68">
        <f>SUMIF('库存（子SKU）'!$C:$C,$A68,'库存（子SKU）'!AB:AB)</f>
        <v>53.35</v>
      </c>
      <c r="AA68">
        <f>SUMIF('库存（子SKU）'!$C:$C,$A68,'库存（子SKU）'!AC:AC)</f>
        <v>4.38</v>
      </c>
      <c r="AB68">
        <f>SUMIF('库存（子SKU）'!$C:$C,$A68,'库存（子SKU）'!AD:AD)</f>
        <v>2.55</v>
      </c>
      <c r="AC68">
        <f>SUMIF('库存（子SKU）'!$C:$C,$A68,'库存（子SKU）'!AE:AE)</f>
        <v>2.49</v>
      </c>
      <c r="AD68" s="18">
        <f t="shared" si="6"/>
        <v>0.285433399987962</v>
      </c>
      <c r="AE68" s="18">
        <f t="shared" si="7"/>
        <v>0.0273395440288376</v>
      </c>
      <c r="AF68" s="18">
        <f t="shared" si="8"/>
        <v>0.0119376433687561</v>
      </c>
      <c r="AG68" s="18">
        <f t="shared" si="9"/>
        <v>0.00847764192176907</v>
      </c>
      <c r="AH68">
        <f>SUMIF('库存（子SKU）'!$C:$C,$A68,'库存（子SKU）'!AJ:AJ)</f>
        <v>271</v>
      </c>
      <c r="AI68">
        <f>SUMIF('库存（子SKU）'!$C:$C,$A68,'库存（子SKU）'!AK:AK)</f>
        <v>257</v>
      </c>
      <c r="AJ68">
        <f>SUMIF('库存（子SKU）'!$C:$C,$A68,'库存（子SKU）'!AL:AL)</f>
        <v>233</v>
      </c>
      <c r="AK68">
        <f>SUMIF('库存（子SKU）'!$C:$C,$A68,'库存（子SKU）'!AM:AM)</f>
        <v>155</v>
      </c>
      <c r="AL68" s="18">
        <f t="shared" si="10"/>
        <v>0.025830258302583</v>
      </c>
      <c r="AM68" s="18">
        <f t="shared" si="11"/>
        <v>0.0233463035019455</v>
      </c>
      <c r="AN68" s="18">
        <f t="shared" si="12"/>
        <v>0.0343347639484979</v>
      </c>
      <c r="AO68" s="18">
        <f t="shared" si="13"/>
        <v>0.0709677419354839</v>
      </c>
      <c r="AP68" s="5">
        <f t="shared" si="14"/>
        <v>1</v>
      </c>
      <c r="AQ68" s="5">
        <f t="shared" si="15"/>
        <v>60</v>
      </c>
      <c r="AR68" s="5">
        <f t="shared" si="16"/>
        <v>527</v>
      </c>
      <c r="AS68">
        <f t="shared" si="17"/>
        <v>587</v>
      </c>
      <c r="AT68" s="2">
        <f>IFERROR(时间!$B$4+AS68,"上周无销量")</f>
        <v>43905</v>
      </c>
    </row>
    <row r="69" spans="1:46">
      <c r="A69" t="s">
        <v>2661</v>
      </c>
      <c r="B69">
        <f>SUMIF('库存（子SKU）'!$C:$C,$A69,'库存（子SKU）'!D:D)</f>
        <v>113</v>
      </c>
      <c r="C69">
        <f>SUMIF('库存（子SKU）'!$C:$C,$A69,'库存（子SKU）'!E:E)</f>
        <v>114</v>
      </c>
      <c r="D69">
        <f>SUMIF('库存（子SKU）'!$C:$C,$A69,'库存（子SKU）'!F:F)</f>
        <v>163</v>
      </c>
      <c r="E69">
        <f>SUMIF('库存（子SKU）'!$C:$C,$A69,'库存（子SKU）'!G:G)</f>
        <v>180</v>
      </c>
      <c r="F69" s="5">
        <v>22.9396140350877</v>
      </c>
      <c r="G69">
        <f>SUMIF('库存（子SKU）'!$C:$C,$A69,'库存（子SKU）'!I:I)</f>
        <v>271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16</v>
      </c>
      <c r="K69">
        <f t="shared" si="1"/>
        <v>287</v>
      </c>
      <c r="L69">
        <f>SUMIF('库存（子SKU）'!$C:$C,$A69,'库存（子SKU）'!N:N)</f>
        <v>18</v>
      </c>
      <c r="M69">
        <f>SUMIF('库存（子SKU）'!$C:$C,$A69,'库存（子SKU）'!O:O)</f>
        <v>0</v>
      </c>
      <c r="N69">
        <f>SUMIF('库存（子SKU）'!$C:$C,$A69,'库存（子SKU）'!P:P)</f>
        <v>1538</v>
      </c>
      <c r="O69">
        <f>SUMIF('库存（子SKU）'!$C:$C,$A69,'库存（子SKU）'!Q:Q)</f>
        <v>2118</v>
      </c>
      <c r="P69">
        <f>SUMIF('库存（子SKU）'!$C:$C,$A69,'库存（子SKU）'!R:R)</f>
        <v>9934</v>
      </c>
      <c r="Q69">
        <f>SUMIF('库存（子SKU）'!$C:$C,$A69,'库存（子SKU）'!S:S)</f>
        <v>18788</v>
      </c>
      <c r="R69">
        <f>SUMIF('库存（子SKU）'!$C:$C,$A69,'库存（子SKU）'!T:T)</f>
        <v>20</v>
      </c>
      <c r="S69">
        <f>SUMIF('库存（子SKU）'!$C:$C,$A69,'库存（子SKU）'!U:U)</f>
        <v>15</v>
      </c>
      <c r="T69">
        <f>SUMIF('库存（子SKU）'!$C:$C,$A69,'库存（子SKU）'!V:V)</f>
        <v>52</v>
      </c>
      <c r="U69">
        <f>SUMIF('库存（子SKU）'!$C:$C,$A69,'库存（子SKU）'!W:W)</f>
        <v>114</v>
      </c>
      <c r="V69" s="18">
        <f t="shared" si="2"/>
        <v>0.0130039011703511</v>
      </c>
      <c r="W69" s="18">
        <f t="shared" si="3"/>
        <v>0.00708215297450425</v>
      </c>
      <c r="X69" s="18">
        <f t="shared" si="4"/>
        <v>0.00523454801691162</v>
      </c>
      <c r="Y69" s="18">
        <f t="shared" si="5"/>
        <v>0.00606770278901426</v>
      </c>
      <c r="Z69">
        <f>SUMIF('库存（子SKU）'!$C:$C,$A69,'库存（子SKU）'!AB:AB)</f>
        <v>10.87</v>
      </c>
      <c r="AA69">
        <f>SUMIF('库存（子SKU）'!$C:$C,$A69,'库存（子SKU）'!AC:AC)</f>
        <v>9.09</v>
      </c>
      <c r="AB69">
        <f>SUMIF('库存（子SKU）'!$C:$C,$A69,'库存（子SKU）'!AD:AD)</f>
        <v>36.11</v>
      </c>
      <c r="AC69">
        <f>SUMIF('库存（子SKU）'!$C:$C,$A69,'库存（子SKU）'!AE:AE)</f>
        <v>78.96</v>
      </c>
      <c r="AD69" s="18">
        <f t="shared" si="6"/>
        <v>0.00419338747889788</v>
      </c>
      <c r="AE69" s="18">
        <f t="shared" si="7"/>
        <v>0.00347594523531652</v>
      </c>
      <c r="AF69" s="18">
        <f t="shared" si="8"/>
        <v>0.00965725674339757</v>
      </c>
      <c r="AG69" s="18">
        <f t="shared" si="9"/>
        <v>0.0191226698930373</v>
      </c>
      <c r="AH69">
        <f>SUMIF('库存（子SKU）'!$C:$C,$A69,'库存（子SKU）'!AJ:AJ)</f>
        <v>2620</v>
      </c>
      <c r="AI69">
        <f>SUMIF('库存（子SKU）'!$C:$C,$A69,'库存（子SKU）'!AK:AK)</f>
        <v>2416</v>
      </c>
      <c r="AJ69">
        <f>SUMIF('库存（子SKU）'!$C:$C,$A69,'库存（子SKU）'!AL:AL)</f>
        <v>2998</v>
      </c>
      <c r="AK69">
        <f>SUMIF('库存（子SKU）'!$C:$C,$A69,'库存（子SKU）'!AM:AM)</f>
        <v>2314</v>
      </c>
      <c r="AL69" s="18">
        <f t="shared" si="10"/>
        <v>0.0431297709923664</v>
      </c>
      <c r="AM69" s="18">
        <f t="shared" si="11"/>
        <v>0.0471854304635762</v>
      </c>
      <c r="AN69" s="18">
        <f t="shared" si="12"/>
        <v>0.0543695797198132</v>
      </c>
      <c r="AO69" s="18">
        <f t="shared" si="13"/>
        <v>0.0777873811581677</v>
      </c>
      <c r="AP69" s="5">
        <f t="shared" si="14"/>
        <v>16.1428571428571</v>
      </c>
      <c r="AQ69" s="5">
        <f t="shared" si="15"/>
        <v>968.571428571429</v>
      </c>
      <c r="AR69" s="5">
        <f t="shared" si="16"/>
        <v>-681.571428571429</v>
      </c>
      <c r="AS69">
        <f t="shared" si="17"/>
        <v>17</v>
      </c>
      <c r="AT69" s="2">
        <f>IFERROR(时间!$B$4+AS69,"上周无销量")</f>
        <v>43335</v>
      </c>
    </row>
    <row r="70" spans="1:46">
      <c r="A70" t="s">
        <v>2707</v>
      </c>
      <c r="B70">
        <f>SUMIF('库存（子SKU）'!$C:$C,$A70,'库存（子SKU）'!D:D)</f>
        <v>36</v>
      </c>
      <c r="C70">
        <f>SUMIF('库存（子SKU）'!$C:$C,$A70,'库存（子SKU）'!E:E)</f>
        <v>38</v>
      </c>
      <c r="D70">
        <f>SUMIF('库存（子SKU）'!$C:$C,$A70,'库存（子SKU）'!F:F)</f>
        <v>41</v>
      </c>
      <c r="E70">
        <f>SUMIF('库存（子SKU）'!$C:$C,$A70,'库存（子SKU）'!G:G)</f>
        <v>37</v>
      </c>
      <c r="F70" s="5">
        <v>24.2759210526316</v>
      </c>
      <c r="G70">
        <f>SUMIF('库存（子SKU）'!$C:$C,$A70,'库存（子SKU）'!I:I)</f>
        <v>761</v>
      </c>
      <c r="H70">
        <f>SUMIF('库存（子SKU）'!$C:$C,$A70,'库存（子SKU）'!J:J)</f>
        <v>5</v>
      </c>
      <c r="I70">
        <f>SUMIF('库存（子SKU）'!$C:$C,$A70,'库存（子SKU）'!K:K)</f>
        <v>0</v>
      </c>
      <c r="J70">
        <f>SUMIF('库存（子SKU）'!$C:$C,$A70,'库存（子SKU）'!L:L)</f>
        <v>4</v>
      </c>
      <c r="K70">
        <f t="shared" ref="K70:K125" si="18">SUM(G70:J70)</f>
        <v>770</v>
      </c>
      <c r="L70">
        <f>SUMIF('库存（子SKU）'!$C:$C,$A70,'库存（子SKU）'!N:N)</f>
        <v>2</v>
      </c>
      <c r="M70">
        <f>SUMIF('库存（子SKU）'!$C:$C,$A70,'库存（子SKU）'!O:O)</f>
        <v>715</v>
      </c>
      <c r="N70">
        <f>SUMIF('库存（子SKU）'!$C:$C,$A70,'库存（子SKU）'!P:P)</f>
        <v>32419</v>
      </c>
      <c r="O70">
        <f>SUMIF('库存（子SKU）'!$C:$C,$A70,'库存（子SKU）'!Q:Q)</f>
        <v>53874</v>
      </c>
      <c r="P70">
        <f>SUMIF('库存（子SKU）'!$C:$C,$A70,'库存（子SKU）'!R:R)</f>
        <v>11375</v>
      </c>
      <c r="Q70">
        <f>SUMIF('库存（子SKU）'!$C:$C,$A70,'库存（子SKU）'!S:S)</f>
        <v>6373</v>
      </c>
      <c r="R70">
        <f>SUMIF('库存（子SKU）'!$C:$C,$A70,'库存（子SKU）'!T:T)</f>
        <v>72</v>
      </c>
      <c r="S70">
        <f>SUMIF('库存（子SKU）'!$C:$C,$A70,'库存（子SKU）'!U:U)</f>
        <v>83</v>
      </c>
      <c r="T70">
        <f>SUMIF('库存（子SKU）'!$C:$C,$A70,'库存（子SKU）'!V:V)</f>
        <v>44</v>
      </c>
      <c r="U70">
        <f>SUMIF('库存（子SKU）'!$C:$C,$A70,'库存（子SKU）'!W:W)</f>
        <v>20</v>
      </c>
      <c r="V70" s="18">
        <f t="shared" ref="V70:V125" si="19">IFERROR(R70/N70,"")</f>
        <v>0.00222091983096332</v>
      </c>
      <c r="W70" s="18">
        <f t="shared" ref="W70:W125" si="20">IFERROR(S70/O70,"")</f>
        <v>0.00154063184467461</v>
      </c>
      <c r="X70" s="18">
        <f t="shared" ref="X70:X125" si="21">IFERROR(T70/P70,"")</f>
        <v>0.00386813186813187</v>
      </c>
      <c r="Y70" s="18">
        <f t="shared" ref="Y70:Y125" si="22">IFERROR(U70/Q70,"")</f>
        <v>0.00313823944766986</v>
      </c>
      <c r="Z70">
        <f>SUMIF('库存（子SKU）'!$C:$C,$A70,'库存（子SKU）'!AB:AB)</f>
        <v>48.36</v>
      </c>
      <c r="AA70">
        <f>SUMIF('库存（子SKU）'!$C:$C,$A70,'库存（子SKU）'!AC:AC)</f>
        <v>53.26</v>
      </c>
      <c r="AB70">
        <f>SUMIF('库存（子SKU）'!$C:$C,$A70,'库存（子SKU）'!AD:AD)</f>
        <v>26.18</v>
      </c>
      <c r="AC70">
        <f>SUMIF('库存（子SKU）'!$C:$C,$A70,'库存（子SKU）'!AE:AE)</f>
        <v>12.77</v>
      </c>
      <c r="AD70" s="18">
        <f t="shared" ref="AD70:AD125" si="23">IF(AND(Z70&gt;0,B70=0),"有广告无销量",IFERROR(Z70/(B70*$F70),0))</f>
        <v>0.0553360397910715</v>
      </c>
      <c r="AE70" s="18">
        <f t="shared" ref="AE70:AE125" si="24">IF(AND(AA70&gt;0,C70=0),"有广告无销量",IFERROR(AA70/(C70*$F70),0))</f>
        <v>0.0577353561304519</v>
      </c>
      <c r="AF70" s="18">
        <f t="shared" ref="AF70:AF125" si="25">IF(AND(AB70&gt;0,D70=0),"有广告无销量",IFERROR(AB70/(D70*$F70),0))</f>
        <v>0.026303289748779</v>
      </c>
      <c r="AG70" s="18">
        <f t="shared" ref="AG70:AG125" si="26">IF(AND(AC70&gt;0,E70=0),"有广告无销量",IFERROR(AC70/(E70*$F70),0))</f>
        <v>0.0142171798296288</v>
      </c>
      <c r="AH70">
        <f>SUMIF('库存（子SKU）'!$C:$C,$A70,'库存（子SKU）'!AJ:AJ)</f>
        <v>253</v>
      </c>
      <c r="AI70">
        <f>SUMIF('库存（子SKU）'!$C:$C,$A70,'库存（子SKU）'!AK:AK)</f>
        <v>358</v>
      </c>
      <c r="AJ70">
        <f>SUMIF('库存（子SKU）'!$C:$C,$A70,'库存（子SKU）'!AL:AL)</f>
        <v>427</v>
      </c>
      <c r="AK70">
        <f>SUMIF('库存（子SKU）'!$C:$C,$A70,'库存（子SKU）'!AM:AM)</f>
        <v>332</v>
      </c>
      <c r="AL70" s="18">
        <f t="shared" ref="AL70:AL125" si="27">IFERROR(B70/AH70,"")</f>
        <v>0.142292490118577</v>
      </c>
      <c r="AM70" s="18">
        <f t="shared" ref="AM70:AM125" si="28">IFERROR(C70/AI70,"")</f>
        <v>0.106145251396648</v>
      </c>
      <c r="AN70" s="18">
        <f t="shared" ref="AN70:AN125" si="29">IFERROR(D70/AJ70,"")</f>
        <v>0.0960187353629977</v>
      </c>
      <c r="AO70" s="18">
        <f t="shared" ref="AO70:AO125" si="30">IFERROR(E70/AK70,"")</f>
        <v>0.11144578313253</v>
      </c>
      <c r="AP70" s="5">
        <f t="shared" ref="AP70:AP125" si="31">B70/7</f>
        <v>5.14285714285714</v>
      </c>
      <c r="AQ70" s="5">
        <f t="shared" ref="AQ70:AQ125" si="32">AP70*60</f>
        <v>308.571428571429</v>
      </c>
      <c r="AR70" s="5">
        <f t="shared" ref="AR70:AR125" si="33">K70-AQ70</f>
        <v>461.428571428571</v>
      </c>
      <c r="AS70">
        <f t="shared" ref="AS70:AS125" si="34">IF(AP70=0,"库存为"&amp;K70,INT(K70/AP70))</f>
        <v>149</v>
      </c>
      <c r="AT70" s="2">
        <f>IFERROR(时间!$B$4+AS70,"上周无销量")</f>
        <v>43467</v>
      </c>
    </row>
    <row r="71" spans="1:46">
      <c r="A71" t="s">
        <v>2731</v>
      </c>
      <c r="B71">
        <f>SUMIF('库存（子SKU）'!$C:$C,$A71,'库存（子SKU）'!D:D)</f>
        <v>34</v>
      </c>
      <c r="C71">
        <f>SUMIF('库存（子SKU）'!$C:$C,$A71,'库存（子SKU）'!E:E)</f>
        <v>15</v>
      </c>
      <c r="D71">
        <f>SUMIF('库存（子SKU）'!$C:$C,$A71,'库存（子SKU）'!F:F)</f>
        <v>23</v>
      </c>
      <c r="E71">
        <f>SUMIF('库存（子SKU）'!$C:$C,$A71,'库存（子SKU）'!G:G)</f>
        <v>24</v>
      </c>
      <c r="F71" s="5">
        <v>23.9803125</v>
      </c>
      <c r="G71">
        <f>SUMIF('库存（子SKU）'!$C:$C,$A71,'库存（子SKU）'!I:I)</f>
        <v>309</v>
      </c>
      <c r="H71">
        <f>SUMIF('库存（子SKU）'!$C:$C,$A71,'库存（子SKU）'!J:J)</f>
        <v>37</v>
      </c>
      <c r="I71">
        <f>SUMIF('库存（子SKU）'!$C:$C,$A71,'库存（子SKU）'!K:K)</f>
        <v>0</v>
      </c>
      <c r="J71">
        <f>SUMIF('库存（子SKU）'!$C:$C,$A71,'库存（子SKU）'!L:L)</f>
        <v>2</v>
      </c>
      <c r="K71">
        <f t="shared" si="18"/>
        <v>348</v>
      </c>
      <c r="L71">
        <f>SUMIF('库存（子SKU）'!$C:$C,$A71,'库存（子SKU）'!N:N)</f>
        <v>1</v>
      </c>
      <c r="M71">
        <f>SUMIF('库存（子SKU）'!$C:$C,$A71,'库存（子SKU）'!O:O)</f>
        <v>86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36890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86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>
        <f t="shared" si="21"/>
        <v>0.00233125508267823</v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61.19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0.110942456759423</v>
      </c>
      <c r="AG71" s="18">
        <f t="shared" si="26"/>
        <v>0</v>
      </c>
      <c r="AH71">
        <f>SUMIF('库存（子SKU）'!$C:$C,$A71,'库存（子SKU）'!AJ:AJ)</f>
        <v>179</v>
      </c>
      <c r="AI71">
        <f>SUMIF('库存（子SKU）'!$C:$C,$A71,'库存（子SKU）'!AK:AK)</f>
        <v>247</v>
      </c>
      <c r="AJ71">
        <f>SUMIF('库存（子SKU）'!$C:$C,$A71,'库存（子SKU）'!AL:AL)</f>
        <v>104</v>
      </c>
      <c r="AK71">
        <f>SUMIF('库存（子SKU）'!$C:$C,$A71,'库存（子SKU）'!AM:AM)</f>
        <v>217</v>
      </c>
      <c r="AL71" s="18">
        <f t="shared" si="27"/>
        <v>0.189944134078212</v>
      </c>
      <c r="AM71" s="18">
        <f t="shared" si="28"/>
        <v>0.0607287449392713</v>
      </c>
      <c r="AN71" s="18">
        <f t="shared" si="29"/>
        <v>0.221153846153846</v>
      </c>
      <c r="AO71" s="18">
        <f t="shared" si="30"/>
        <v>0.110599078341014</v>
      </c>
      <c r="AP71" s="5">
        <f t="shared" si="31"/>
        <v>4.85714285714286</v>
      </c>
      <c r="AQ71" s="5">
        <f t="shared" si="32"/>
        <v>291.428571428571</v>
      </c>
      <c r="AR71" s="5">
        <f t="shared" si="33"/>
        <v>56.5714285714286</v>
      </c>
      <c r="AS71">
        <f t="shared" si="34"/>
        <v>71</v>
      </c>
      <c r="AT71" s="2">
        <f>IFERROR(时间!$B$4+AS71,"上周无销量")</f>
        <v>43389</v>
      </c>
    </row>
    <row r="72" spans="1:46">
      <c r="A72" t="s">
        <v>2759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2804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8" t="str">
        <f t="shared" si="27"/>
        <v/>
      </c>
      <c r="AM73" s="18" t="str">
        <f t="shared" si="28"/>
        <v/>
      </c>
      <c r="AN73" s="18" t="str">
        <f t="shared" si="29"/>
        <v/>
      </c>
      <c r="AO73" s="18" t="str">
        <f t="shared" si="30"/>
        <v/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2859</v>
      </c>
      <c r="B74">
        <f>SUMIF('库存（子SKU）'!$C:$C,$A74,'库存（子SKU）'!D:D)</f>
        <v>1</v>
      </c>
      <c r="C74">
        <f>SUMIF('库存（子SKU）'!$C:$C,$A74,'库存（子SKU）'!E:E)</f>
        <v>0</v>
      </c>
      <c r="D74">
        <f>SUMIF('库存（子SKU）'!$C:$C,$A74,'库存（子SKU）'!F:F)</f>
        <v>1</v>
      </c>
      <c r="E74">
        <f>SUMIF('库存（子SKU）'!$C:$C,$A74,'库存（子SKU）'!G:G)</f>
        <v>1</v>
      </c>
      <c r="F74" s="5">
        <v>10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5</v>
      </c>
      <c r="L74">
        <f>SUMIF('库存（子SKU）'!$C:$C,$A74,'库存（子SKU）'!N:N)</f>
        <v>0</v>
      </c>
      <c r="M74">
        <f>SUMIF('库存（子SKU）'!$C:$C,$A74,'库存（子SKU）'!O:O)</f>
        <v>2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13</v>
      </c>
      <c r="AI74">
        <f>SUMIF('库存（子SKU）'!$C:$C,$A74,'库存（子SKU）'!AK:AK)</f>
        <v>10</v>
      </c>
      <c r="AJ74">
        <f>SUMIF('库存（子SKU）'!$C:$C,$A74,'库存（子SKU）'!AL:AL)</f>
        <v>10</v>
      </c>
      <c r="AK74">
        <f>SUMIF('库存（子SKU）'!$C:$C,$A74,'库存（子SKU）'!AM:AM)</f>
        <v>18</v>
      </c>
      <c r="AL74" s="18">
        <f t="shared" si="27"/>
        <v>0.0769230769230769</v>
      </c>
      <c r="AM74" s="18">
        <f t="shared" si="28"/>
        <v>0</v>
      </c>
      <c r="AN74" s="18">
        <f t="shared" si="29"/>
        <v>0.1</v>
      </c>
      <c r="AO74" s="18">
        <f t="shared" si="30"/>
        <v>0.0555555555555556</v>
      </c>
      <c r="AP74" s="5">
        <f t="shared" si="31"/>
        <v>0.142857142857143</v>
      </c>
      <c r="AQ74" s="5">
        <f t="shared" si="32"/>
        <v>8.57142857142857</v>
      </c>
      <c r="AR74" s="5">
        <f t="shared" si="33"/>
        <v>-3.57142857142857</v>
      </c>
      <c r="AS74">
        <f t="shared" si="34"/>
        <v>35</v>
      </c>
      <c r="AT74" s="2">
        <f>IFERROR(时间!$B$4+AS74,"上周无销量")</f>
        <v>43353</v>
      </c>
    </row>
    <row r="75" spans="1:46">
      <c r="A75" t="s">
        <v>2882</v>
      </c>
      <c r="B75">
        <f>SUMIF('库存（子SKU）'!$C:$C,$A75,'库存（子SKU）'!D:D)</f>
        <v>5</v>
      </c>
      <c r="C75">
        <f>SUMIF('库存（子SKU）'!$C:$C,$A75,'库存（子SKU）'!E:E)</f>
        <v>7</v>
      </c>
      <c r="D75">
        <f>SUMIF('库存（子SKU）'!$C:$C,$A75,'库存（子SKU）'!F:F)</f>
        <v>3</v>
      </c>
      <c r="E75">
        <f>SUMIF('库存（子SKU）'!$C:$C,$A75,'库存（子SKU）'!G:G)</f>
        <v>0</v>
      </c>
      <c r="F75" s="5">
        <v>11.3133333333333</v>
      </c>
      <c r="G75">
        <f>SUMIF('库存（子SKU）'!$C:$C,$A75,'库存（子SKU）'!I:I)</f>
        <v>14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14</v>
      </c>
      <c r="L75">
        <f>SUMIF('库存（子SKU）'!$C:$C,$A75,'库存（子SKU）'!N:N)</f>
        <v>0</v>
      </c>
      <c r="M75">
        <f>SUMIF('库存（子SKU）'!$C:$C,$A75,'库存（子SKU）'!O:O)</f>
        <v>14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30</v>
      </c>
      <c r="AI75">
        <f>SUMIF('库存（子SKU）'!$C:$C,$A75,'库存（子SKU）'!AK:AK)</f>
        <v>23</v>
      </c>
      <c r="AJ75">
        <f>SUMIF('库存（子SKU）'!$C:$C,$A75,'库存（子SKU）'!AL:AL)</f>
        <v>25</v>
      </c>
      <c r="AK75">
        <f>SUMIF('库存（子SKU）'!$C:$C,$A75,'库存（子SKU）'!AM:AM)</f>
        <v>40</v>
      </c>
      <c r="AL75" s="18">
        <f t="shared" si="27"/>
        <v>0.166666666666667</v>
      </c>
      <c r="AM75" s="18">
        <f t="shared" si="28"/>
        <v>0.304347826086957</v>
      </c>
      <c r="AN75" s="18">
        <f t="shared" si="29"/>
        <v>0.12</v>
      </c>
      <c r="AO75" s="18">
        <f t="shared" si="30"/>
        <v>0</v>
      </c>
      <c r="AP75" s="5">
        <f t="shared" si="31"/>
        <v>0.714285714285714</v>
      </c>
      <c r="AQ75" s="5">
        <f t="shared" si="32"/>
        <v>42.8571428571429</v>
      </c>
      <c r="AR75" s="5">
        <f t="shared" si="33"/>
        <v>-28.8571428571429</v>
      </c>
      <c r="AS75">
        <f t="shared" si="34"/>
        <v>19</v>
      </c>
      <c r="AT75" s="2">
        <f>IFERROR(时间!$B$4+AS75,"上周无销量")</f>
        <v>43337</v>
      </c>
    </row>
    <row r="76" spans="1:46">
      <c r="A76" t="s">
        <v>2913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">
        <v>52</v>
      </c>
      <c r="G76">
        <f>SUMIF('库存（子SKU）'!$C:$C,$A76,'库存（子SKU）'!I:I)</f>
        <v>7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7</v>
      </c>
      <c r="L76">
        <f>SUMIF('库存（子SKU）'!$C:$C,$A76,'库存（子SKU）'!N:N)</f>
        <v>0</v>
      </c>
      <c r="M76">
        <f>SUMIF('库存（子SKU）'!$C:$C,$A76,'库存（子SKU）'!O:O)</f>
        <v>7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14</v>
      </c>
      <c r="AI76">
        <f>SUMIF('库存（子SKU）'!$C:$C,$A76,'库存（子SKU）'!AK:AK)</f>
        <v>9</v>
      </c>
      <c r="AJ76">
        <f>SUMIF('库存（子SKU）'!$C:$C,$A76,'库存（子SKU）'!AL:AL)</f>
        <v>12</v>
      </c>
      <c r="AK76">
        <f>SUMIF('库存（子SKU）'!$C:$C,$A76,'库存（子SKU）'!AM:AM)</f>
        <v>13</v>
      </c>
      <c r="AL76" s="18">
        <f t="shared" si="27"/>
        <v>0</v>
      </c>
      <c r="AM76" s="18">
        <f t="shared" si="28"/>
        <v>0</v>
      </c>
      <c r="AN76" s="18">
        <f t="shared" si="29"/>
        <v>0</v>
      </c>
      <c r="AO76" s="18">
        <f t="shared" si="30"/>
        <v>0</v>
      </c>
      <c r="AP76" s="5">
        <f t="shared" si="31"/>
        <v>0</v>
      </c>
      <c r="AQ76" s="5">
        <f t="shared" si="32"/>
        <v>0</v>
      </c>
      <c r="AR76" s="5">
        <f t="shared" si="33"/>
        <v>7</v>
      </c>
      <c r="AS76" t="str">
        <f t="shared" si="34"/>
        <v>库存为7</v>
      </c>
      <c r="AT76" s="2" t="str">
        <f>IFERROR(时间!$B$4+AS76,"上周无销量")</f>
        <v>上周无销量</v>
      </c>
    </row>
    <row r="77" spans="1:46">
      <c r="A77" t="s">
        <v>2918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2920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">
        <v>52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8" t="str">
        <f t="shared" si="27"/>
        <v/>
      </c>
      <c r="AM78" s="18" t="str">
        <f t="shared" si="28"/>
        <v/>
      </c>
      <c r="AN78" s="18" t="str">
        <f t="shared" si="29"/>
        <v/>
      </c>
      <c r="AO78" s="18" t="str">
        <f t="shared" si="30"/>
        <v/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2923</v>
      </c>
      <c r="B79">
        <f>SUMIF('库存（子SKU）'!$C:$C,$A79,'库存（子SKU）'!D:D)</f>
        <v>41</v>
      </c>
      <c r="C79">
        <f>SUMIF('库存（子SKU）'!$C:$C,$A79,'库存（子SKU）'!E:E)</f>
        <v>47</v>
      </c>
      <c r="D79">
        <f>SUMIF('库存（子SKU）'!$C:$C,$A79,'库存（子SKU）'!F:F)</f>
        <v>36</v>
      </c>
      <c r="E79">
        <f>SUMIF('库存（子SKU）'!$C:$C,$A79,'库存（子SKU）'!G:G)</f>
        <v>28</v>
      </c>
      <c r="F79" s="5">
        <v>24.6839473684211</v>
      </c>
      <c r="G79">
        <f>SUMIF('库存（子SKU）'!$C:$C,$A79,'库存（子SKU）'!I:I)</f>
        <v>211</v>
      </c>
      <c r="H79">
        <f>SUMIF('库存（子SKU）'!$C:$C,$A79,'库存（子SKU）'!J:J)</f>
        <v>136</v>
      </c>
      <c r="I79">
        <f>SUMIF('库存（子SKU）'!$C:$C,$A79,'库存（子SKU）'!K:K)</f>
        <v>0</v>
      </c>
      <c r="J79">
        <f>SUMIF('库存（子SKU）'!$C:$C,$A79,'库存（子SKU）'!L:L)</f>
        <v>8</v>
      </c>
      <c r="K79">
        <f t="shared" si="18"/>
        <v>355</v>
      </c>
      <c r="L79">
        <f>SUMIF('库存（子SKU）'!$C:$C,$A79,'库存（子SKU）'!N:N)</f>
        <v>9</v>
      </c>
      <c r="M79">
        <f>SUMIF('库存（子SKU）'!$C:$C,$A79,'库存（子SKU）'!O:O)</f>
        <v>0</v>
      </c>
      <c r="N79">
        <f>SUMIF('库存（子SKU）'!$C:$C,$A79,'库存（子SKU）'!P:P)</f>
        <v>19258</v>
      </c>
      <c r="O79">
        <f>SUMIF('库存（子SKU）'!$C:$C,$A79,'库存（子SKU）'!Q:Q)</f>
        <v>6503</v>
      </c>
      <c r="P79">
        <f>SUMIF('库存（子SKU）'!$C:$C,$A79,'库存（子SKU）'!R:R)</f>
        <v>755</v>
      </c>
      <c r="Q79">
        <f>SUMIF('库存（子SKU）'!$C:$C,$A79,'库存（子SKU）'!S:S)</f>
        <v>0</v>
      </c>
      <c r="R79">
        <f>SUMIF('库存（子SKU）'!$C:$C,$A79,'库存（子SKU）'!T:T)</f>
        <v>128</v>
      </c>
      <c r="S79">
        <f>SUMIF('库存（子SKU）'!$C:$C,$A79,'库存（子SKU）'!U:U)</f>
        <v>34</v>
      </c>
      <c r="T79">
        <f>SUMIF('库存（子SKU）'!$C:$C,$A79,'库存（子SKU）'!V:V)</f>
        <v>9</v>
      </c>
      <c r="U79">
        <f>SUMIF('库存（子SKU）'!$C:$C,$A79,'库存（子SKU）'!W:W)</f>
        <v>0</v>
      </c>
      <c r="V79" s="18">
        <f t="shared" si="19"/>
        <v>0.00664658843078201</v>
      </c>
      <c r="W79" s="18">
        <f t="shared" si="20"/>
        <v>0.00522835614331847</v>
      </c>
      <c r="X79" s="18">
        <f t="shared" si="21"/>
        <v>0.0119205298013245</v>
      </c>
      <c r="Y79" s="18" t="str">
        <f t="shared" si="22"/>
        <v/>
      </c>
      <c r="Z79">
        <f>SUMIF('库存（子SKU）'!$C:$C,$A79,'库存（子SKU）'!AB:AB)</f>
        <v>75.19</v>
      </c>
      <c r="AA79">
        <f>SUMIF('库存（子SKU）'!$C:$C,$A79,'库存（子SKU）'!AC:AC)</f>
        <v>12.87</v>
      </c>
      <c r="AB79">
        <f>SUMIF('库存（子SKU）'!$C:$C,$A79,'库存（子SKU）'!AD:AD)</f>
        <v>3.8</v>
      </c>
      <c r="AC79">
        <f>SUMIF('库存（子SKU）'!$C:$C,$A79,'库存（子SKU）'!AE:AE)</f>
        <v>0</v>
      </c>
      <c r="AD79" s="18">
        <f t="shared" si="23"/>
        <v>0.0742953471603393</v>
      </c>
      <c r="AE79" s="18">
        <f t="shared" si="24"/>
        <v>0.0110934358734033</v>
      </c>
      <c r="AF79" s="18">
        <f t="shared" si="25"/>
        <v>0.00427628344770318</v>
      </c>
      <c r="AG79" s="18">
        <f t="shared" si="26"/>
        <v>0</v>
      </c>
      <c r="AH79">
        <f>SUMIF('库存（子SKU）'!$C:$C,$A79,'库存（子SKU）'!AJ:AJ)</f>
        <v>504</v>
      </c>
      <c r="AI79">
        <f>SUMIF('库存（子SKU）'!$C:$C,$A79,'库存（子SKU）'!AK:AK)</f>
        <v>436</v>
      </c>
      <c r="AJ79">
        <f>SUMIF('库存（子SKU）'!$C:$C,$A79,'库存（子SKU）'!AL:AL)</f>
        <v>345</v>
      </c>
      <c r="AK79">
        <f>SUMIF('库存（子SKU）'!$C:$C,$A79,'库存（子SKU）'!AM:AM)</f>
        <v>290</v>
      </c>
      <c r="AL79" s="18">
        <f t="shared" si="27"/>
        <v>0.0813492063492064</v>
      </c>
      <c r="AM79" s="18">
        <f t="shared" si="28"/>
        <v>0.107798165137615</v>
      </c>
      <c r="AN79" s="18">
        <f t="shared" si="29"/>
        <v>0.104347826086957</v>
      </c>
      <c r="AO79" s="18">
        <f t="shared" si="30"/>
        <v>0.096551724137931</v>
      </c>
      <c r="AP79" s="5">
        <f t="shared" si="31"/>
        <v>5.85714285714286</v>
      </c>
      <c r="AQ79" s="5">
        <f t="shared" si="32"/>
        <v>351.428571428571</v>
      </c>
      <c r="AR79" s="5">
        <f t="shared" si="33"/>
        <v>3.57142857142861</v>
      </c>
      <c r="AS79">
        <f t="shared" si="34"/>
        <v>60</v>
      </c>
      <c r="AT79" s="2">
        <f>IFERROR(时间!$B$4+AS79,"上周无销量")</f>
        <v>43378</v>
      </c>
    </row>
    <row r="80" spans="1:46">
      <c r="A80" t="s">
        <v>2954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">
        <v>52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 t="str">
        <f t="shared" si="27"/>
        <v/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0</v>
      </c>
      <c r="AS80" t="str">
        <f t="shared" si="34"/>
        <v>库存为0</v>
      </c>
      <c r="AT80" s="2" t="str">
        <f>IFERROR(时间!$B$4+AS80,"上周无销量")</f>
        <v>上周无销量</v>
      </c>
    </row>
    <row r="81" spans="1:46">
      <c r="A81" t="s">
        <v>2981</v>
      </c>
      <c r="B81">
        <f>SUMIF('库存（子SKU）'!$C:$C,$A81,'库存（子SKU）'!D:D)</f>
        <v>20</v>
      </c>
      <c r="C81">
        <f>SUMIF('库存（子SKU）'!$C:$C,$A81,'库存（子SKU）'!E:E)</f>
        <v>12</v>
      </c>
      <c r="D81">
        <f>SUMIF('库存（子SKU）'!$C:$C,$A81,'库存（子SKU）'!F:F)</f>
        <v>13</v>
      </c>
      <c r="E81">
        <f>SUMIF('库存（子SKU）'!$C:$C,$A81,'库存（子SKU）'!G:G)</f>
        <v>14</v>
      </c>
      <c r="F81" s="5">
        <v>24.6749152542373</v>
      </c>
      <c r="G81">
        <f>SUMIF('库存（子SKU）'!$C:$C,$A81,'库存（子SKU）'!I:I)</f>
        <v>55</v>
      </c>
      <c r="H81">
        <f>SUMIF('库存（子SKU）'!$C:$C,$A81,'库存（子SKU）'!J:J)</f>
        <v>80</v>
      </c>
      <c r="I81">
        <f>SUMIF('库存（子SKU）'!$C:$C,$A81,'库存（子SKU）'!K:K)</f>
        <v>0</v>
      </c>
      <c r="J81">
        <f>SUMIF('库存（子SKU）'!$C:$C,$A81,'库存（子SKU）'!L:L)</f>
        <v>2</v>
      </c>
      <c r="K81">
        <f t="shared" si="18"/>
        <v>137</v>
      </c>
      <c r="L81">
        <f>SUMIF('库存（子SKU）'!$C:$C,$A81,'库存（子SKU）'!N:N)</f>
        <v>4</v>
      </c>
      <c r="M81">
        <f>SUMIF('库存（子SKU）'!$C:$C,$A81,'库存（子SKU）'!O:O)</f>
        <v>0</v>
      </c>
      <c r="N81">
        <f>SUMIF('库存（子SKU）'!$C:$C,$A81,'库存（子SKU）'!P:P)</f>
        <v>79788</v>
      </c>
      <c r="O81">
        <f>SUMIF('库存（子SKU）'!$C:$C,$A81,'库存（子SKU）'!Q:Q)</f>
        <v>76436</v>
      </c>
      <c r="P81">
        <f>SUMIF('库存（子SKU）'!$C:$C,$A81,'库存（子SKU）'!R:R)</f>
        <v>84807</v>
      </c>
      <c r="Q81">
        <f>SUMIF('库存（子SKU）'!$C:$C,$A81,'库存（子SKU）'!S:S)</f>
        <v>15007</v>
      </c>
      <c r="R81">
        <f>SUMIF('库存（子SKU）'!$C:$C,$A81,'库存（子SKU）'!T:T)</f>
        <v>297</v>
      </c>
      <c r="S81">
        <f>SUMIF('库存（子SKU）'!$C:$C,$A81,'库存（子SKU）'!U:U)</f>
        <v>294</v>
      </c>
      <c r="T81">
        <f>SUMIF('库存（子SKU）'!$C:$C,$A81,'库存（子SKU）'!V:V)</f>
        <v>384</v>
      </c>
      <c r="U81">
        <f>SUMIF('库存（子SKU）'!$C:$C,$A81,'库存（子SKU）'!W:W)</f>
        <v>92</v>
      </c>
      <c r="V81" s="18">
        <f t="shared" si="19"/>
        <v>0.00372236426530305</v>
      </c>
      <c r="W81" s="18">
        <f t="shared" si="20"/>
        <v>0.00384635512062379</v>
      </c>
      <c r="X81" s="18">
        <f t="shared" si="21"/>
        <v>0.00452792811914111</v>
      </c>
      <c r="Y81" s="18">
        <f t="shared" si="22"/>
        <v>0.00613047244619178</v>
      </c>
      <c r="Z81">
        <f>SUMIF('库存（子SKU）'!$C:$C,$A81,'库存（子SKU）'!AB:AB)</f>
        <v>131.93</v>
      </c>
      <c r="AA81">
        <f>SUMIF('库存（子SKU）'!$C:$C,$A81,'库存（子SKU）'!AC:AC)</f>
        <v>126.57</v>
      </c>
      <c r="AB81">
        <f>SUMIF('库存（子SKU）'!$C:$C,$A81,'库存（子SKU）'!AD:AD)</f>
        <v>174.49</v>
      </c>
      <c r="AC81">
        <f>SUMIF('库存（子SKU）'!$C:$C,$A81,'库存（子SKU）'!AE:AE)</f>
        <v>43.38</v>
      </c>
      <c r="AD81" s="18">
        <f t="shared" si="23"/>
        <v>0.267336277836546</v>
      </c>
      <c r="AE81" s="18">
        <f t="shared" si="24"/>
        <v>0.42745840831971</v>
      </c>
      <c r="AF81" s="18">
        <f t="shared" si="25"/>
        <v>0.543965705819506</v>
      </c>
      <c r="AG81" s="18">
        <f t="shared" si="26"/>
        <v>0.125575767804889</v>
      </c>
      <c r="AH81">
        <f>SUMIF('库存（子SKU）'!$C:$C,$A81,'库存（子SKU）'!AJ:AJ)</f>
        <v>247</v>
      </c>
      <c r="AI81">
        <f>SUMIF('库存（子SKU）'!$C:$C,$A81,'库存（子SKU）'!AK:AK)</f>
        <v>221</v>
      </c>
      <c r="AJ81">
        <f>SUMIF('库存（子SKU）'!$C:$C,$A81,'库存（子SKU）'!AL:AL)</f>
        <v>198</v>
      </c>
      <c r="AK81">
        <f>SUMIF('库存（子SKU）'!$C:$C,$A81,'库存（子SKU）'!AM:AM)</f>
        <v>260</v>
      </c>
      <c r="AL81" s="18">
        <f t="shared" si="27"/>
        <v>0.0809716599190283</v>
      </c>
      <c r="AM81" s="18">
        <f t="shared" si="28"/>
        <v>0.0542986425339367</v>
      </c>
      <c r="AN81" s="18">
        <f t="shared" si="29"/>
        <v>0.0656565656565657</v>
      </c>
      <c r="AO81" s="18">
        <f t="shared" si="30"/>
        <v>0.0538461538461538</v>
      </c>
      <c r="AP81" s="5">
        <f t="shared" si="31"/>
        <v>2.85714285714286</v>
      </c>
      <c r="AQ81" s="5">
        <f t="shared" si="32"/>
        <v>171.428571428571</v>
      </c>
      <c r="AR81" s="5">
        <f t="shared" si="33"/>
        <v>-34.4285714285714</v>
      </c>
      <c r="AS81">
        <f t="shared" si="34"/>
        <v>47</v>
      </c>
      <c r="AT81" s="2">
        <f>IFERROR(时间!$B$4+AS81,"上周无销量")</f>
        <v>43365</v>
      </c>
    </row>
    <row r="82" spans="1:46">
      <c r="A82" t="s">
        <v>2988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3005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">
        <v>52</v>
      </c>
      <c r="G83">
        <f>SUMIF('库存（子SKU）'!$C:$C,$A83,'库存（子SKU）'!I:I)</f>
        <v>30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30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272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>
        <f t="shared" si="19"/>
        <v>0</v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46</v>
      </c>
      <c r="AI83">
        <f>SUMIF('库存（子SKU）'!$C:$C,$A83,'库存（子SKU）'!AK:AK)</f>
        <v>8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8">
        <f t="shared" si="27"/>
        <v>0</v>
      </c>
      <c r="AM83" s="18">
        <f t="shared" si="28"/>
        <v>0</v>
      </c>
      <c r="AN83" s="18" t="str">
        <f t="shared" si="29"/>
        <v/>
      </c>
      <c r="AO83" s="18" t="str">
        <f t="shared" si="30"/>
        <v/>
      </c>
      <c r="AP83" s="5">
        <f t="shared" si="31"/>
        <v>0</v>
      </c>
      <c r="AQ83" s="5">
        <f t="shared" si="32"/>
        <v>0</v>
      </c>
      <c r="AR83" s="5">
        <f t="shared" si="33"/>
        <v>30</v>
      </c>
      <c r="AS83" t="str">
        <f t="shared" si="34"/>
        <v>库存为30</v>
      </c>
      <c r="AT83" s="2" t="str">
        <f>IFERROR(时间!$B$4+AS83,"上周无销量")</f>
        <v>上周无销量</v>
      </c>
    </row>
    <row r="84" spans="1:46">
      <c r="A84" t="s">
        <v>3018</v>
      </c>
      <c r="B84">
        <f>SUMIF('库存（子SKU）'!$C:$C,$A84,'库存（子SKU）'!D:D)</f>
        <v>12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>
        <v>17.99</v>
      </c>
      <c r="G84">
        <f>SUMIF('库存（子SKU）'!$C:$C,$A84,'库存（子SKU）'!I:I)</f>
        <v>14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14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3575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7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>
        <f t="shared" si="19"/>
        <v>0.00195804195804196</v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5.78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0.0267741337780248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144</v>
      </c>
      <c r="AI84">
        <f>SUMIF('库存（子SKU）'!$C:$C,$A84,'库存（子SKU）'!AK:AK)</f>
        <v>10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8">
        <f t="shared" si="27"/>
        <v>0.0833333333333333</v>
      </c>
      <c r="AM84" s="18">
        <f t="shared" si="28"/>
        <v>0</v>
      </c>
      <c r="AN84" s="18" t="str">
        <f t="shared" si="29"/>
        <v/>
      </c>
      <c r="AO84" s="18" t="str">
        <f t="shared" si="30"/>
        <v/>
      </c>
      <c r="AP84" s="5">
        <f t="shared" si="31"/>
        <v>1.71428571428571</v>
      </c>
      <c r="AQ84" s="5">
        <f t="shared" si="32"/>
        <v>102.857142857143</v>
      </c>
      <c r="AR84" s="5">
        <f t="shared" si="33"/>
        <v>-88.8571428571428</v>
      </c>
      <c r="AS84">
        <f t="shared" si="34"/>
        <v>8</v>
      </c>
      <c r="AT84" s="2">
        <f>IFERROR(时间!$B$4+AS84,"上周无销量")</f>
        <v>43326</v>
      </c>
    </row>
    <row r="85" spans="1:46">
      <c r="A85" t="s">
        <v>3031</v>
      </c>
      <c r="B85">
        <f>SUMIF('库存（子SKU）'!$C:$C,$A85,'库存（子SKU）'!D:D)</f>
        <v>2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>
        <v>16.99</v>
      </c>
      <c r="G85">
        <f>SUMIF('库存（子SKU）'!$C:$C,$A85,'库存（子SKU）'!I:I)</f>
        <v>18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18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276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1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>
        <f t="shared" si="19"/>
        <v>0.0036231884057971</v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0.58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0.0170688640376692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49</v>
      </c>
      <c r="AI85">
        <f>SUMIF('库存（子SKU）'!$C:$C,$A85,'库存（子SKU）'!AK:AK)</f>
        <v>4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8">
        <f t="shared" si="27"/>
        <v>0.0408163265306122</v>
      </c>
      <c r="AM85" s="18">
        <f t="shared" si="28"/>
        <v>0</v>
      </c>
      <c r="AN85" s="18" t="str">
        <f t="shared" si="29"/>
        <v/>
      </c>
      <c r="AO85" s="18" t="str">
        <f t="shared" si="30"/>
        <v/>
      </c>
      <c r="AP85" s="5">
        <f t="shared" si="31"/>
        <v>0.285714285714286</v>
      </c>
      <c r="AQ85" s="5">
        <f t="shared" si="32"/>
        <v>17.1428571428571</v>
      </c>
      <c r="AR85" s="5">
        <f t="shared" si="33"/>
        <v>0.857142857142858</v>
      </c>
      <c r="AS85">
        <f t="shared" si="34"/>
        <v>63</v>
      </c>
      <c r="AT85" s="2">
        <f>IFERROR(时间!$B$4+AS85,"上周无销量")</f>
        <v>43381</v>
      </c>
    </row>
    <row r="86" spans="1:46">
      <c r="A86" t="s">
        <v>3040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3053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5" t="s">
        <v>52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18" t="str">
        <f t="shared" si="27"/>
        <v/>
      </c>
      <c r="AM87" s="18" t="str">
        <f t="shared" si="28"/>
        <v/>
      </c>
      <c r="AN87" s="18" t="str">
        <f t="shared" si="29"/>
        <v/>
      </c>
      <c r="AO87" s="18" t="str">
        <f t="shared" si="30"/>
        <v/>
      </c>
      <c r="AP87" s="5">
        <f t="shared" si="31"/>
        <v>0</v>
      </c>
      <c r="AQ87" s="5">
        <f t="shared" si="32"/>
        <v>0</v>
      </c>
      <c r="AR87" s="5">
        <f t="shared" si="33"/>
        <v>0</v>
      </c>
      <c r="AS87" t="str">
        <f t="shared" si="34"/>
        <v>库存为0</v>
      </c>
      <c r="AT87" s="2" t="str">
        <f>IFERROR(时间!$B$4+AS87,"上周无销量")</f>
        <v>上周无销量</v>
      </c>
    </row>
    <row r="88" spans="1:46">
      <c r="A88" t="s">
        <v>3066</v>
      </c>
      <c r="B88">
        <f>SUMIF('库存（子SKU）'!$C:$C,$A88,'库存（子SKU）'!D:D)</f>
        <v>0</v>
      </c>
      <c r="C88">
        <f>SUMIF('库存（子SKU）'!$C:$C,$A88,'库存（子SKU）'!E:E)</f>
        <v>0</v>
      </c>
      <c r="D88">
        <f>SUMIF('库存（子SKU）'!$C:$C,$A88,'库存（子SKU）'!F:F)</f>
        <v>0</v>
      </c>
      <c r="E88">
        <f>SUMIF('库存（子SKU）'!$C:$C,$A88,'库存（子SKU）'!G:G)</f>
        <v>0</v>
      </c>
      <c r="F88" s="5" t="s">
        <v>52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8" t="str">
        <f t="shared" si="27"/>
        <v/>
      </c>
      <c r="AM88" s="18" t="str">
        <f t="shared" si="28"/>
        <v/>
      </c>
      <c r="AN88" s="18" t="str">
        <f t="shared" si="29"/>
        <v/>
      </c>
      <c r="AO88" s="18" t="str">
        <f t="shared" si="30"/>
        <v/>
      </c>
      <c r="AP88" s="5">
        <f t="shared" si="31"/>
        <v>0</v>
      </c>
      <c r="AQ88" s="5">
        <f t="shared" si="32"/>
        <v>0</v>
      </c>
      <c r="AR88" s="5">
        <f t="shared" si="33"/>
        <v>0</v>
      </c>
      <c r="AS88" t="str">
        <f t="shared" si="34"/>
        <v>库存为0</v>
      </c>
      <c r="AT88" s="2" t="str">
        <f>IFERROR(时间!$B$4+AS88,"上周无销量")</f>
        <v>上周无销量</v>
      </c>
    </row>
    <row r="89" spans="1:46">
      <c r="A89" t="s">
        <v>3079</v>
      </c>
      <c r="B89">
        <f>SUMIF('库存（子SKU）'!$C:$C,$A89,'库存（子SKU）'!D:D)</f>
        <v>0</v>
      </c>
      <c r="C89">
        <f>SUMIF('库存（子SKU）'!$C:$C,$A89,'库存（子SKU）'!E:E)</f>
        <v>0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5" t="s">
        <v>52</v>
      </c>
      <c r="G89">
        <f>SUMIF('库存（子SKU）'!$C:$C,$A89,'库存（子SKU）'!I:I)</f>
        <v>26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26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7</v>
      </c>
      <c r="AI89">
        <f>SUMIF('库存（子SKU）'!$C:$C,$A89,'库存（子SKU）'!AK:AK)</f>
        <v>10</v>
      </c>
      <c r="AJ89">
        <f>SUMIF('库存（子SKU）'!$C:$C,$A89,'库存（子SKU）'!AL:AL)</f>
        <v>5</v>
      </c>
      <c r="AK89">
        <f>SUMIF('库存（子SKU）'!$C:$C,$A89,'库存（子SKU）'!AM:AM)</f>
        <v>7</v>
      </c>
      <c r="AL89" s="18">
        <f t="shared" si="27"/>
        <v>0</v>
      </c>
      <c r="AM89" s="18">
        <f t="shared" si="28"/>
        <v>0</v>
      </c>
      <c r="AN89" s="18">
        <f t="shared" si="29"/>
        <v>0</v>
      </c>
      <c r="AO89" s="18">
        <f t="shared" si="30"/>
        <v>0</v>
      </c>
      <c r="AP89" s="5">
        <f t="shared" si="31"/>
        <v>0</v>
      </c>
      <c r="AQ89" s="5">
        <f t="shared" si="32"/>
        <v>0</v>
      </c>
      <c r="AR89" s="5">
        <f t="shared" si="33"/>
        <v>26</v>
      </c>
      <c r="AS89" t="str">
        <f t="shared" si="34"/>
        <v>库存为26</v>
      </c>
      <c r="AT89" s="2" t="str">
        <f>IFERROR(时间!$B$4+AS89,"上周无销量")</f>
        <v>上周无销量</v>
      </c>
    </row>
    <row r="90" spans="1:46">
      <c r="A90" t="s">
        <v>3082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 t="s">
        <v>52</v>
      </c>
      <c r="G90">
        <f>SUMIF('库存（子SKU）'!$C:$C,$A90,'库存（子SKU）'!I:I)</f>
        <v>10</v>
      </c>
      <c r="H90">
        <f>SUMIF('库存（子SKU）'!$C:$C,$A90,'库存（子SKU）'!J:J)</f>
        <v>850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860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153</v>
      </c>
      <c r="AI90">
        <f>SUMIF('库存（子SKU）'!$C:$C,$A90,'库存（子SKU）'!AK:AK)</f>
        <v>227</v>
      </c>
      <c r="AJ90">
        <f>SUMIF('库存（子SKU）'!$C:$C,$A90,'库存（子SKU）'!AL:AL)</f>
        <v>273</v>
      </c>
      <c r="AK90">
        <f>SUMIF('库存（子SKU）'!$C:$C,$A90,'库存（子SKU）'!AM:AM)</f>
        <v>220</v>
      </c>
      <c r="AL90" s="18">
        <f t="shared" si="27"/>
        <v>0</v>
      </c>
      <c r="AM90" s="18">
        <f t="shared" si="28"/>
        <v>0</v>
      </c>
      <c r="AN90" s="18">
        <f t="shared" si="29"/>
        <v>0</v>
      </c>
      <c r="AO90" s="18">
        <f t="shared" si="30"/>
        <v>0</v>
      </c>
      <c r="AP90" s="5">
        <f t="shared" si="31"/>
        <v>0</v>
      </c>
      <c r="AQ90" s="5">
        <f t="shared" si="32"/>
        <v>0</v>
      </c>
      <c r="AR90" s="5">
        <f t="shared" si="33"/>
        <v>860</v>
      </c>
      <c r="AS90" t="str">
        <f t="shared" si="34"/>
        <v>库存为860</v>
      </c>
      <c r="AT90" s="2" t="str">
        <f>IFERROR(时间!$B$4+AS90,"上周无销量")</f>
        <v>上周无销量</v>
      </c>
    </row>
    <row r="91" spans="1:46">
      <c r="A91" t="s">
        <v>3226</v>
      </c>
      <c r="B91">
        <f>SUMIF('库存（子SKU）'!$C:$C,$A91,'库存（子SKU）'!D:D)</f>
        <v>1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>
        <v>22.98</v>
      </c>
      <c r="G91">
        <f>SUMIF('库存（子SKU）'!$C:$C,$A91,'库存（子SKU）'!I:I)</f>
        <v>3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3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15</v>
      </c>
      <c r="AI91">
        <f>SUMIF('库存（子SKU）'!$C:$C,$A91,'库存（子SKU）'!AK:AK)</f>
        <v>6</v>
      </c>
      <c r="AJ91">
        <f>SUMIF('库存（子SKU）'!$C:$C,$A91,'库存（子SKU）'!AL:AL)</f>
        <v>8</v>
      </c>
      <c r="AK91">
        <f>SUMIF('库存（子SKU）'!$C:$C,$A91,'库存（子SKU）'!AM:AM)</f>
        <v>15</v>
      </c>
      <c r="AL91" s="18">
        <f t="shared" si="27"/>
        <v>0.0666666666666667</v>
      </c>
      <c r="AM91" s="18">
        <f t="shared" si="28"/>
        <v>0</v>
      </c>
      <c r="AN91" s="18">
        <f t="shared" si="29"/>
        <v>0</v>
      </c>
      <c r="AO91" s="18">
        <f t="shared" si="30"/>
        <v>0</v>
      </c>
      <c r="AP91" s="5">
        <f t="shared" si="31"/>
        <v>0.142857142857143</v>
      </c>
      <c r="AQ91" s="5">
        <f t="shared" si="32"/>
        <v>8.57142857142857</v>
      </c>
      <c r="AR91" s="5">
        <f t="shared" si="33"/>
        <v>-5.57142857142857</v>
      </c>
      <c r="AS91">
        <f t="shared" si="34"/>
        <v>21</v>
      </c>
      <c r="AT91" s="2">
        <f>IFERROR(时间!$B$4+AS91,"上周无销量")</f>
        <v>43339</v>
      </c>
    </row>
    <row r="92" spans="1:46">
      <c r="A92" t="s">
        <v>3230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5" t="s">
        <v>52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8" t="str">
        <f t="shared" si="19"/>
        <v/>
      </c>
      <c r="W92" s="18" t="str">
        <f t="shared" si="20"/>
        <v/>
      </c>
      <c r="X92" s="18" t="str">
        <f t="shared" si="21"/>
        <v/>
      </c>
      <c r="Y92" s="18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8">
        <f t="shared" si="23"/>
        <v>0</v>
      </c>
      <c r="AE92" s="18">
        <f t="shared" si="24"/>
        <v>0</v>
      </c>
      <c r="AF92" s="18">
        <f t="shared" si="25"/>
        <v>0</v>
      </c>
      <c r="AG92" s="18">
        <f t="shared" si="26"/>
        <v>0</v>
      </c>
      <c r="AH92">
        <f>SUMIF('库存（子SKU）'!$C:$C,$A92,'库存（子SKU）'!AJ:AJ)</f>
        <v>20</v>
      </c>
      <c r="AI92">
        <f>SUMIF('库存（子SKU）'!$C:$C,$A92,'库存（子SKU）'!AK:AK)</f>
        <v>18</v>
      </c>
      <c r="AJ92">
        <f>SUMIF('库存（子SKU）'!$C:$C,$A92,'库存（子SKU）'!AL:AL)</f>
        <v>31</v>
      </c>
      <c r="AK92">
        <f>SUMIF('库存（子SKU）'!$C:$C,$A92,'库存（子SKU）'!AM:AM)</f>
        <v>20</v>
      </c>
      <c r="AL92" s="18">
        <f t="shared" si="27"/>
        <v>0</v>
      </c>
      <c r="AM92" s="18">
        <f t="shared" si="28"/>
        <v>0</v>
      </c>
      <c r="AN92" s="18">
        <f t="shared" si="29"/>
        <v>0</v>
      </c>
      <c r="AO92" s="18">
        <f t="shared" si="30"/>
        <v>0</v>
      </c>
      <c r="AP92" s="5">
        <f t="shared" si="31"/>
        <v>0</v>
      </c>
      <c r="AQ92" s="5">
        <f t="shared" si="32"/>
        <v>0</v>
      </c>
      <c r="AR92" s="5">
        <f t="shared" si="33"/>
        <v>0</v>
      </c>
      <c r="AS92" t="str">
        <f t="shared" si="34"/>
        <v>库存为0</v>
      </c>
      <c r="AT92" s="2" t="str">
        <f>IFERROR(时间!$B$4+AS92,"上周无销量")</f>
        <v>上周无销量</v>
      </c>
    </row>
    <row r="93" spans="1:46">
      <c r="A93" t="s">
        <v>3279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5" t="s">
        <v>52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62</v>
      </c>
      <c r="AI93">
        <f>SUMIF('库存（子SKU）'!$C:$C,$A93,'库存（子SKU）'!AK:AK)</f>
        <v>57</v>
      </c>
      <c r="AJ93">
        <f>SUMIF('库存（子SKU）'!$C:$C,$A93,'库存（子SKU）'!AL:AL)</f>
        <v>55</v>
      </c>
      <c r="AK93">
        <f>SUMIF('库存（子SKU）'!$C:$C,$A93,'库存（子SKU）'!AM:AM)</f>
        <v>41</v>
      </c>
      <c r="AL93" s="18">
        <f t="shared" si="27"/>
        <v>0</v>
      </c>
      <c r="AM93" s="18">
        <f t="shared" si="28"/>
        <v>0</v>
      </c>
      <c r="AN93" s="18">
        <f t="shared" si="29"/>
        <v>0</v>
      </c>
      <c r="AO93" s="18">
        <f t="shared" si="30"/>
        <v>0</v>
      </c>
      <c r="AP93" s="5">
        <f t="shared" si="31"/>
        <v>0</v>
      </c>
      <c r="AQ93" s="5">
        <f t="shared" si="32"/>
        <v>0</v>
      </c>
      <c r="AR93" s="5">
        <f t="shared" si="33"/>
        <v>0</v>
      </c>
      <c r="AS93" t="str">
        <f t="shared" si="34"/>
        <v>库存为0</v>
      </c>
      <c r="AT93" s="2" t="str">
        <f>IFERROR(时间!$B$4+AS93,"上周无销量")</f>
        <v>上周无销量</v>
      </c>
    </row>
    <row r="94" spans="1:46">
      <c r="A94" t="s">
        <v>3320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 t="s">
        <v>52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25</v>
      </c>
      <c r="AI94">
        <f>SUMIF('库存（子SKU）'!$C:$C,$A94,'库存（子SKU）'!AK:AK)</f>
        <v>24</v>
      </c>
      <c r="AJ94">
        <f>SUMIF('库存（子SKU）'!$C:$C,$A94,'库存（子SKU）'!AL:AL)</f>
        <v>17</v>
      </c>
      <c r="AK94">
        <f>SUMIF('库存（子SKU）'!$C:$C,$A94,'库存（子SKU）'!AM:AM)</f>
        <v>13</v>
      </c>
      <c r="AL94" s="18">
        <f t="shared" si="27"/>
        <v>0</v>
      </c>
      <c r="AM94" s="18">
        <f t="shared" si="28"/>
        <v>0</v>
      </c>
      <c r="AN94" s="18">
        <f t="shared" si="29"/>
        <v>0</v>
      </c>
      <c r="AO94" s="18">
        <f t="shared" si="30"/>
        <v>0</v>
      </c>
      <c r="AP94" s="5">
        <f t="shared" si="31"/>
        <v>0</v>
      </c>
      <c r="AQ94" s="5">
        <f t="shared" si="32"/>
        <v>0</v>
      </c>
      <c r="AR94" s="5">
        <f t="shared" si="33"/>
        <v>0</v>
      </c>
      <c r="AS94" t="str">
        <f t="shared" si="34"/>
        <v>库存为0</v>
      </c>
      <c r="AT94" s="2" t="str">
        <f>IFERROR(时间!$B$4+AS94,"上周无销量")</f>
        <v>上周无销量</v>
      </c>
    </row>
    <row r="95" spans="1:46">
      <c r="A95" t="s">
        <v>3361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5" t="s">
        <v>52</v>
      </c>
      <c r="G95">
        <f>SUMIF('库存（子SKU）'!$C:$C,$A95,'库存（子SKU）'!I:I)</f>
        <v>0</v>
      </c>
      <c r="H95">
        <f>SUMIF('库存（子SKU）'!$C:$C,$A95,'库存（子SKU）'!J:J)</f>
        <v>5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5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237</v>
      </c>
      <c r="AI95">
        <f>SUMIF('库存（子SKU）'!$C:$C,$A95,'库存（子SKU）'!AK:AK)</f>
        <v>238</v>
      </c>
      <c r="AJ95">
        <f>SUMIF('库存（子SKU）'!$C:$C,$A95,'库存（子SKU）'!AL:AL)</f>
        <v>183</v>
      </c>
      <c r="AK95">
        <f>SUMIF('库存（子SKU）'!$C:$C,$A95,'库存（子SKU）'!AM:AM)</f>
        <v>202</v>
      </c>
      <c r="AL95" s="18">
        <f t="shared" si="27"/>
        <v>0</v>
      </c>
      <c r="AM95" s="18">
        <f t="shared" si="28"/>
        <v>0</v>
      </c>
      <c r="AN95" s="18">
        <f t="shared" si="29"/>
        <v>0</v>
      </c>
      <c r="AO95" s="18">
        <f t="shared" si="30"/>
        <v>0</v>
      </c>
      <c r="AP95" s="5">
        <f t="shared" si="31"/>
        <v>0</v>
      </c>
      <c r="AQ95" s="5">
        <f t="shared" si="32"/>
        <v>0</v>
      </c>
      <c r="AR95" s="5">
        <f t="shared" si="33"/>
        <v>5</v>
      </c>
      <c r="AS95" t="str">
        <f t="shared" si="34"/>
        <v>库存为5</v>
      </c>
      <c r="AT95" s="2" t="str">
        <f>IFERROR(时间!$B$4+AS95,"上周无销量")</f>
        <v>上周无销量</v>
      </c>
    </row>
    <row r="96" spans="1:46">
      <c r="A96" t="s">
        <v>3418</v>
      </c>
      <c r="B96">
        <f>SUMIF('库存（子SKU）'!$C:$C,$A96,'库存（子SKU）'!D:D)</f>
        <v>1</v>
      </c>
      <c r="C96">
        <f>SUMIF('库存（子SKU）'!$C:$C,$A96,'库存（子SKU）'!E:E)</f>
        <v>1</v>
      </c>
      <c r="D96">
        <f>SUMIF('库存（子SKU）'!$C:$C,$A96,'库存（子SKU）'!F:F)</f>
        <v>2</v>
      </c>
      <c r="E96">
        <f>SUMIF('库存（子SKU）'!$C:$C,$A96,'库存（子SKU）'!G:G)</f>
        <v>2</v>
      </c>
      <c r="F96" s="5">
        <v>20.98</v>
      </c>
      <c r="G96">
        <f>SUMIF('库存（子SKU）'!$C:$C,$A96,'库存（子SKU）'!I:I)</f>
        <v>55</v>
      </c>
      <c r="H96">
        <f>SUMIF('库存（子SKU）'!$C:$C,$A96,'库存（子SKU）'!J:J)</f>
        <v>143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198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8" t="str">
        <f t="shared" si="19"/>
        <v/>
      </c>
      <c r="W96" s="18" t="str">
        <f t="shared" si="20"/>
        <v/>
      </c>
      <c r="X96" s="18" t="str">
        <f t="shared" si="21"/>
        <v/>
      </c>
      <c r="Y96" s="18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8">
        <f t="shared" si="23"/>
        <v>0</v>
      </c>
      <c r="AE96" s="18">
        <f t="shared" si="24"/>
        <v>0</v>
      </c>
      <c r="AF96" s="18">
        <f t="shared" si="25"/>
        <v>0</v>
      </c>
      <c r="AG96" s="18">
        <f t="shared" si="26"/>
        <v>0</v>
      </c>
      <c r="AH96">
        <f>SUMIF('库存（子SKU）'!$C:$C,$A96,'库存（子SKU）'!AJ:AJ)</f>
        <v>161</v>
      </c>
      <c r="AI96">
        <f>SUMIF('库存（子SKU）'!$C:$C,$A96,'库存（子SKU）'!AK:AK)</f>
        <v>139</v>
      </c>
      <c r="AJ96">
        <f>SUMIF('库存（子SKU）'!$C:$C,$A96,'库存（子SKU）'!AL:AL)</f>
        <v>129</v>
      </c>
      <c r="AK96">
        <f>SUMIF('库存（子SKU）'!$C:$C,$A96,'库存（子SKU）'!AM:AM)</f>
        <v>96</v>
      </c>
      <c r="AL96" s="18">
        <f t="shared" si="27"/>
        <v>0.0062111801242236</v>
      </c>
      <c r="AM96" s="18">
        <f t="shared" si="28"/>
        <v>0.00719424460431655</v>
      </c>
      <c r="AN96" s="18">
        <f t="shared" si="29"/>
        <v>0.0155038759689922</v>
      </c>
      <c r="AO96" s="18">
        <f t="shared" si="30"/>
        <v>0.0208333333333333</v>
      </c>
      <c r="AP96" s="5">
        <f t="shared" si="31"/>
        <v>0.142857142857143</v>
      </c>
      <c r="AQ96" s="5">
        <f t="shared" si="32"/>
        <v>8.57142857142857</v>
      </c>
      <c r="AR96" s="5">
        <f t="shared" si="33"/>
        <v>189.428571428571</v>
      </c>
      <c r="AS96">
        <f t="shared" si="34"/>
        <v>1386</v>
      </c>
      <c r="AT96" s="2">
        <f>IFERROR(时间!$B$4+AS96,"上周无销量")</f>
        <v>44704</v>
      </c>
    </row>
    <row r="97" spans="1:46">
      <c r="A97" t="s">
        <v>3475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">
        <v>52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 t="str">
        <f t="shared" si="19"/>
        <v/>
      </c>
      <c r="W97" s="18" t="str">
        <f t="shared" si="20"/>
        <v/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>
        <f t="shared" si="23"/>
        <v>0</v>
      </c>
      <c r="AE97" s="18">
        <f t="shared" si="24"/>
        <v>0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8" t="str">
        <f t="shared" si="27"/>
        <v/>
      </c>
      <c r="AM97" s="18" t="str">
        <f t="shared" si="28"/>
        <v/>
      </c>
      <c r="AN97" s="18" t="str">
        <f t="shared" si="29"/>
        <v/>
      </c>
      <c r="AO97" s="18" t="str">
        <f t="shared" si="30"/>
        <v/>
      </c>
      <c r="AP97" s="5">
        <f t="shared" si="31"/>
        <v>0</v>
      </c>
      <c r="AQ97" s="5">
        <f t="shared" si="32"/>
        <v>0</v>
      </c>
      <c r="AR97" s="5">
        <f t="shared" si="33"/>
        <v>0</v>
      </c>
      <c r="AS97" t="str">
        <f t="shared" si="34"/>
        <v>库存为0</v>
      </c>
      <c r="AT97" s="2" t="str">
        <f>IFERROR(时间!$B$4+AS97,"上周无销量")</f>
        <v>上周无销量</v>
      </c>
    </row>
    <row r="98" spans="1:46">
      <c r="A98" t="s">
        <v>3540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 t="s">
        <v>52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 t="str">
        <f t="shared" si="19"/>
        <v/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8" t="str">
        <f t="shared" si="27"/>
        <v/>
      </c>
      <c r="AM98" s="18" t="str">
        <f t="shared" si="28"/>
        <v/>
      </c>
      <c r="AN98" s="18" t="str">
        <f t="shared" si="29"/>
        <v/>
      </c>
      <c r="AO98" s="18" t="str">
        <f t="shared" si="30"/>
        <v/>
      </c>
      <c r="AP98" s="5">
        <f t="shared" si="31"/>
        <v>0</v>
      </c>
      <c r="AQ98" s="5">
        <f t="shared" si="32"/>
        <v>0</v>
      </c>
      <c r="AR98" s="5">
        <f t="shared" si="33"/>
        <v>0</v>
      </c>
      <c r="AS98" t="str">
        <f t="shared" si="34"/>
        <v>库存为0</v>
      </c>
      <c r="AT98" s="2" t="str">
        <f>IFERROR(时间!$B$4+AS98,"上周无销量")</f>
        <v>上周无销量</v>
      </c>
    </row>
    <row r="99" spans="1:46">
      <c r="A99" t="s">
        <v>3605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">
        <v>52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3662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0</v>
      </c>
      <c r="E100">
        <f>SUMIF('库存（子SKU）'!$C:$C,$A100,'库存（子SKU）'!G:G)</f>
        <v>1</v>
      </c>
      <c r="F100" s="5">
        <v>23.98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2</v>
      </c>
      <c r="L100">
        <f>SUMIF('库存（子SKU）'!$C:$C,$A100,'库存（子SKU）'!N:N)</f>
        <v>0</v>
      </c>
      <c r="M100">
        <f>SUMIF('库存（子SKU）'!$C:$C,$A100,'库存（子SKU）'!O:O)</f>
        <v>1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10</v>
      </c>
      <c r="AI100">
        <f>SUMIF('库存（子SKU）'!$C:$C,$A100,'库存（子SKU）'!AK:AK)</f>
        <v>18</v>
      </c>
      <c r="AJ100">
        <f>SUMIF('库存（子SKU）'!$C:$C,$A100,'库存（子SKU）'!AL:AL)</f>
        <v>9</v>
      </c>
      <c r="AK100">
        <f>SUMIF('库存（子SKU）'!$C:$C,$A100,'库存（子SKU）'!AM:AM)</f>
        <v>14</v>
      </c>
      <c r="AL100" s="18">
        <f t="shared" si="27"/>
        <v>0</v>
      </c>
      <c r="AM100" s="18">
        <f t="shared" si="28"/>
        <v>0</v>
      </c>
      <c r="AN100" s="18">
        <f t="shared" si="29"/>
        <v>0</v>
      </c>
      <c r="AO100" s="18">
        <f t="shared" si="30"/>
        <v>0.0714285714285714</v>
      </c>
      <c r="AP100" s="5">
        <f t="shared" si="31"/>
        <v>0</v>
      </c>
      <c r="AQ100" s="5">
        <f t="shared" si="32"/>
        <v>0</v>
      </c>
      <c r="AR100" s="5">
        <f t="shared" si="33"/>
        <v>2</v>
      </c>
      <c r="AS100" t="str">
        <f t="shared" si="34"/>
        <v>库存为2</v>
      </c>
      <c r="AT100" s="2" t="str">
        <f>IFERROR(时间!$B$4+AS100,"上周无销量")</f>
        <v>上周无销量</v>
      </c>
    </row>
    <row r="101" spans="1:46">
      <c r="A101" t="s">
        <v>3683</v>
      </c>
      <c r="B101">
        <f>SUMIF('库存（子SKU）'!$C:$C,$A101,'库存（子SKU）'!D:D)</f>
        <v>39</v>
      </c>
      <c r="C101">
        <f>SUMIF('库存（子SKU）'!$C:$C,$A101,'库存（子SKU）'!E:E)</f>
        <v>26</v>
      </c>
      <c r="D101">
        <f>SUMIF('库存（子SKU）'!$C:$C,$A101,'库存（子SKU）'!F:F)</f>
        <v>32</v>
      </c>
      <c r="E101">
        <f>SUMIF('库存（子SKU）'!$C:$C,$A101,'库存（子SKU）'!G:G)</f>
        <v>22</v>
      </c>
      <c r="F101" s="5">
        <v>22.9211764705882</v>
      </c>
      <c r="G101">
        <f>SUMIF('库存（子SKU）'!$C:$C,$A101,'库存（子SKU）'!I:I)</f>
        <v>300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7</v>
      </c>
      <c r="K101">
        <f t="shared" si="18"/>
        <v>307</v>
      </c>
      <c r="L101">
        <f>SUMIF('库存（子SKU）'!$C:$C,$A101,'库存（子SKU）'!N:N)</f>
        <v>3</v>
      </c>
      <c r="M101">
        <f>SUMIF('库存（子SKU）'!$C:$C,$A101,'库存（子SKU）'!O:O)</f>
        <v>32</v>
      </c>
      <c r="N101">
        <f>SUMIF('库存（子SKU）'!$C:$C,$A101,'库存（子SKU）'!P:P)</f>
        <v>20101</v>
      </c>
      <c r="O101">
        <f>SUMIF('库存（子SKU）'!$C:$C,$A101,'库存（子SKU）'!Q:Q)</f>
        <v>7763</v>
      </c>
      <c r="P101">
        <f>SUMIF('库存（子SKU）'!$C:$C,$A101,'库存（子SKU）'!R:R)</f>
        <v>31436</v>
      </c>
      <c r="Q101">
        <f>SUMIF('库存（子SKU）'!$C:$C,$A101,'库存（子SKU）'!S:S)</f>
        <v>29715</v>
      </c>
      <c r="R101">
        <f>SUMIF('库存（子SKU）'!$C:$C,$A101,'库存（子SKU）'!T:T)</f>
        <v>60</v>
      </c>
      <c r="S101">
        <f>SUMIF('库存（子SKU）'!$C:$C,$A101,'库存（子SKU）'!U:U)</f>
        <v>25</v>
      </c>
      <c r="T101">
        <f>SUMIF('库存（子SKU）'!$C:$C,$A101,'库存（子SKU）'!V:V)</f>
        <v>46</v>
      </c>
      <c r="U101">
        <f>SUMIF('库存（子SKU）'!$C:$C,$A101,'库存（子SKU）'!W:W)</f>
        <v>38</v>
      </c>
      <c r="V101" s="18">
        <f t="shared" si="19"/>
        <v>0.00298492612307845</v>
      </c>
      <c r="W101" s="18">
        <f t="shared" si="20"/>
        <v>0.00322040448280304</v>
      </c>
      <c r="X101" s="18">
        <f t="shared" si="21"/>
        <v>0.00146329049497392</v>
      </c>
      <c r="Y101" s="18">
        <f t="shared" si="22"/>
        <v>0.00127881541309103</v>
      </c>
      <c r="Z101">
        <f>SUMIF('库存（子SKU）'!$C:$C,$A101,'库存（子SKU）'!AB:AB)</f>
        <v>43.32</v>
      </c>
      <c r="AA101">
        <f>SUMIF('库存（子SKU）'!$C:$C,$A101,'库存（子SKU）'!AC:AC)</f>
        <v>11.77</v>
      </c>
      <c r="AB101">
        <f>SUMIF('库存（子SKU）'!$C:$C,$A101,'库存（子SKU）'!AD:AD)</f>
        <v>28.43</v>
      </c>
      <c r="AC101">
        <f>SUMIF('库存（子SKU）'!$C:$C,$A101,'库存（子SKU）'!AE:AE)</f>
        <v>26.82</v>
      </c>
      <c r="AD101" s="18">
        <f t="shared" si="23"/>
        <v>0.0484603934791278</v>
      </c>
      <c r="AE101" s="18">
        <f t="shared" si="24"/>
        <v>0.0197499595307941</v>
      </c>
      <c r="AF101" s="18">
        <f t="shared" si="25"/>
        <v>0.0387605540727815</v>
      </c>
      <c r="AG101" s="18">
        <f t="shared" si="26"/>
        <v>0.0531862276203498</v>
      </c>
      <c r="AH101">
        <f>SUMIF('库存（子SKU）'!$C:$C,$A101,'库存（子SKU）'!AJ:AJ)</f>
        <v>264</v>
      </c>
      <c r="AI101">
        <f>SUMIF('库存（子SKU）'!$C:$C,$A101,'库存（子SKU）'!AK:AK)</f>
        <v>273</v>
      </c>
      <c r="AJ101">
        <f>SUMIF('库存（子SKU）'!$C:$C,$A101,'库存（子SKU）'!AL:AL)</f>
        <v>307</v>
      </c>
      <c r="AK101">
        <f>SUMIF('库存（子SKU）'!$C:$C,$A101,'库存（子SKU）'!AM:AM)</f>
        <v>183</v>
      </c>
      <c r="AL101" s="18">
        <f t="shared" si="27"/>
        <v>0.147727272727273</v>
      </c>
      <c r="AM101" s="18">
        <f t="shared" si="28"/>
        <v>0.0952380952380952</v>
      </c>
      <c r="AN101" s="18">
        <f t="shared" si="29"/>
        <v>0.104234527687296</v>
      </c>
      <c r="AO101" s="18">
        <f t="shared" si="30"/>
        <v>0.120218579234973</v>
      </c>
      <c r="AP101" s="5">
        <f t="shared" si="31"/>
        <v>5.57142857142857</v>
      </c>
      <c r="AQ101" s="5">
        <f t="shared" si="32"/>
        <v>334.285714285714</v>
      </c>
      <c r="AR101" s="5">
        <f t="shared" si="33"/>
        <v>-27.2857142857143</v>
      </c>
      <c r="AS101">
        <f t="shared" si="34"/>
        <v>55</v>
      </c>
      <c r="AT101" s="2">
        <f>IFERROR(时间!$B$4+AS101,"上周无销量")</f>
        <v>43373</v>
      </c>
    </row>
    <row r="102" spans="1:46">
      <c r="A102" t="s">
        <v>3764</v>
      </c>
      <c r="B102">
        <f>SUMIF('库存（子SKU）'!$C:$C,$A102,'库存（子SKU）'!D:D)</f>
        <v>20</v>
      </c>
      <c r="C102">
        <f>SUMIF('库存（子SKU）'!$C:$C,$A102,'库存（子SKU）'!E:E)</f>
        <v>23</v>
      </c>
      <c r="D102">
        <f>SUMIF('库存（子SKU）'!$C:$C,$A102,'库存（子SKU）'!F:F)</f>
        <v>11</v>
      </c>
      <c r="E102">
        <f>SUMIF('库存（子SKU）'!$C:$C,$A102,'库存（子SKU）'!G:G)</f>
        <v>7</v>
      </c>
      <c r="F102" s="5">
        <v>23.98</v>
      </c>
      <c r="G102">
        <f>SUMIF('库存（子SKU）'!$C:$C,$A102,'库存（子SKU）'!I:I)</f>
        <v>578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1</v>
      </c>
      <c r="K102">
        <f t="shared" si="18"/>
        <v>579</v>
      </c>
      <c r="L102">
        <f>SUMIF('库存（子SKU）'!$C:$C,$A102,'库存（子SKU）'!N:N)</f>
        <v>0</v>
      </c>
      <c r="M102">
        <f>SUMIF('库存（子SKU）'!$C:$C,$A102,'库存（子SKU）'!O:O)</f>
        <v>273</v>
      </c>
      <c r="N102">
        <f>SUMIF('库存（子SKU）'!$C:$C,$A102,'库存（子SKU）'!P:P)</f>
        <v>7241</v>
      </c>
      <c r="O102">
        <f>SUMIF('库存（子SKU）'!$C:$C,$A102,'库存（子SKU）'!Q:Q)</f>
        <v>2154</v>
      </c>
      <c r="P102">
        <f>SUMIF('库存（子SKU）'!$C:$C,$A102,'库存（子SKU）'!R:R)</f>
        <v>2340</v>
      </c>
      <c r="Q102">
        <f>SUMIF('库存（子SKU）'!$C:$C,$A102,'库存（子SKU）'!S:S)</f>
        <v>12328</v>
      </c>
      <c r="R102">
        <f>SUMIF('库存（子SKU）'!$C:$C,$A102,'库存（子SKU）'!T:T)</f>
        <v>25</v>
      </c>
      <c r="S102">
        <f>SUMIF('库存（子SKU）'!$C:$C,$A102,'库存（子SKU）'!U:U)</f>
        <v>6</v>
      </c>
      <c r="T102">
        <f>SUMIF('库存（子SKU）'!$C:$C,$A102,'库存（子SKU）'!V:V)</f>
        <v>8</v>
      </c>
      <c r="U102">
        <f>SUMIF('库存（子SKU）'!$C:$C,$A102,'库存（子SKU）'!W:W)</f>
        <v>35</v>
      </c>
      <c r="V102" s="18">
        <f t="shared" si="19"/>
        <v>0.00345256180085624</v>
      </c>
      <c r="W102" s="18">
        <f t="shared" si="20"/>
        <v>0.00278551532033426</v>
      </c>
      <c r="X102" s="18">
        <f t="shared" si="21"/>
        <v>0.00341880341880342</v>
      </c>
      <c r="Y102" s="18">
        <f t="shared" si="22"/>
        <v>0.00283906554185594</v>
      </c>
      <c r="Z102">
        <f>SUMIF('库存（子SKU）'!$C:$C,$A102,'库存（子SKU）'!AB:AB)</f>
        <v>15.62</v>
      </c>
      <c r="AA102">
        <f>SUMIF('库存（子SKU）'!$C:$C,$A102,'库存（子SKU）'!AC:AC)</f>
        <v>2.12</v>
      </c>
      <c r="AB102">
        <f>SUMIF('库存（子SKU）'!$C:$C,$A102,'库存（子SKU）'!AD:AD)</f>
        <v>2.96</v>
      </c>
      <c r="AC102">
        <f>SUMIF('库存（子SKU）'!$C:$C,$A102,'库存（子SKU）'!AE:AE)</f>
        <v>19.23</v>
      </c>
      <c r="AD102" s="18">
        <f t="shared" si="23"/>
        <v>0.0325688073394495</v>
      </c>
      <c r="AE102" s="18">
        <f t="shared" si="24"/>
        <v>0.00384378286253037</v>
      </c>
      <c r="AF102" s="18">
        <f t="shared" si="25"/>
        <v>0.0112214724391538</v>
      </c>
      <c r="AG102" s="18">
        <f t="shared" si="26"/>
        <v>0.114559752174431</v>
      </c>
      <c r="AH102">
        <f>SUMIF('库存（子SKU）'!$C:$C,$A102,'库存（子SKU）'!AJ:AJ)</f>
        <v>260</v>
      </c>
      <c r="AI102">
        <f>SUMIF('库存（子SKU）'!$C:$C,$A102,'库存（子SKU）'!AK:AK)</f>
        <v>260</v>
      </c>
      <c r="AJ102">
        <f>SUMIF('库存（子SKU）'!$C:$C,$A102,'库存（子SKU）'!AL:AL)</f>
        <v>269</v>
      </c>
      <c r="AK102">
        <f>SUMIF('库存（子SKU）'!$C:$C,$A102,'库存（子SKU）'!AM:AM)</f>
        <v>202</v>
      </c>
      <c r="AL102" s="18">
        <f t="shared" si="27"/>
        <v>0.0769230769230769</v>
      </c>
      <c r="AM102" s="18">
        <f t="shared" si="28"/>
        <v>0.0884615384615385</v>
      </c>
      <c r="AN102" s="18">
        <f t="shared" si="29"/>
        <v>0.0408921933085502</v>
      </c>
      <c r="AO102" s="18">
        <f t="shared" si="30"/>
        <v>0.0346534653465347</v>
      </c>
      <c r="AP102" s="5">
        <f t="shared" si="31"/>
        <v>2.85714285714286</v>
      </c>
      <c r="AQ102" s="5">
        <f t="shared" si="32"/>
        <v>171.428571428571</v>
      </c>
      <c r="AR102" s="5">
        <f t="shared" si="33"/>
        <v>407.571428571429</v>
      </c>
      <c r="AS102">
        <f t="shared" si="34"/>
        <v>202</v>
      </c>
      <c r="AT102" s="2">
        <f>IFERROR(时间!$B$4+AS102,"上周无销量")</f>
        <v>43520</v>
      </c>
    </row>
    <row r="103" spans="1:46">
      <c r="A103" t="s">
        <v>3857</v>
      </c>
      <c r="B103">
        <f>SUMIF('库存（子SKU）'!$C:$C,$A103,'库存（子SKU）'!D:D)</f>
        <v>1</v>
      </c>
      <c r="C103">
        <f>SUMIF('库存（子SKU）'!$C:$C,$A103,'库存（子SKU）'!E:E)</f>
        <v>0</v>
      </c>
      <c r="D103">
        <f>SUMIF('库存（子SKU）'!$C:$C,$A103,'库存（子SKU）'!F:F)</f>
        <v>2</v>
      </c>
      <c r="E103">
        <f>SUMIF('库存（子SKU）'!$C:$C,$A103,'库存（子SKU）'!G:G)</f>
        <v>0</v>
      </c>
      <c r="F103" s="5">
        <v>22.98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8</v>
      </c>
      <c r="AI103">
        <f>SUMIF('库存（子SKU）'!$C:$C,$A103,'库存（子SKU）'!AK:AK)</f>
        <v>3</v>
      </c>
      <c r="AJ103">
        <f>SUMIF('库存（子SKU）'!$C:$C,$A103,'库存（子SKU）'!AL:AL)</f>
        <v>7</v>
      </c>
      <c r="AK103">
        <f>SUMIF('库存（子SKU）'!$C:$C,$A103,'库存（子SKU）'!AM:AM)</f>
        <v>3</v>
      </c>
      <c r="AL103" s="18">
        <f t="shared" si="27"/>
        <v>0.125</v>
      </c>
      <c r="AM103" s="18">
        <f t="shared" si="28"/>
        <v>0</v>
      </c>
      <c r="AN103" s="18">
        <f t="shared" si="29"/>
        <v>0.285714285714286</v>
      </c>
      <c r="AO103" s="18">
        <f t="shared" si="30"/>
        <v>0</v>
      </c>
      <c r="AP103" s="5">
        <f t="shared" si="31"/>
        <v>0.142857142857143</v>
      </c>
      <c r="AQ103" s="5">
        <f t="shared" si="32"/>
        <v>8.57142857142857</v>
      </c>
      <c r="AR103" s="5">
        <f t="shared" si="33"/>
        <v>-8.57142857142857</v>
      </c>
      <c r="AS103">
        <f t="shared" si="34"/>
        <v>0</v>
      </c>
      <c r="AT103" s="2">
        <f>IFERROR(时间!$B$4+AS103,"上周无销量")</f>
        <v>43318</v>
      </c>
    </row>
    <row r="104" spans="1:46">
      <c r="A104" t="s">
        <v>3860</v>
      </c>
      <c r="B104">
        <f>SUMIF('库存（子SKU）'!$C:$C,$A104,'库存（子SKU）'!D:D)</f>
        <v>12</v>
      </c>
      <c r="C104">
        <f>SUMIF('库存（子SKU）'!$C:$C,$A104,'库存（子SKU）'!E:E)</f>
        <v>0</v>
      </c>
      <c r="D104">
        <f>SUMIF('库存（子SKU）'!$C:$C,$A104,'库存（子SKU）'!F:F)</f>
        <v>8</v>
      </c>
      <c r="E104">
        <f>SUMIF('库存（子SKU）'!$C:$C,$A104,'库存（子SKU）'!G:G)</f>
        <v>1</v>
      </c>
      <c r="F104" s="5">
        <v>24.1228571428571</v>
      </c>
      <c r="G104">
        <f>SUMIF('库存（子SKU）'!$C:$C,$A104,'库存（子SKU）'!I:I)</f>
        <v>286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286</v>
      </c>
      <c r="L104">
        <f>SUMIF('库存（子SKU）'!$C:$C,$A104,'库存（子SKU）'!N:N)</f>
        <v>4</v>
      </c>
      <c r="M104">
        <f>SUMIF('库存（子SKU）'!$C:$C,$A104,'库存（子SKU）'!O:O)</f>
        <v>265</v>
      </c>
      <c r="N104">
        <f>SUMIF('库存（子SKU）'!$C:$C,$A104,'库存（子SKU）'!P:P)</f>
        <v>3330</v>
      </c>
      <c r="O104">
        <f>SUMIF('库存（子SKU）'!$C:$C,$A104,'库存（子SKU）'!Q:Q)</f>
        <v>3335</v>
      </c>
      <c r="P104">
        <f>SUMIF('库存（子SKU）'!$C:$C,$A104,'库存（子SKU）'!R:R)</f>
        <v>2633</v>
      </c>
      <c r="Q104">
        <f>SUMIF('库存（子SKU）'!$C:$C,$A104,'库存（子SKU）'!S:S)</f>
        <v>10541</v>
      </c>
      <c r="R104">
        <f>SUMIF('库存（子SKU）'!$C:$C,$A104,'库存（子SKU）'!T:T)</f>
        <v>18</v>
      </c>
      <c r="S104">
        <f>SUMIF('库存（子SKU）'!$C:$C,$A104,'库存（子SKU）'!U:U)</f>
        <v>23</v>
      </c>
      <c r="T104">
        <f>SUMIF('库存（子SKU）'!$C:$C,$A104,'库存（子SKU）'!V:V)</f>
        <v>19</v>
      </c>
      <c r="U104">
        <f>SUMIF('库存（子SKU）'!$C:$C,$A104,'库存（子SKU）'!W:W)</f>
        <v>35</v>
      </c>
      <c r="V104" s="18">
        <f t="shared" si="19"/>
        <v>0.00540540540540541</v>
      </c>
      <c r="W104" s="18">
        <f t="shared" si="20"/>
        <v>0.00689655172413793</v>
      </c>
      <c r="X104" s="18">
        <f t="shared" si="21"/>
        <v>0.00721610330421572</v>
      </c>
      <c r="Y104" s="18">
        <f t="shared" si="22"/>
        <v>0.00332036808651931</v>
      </c>
      <c r="Z104">
        <f>SUMIF('库存（子SKU）'!$C:$C,$A104,'库存（子SKU）'!AB:AB)</f>
        <v>11.6</v>
      </c>
      <c r="AA104">
        <f>SUMIF('库存（子SKU）'!$C:$C,$A104,'库存（子SKU）'!AC:AC)</f>
        <v>10.01</v>
      </c>
      <c r="AB104">
        <f>SUMIF('库存（子SKU）'!$C:$C,$A104,'库存（子SKU）'!AD:AD)</f>
        <v>10.13</v>
      </c>
      <c r="AC104">
        <f>SUMIF('库存（子SKU）'!$C:$C,$A104,'库存（子SKU）'!AE:AE)</f>
        <v>24.94</v>
      </c>
      <c r="AD104" s="18">
        <f t="shared" si="23"/>
        <v>0.0400726440048956</v>
      </c>
      <c r="AE104" s="18" t="str">
        <f t="shared" si="24"/>
        <v>有广告无销量</v>
      </c>
      <c r="AF104" s="18">
        <f t="shared" si="25"/>
        <v>0.052491709108137</v>
      </c>
      <c r="AG104" s="18">
        <f t="shared" si="26"/>
        <v>1.03387421532631</v>
      </c>
      <c r="AH104">
        <f>SUMIF('库存（子SKU）'!$C:$C,$A104,'库存（子SKU）'!AJ:AJ)</f>
        <v>138</v>
      </c>
      <c r="AI104">
        <f>SUMIF('库存（子SKU）'!$C:$C,$A104,'库存（子SKU）'!AK:AK)</f>
        <v>221</v>
      </c>
      <c r="AJ104">
        <f>SUMIF('库存（子SKU）'!$C:$C,$A104,'库存（子SKU）'!AL:AL)</f>
        <v>265</v>
      </c>
      <c r="AK104">
        <f>SUMIF('库存（子SKU）'!$C:$C,$A104,'库存（子SKU）'!AM:AM)</f>
        <v>205</v>
      </c>
      <c r="AL104" s="18">
        <f t="shared" si="27"/>
        <v>0.0869565217391304</v>
      </c>
      <c r="AM104" s="18">
        <f t="shared" si="28"/>
        <v>0</v>
      </c>
      <c r="AN104" s="18">
        <f t="shared" si="29"/>
        <v>0.030188679245283</v>
      </c>
      <c r="AO104" s="18">
        <f t="shared" si="30"/>
        <v>0.0048780487804878</v>
      </c>
      <c r="AP104" s="5">
        <f t="shared" si="31"/>
        <v>1.71428571428571</v>
      </c>
      <c r="AQ104" s="5">
        <f t="shared" si="32"/>
        <v>102.857142857143</v>
      </c>
      <c r="AR104" s="5">
        <f t="shared" si="33"/>
        <v>183.142857142857</v>
      </c>
      <c r="AS104">
        <f t="shared" si="34"/>
        <v>166</v>
      </c>
      <c r="AT104" s="2">
        <f>IFERROR(时间!$B$4+AS104,"上周无销量")</f>
        <v>43484</v>
      </c>
    </row>
    <row r="105" spans="1:46">
      <c r="A105" t="s">
        <v>3931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5" t="s">
        <v>52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 t="str">
        <f t="shared" si="19"/>
        <v/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8" t="str">
        <f t="shared" si="27"/>
        <v/>
      </c>
      <c r="AM105" s="18" t="str">
        <f t="shared" si="28"/>
        <v/>
      </c>
      <c r="AN105" s="18" t="str">
        <f t="shared" si="29"/>
        <v/>
      </c>
      <c r="AO105" s="18" t="str">
        <f t="shared" si="30"/>
        <v/>
      </c>
      <c r="AP105" s="5">
        <f t="shared" si="31"/>
        <v>0</v>
      </c>
      <c r="AQ105" s="5">
        <f t="shared" si="32"/>
        <v>0</v>
      </c>
      <c r="AR105" s="5">
        <f t="shared" si="33"/>
        <v>0</v>
      </c>
      <c r="AS105" t="str">
        <f t="shared" si="34"/>
        <v>库存为0</v>
      </c>
      <c r="AT105" s="2" t="str">
        <f>IFERROR(时间!$B$4+AS105,"上周无销量")</f>
        <v>上周无销量</v>
      </c>
    </row>
    <row r="106" spans="1:46">
      <c r="A106" t="s">
        <v>3938</v>
      </c>
      <c r="B106">
        <f>SUMIF('库存（子SKU）'!$C:$C,$A106,'库存（子SKU）'!D:D)</f>
        <v>0</v>
      </c>
      <c r="C106">
        <f>SUMIF('库存（子SKU）'!$C:$C,$A106,'库存（子SKU）'!E:E)</f>
        <v>3</v>
      </c>
      <c r="D106">
        <f>SUMIF('库存（子SKU）'!$C:$C,$A106,'库存（子SKU）'!F:F)</f>
        <v>1</v>
      </c>
      <c r="E106">
        <f>SUMIF('库存（子SKU）'!$C:$C,$A106,'库存（子SKU）'!G:G)</f>
        <v>1</v>
      </c>
      <c r="F106" s="5">
        <v>9.6</v>
      </c>
      <c r="G106">
        <f>SUMIF('库存（子SKU）'!$C:$C,$A106,'库存（子SKU）'!I:I)</f>
        <v>17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17</v>
      </c>
      <c r="L106">
        <f>SUMIF('库存（子SKU）'!$C:$C,$A106,'库存（子SKU）'!N:N)</f>
        <v>0</v>
      </c>
      <c r="M106">
        <f>SUMIF('库存（子SKU）'!$C:$C,$A106,'库存（子SKU）'!O:O)</f>
        <v>16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8" t="str">
        <f t="shared" si="19"/>
        <v/>
      </c>
      <c r="W106" s="18" t="str">
        <f t="shared" si="20"/>
        <v/>
      </c>
      <c r="X106" s="18" t="str">
        <f t="shared" si="21"/>
        <v/>
      </c>
      <c r="Y106" s="18" t="str">
        <f t="shared" si="22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8">
        <f t="shared" si="23"/>
        <v>0</v>
      </c>
      <c r="AE106" s="18">
        <f t="shared" si="24"/>
        <v>0</v>
      </c>
      <c r="AF106" s="18">
        <f t="shared" si="25"/>
        <v>0</v>
      </c>
      <c r="AG106" s="18">
        <f t="shared" si="26"/>
        <v>0</v>
      </c>
      <c r="AH106">
        <f>SUMIF('库存（子SKU）'!$C:$C,$A106,'库存（子SKU）'!AJ:AJ)</f>
        <v>8</v>
      </c>
      <c r="AI106">
        <f>SUMIF('库存（子SKU）'!$C:$C,$A106,'库存（子SKU）'!AK:AK)</f>
        <v>12</v>
      </c>
      <c r="AJ106">
        <f>SUMIF('库存（子SKU）'!$C:$C,$A106,'库存（子SKU）'!AL:AL)</f>
        <v>7</v>
      </c>
      <c r="AK106">
        <f>SUMIF('库存（子SKU）'!$C:$C,$A106,'库存（子SKU）'!AM:AM)</f>
        <v>2</v>
      </c>
      <c r="AL106" s="18">
        <f t="shared" si="27"/>
        <v>0</v>
      </c>
      <c r="AM106" s="18">
        <f t="shared" si="28"/>
        <v>0.25</v>
      </c>
      <c r="AN106" s="18">
        <f t="shared" si="29"/>
        <v>0.142857142857143</v>
      </c>
      <c r="AO106" s="18">
        <f t="shared" si="30"/>
        <v>0.5</v>
      </c>
      <c r="AP106" s="5">
        <f t="shared" si="31"/>
        <v>0</v>
      </c>
      <c r="AQ106" s="5">
        <f t="shared" si="32"/>
        <v>0</v>
      </c>
      <c r="AR106" s="5">
        <f t="shared" si="33"/>
        <v>17</v>
      </c>
      <c r="AS106" t="str">
        <f t="shared" si="34"/>
        <v>库存为17</v>
      </c>
      <c r="AT106" s="2" t="str">
        <f>IFERROR(时间!$B$4+AS106,"上周无销量")</f>
        <v>上周无销量</v>
      </c>
    </row>
    <row r="107" spans="1:46">
      <c r="A107" t="s">
        <v>3956</v>
      </c>
      <c r="B107">
        <f>SUMIF('库存（子SKU）'!$C:$C,$A107,'库存（子SKU）'!D:D)</f>
        <v>1</v>
      </c>
      <c r="C107">
        <f>SUMIF('库存（子SKU）'!$C:$C,$A107,'库存（子SKU）'!E:E)</f>
        <v>0</v>
      </c>
      <c r="D107">
        <f>SUMIF('库存（子SKU）'!$C:$C,$A107,'库存（子SKU）'!F:F)</f>
        <v>1</v>
      </c>
      <c r="E107">
        <f>SUMIF('库存（子SKU）'!$C:$C,$A107,'库存（子SKU）'!G:G)</f>
        <v>0</v>
      </c>
      <c r="F107" s="5">
        <v>23.98</v>
      </c>
      <c r="G107">
        <f>SUMIF('库存（子SKU）'!$C:$C,$A107,'库存（子SKU）'!I:I)</f>
        <v>43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43</v>
      </c>
      <c r="L107">
        <f>SUMIF('库存（子SKU）'!$C:$C,$A107,'库存（子SKU）'!N:N)</f>
        <v>0</v>
      </c>
      <c r="M107">
        <f>SUMIF('库存（子SKU）'!$C:$C,$A107,'库存（子SKU）'!O:O)</f>
        <v>40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 t="str">
        <f t="shared" si="19"/>
        <v/>
      </c>
      <c r="W107" s="18" t="str">
        <f t="shared" si="20"/>
        <v/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>
        <f t="shared" si="23"/>
        <v>0</v>
      </c>
      <c r="AE107" s="18">
        <f t="shared" si="24"/>
        <v>0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20</v>
      </c>
      <c r="AI107">
        <f>SUMIF('库存（子SKU）'!$C:$C,$A107,'库存（子SKU）'!AK:AK)</f>
        <v>18</v>
      </c>
      <c r="AJ107">
        <f>SUMIF('库存（子SKU）'!$C:$C,$A107,'库存（子SKU）'!AL:AL)</f>
        <v>31</v>
      </c>
      <c r="AK107">
        <f>SUMIF('库存（子SKU）'!$C:$C,$A107,'库存（子SKU）'!AM:AM)</f>
        <v>20</v>
      </c>
      <c r="AL107" s="18">
        <f t="shared" si="27"/>
        <v>0.05</v>
      </c>
      <c r="AM107" s="18">
        <f t="shared" si="28"/>
        <v>0</v>
      </c>
      <c r="AN107" s="18">
        <f t="shared" si="29"/>
        <v>0.032258064516129</v>
      </c>
      <c r="AO107" s="18">
        <f t="shared" si="30"/>
        <v>0</v>
      </c>
      <c r="AP107" s="5">
        <f t="shared" si="31"/>
        <v>0.142857142857143</v>
      </c>
      <c r="AQ107" s="5">
        <f t="shared" si="32"/>
        <v>8.57142857142857</v>
      </c>
      <c r="AR107" s="5">
        <f t="shared" si="33"/>
        <v>34.4285714285714</v>
      </c>
      <c r="AS107">
        <f t="shared" si="34"/>
        <v>301</v>
      </c>
      <c r="AT107" s="2">
        <f>IFERROR(时间!$B$4+AS107,"上周无销量")</f>
        <v>43619</v>
      </c>
    </row>
    <row r="108" spans="1:46">
      <c r="A108" t="s">
        <v>3969</v>
      </c>
      <c r="B108">
        <f>SUMIF('库存（子SKU）'!$C:$C,$A108,'库存（子SKU）'!D:D)</f>
        <v>2</v>
      </c>
      <c r="C108">
        <f>SUMIF('库存（子SKU）'!$C:$C,$A108,'库存（子SKU）'!E:E)</f>
        <v>0</v>
      </c>
      <c r="D108">
        <f>SUMIF('库存（子SKU）'!$C:$C,$A108,'库存（子SKU）'!F:F)</f>
        <v>1</v>
      </c>
      <c r="E108">
        <f>SUMIF('库存（子SKU）'!$C:$C,$A108,'库存（子SKU）'!G:G)</f>
        <v>0</v>
      </c>
      <c r="F108" s="5">
        <v>23.98</v>
      </c>
      <c r="G108">
        <f>SUMIF('库存（子SKU）'!$C:$C,$A108,'库存（子SKU）'!I:I)</f>
        <v>100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100</v>
      </c>
      <c r="L108">
        <f>SUMIF('库存（子SKU）'!$C:$C,$A108,'库存（子SKU）'!N:N)</f>
        <v>0</v>
      </c>
      <c r="M108">
        <f>SUMIF('库存（子SKU）'!$C:$C,$A108,'库存（子SKU）'!O:O)</f>
        <v>98</v>
      </c>
      <c r="N108">
        <f>SUMIF('库存（子SKU）'!$C:$C,$A108,'库存（子SKU）'!P:P)</f>
        <v>449</v>
      </c>
      <c r="O108">
        <f>SUMIF('库存（子SKU）'!$C:$C,$A108,'库存（子SKU）'!Q:Q)</f>
        <v>183</v>
      </c>
      <c r="P108">
        <f>SUMIF('库存（子SKU）'!$C:$C,$A108,'库存（子SKU）'!R:R)</f>
        <v>257</v>
      </c>
      <c r="Q108">
        <f>SUMIF('库存（子SKU）'!$C:$C,$A108,'库存（子SKU）'!S:S)</f>
        <v>233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1</v>
      </c>
      <c r="V108" s="18">
        <f t="shared" si="19"/>
        <v>0</v>
      </c>
      <c r="W108" s="18">
        <f t="shared" si="20"/>
        <v>0</v>
      </c>
      <c r="X108" s="18">
        <f t="shared" si="21"/>
        <v>0</v>
      </c>
      <c r="Y108" s="18">
        <f t="shared" si="22"/>
        <v>0.00429184549356223</v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0.93</v>
      </c>
      <c r="AD108" s="18">
        <f t="shared" si="23"/>
        <v>0</v>
      </c>
      <c r="AE108" s="18">
        <f t="shared" si="24"/>
        <v>0</v>
      </c>
      <c r="AF108" s="18">
        <f t="shared" si="25"/>
        <v>0</v>
      </c>
      <c r="AG108" s="18" t="str">
        <f t="shared" si="26"/>
        <v>有广告无销量</v>
      </c>
      <c r="AH108">
        <f>SUMIF('库存（子SKU）'!$C:$C,$A108,'库存（子SKU）'!AJ:AJ)</f>
        <v>62</v>
      </c>
      <c r="AI108">
        <f>SUMIF('库存（子SKU）'!$C:$C,$A108,'库存（子SKU）'!AK:AK)</f>
        <v>57</v>
      </c>
      <c r="AJ108">
        <f>SUMIF('库存（子SKU）'!$C:$C,$A108,'库存（子SKU）'!AL:AL)</f>
        <v>55</v>
      </c>
      <c r="AK108">
        <f>SUMIF('库存（子SKU）'!$C:$C,$A108,'库存（子SKU）'!AM:AM)</f>
        <v>41</v>
      </c>
      <c r="AL108" s="18">
        <f t="shared" si="27"/>
        <v>0.032258064516129</v>
      </c>
      <c r="AM108" s="18">
        <f t="shared" si="28"/>
        <v>0</v>
      </c>
      <c r="AN108" s="18">
        <f t="shared" si="29"/>
        <v>0.0181818181818182</v>
      </c>
      <c r="AO108" s="18">
        <f t="shared" si="30"/>
        <v>0</v>
      </c>
      <c r="AP108" s="5">
        <f t="shared" si="31"/>
        <v>0.285714285714286</v>
      </c>
      <c r="AQ108" s="5">
        <f t="shared" si="32"/>
        <v>17.1428571428571</v>
      </c>
      <c r="AR108" s="5">
        <f t="shared" si="33"/>
        <v>82.8571428571429</v>
      </c>
      <c r="AS108">
        <f t="shared" si="34"/>
        <v>350</v>
      </c>
      <c r="AT108" s="2">
        <f>IFERROR(时间!$B$4+AS108,"上周无销量")</f>
        <v>43668</v>
      </c>
    </row>
    <row r="109" spans="1:46">
      <c r="A109" t="s">
        <v>3991</v>
      </c>
      <c r="B109">
        <f>SUMIF('库存（子SKU）'!$C:$C,$A109,'库存（子SKU）'!D:D)</f>
        <v>1</v>
      </c>
      <c r="C109">
        <f>SUMIF('库存（子SKU）'!$C:$C,$A109,'库存（子SKU）'!E:E)</f>
        <v>1</v>
      </c>
      <c r="D109">
        <f>SUMIF('库存（子SKU）'!$C:$C,$A109,'库存（子SKU）'!F:F)</f>
        <v>1</v>
      </c>
      <c r="E109">
        <f>SUMIF('库存（子SKU）'!$C:$C,$A109,'库存（子SKU）'!G:G)</f>
        <v>0</v>
      </c>
      <c r="F109" s="5">
        <v>23.98</v>
      </c>
      <c r="G109">
        <f>SUMIF('库存（子SKU）'!$C:$C,$A109,'库存（子SKU）'!I:I)</f>
        <v>18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18</v>
      </c>
      <c r="L109">
        <f>SUMIF('库存（子SKU）'!$C:$C,$A109,'库存（子SKU）'!N:N)</f>
        <v>0</v>
      </c>
      <c r="M109">
        <f>SUMIF('库存（子SKU）'!$C:$C,$A109,'库存（子SKU）'!O:O)</f>
        <v>17</v>
      </c>
      <c r="N109">
        <f>SUMIF('库存（子SKU）'!$C:$C,$A109,'库存（子SKU）'!P:P)</f>
        <v>4495</v>
      </c>
      <c r="O109">
        <f>SUMIF('库存（子SKU）'!$C:$C,$A109,'库存（子SKU）'!Q:Q)</f>
        <v>1368</v>
      </c>
      <c r="P109">
        <f>SUMIF('库存（子SKU）'!$C:$C,$A109,'库存（子SKU）'!R:R)</f>
        <v>1242</v>
      </c>
      <c r="Q109">
        <f>SUMIF('库存（子SKU）'!$C:$C,$A109,'库存（子SKU）'!S:S)</f>
        <v>2911</v>
      </c>
      <c r="R109">
        <f>SUMIF('库存（子SKU）'!$C:$C,$A109,'库存（子SKU）'!T:T)</f>
        <v>14</v>
      </c>
      <c r="S109">
        <f>SUMIF('库存（子SKU）'!$C:$C,$A109,'库存（子SKU）'!U:U)</f>
        <v>5</v>
      </c>
      <c r="T109">
        <f>SUMIF('库存（子SKU）'!$C:$C,$A109,'库存（子SKU）'!V:V)</f>
        <v>2</v>
      </c>
      <c r="U109">
        <f>SUMIF('库存（子SKU）'!$C:$C,$A109,'库存（子SKU）'!W:W)</f>
        <v>4</v>
      </c>
      <c r="V109" s="18">
        <f t="shared" si="19"/>
        <v>0.00311457174638487</v>
      </c>
      <c r="W109" s="18">
        <f t="shared" si="20"/>
        <v>0.00365497076023392</v>
      </c>
      <c r="X109" s="18">
        <f t="shared" si="21"/>
        <v>0.00161030595813205</v>
      </c>
      <c r="Y109" s="18">
        <f t="shared" si="22"/>
        <v>0.00137409824802473</v>
      </c>
      <c r="Z109">
        <f>SUMIF('库存（子SKU）'!$C:$C,$A109,'库存（子SKU）'!AB:AB)</f>
        <v>7.88</v>
      </c>
      <c r="AA109">
        <f>SUMIF('库存（子SKU）'!$C:$C,$A109,'库存（子SKU）'!AC:AC)</f>
        <v>1.55</v>
      </c>
      <c r="AB109">
        <f>SUMIF('库存（子SKU）'!$C:$C,$A109,'库存（子SKU）'!AD:AD)</f>
        <v>0.62</v>
      </c>
      <c r="AC109">
        <f>SUMIF('库存（子SKU）'!$C:$C,$A109,'库存（子SKU）'!AE:AE)</f>
        <v>1.51</v>
      </c>
      <c r="AD109" s="18">
        <f t="shared" si="23"/>
        <v>0.32860717264387</v>
      </c>
      <c r="AE109" s="18">
        <f t="shared" si="24"/>
        <v>0.0646371976647206</v>
      </c>
      <c r="AF109" s="18">
        <f t="shared" si="25"/>
        <v>0.0258548790658882</v>
      </c>
      <c r="AG109" s="18" t="str">
        <f t="shared" si="26"/>
        <v>有广告无销量</v>
      </c>
      <c r="AH109">
        <f>SUMIF('库存（子SKU）'!$C:$C,$A109,'库存（子SKU）'!AJ:AJ)</f>
        <v>27</v>
      </c>
      <c r="AI109">
        <f>SUMIF('库存（子SKU）'!$C:$C,$A109,'库存（子SKU）'!AK:AK)</f>
        <v>31</v>
      </c>
      <c r="AJ109">
        <f>SUMIF('库存（子SKU）'!$C:$C,$A109,'库存（子SKU）'!AL:AL)</f>
        <v>23</v>
      </c>
      <c r="AK109">
        <f>SUMIF('库存（子SKU）'!$C:$C,$A109,'库存（子SKU）'!AM:AM)</f>
        <v>13</v>
      </c>
      <c r="AL109" s="18">
        <f t="shared" si="27"/>
        <v>0.037037037037037</v>
      </c>
      <c r="AM109" s="18">
        <f t="shared" si="28"/>
        <v>0.032258064516129</v>
      </c>
      <c r="AN109" s="18">
        <f t="shared" si="29"/>
        <v>0.0434782608695652</v>
      </c>
      <c r="AO109" s="18">
        <f t="shared" si="30"/>
        <v>0</v>
      </c>
      <c r="AP109" s="5">
        <f t="shared" si="31"/>
        <v>0.142857142857143</v>
      </c>
      <c r="AQ109" s="5">
        <f t="shared" si="32"/>
        <v>8.57142857142857</v>
      </c>
      <c r="AR109" s="5">
        <f t="shared" si="33"/>
        <v>9.42857142857143</v>
      </c>
      <c r="AS109">
        <f t="shared" si="34"/>
        <v>126</v>
      </c>
      <c r="AT109" s="2">
        <f>IFERROR(时间!$B$4+AS109,"上周无销量")</f>
        <v>43444</v>
      </c>
    </row>
    <row r="110" spans="1:46">
      <c r="A110" t="s">
        <v>4007</v>
      </c>
      <c r="B110">
        <f>SUMIF('库存（子SKU）'!$C:$C,$A110,'库存（子SKU）'!D:D)</f>
        <v>2</v>
      </c>
      <c r="C110">
        <f>SUMIF('库存（子SKU）'!$C:$C,$A110,'库存（子SKU）'!E:E)</f>
        <v>2</v>
      </c>
      <c r="D110">
        <f>SUMIF('库存（子SKU）'!$C:$C,$A110,'库存（子SKU）'!F:F)</f>
        <v>1</v>
      </c>
      <c r="E110">
        <f>SUMIF('库存（子SKU）'!$C:$C,$A110,'库存（子SKU）'!G:G)</f>
        <v>2</v>
      </c>
      <c r="F110" s="5">
        <v>22.98</v>
      </c>
      <c r="G110">
        <f>SUMIF('库存（子SKU）'!$C:$C,$A110,'库存（子SKU）'!I:I)</f>
        <v>38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2</v>
      </c>
      <c r="K110">
        <f t="shared" si="18"/>
        <v>40</v>
      </c>
      <c r="L110">
        <f>SUMIF('库存（子SKU）'!$C:$C,$A110,'库存（子SKU）'!N:N)</f>
        <v>0</v>
      </c>
      <c r="M110">
        <f>SUMIF('库存（子SKU）'!$C:$C,$A110,'库存（子SKU）'!O:O)</f>
        <v>13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34</v>
      </c>
      <c r="AI110">
        <f>SUMIF('库存（子SKU）'!$C:$C,$A110,'库存（子SKU）'!AK:AK)</f>
        <v>41</v>
      </c>
      <c r="AJ110">
        <f>SUMIF('库存（子SKU）'!$C:$C,$A110,'库存（子SKU）'!AL:AL)</f>
        <v>38</v>
      </c>
      <c r="AK110">
        <f>SUMIF('库存（子SKU）'!$C:$C,$A110,'库存（子SKU）'!AM:AM)</f>
        <v>18</v>
      </c>
      <c r="AL110" s="18">
        <f t="shared" si="27"/>
        <v>0.0588235294117647</v>
      </c>
      <c r="AM110" s="18">
        <f t="shared" si="28"/>
        <v>0.0487804878048781</v>
      </c>
      <c r="AN110" s="18">
        <f t="shared" si="29"/>
        <v>0.0263157894736842</v>
      </c>
      <c r="AO110" s="18">
        <f t="shared" si="30"/>
        <v>0.111111111111111</v>
      </c>
      <c r="AP110" s="5">
        <f t="shared" si="31"/>
        <v>0.285714285714286</v>
      </c>
      <c r="AQ110" s="5">
        <f t="shared" si="32"/>
        <v>17.1428571428571</v>
      </c>
      <c r="AR110" s="5">
        <f t="shared" si="33"/>
        <v>22.8571428571429</v>
      </c>
      <c r="AS110">
        <f t="shared" si="34"/>
        <v>140</v>
      </c>
      <c r="AT110" s="2">
        <f>IFERROR(时间!$B$4+AS110,"上周无销量")</f>
        <v>43458</v>
      </c>
    </row>
    <row r="111" spans="1:46">
      <c r="A111" t="s">
        <v>4015</v>
      </c>
      <c r="B111">
        <f>SUMIF('库存（子SKU）'!$C:$C,$A111,'库存（子SKU）'!D:D)</f>
        <v>27</v>
      </c>
      <c r="C111">
        <f>SUMIF('库存（子SKU）'!$C:$C,$A111,'库存（子SKU）'!E:E)</f>
        <v>15</v>
      </c>
      <c r="D111">
        <f>SUMIF('库存（子SKU）'!$C:$C,$A111,'库存（子SKU）'!F:F)</f>
        <v>49</v>
      </c>
      <c r="E111">
        <f>SUMIF('库存（子SKU）'!$C:$C,$A111,'库存（子SKU）'!G:G)</f>
        <v>19</v>
      </c>
      <c r="F111" s="5">
        <v>26.9527272727273</v>
      </c>
      <c r="G111">
        <f>SUMIF('库存（子SKU）'!$C:$C,$A111,'库存（子SKU）'!I:I)</f>
        <v>77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8"/>
        <v>78</v>
      </c>
      <c r="L111">
        <f>SUMIF('库存（子SKU）'!$C:$C,$A111,'库存（子SKU）'!N:N)</f>
        <v>0</v>
      </c>
      <c r="M111">
        <f>SUMIF('库存（子SKU）'!$C:$C,$A111,'库存（子SKU）'!O:O)</f>
        <v>62</v>
      </c>
      <c r="N111">
        <f>SUMIF('库存（子SKU）'!$C:$C,$A111,'库存（子SKU）'!P:P)</f>
        <v>11326</v>
      </c>
      <c r="O111">
        <f>SUMIF('库存（子SKU）'!$C:$C,$A111,'库存（子SKU）'!Q:Q)</f>
        <v>7177</v>
      </c>
      <c r="P111">
        <f>SUMIF('库存（子SKU）'!$C:$C,$A111,'库存（子SKU）'!R:R)</f>
        <v>12755</v>
      </c>
      <c r="Q111">
        <f>SUMIF('库存（子SKU）'!$C:$C,$A111,'库存（子SKU）'!S:S)</f>
        <v>28114</v>
      </c>
      <c r="R111">
        <f>SUMIF('库存（子SKU）'!$C:$C,$A111,'库存（子SKU）'!T:T)</f>
        <v>39</v>
      </c>
      <c r="S111">
        <f>SUMIF('库存（子SKU）'!$C:$C,$A111,'库存（子SKU）'!U:U)</f>
        <v>20</v>
      </c>
      <c r="T111">
        <f>SUMIF('库存（子SKU）'!$C:$C,$A111,'库存（子SKU）'!V:V)</f>
        <v>24</v>
      </c>
      <c r="U111">
        <f>SUMIF('库存（子SKU）'!$C:$C,$A111,'库存（子SKU）'!W:W)</f>
        <v>64</v>
      </c>
      <c r="V111" s="18">
        <f t="shared" si="19"/>
        <v>0.0034434045558891</v>
      </c>
      <c r="W111" s="18">
        <f t="shared" si="20"/>
        <v>0.0027866796711718</v>
      </c>
      <c r="X111" s="18">
        <f t="shared" si="21"/>
        <v>0.00188161505292042</v>
      </c>
      <c r="Y111" s="18">
        <f t="shared" si="22"/>
        <v>0.00227644589884044</v>
      </c>
      <c r="Z111">
        <f>SUMIF('库存（子SKU）'!$C:$C,$A111,'库存（子SKU）'!AB:AB)</f>
        <v>16.53</v>
      </c>
      <c r="AA111">
        <f>SUMIF('库存（子SKU）'!$C:$C,$A111,'库存（子SKU）'!AC:AC)</f>
        <v>8.48</v>
      </c>
      <c r="AB111">
        <f>SUMIF('库存（子SKU）'!$C:$C,$A111,'库存（子SKU）'!AD:AD)</f>
        <v>8.19</v>
      </c>
      <c r="AC111">
        <f>SUMIF('库存（子SKU）'!$C:$C,$A111,'库存（子SKU）'!AE:AE)</f>
        <v>24.75</v>
      </c>
      <c r="AD111" s="18">
        <f t="shared" si="23"/>
        <v>0.0227146669065179</v>
      </c>
      <c r="AE111" s="18">
        <f t="shared" si="24"/>
        <v>0.0209749955027883</v>
      </c>
      <c r="AF111" s="18">
        <f t="shared" si="25"/>
        <v>0.00620133374450697</v>
      </c>
      <c r="AG111" s="18">
        <f t="shared" si="26"/>
        <v>0.048330232624194</v>
      </c>
      <c r="AH111">
        <f>SUMIF('库存（子SKU）'!$C:$C,$A111,'库存（子SKU）'!AJ:AJ)</f>
        <v>237</v>
      </c>
      <c r="AI111">
        <f>SUMIF('库存（子SKU）'!$C:$C,$A111,'库存（子SKU）'!AK:AK)</f>
        <v>238</v>
      </c>
      <c r="AJ111">
        <f>SUMIF('库存（子SKU）'!$C:$C,$A111,'库存（子SKU）'!AL:AL)</f>
        <v>183</v>
      </c>
      <c r="AK111">
        <f>SUMIF('库存（子SKU）'!$C:$C,$A111,'库存（子SKU）'!AM:AM)</f>
        <v>202</v>
      </c>
      <c r="AL111" s="18">
        <f t="shared" si="27"/>
        <v>0.113924050632911</v>
      </c>
      <c r="AM111" s="18">
        <f t="shared" si="28"/>
        <v>0.0630252100840336</v>
      </c>
      <c r="AN111" s="18">
        <f t="shared" si="29"/>
        <v>0.26775956284153</v>
      </c>
      <c r="AO111" s="18">
        <f t="shared" si="30"/>
        <v>0.0940594059405941</v>
      </c>
      <c r="AP111" s="5">
        <f t="shared" si="31"/>
        <v>3.85714285714286</v>
      </c>
      <c r="AQ111" s="5">
        <f t="shared" si="32"/>
        <v>231.428571428571</v>
      </c>
      <c r="AR111" s="5">
        <f t="shared" si="33"/>
        <v>-153.428571428571</v>
      </c>
      <c r="AS111">
        <f t="shared" si="34"/>
        <v>20</v>
      </c>
      <c r="AT111" s="2">
        <f>IFERROR(时间!$B$4+AS111,"上周无销量")</f>
        <v>43338</v>
      </c>
    </row>
    <row r="112" spans="1:46">
      <c r="A112" t="s">
        <v>4040</v>
      </c>
      <c r="B112">
        <f>SUMIF('库存（子SKU）'!$C:$C,$A112,'库存（子SKU）'!D:D)</f>
        <v>15</v>
      </c>
      <c r="C112">
        <f>SUMIF('库存（子SKU）'!$C:$C,$A112,'库存（子SKU）'!E:E)</f>
        <v>12</v>
      </c>
      <c r="D112">
        <f>SUMIF('库存（子SKU）'!$C:$C,$A112,'库存（子SKU）'!F:F)</f>
        <v>14</v>
      </c>
      <c r="E112">
        <f>SUMIF('库存（子SKU）'!$C:$C,$A112,'库存（子SKU）'!G:G)</f>
        <v>6</v>
      </c>
      <c r="F112" s="5">
        <v>20.98</v>
      </c>
      <c r="G112">
        <f>SUMIF('库存（子SKU）'!$C:$C,$A112,'库存（子SKU）'!I:I)</f>
        <v>170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2</v>
      </c>
      <c r="K112">
        <f t="shared" si="18"/>
        <v>172</v>
      </c>
      <c r="L112">
        <f>SUMIF('库存（子SKU）'!$C:$C,$A112,'库存（子SKU）'!N:N)</f>
        <v>0</v>
      </c>
      <c r="M112">
        <f>SUMIF('库存（子SKU）'!$C:$C,$A112,'库存（子SKU）'!O:O)</f>
        <v>16</v>
      </c>
      <c r="N112">
        <f>SUMIF('库存（子SKU）'!$C:$C,$A112,'库存（子SKU）'!P:P)</f>
        <v>11468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23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8">
        <f t="shared" si="19"/>
        <v>0.00200558074642483</v>
      </c>
      <c r="W112" s="18" t="str">
        <f t="shared" si="20"/>
        <v/>
      </c>
      <c r="X112" s="18" t="str">
        <f t="shared" si="21"/>
        <v/>
      </c>
      <c r="Y112" s="18" t="str">
        <f t="shared" si="22"/>
        <v/>
      </c>
      <c r="Z112">
        <f>SUMIF('库存（子SKU）'!$C:$C,$A112,'库存（子SKU）'!AB:AB)</f>
        <v>13.01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8">
        <f t="shared" si="23"/>
        <v>0.0413409596441055</v>
      </c>
      <c r="AE112" s="18">
        <f t="shared" si="24"/>
        <v>0</v>
      </c>
      <c r="AF112" s="18">
        <f t="shared" si="25"/>
        <v>0</v>
      </c>
      <c r="AG112" s="18">
        <f t="shared" si="26"/>
        <v>0</v>
      </c>
      <c r="AH112">
        <f>SUMIF('库存（子SKU）'!$C:$C,$A112,'库存（子SKU）'!AJ:AJ)</f>
        <v>161</v>
      </c>
      <c r="AI112">
        <f>SUMIF('库存（子SKU）'!$C:$C,$A112,'库存（子SKU）'!AK:AK)</f>
        <v>139</v>
      </c>
      <c r="AJ112">
        <f>SUMIF('库存（子SKU）'!$C:$C,$A112,'库存（子SKU）'!AL:AL)</f>
        <v>129</v>
      </c>
      <c r="AK112">
        <f>SUMIF('库存（子SKU）'!$C:$C,$A112,'库存（子SKU）'!AM:AM)</f>
        <v>96</v>
      </c>
      <c r="AL112" s="18">
        <f t="shared" si="27"/>
        <v>0.093167701863354</v>
      </c>
      <c r="AM112" s="18">
        <f t="shared" si="28"/>
        <v>0.0863309352517986</v>
      </c>
      <c r="AN112" s="18">
        <f t="shared" si="29"/>
        <v>0.108527131782946</v>
      </c>
      <c r="AO112" s="18">
        <f t="shared" si="30"/>
        <v>0.0625</v>
      </c>
      <c r="AP112" s="5">
        <f t="shared" si="31"/>
        <v>2.14285714285714</v>
      </c>
      <c r="AQ112" s="5">
        <f t="shared" si="32"/>
        <v>128.571428571429</v>
      </c>
      <c r="AR112" s="5">
        <f t="shared" si="33"/>
        <v>43.4285714285714</v>
      </c>
      <c r="AS112">
        <f t="shared" si="34"/>
        <v>80</v>
      </c>
      <c r="AT112" s="2">
        <f>IFERROR(时间!$B$4+AS112,"上周无销量")</f>
        <v>43398</v>
      </c>
    </row>
    <row r="113" spans="1:46">
      <c r="A113" t="s">
        <v>4070</v>
      </c>
      <c r="B113">
        <f>SUMIF('库存（子SKU）'!$C:$C,$A113,'库存（子SKU）'!D:D)</f>
        <v>9</v>
      </c>
      <c r="C113">
        <f>SUMIF('库存（子SKU）'!$C:$C,$A113,'库存（子SKU）'!E:E)</f>
        <v>4</v>
      </c>
      <c r="D113">
        <f>SUMIF('库存（子SKU）'!$C:$C,$A113,'库存（子SKU）'!F:F)</f>
        <v>4</v>
      </c>
      <c r="E113">
        <f>SUMIF('库存（子SKU）'!$C:$C,$A113,'库存（子SKU）'!G:G)</f>
        <v>3</v>
      </c>
      <c r="F113" s="5">
        <v>22.98</v>
      </c>
      <c r="G113">
        <f>SUMIF('库存（子SKU）'!$C:$C,$A113,'库存（子SKU）'!I:I)</f>
        <v>38</v>
      </c>
      <c r="H113">
        <f>SUMIF('库存（子SKU）'!$C:$C,$A113,'库存（子SKU）'!J:J)</f>
        <v>12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8"/>
        <v>51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53</v>
      </c>
      <c r="O113">
        <f>SUMIF('库存（子SKU）'!$C:$C,$A113,'库存（子SKU）'!Q:Q)</f>
        <v>121</v>
      </c>
      <c r="P113">
        <f>SUMIF('库存（子SKU）'!$C:$C,$A113,'库存（子SKU）'!R:R)</f>
        <v>196</v>
      </c>
      <c r="Q113">
        <f>SUMIF('库存（子SKU）'!$C:$C,$A113,'库存（子SKU）'!S:S)</f>
        <v>268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2</v>
      </c>
      <c r="V113" s="18">
        <f t="shared" si="19"/>
        <v>0</v>
      </c>
      <c r="W113" s="18">
        <f t="shared" si="20"/>
        <v>0</v>
      </c>
      <c r="X113" s="18">
        <f t="shared" si="21"/>
        <v>0</v>
      </c>
      <c r="Y113" s="18">
        <f t="shared" si="22"/>
        <v>0.00746268656716418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1.23</v>
      </c>
      <c r="AD113" s="18">
        <f t="shared" si="23"/>
        <v>0</v>
      </c>
      <c r="AE113" s="18">
        <f t="shared" si="24"/>
        <v>0</v>
      </c>
      <c r="AF113" s="18">
        <f t="shared" si="25"/>
        <v>0</v>
      </c>
      <c r="AG113" s="18">
        <f t="shared" si="26"/>
        <v>0.0178416013925152</v>
      </c>
      <c r="AH113">
        <f>SUMIF('库存（子SKU）'!$C:$C,$A113,'库存（子SKU）'!AJ:AJ)</f>
        <v>313</v>
      </c>
      <c r="AI113">
        <f>SUMIF('库存（子SKU）'!$C:$C,$A113,'库存（子SKU）'!AK:AK)</f>
        <v>323</v>
      </c>
      <c r="AJ113">
        <f>SUMIF('库存（子SKU）'!$C:$C,$A113,'库存（子SKU）'!AL:AL)</f>
        <v>356</v>
      </c>
      <c r="AK113">
        <f>SUMIF('库存（子SKU）'!$C:$C,$A113,'库存（子SKU）'!AM:AM)</f>
        <v>211</v>
      </c>
      <c r="AL113" s="18">
        <f t="shared" si="27"/>
        <v>0.0287539936102236</v>
      </c>
      <c r="AM113" s="18">
        <f t="shared" si="28"/>
        <v>0.0123839009287926</v>
      </c>
      <c r="AN113" s="18">
        <f t="shared" si="29"/>
        <v>0.0112359550561798</v>
      </c>
      <c r="AO113" s="18">
        <f t="shared" si="30"/>
        <v>0.014218009478673</v>
      </c>
      <c r="AP113" s="5">
        <f t="shared" si="31"/>
        <v>1.28571428571429</v>
      </c>
      <c r="AQ113" s="5">
        <f t="shared" si="32"/>
        <v>77.1428571428572</v>
      </c>
      <c r="AR113" s="5">
        <f t="shared" si="33"/>
        <v>-26.1428571428572</v>
      </c>
      <c r="AS113">
        <f t="shared" si="34"/>
        <v>39</v>
      </c>
      <c r="AT113" s="2">
        <f>IFERROR(时间!$B$4+AS113,"上周无销量")</f>
        <v>43357</v>
      </c>
    </row>
    <row r="114" spans="1:46">
      <c r="A114" t="s">
        <v>4116</v>
      </c>
      <c r="B114">
        <f>SUMIF('库存（子SKU）'!$C:$C,$A114,'库存（子SKU）'!D:D)</f>
        <v>1</v>
      </c>
      <c r="C114">
        <f>SUMIF('库存（子SKU）'!$C:$C,$A114,'库存（子SKU）'!E:E)</f>
        <v>1</v>
      </c>
      <c r="D114">
        <f>SUMIF('库存（子SKU）'!$C:$C,$A114,'库存（子SKU）'!F:F)</f>
        <v>2</v>
      </c>
      <c r="E114">
        <f>SUMIF('库存（子SKU）'!$C:$C,$A114,'库存（子SKU）'!G:G)</f>
        <v>2</v>
      </c>
      <c r="F114" s="5">
        <v>23.98</v>
      </c>
      <c r="G114">
        <f>SUMIF('库存（子SKU）'!$C:$C,$A114,'库存（子SKU）'!I:I)</f>
        <v>35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1</v>
      </c>
      <c r="K114">
        <f t="shared" si="18"/>
        <v>36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77</v>
      </c>
      <c r="O114">
        <f>SUMIF('库存（子SKU）'!$C:$C,$A114,'库存（子SKU）'!Q:Q)</f>
        <v>276</v>
      </c>
      <c r="P114">
        <f>SUMIF('库存（子SKU）'!$C:$C,$A114,'库存（子SKU）'!R:R)</f>
        <v>263</v>
      </c>
      <c r="Q114">
        <f>SUMIF('库存（子SKU）'!$C:$C,$A114,'库存（子SKU）'!S:S)</f>
        <v>272</v>
      </c>
      <c r="R114">
        <f>SUMIF('库存（子SKU）'!$C:$C,$A114,'库存（子SKU）'!T:T)</f>
        <v>1</v>
      </c>
      <c r="S114">
        <f>SUMIF('库存（子SKU）'!$C:$C,$A114,'库存（子SKU）'!U:U)</f>
        <v>0</v>
      </c>
      <c r="T114">
        <f>SUMIF('库存（子SKU）'!$C:$C,$A114,'库存（子SKU）'!V:V)</f>
        <v>1</v>
      </c>
      <c r="U114">
        <f>SUMIF('库存（子SKU）'!$C:$C,$A114,'库存（子SKU）'!W:W)</f>
        <v>0</v>
      </c>
      <c r="V114" s="18">
        <f t="shared" si="19"/>
        <v>0.012987012987013</v>
      </c>
      <c r="W114" s="18">
        <f t="shared" si="20"/>
        <v>0</v>
      </c>
      <c r="X114" s="18">
        <f t="shared" si="21"/>
        <v>0.00380228136882129</v>
      </c>
      <c r="Y114" s="18">
        <f t="shared" si="22"/>
        <v>0</v>
      </c>
      <c r="Z114">
        <f>SUMIF('库存（子SKU）'!$C:$C,$A114,'库存（子SKU）'!AB:AB)</f>
        <v>0.55</v>
      </c>
      <c r="AA114">
        <f>SUMIF('库存（子SKU）'!$C:$C,$A114,'库存（子SKU）'!AC:AC)</f>
        <v>0</v>
      </c>
      <c r="AB114">
        <f>SUMIF('库存（子SKU）'!$C:$C,$A114,'库存（子SKU）'!AD:AD)</f>
        <v>0.63</v>
      </c>
      <c r="AC114">
        <f>SUMIF('库存（子SKU）'!$C:$C,$A114,'库存（子SKU）'!AE:AE)</f>
        <v>0</v>
      </c>
      <c r="AD114" s="18">
        <f t="shared" si="23"/>
        <v>0.0229357798165138</v>
      </c>
      <c r="AE114" s="18">
        <f t="shared" si="24"/>
        <v>0</v>
      </c>
      <c r="AF114" s="18">
        <f t="shared" si="25"/>
        <v>0.0131359466221852</v>
      </c>
      <c r="AG114" s="18">
        <f t="shared" si="26"/>
        <v>0</v>
      </c>
      <c r="AH114">
        <f>SUMIF('库存（子SKU）'!$C:$C,$A114,'库存（子SKU）'!AJ:AJ)</f>
        <v>262</v>
      </c>
      <c r="AI114">
        <f>SUMIF('库存（子SKU）'!$C:$C,$A114,'库存（子SKU）'!AK:AK)</f>
        <v>267</v>
      </c>
      <c r="AJ114">
        <f>SUMIF('库存（子SKU）'!$C:$C,$A114,'库存（子SKU）'!AL:AL)</f>
        <v>275</v>
      </c>
      <c r="AK114">
        <f>SUMIF('库存（子SKU）'!$C:$C,$A114,'库存（子SKU）'!AM:AM)</f>
        <v>202</v>
      </c>
      <c r="AL114" s="18">
        <f t="shared" si="27"/>
        <v>0.00381679389312977</v>
      </c>
      <c r="AM114" s="18">
        <f t="shared" si="28"/>
        <v>0.00374531835205993</v>
      </c>
      <c r="AN114" s="18">
        <f t="shared" si="29"/>
        <v>0.00727272727272727</v>
      </c>
      <c r="AO114" s="18">
        <f t="shared" si="30"/>
        <v>0.0099009900990099</v>
      </c>
      <c r="AP114" s="5">
        <f t="shared" si="31"/>
        <v>0.142857142857143</v>
      </c>
      <c r="AQ114" s="5">
        <f t="shared" si="32"/>
        <v>8.57142857142857</v>
      </c>
      <c r="AR114" s="5">
        <f t="shared" si="33"/>
        <v>27.4285714285714</v>
      </c>
      <c r="AS114">
        <f t="shared" si="34"/>
        <v>252</v>
      </c>
      <c r="AT114" s="2">
        <f>IFERROR(时间!$B$4+AS114,"上周无销量")</f>
        <v>43570</v>
      </c>
    </row>
    <row r="115" spans="1:46">
      <c r="A115" t="s">
        <v>4164</v>
      </c>
      <c r="B115">
        <f>SUMIF('库存（子SKU）'!$C:$C,$A115,'库存（子SKU）'!D:D)</f>
        <v>2</v>
      </c>
      <c r="C115">
        <f>SUMIF('库存（子SKU）'!$C:$C,$A115,'库存（子SKU）'!E:E)</f>
        <v>1</v>
      </c>
      <c r="D115">
        <f>SUMIF('库存（子SKU）'!$C:$C,$A115,'库存（子SKU）'!F:F)</f>
        <v>5</v>
      </c>
      <c r="E115">
        <f>SUMIF('库存（子SKU）'!$C:$C,$A115,'库存（子SKU）'!G:G)</f>
        <v>3</v>
      </c>
      <c r="F115" s="5">
        <v>22.7072727272727</v>
      </c>
      <c r="G115">
        <f>SUMIF('库存（子SKU）'!$C:$C,$A115,'库存（子SKU）'!I:I)</f>
        <v>276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6</v>
      </c>
      <c r="K115">
        <f t="shared" si="18"/>
        <v>282</v>
      </c>
      <c r="L115">
        <f>SUMIF('库存（子SKU）'!$C:$C,$A115,'库存（子SKU）'!N:N)</f>
        <v>0</v>
      </c>
      <c r="M115">
        <f>SUMIF('库存（子SKU）'!$C:$C,$A115,'库存（子SKU）'!O:O)</f>
        <v>43</v>
      </c>
      <c r="N115">
        <f>SUMIF('库存（子SKU）'!$C:$C,$A115,'库存（子SKU）'!P:P)</f>
        <v>22348</v>
      </c>
      <c r="O115">
        <f>SUMIF('库存（子SKU）'!$C:$C,$A115,'库存（子SKU）'!Q:Q)</f>
        <v>1729</v>
      </c>
      <c r="P115">
        <f>SUMIF('库存（子SKU）'!$C:$C,$A115,'库存（子SKU）'!R:R)</f>
        <v>5370</v>
      </c>
      <c r="Q115">
        <f>SUMIF('库存（子SKU）'!$C:$C,$A115,'库存（子SKU）'!S:S)</f>
        <v>20936</v>
      </c>
      <c r="R115">
        <f>SUMIF('库存（子SKU）'!$C:$C,$A115,'库存（子SKU）'!T:T)</f>
        <v>34</v>
      </c>
      <c r="S115">
        <f>SUMIF('库存（子SKU）'!$C:$C,$A115,'库存（子SKU）'!U:U)</f>
        <v>11</v>
      </c>
      <c r="T115">
        <f>SUMIF('库存（子SKU）'!$C:$C,$A115,'库存（子SKU）'!V:V)</f>
        <v>15</v>
      </c>
      <c r="U115">
        <f>SUMIF('库存（子SKU）'!$C:$C,$A115,'库存（子SKU）'!W:W)</f>
        <v>36</v>
      </c>
      <c r="V115" s="18">
        <f t="shared" si="19"/>
        <v>0.00152138893860748</v>
      </c>
      <c r="W115" s="18">
        <f t="shared" si="20"/>
        <v>0.00636205899363794</v>
      </c>
      <c r="X115" s="18">
        <f t="shared" si="21"/>
        <v>0.00279329608938547</v>
      </c>
      <c r="Y115" s="18">
        <f t="shared" si="22"/>
        <v>0.00171952617500955</v>
      </c>
      <c r="Z115">
        <f>SUMIF('库存（子SKU）'!$C:$C,$A115,'库存（子SKU）'!AB:AB)</f>
        <v>20.31</v>
      </c>
      <c r="AA115">
        <f>SUMIF('库存（子SKU）'!$C:$C,$A115,'库存（子SKU）'!AC:AC)</f>
        <v>4.29</v>
      </c>
      <c r="AB115">
        <f>SUMIF('库存（子SKU）'!$C:$C,$A115,'库存（子SKU）'!AD:AD)</f>
        <v>5.75</v>
      </c>
      <c r="AC115">
        <f>SUMIF('库存（子SKU）'!$C:$C,$A115,'库存（子SKU）'!AE:AE)</f>
        <v>12.57</v>
      </c>
      <c r="AD115" s="18">
        <f t="shared" si="23"/>
        <v>0.447213547922172</v>
      </c>
      <c r="AE115" s="18">
        <f t="shared" si="24"/>
        <v>0.188926255104492</v>
      </c>
      <c r="AF115" s="18">
        <f t="shared" si="25"/>
        <v>0.0506445672191529</v>
      </c>
      <c r="AG115" s="18">
        <f t="shared" si="26"/>
        <v>0.184522379694131</v>
      </c>
      <c r="AH115">
        <f>SUMIF('库存（子SKU）'!$C:$C,$A115,'库存（子SKU）'!AJ:AJ)</f>
        <v>192</v>
      </c>
      <c r="AI115">
        <f>SUMIF('库存（子SKU）'!$C:$C,$A115,'库存（子SKU）'!AK:AK)</f>
        <v>182</v>
      </c>
      <c r="AJ115">
        <f>SUMIF('库存（子SKU）'!$C:$C,$A115,'库存（子SKU）'!AL:AL)</f>
        <v>258</v>
      </c>
      <c r="AK115">
        <f>SUMIF('库存（子SKU）'!$C:$C,$A115,'库存（子SKU）'!AM:AM)</f>
        <v>200</v>
      </c>
      <c r="AL115" s="18">
        <f t="shared" si="27"/>
        <v>0.0104166666666667</v>
      </c>
      <c r="AM115" s="18">
        <f t="shared" si="28"/>
        <v>0.00549450549450549</v>
      </c>
      <c r="AN115" s="18">
        <f t="shared" si="29"/>
        <v>0.0193798449612403</v>
      </c>
      <c r="AO115" s="18">
        <f t="shared" si="30"/>
        <v>0.015</v>
      </c>
      <c r="AP115" s="5">
        <f t="shared" si="31"/>
        <v>0.285714285714286</v>
      </c>
      <c r="AQ115" s="5">
        <f t="shared" si="32"/>
        <v>17.1428571428571</v>
      </c>
      <c r="AR115" s="5">
        <f t="shared" si="33"/>
        <v>264.857142857143</v>
      </c>
      <c r="AS115">
        <f t="shared" si="34"/>
        <v>987</v>
      </c>
      <c r="AT115" s="2">
        <f>IFERROR(时间!$B$4+AS115,"上周无销量")</f>
        <v>44305</v>
      </c>
    </row>
    <row r="116" spans="1:46">
      <c r="A116" t="s">
        <v>4217</v>
      </c>
      <c r="B116">
        <f>SUMIF('库存（子SKU）'!$C:$C,$A116,'库存（子SKU）'!D:D)</f>
        <v>9</v>
      </c>
      <c r="C116">
        <f>SUMIF('库存（子SKU）'!$C:$C,$A116,'库存（子SKU）'!E:E)</f>
        <v>4</v>
      </c>
      <c r="D116">
        <f>SUMIF('库存（子SKU）'!$C:$C,$A116,'库存（子SKU）'!F:F)</f>
        <v>5</v>
      </c>
      <c r="E116">
        <f>SUMIF('库存（子SKU）'!$C:$C,$A116,'库存（子SKU）'!G:G)</f>
        <v>9</v>
      </c>
      <c r="F116" s="5">
        <v>13.6296296296296</v>
      </c>
      <c r="G116">
        <f>SUMIF('库存（子SKU）'!$C:$C,$A116,'库存（子SKU）'!I:I)</f>
        <v>57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57</v>
      </c>
      <c r="L116">
        <f>SUMIF('库存（子SKU）'!$C:$C,$A116,'库存（子SKU）'!N:N)</f>
        <v>2</v>
      </c>
      <c r="M116">
        <f>SUMIF('库存（子SKU）'!$C:$C,$A116,'库存（子SKU）'!O:O)</f>
        <v>55</v>
      </c>
      <c r="N116">
        <f>SUMIF('库存（子SKU）'!$C:$C,$A116,'库存（子SKU）'!P:P)</f>
        <v>0</v>
      </c>
      <c r="O116">
        <f>SUMIF('库存（子SKU）'!$C:$C,$A116,'库存（子SKU）'!Q:Q)</f>
        <v>12924</v>
      </c>
      <c r="P116">
        <f>SUMIF('库存（子SKU）'!$C:$C,$A116,'库存（子SKU）'!R:R)</f>
        <v>27778</v>
      </c>
      <c r="Q116">
        <f>SUMIF('库存（子SKU）'!$C:$C,$A116,'库存（子SKU）'!S:S)</f>
        <v>63633</v>
      </c>
      <c r="R116">
        <f>SUMIF('库存（子SKU）'!$C:$C,$A116,'库存（子SKU）'!T:T)</f>
        <v>0</v>
      </c>
      <c r="S116">
        <f>SUMIF('库存（子SKU）'!$C:$C,$A116,'库存（子SKU）'!U:U)</f>
        <v>44</v>
      </c>
      <c r="T116">
        <f>SUMIF('库存（子SKU）'!$C:$C,$A116,'库存（子SKU）'!V:V)</f>
        <v>51</v>
      </c>
      <c r="U116">
        <f>SUMIF('库存（子SKU）'!$C:$C,$A116,'库存（子SKU）'!W:W)</f>
        <v>53</v>
      </c>
      <c r="V116" s="18" t="str">
        <f t="shared" si="19"/>
        <v/>
      </c>
      <c r="W116" s="18">
        <f t="shared" si="20"/>
        <v>0.00340451872485299</v>
      </c>
      <c r="X116" s="18">
        <f t="shared" si="21"/>
        <v>0.0018359853121175</v>
      </c>
      <c r="Y116" s="18">
        <f t="shared" si="22"/>
        <v>0.000832901167633146</v>
      </c>
      <c r="Z116">
        <f>SUMIF('库存（子SKU）'!$C:$C,$A116,'库存（子SKU）'!AB:AB)</f>
        <v>0</v>
      </c>
      <c r="AA116">
        <f>SUMIF('库存（子SKU）'!$C:$C,$A116,'库存（子SKU）'!AC:AC)</f>
        <v>21.52</v>
      </c>
      <c r="AB116">
        <f>SUMIF('库存（子SKU）'!$C:$C,$A116,'库存（子SKU）'!AD:AD)</f>
        <v>21.55</v>
      </c>
      <c r="AC116">
        <f>SUMIF('库存（子SKU）'!$C:$C,$A116,'库存（子SKU）'!AE:AE)</f>
        <v>19.34</v>
      </c>
      <c r="AD116" s="18">
        <f t="shared" si="23"/>
        <v>0</v>
      </c>
      <c r="AE116" s="18">
        <f t="shared" si="24"/>
        <v>0.394728260869566</v>
      </c>
      <c r="AF116" s="18">
        <f t="shared" si="25"/>
        <v>0.316222826086957</v>
      </c>
      <c r="AG116" s="18">
        <f t="shared" si="26"/>
        <v>0.157663043478261</v>
      </c>
      <c r="AH116">
        <f>SUMIF('库存（子SKU）'!$C:$C,$A116,'库存（子SKU）'!AJ:AJ)</f>
        <v>88</v>
      </c>
      <c r="AI116">
        <f>SUMIF('库存（子SKU）'!$C:$C,$A116,'库存（子SKU）'!AK:AK)</f>
        <v>106</v>
      </c>
      <c r="AJ116">
        <f>SUMIF('库存（子SKU）'!$C:$C,$A116,'库存（子SKU）'!AL:AL)</f>
        <v>140</v>
      </c>
      <c r="AK116">
        <f>SUMIF('库存（子SKU）'!$C:$C,$A116,'库存（子SKU）'!AM:AM)</f>
        <v>114</v>
      </c>
      <c r="AL116" s="18">
        <f t="shared" si="27"/>
        <v>0.102272727272727</v>
      </c>
      <c r="AM116" s="18">
        <f t="shared" si="28"/>
        <v>0.0377358490566038</v>
      </c>
      <c r="AN116" s="18">
        <f t="shared" si="29"/>
        <v>0.0357142857142857</v>
      </c>
      <c r="AO116" s="18">
        <f t="shared" si="30"/>
        <v>0.0789473684210526</v>
      </c>
      <c r="AP116" s="5">
        <f t="shared" si="31"/>
        <v>1.28571428571429</v>
      </c>
      <c r="AQ116" s="5">
        <f t="shared" si="32"/>
        <v>77.1428571428572</v>
      </c>
      <c r="AR116" s="5">
        <f t="shared" si="33"/>
        <v>-20.1428571428572</v>
      </c>
      <c r="AS116">
        <f t="shared" si="34"/>
        <v>44</v>
      </c>
      <c r="AT116" s="2">
        <f>IFERROR(时间!$B$4+AS116,"上周无销量")</f>
        <v>43362</v>
      </c>
    </row>
    <row r="117" spans="1:46">
      <c r="A117" t="s">
        <v>4265</v>
      </c>
      <c r="B117">
        <f>SUMIF('库存（子SKU）'!$C:$C,$A117,'库存（子SKU）'!D:D)</f>
        <v>3</v>
      </c>
      <c r="C117">
        <f>SUMIF('库存（子SKU）'!$C:$C,$A117,'库存（子SKU）'!E:E)</f>
        <v>1</v>
      </c>
      <c r="D117">
        <f>SUMIF('库存（子SKU）'!$C:$C,$A117,'库存（子SKU）'!F:F)</f>
        <v>5</v>
      </c>
      <c r="E117">
        <f>SUMIF('库存（子SKU）'!$C:$C,$A117,'库存（子SKU）'!G:G)</f>
        <v>5</v>
      </c>
      <c r="F117" s="5">
        <v>22.7657142857143</v>
      </c>
      <c r="G117">
        <f>SUMIF('库存（子SKU）'!$C:$C,$A117,'库存（子SKU）'!I:I)</f>
        <v>25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25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8" t="str">
        <f t="shared" si="19"/>
        <v/>
      </c>
      <c r="W117" s="18" t="str">
        <f t="shared" si="20"/>
        <v/>
      </c>
      <c r="X117" s="18" t="str">
        <f t="shared" si="21"/>
        <v/>
      </c>
      <c r="Y117" s="18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8">
        <f t="shared" si="23"/>
        <v>0</v>
      </c>
      <c r="AE117" s="18">
        <f t="shared" si="24"/>
        <v>0</v>
      </c>
      <c r="AF117" s="18">
        <f t="shared" si="25"/>
        <v>0</v>
      </c>
      <c r="AG117" s="18">
        <f t="shared" si="26"/>
        <v>0</v>
      </c>
      <c r="AH117">
        <f>SUMIF('库存（子SKU）'!$C:$C,$A117,'库存（子SKU）'!AJ:AJ)</f>
        <v>197</v>
      </c>
      <c r="AI117">
        <f>SUMIF('库存（子SKU）'!$C:$C,$A117,'库存（子SKU）'!AK:AK)</f>
        <v>187</v>
      </c>
      <c r="AJ117">
        <f>SUMIF('库存（子SKU）'!$C:$C,$A117,'库存（子SKU）'!AL:AL)</f>
        <v>272</v>
      </c>
      <c r="AK117">
        <f>SUMIF('库存（子SKU）'!$C:$C,$A117,'库存（子SKU）'!AM:AM)</f>
        <v>214</v>
      </c>
      <c r="AL117" s="18">
        <f t="shared" si="27"/>
        <v>0.0152284263959391</v>
      </c>
      <c r="AM117" s="18">
        <f t="shared" si="28"/>
        <v>0.0053475935828877</v>
      </c>
      <c r="AN117" s="18">
        <f t="shared" si="29"/>
        <v>0.0183823529411765</v>
      </c>
      <c r="AO117" s="18">
        <f t="shared" si="30"/>
        <v>0.0233644859813084</v>
      </c>
      <c r="AP117" s="5">
        <f t="shared" si="31"/>
        <v>0.428571428571429</v>
      </c>
      <c r="AQ117" s="5">
        <f t="shared" si="32"/>
        <v>25.7142857142857</v>
      </c>
      <c r="AR117" s="5">
        <f t="shared" si="33"/>
        <v>-0.714285714285712</v>
      </c>
      <c r="AS117">
        <f t="shared" si="34"/>
        <v>58</v>
      </c>
      <c r="AT117" s="2">
        <f>IFERROR(时间!$B$4+AS117,"上周无销量")</f>
        <v>43376</v>
      </c>
    </row>
    <row r="118" spans="1:46">
      <c r="A118" t="s">
        <v>4293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">
        <v>52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8" t="str">
        <f t="shared" si="19"/>
        <v/>
      </c>
      <c r="W118" s="18" t="str">
        <f t="shared" si="20"/>
        <v/>
      </c>
      <c r="X118" s="18" t="str">
        <f t="shared" si="21"/>
        <v/>
      </c>
      <c r="Y118" s="18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8">
        <f t="shared" si="23"/>
        <v>0</v>
      </c>
      <c r="AE118" s="18">
        <f t="shared" si="24"/>
        <v>0</v>
      </c>
      <c r="AF118" s="18">
        <f t="shared" si="25"/>
        <v>0</v>
      </c>
      <c r="AG118" s="18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8" t="str">
        <f t="shared" si="27"/>
        <v/>
      </c>
      <c r="AM118" s="18" t="str">
        <f t="shared" si="28"/>
        <v/>
      </c>
      <c r="AN118" s="18" t="str">
        <f t="shared" si="29"/>
        <v/>
      </c>
      <c r="AO118" s="18" t="str">
        <f t="shared" si="30"/>
        <v/>
      </c>
      <c r="AP118" s="5">
        <f t="shared" si="31"/>
        <v>0</v>
      </c>
      <c r="AQ118" s="5">
        <f t="shared" si="32"/>
        <v>0</v>
      </c>
      <c r="AR118" s="5">
        <f t="shared" si="33"/>
        <v>0</v>
      </c>
      <c r="AS118" t="str">
        <f t="shared" si="34"/>
        <v>库存为0</v>
      </c>
      <c r="AT118" s="2" t="str">
        <f>IFERROR(时间!$B$4+AS118,"上周无销量")</f>
        <v>上周无销量</v>
      </c>
    </row>
    <row r="119" spans="1:46">
      <c r="A119" t="s">
        <v>4304</v>
      </c>
      <c r="B119">
        <f>SUMIF('库存（子SKU）'!$C:$C,$A119,'库存（子SKU）'!D:D)</f>
        <v>0</v>
      </c>
      <c r="C119">
        <f>SUMIF('库存（子SKU）'!$C:$C,$A119,'库存（子SKU）'!E:E)</f>
        <v>3</v>
      </c>
      <c r="D119">
        <f>SUMIF('库存（子SKU）'!$C:$C,$A119,'库存（子SKU）'!F:F)</f>
        <v>3</v>
      </c>
      <c r="E119">
        <f>SUMIF('库存（子SKU）'!$C:$C,$A119,'库存（子SKU）'!G:G)</f>
        <v>1</v>
      </c>
      <c r="F119" s="5">
        <v>25</v>
      </c>
      <c r="G119">
        <f>SUMIF('库存（子SKU）'!$C:$C,$A119,'库存（子SKU）'!I:I)</f>
        <v>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2</v>
      </c>
      <c r="L119">
        <f>SUMIF('库存（子SKU）'!$C:$C,$A119,'库存（子SKU）'!N:N)</f>
        <v>0</v>
      </c>
      <c r="M119">
        <f>SUMIF('库存（子SKU）'!$C:$C,$A119,'库存（子SKU）'!O:O)</f>
        <v>2</v>
      </c>
      <c r="N119">
        <f>SUMIF('库存（子SKU）'!$C:$C,$A119,'库存（子SKU）'!P:P)</f>
        <v>102</v>
      </c>
      <c r="O119">
        <f>SUMIF('库存（子SKU）'!$C:$C,$A119,'库存（子SKU）'!Q:Q)</f>
        <v>762</v>
      </c>
      <c r="P119">
        <f>SUMIF('库存（子SKU）'!$C:$C,$A119,'库存（子SKU）'!R:R)</f>
        <v>535</v>
      </c>
      <c r="Q119">
        <f>SUMIF('库存（子SKU）'!$C:$C,$A119,'库存（子SKU）'!S:S)</f>
        <v>814</v>
      </c>
      <c r="R119">
        <f>SUMIF('库存（子SKU）'!$C:$C,$A119,'库存（子SKU）'!T:T)</f>
        <v>1</v>
      </c>
      <c r="S119">
        <f>SUMIF('库存（子SKU）'!$C:$C,$A119,'库存（子SKU）'!U:U)</f>
        <v>2</v>
      </c>
      <c r="T119">
        <f>SUMIF('库存（子SKU）'!$C:$C,$A119,'库存（子SKU）'!V:V)</f>
        <v>4</v>
      </c>
      <c r="U119">
        <f>SUMIF('库存（子SKU）'!$C:$C,$A119,'库存（子SKU）'!W:W)</f>
        <v>2</v>
      </c>
      <c r="V119" s="18">
        <f t="shared" si="19"/>
        <v>0.00980392156862745</v>
      </c>
      <c r="W119" s="18">
        <f t="shared" si="20"/>
        <v>0.0026246719160105</v>
      </c>
      <c r="X119" s="18">
        <f t="shared" si="21"/>
        <v>0.00747663551401869</v>
      </c>
      <c r="Y119" s="18">
        <f t="shared" si="22"/>
        <v>0.00245700245700246</v>
      </c>
      <c r="Z119">
        <f>SUMIF('库存（子SKU）'!$C:$C,$A119,'库存（子SKU）'!AB:AB)</f>
        <v>0.28</v>
      </c>
      <c r="AA119">
        <f>SUMIF('库存（子SKU）'!$C:$C,$A119,'库存（子SKU）'!AC:AC)</f>
        <v>0.54</v>
      </c>
      <c r="AB119">
        <f>SUMIF('库存（子SKU）'!$C:$C,$A119,'库存（子SKU）'!AD:AD)</f>
        <v>1.97</v>
      </c>
      <c r="AC119">
        <f>SUMIF('库存（子SKU）'!$C:$C,$A119,'库存（子SKU）'!AE:AE)</f>
        <v>0.95</v>
      </c>
      <c r="AD119" s="18" t="str">
        <f t="shared" si="23"/>
        <v>有广告无销量</v>
      </c>
      <c r="AE119" s="18">
        <f t="shared" si="24"/>
        <v>0.0072</v>
      </c>
      <c r="AF119" s="18">
        <f t="shared" si="25"/>
        <v>0.0262666666666667</v>
      </c>
      <c r="AG119" s="18">
        <f t="shared" si="26"/>
        <v>0.038</v>
      </c>
      <c r="AH119">
        <f>SUMIF('库存（子SKU）'!$C:$C,$A119,'库存（子SKU）'!AJ:AJ)</f>
        <v>13</v>
      </c>
      <c r="AI119">
        <f>SUMIF('库存（子SKU）'!$C:$C,$A119,'库存（子SKU）'!AK:AK)</f>
        <v>6</v>
      </c>
      <c r="AJ119">
        <f>SUMIF('库存（子SKU）'!$C:$C,$A119,'库存（子SKU）'!AL:AL)</f>
        <v>7</v>
      </c>
      <c r="AK119">
        <f>SUMIF('库存（子SKU）'!$C:$C,$A119,'库存（子SKU）'!AM:AM)</f>
        <v>6</v>
      </c>
      <c r="AL119" s="18">
        <f t="shared" si="27"/>
        <v>0</v>
      </c>
      <c r="AM119" s="18">
        <f t="shared" si="28"/>
        <v>0.5</v>
      </c>
      <c r="AN119" s="18">
        <f t="shared" si="29"/>
        <v>0.428571428571429</v>
      </c>
      <c r="AO119" s="18">
        <f t="shared" si="30"/>
        <v>0.166666666666667</v>
      </c>
      <c r="AP119" s="5">
        <f t="shared" si="31"/>
        <v>0</v>
      </c>
      <c r="AQ119" s="5">
        <f t="shared" si="32"/>
        <v>0</v>
      </c>
      <c r="AR119" s="5">
        <f t="shared" si="33"/>
        <v>2</v>
      </c>
      <c r="AS119" t="str">
        <f t="shared" si="34"/>
        <v>库存为2</v>
      </c>
      <c r="AT119" s="2" t="str">
        <f>IFERROR(时间!$B$4+AS119,"上周无销量")</f>
        <v>上周无销量</v>
      </c>
    </row>
    <row r="120" spans="1:46">
      <c r="A120" t="s">
        <v>4318</v>
      </c>
      <c r="B120">
        <f>SUMIF('库存（子SKU）'!$C:$C,$A120,'库存（子SKU）'!D:D)</f>
        <v>0</v>
      </c>
      <c r="C120">
        <f>SUMIF('库存（子SKU）'!$C:$C,$A120,'库存（子SKU）'!E:E)</f>
        <v>0</v>
      </c>
      <c r="D120">
        <f>SUMIF('库存（子SKU）'!$C:$C,$A120,'库存（子SKU）'!F:F)</f>
        <v>2</v>
      </c>
      <c r="E120">
        <f>SUMIF('库存（子SKU）'!$C:$C,$A120,'库存（子SKU）'!G:G)</f>
        <v>0</v>
      </c>
      <c r="F120" s="5">
        <v>25</v>
      </c>
      <c r="G120">
        <f>SUMIF('库存（子SKU）'!$C:$C,$A120,'库存（子SKU）'!I:I)</f>
        <v>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2</v>
      </c>
      <c r="L120">
        <f>SUMIF('库存（子SKU）'!$C:$C,$A120,'库存（子SKU）'!N:N)</f>
        <v>0</v>
      </c>
      <c r="M120">
        <f>SUMIF('库存（子SKU）'!$C:$C,$A120,'库存（子SKU）'!O:O)</f>
        <v>3</v>
      </c>
      <c r="N120">
        <f>SUMIF('库存（子SKU）'!$C:$C,$A120,'库存（子SKU）'!P:P)</f>
        <v>1486</v>
      </c>
      <c r="O120">
        <f>SUMIF('库存（子SKU）'!$C:$C,$A120,'库存（子SKU）'!Q:Q)</f>
        <v>3530</v>
      </c>
      <c r="P120">
        <f>SUMIF('库存（子SKU）'!$C:$C,$A120,'库存（子SKU）'!R:R)</f>
        <v>2557</v>
      </c>
      <c r="Q120">
        <f>SUMIF('库存（子SKU）'!$C:$C,$A120,'库存（子SKU）'!S:S)</f>
        <v>2415</v>
      </c>
      <c r="R120">
        <f>SUMIF('库存（子SKU）'!$C:$C,$A120,'库存（子SKU）'!T:T)</f>
        <v>3</v>
      </c>
      <c r="S120">
        <f>SUMIF('库存（子SKU）'!$C:$C,$A120,'库存（子SKU）'!U:U)</f>
        <v>9</v>
      </c>
      <c r="T120">
        <f>SUMIF('库存（子SKU）'!$C:$C,$A120,'库存（子SKU）'!V:V)</f>
        <v>2</v>
      </c>
      <c r="U120">
        <f>SUMIF('库存（子SKU）'!$C:$C,$A120,'库存（子SKU）'!W:W)</f>
        <v>10</v>
      </c>
      <c r="V120" s="18">
        <f t="shared" si="19"/>
        <v>0.00201884253028264</v>
      </c>
      <c r="W120" s="18">
        <f t="shared" si="20"/>
        <v>0.00254957507082153</v>
      </c>
      <c r="X120" s="18">
        <f t="shared" si="21"/>
        <v>0.000782166601486116</v>
      </c>
      <c r="Y120" s="18">
        <f t="shared" si="22"/>
        <v>0.0041407867494824</v>
      </c>
      <c r="Z120">
        <f>SUMIF('库存（子SKU）'!$C:$C,$A120,'库存（子SKU）'!AB:AB)</f>
        <v>0.96</v>
      </c>
      <c r="AA120">
        <f>SUMIF('库存（子SKU）'!$C:$C,$A120,'库存（子SKU）'!AC:AC)</f>
        <v>2.07</v>
      </c>
      <c r="AB120">
        <f>SUMIF('库存（子SKU）'!$C:$C,$A120,'库存（子SKU）'!AD:AD)</f>
        <v>0.74</v>
      </c>
      <c r="AC120">
        <f>SUMIF('库存（子SKU）'!$C:$C,$A120,'库存（子SKU）'!AE:AE)</f>
        <v>3.34</v>
      </c>
      <c r="AD120" s="18" t="str">
        <f t="shared" si="23"/>
        <v>有广告无销量</v>
      </c>
      <c r="AE120" s="18" t="str">
        <f t="shared" si="24"/>
        <v>有广告无销量</v>
      </c>
      <c r="AF120" s="18">
        <f t="shared" si="25"/>
        <v>0.0148</v>
      </c>
      <c r="AG120" s="18" t="str">
        <f t="shared" si="26"/>
        <v>有广告无销量</v>
      </c>
      <c r="AH120">
        <f>SUMIF('库存（子SKU）'!$C:$C,$A120,'库存（子SKU）'!AJ:AJ)</f>
        <v>19</v>
      </c>
      <c r="AI120">
        <f>SUMIF('库存（子SKU）'!$C:$C,$A120,'库存（子SKU）'!AK:AK)</f>
        <v>12</v>
      </c>
      <c r="AJ120">
        <f>SUMIF('库存（子SKU）'!$C:$C,$A120,'库存（子SKU）'!AL:AL)</f>
        <v>10</v>
      </c>
      <c r="AK120">
        <f>SUMIF('库存（子SKU）'!$C:$C,$A120,'库存（子SKU）'!AM:AM)</f>
        <v>10</v>
      </c>
      <c r="AL120" s="18">
        <f t="shared" si="27"/>
        <v>0</v>
      </c>
      <c r="AM120" s="18">
        <f t="shared" si="28"/>
        <v>0</v>
      </c>
      <c r="AN120" s="18">
        <f t="shared" si="29"/>
        <v>0.2</v>
      </c>
      <c r="AO120" s="18">
        <f t="shared" si="30"/>
        <v>0</v>
      </c>
      <c r="AP120" s="5">
        <f t="shared" si="31"/>
        <v>0</v>
      </c>
      <c r="AQ120" s="5">
        <f t="shared" si="32"/>
        <v>0</v>
      </c>
      <c r="AR120" s="5">
        <f t="shared" si="33"/>
        <v>2</v>
      </c>
      <c r="AS120" t="str">
        <f t="shared" si="34"/>
        <v>库存为2</v>
      </c>
      <c r="AT120" s="2" t="str">
        <f>IFERROR(时间!$B$4+AS120,"上周无销量")</f>
        <v>上周无销量</v>
      </c>
    </row>
    <row r="121" spans="1:46">
      <c r="A121" t="s">
        <v>4328</v>
      </c>
      <c r="B121">
        <f>SUMIF('库存（子SKU）'!$C:$C,$A121,'库存（子SKU）'!D:D)</f>
        <v>0</v>
      </c>
      <c r="C121">
        <f>SUMIF('库存（子SKU）'!$C:$C,$A121,'库存（子SKU）'!E:E)</f>
        <v>0</v>
      </c>
      <c r="D121">
        <f>SUMIF('库存（子SKU）'!$C:$C,$A121,'库存（子SKU）'!F:F)</f>
        <v>0</v>
      </c>
      <c r="E121">
        <f>SUMIF('库存（子SKU）'!$C:$C,$A121,'库存（子SKU）'!G:G)</f>
        <v>1</v>
      </c>
      <c r="F121" s="5">
        <v>15</v>
      </c>
      <c r="G121">
        <f>SUMIF('库存（子SKU）'!$C:$C,$A121,'库存（子SKU）'!I:I)</f>
        <v>11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11</v>
      </c>
      <c r="L121">
        <f>SUMIF('库存（子SKU）'!$C:$C,$A121,'库存（子SKU）'!N:N)</f>
        <v>0</v>
      </c>
      <c r="M121">
        <f>SUMIF('库存（子SKU）'!$C:$C,$A121,'库存（子SKU）'!O:O)</f>
        <v>10</v>
      </c>
      <c r="N121">
        <f>SUMIF('库存（子SKU）'!$C:$C,$A121,'库存（子SKU）'!P:P)</f>
        <v>745</v>
      </c>
      <c r="O121">
        <f>SUMIF('库存（子SKU）'!$C:$C,$A121,'库存（子SKU）'!Q:Q)</f>
        <v>940</v>
      </c>
      <c r="P121">
        <f>SUMIF('库存（子SKU）'!$C:$C,$A121,'库存（子SKU）'!R:R)</f>
        <v>1037</v>
      </c>
      <c r="Q121">
        <f>SUMIF('库存（子SKU）'!$C:$C,$A121,'库存（子SKU）'!S:S)</f>
        <v>2929</v>
      </c>
      <c r="R121">
        <f>SUMIF('库存（子SKU）'!$C:$C,$A121,'库存（子SKU）'!T:T)</f>
        <v>7</v>
      </c>
      <c r="S121">
        <f>SUMIF('库存（子SKU）'!$C:$C,$A121,'库存（子SKU）'!U:U)</f>
        <v>2</v>
      </c>
      <c r="T121">
        <f>SUMIF('库存（子SKU）'!$C:$C,$A121,'库存（子SKU）'!V:V)</f>
        <v>7</v>
      </c>
      <c r="U121">
        <f>SUMIF('库存（子SKU）'!$C:$C,$A121,'库存（子SKU）'!W:W)</f>
        <v>9</v>
      </c>
      <c r="V121" s="18">
        <f t="shared" si="19"/>
        <v>0.00939597315436242</v>
      </c>
      <c r="W121" s="18">
        <f t="shared" si="20"/>
        <v>0.00212765957446809</v>
      </c>
      <c r="X121" s="18">
        <f t="shared" si="21"/>
        <v>0.00675024108003857</v>
      </c>
      <c r="Y121" s="18">
        <f t="shared" si="22"/>
        <v>0.00307272106520997</v>
      </c>
      <c r="Z121">
        <f>SUMIF('库存（子SKU）'!$C:$C,$A121,'库存（子SKU）'!AB:AB)</f>
        <v>2.13</v>
      </c>
      <c r="AA121">
        <f>SUMIF('库存（子SKU）'!$C:$C,$A121,'库存（子SKU）'!AC:AC)</f>
        <v>0.99</v>
      </c>
      <c r="AB121">
        <f>SUMIF('库存（子SKU）'!$C:$C,$A121,'库存（子SKU）'!AD:AD)</f>
        <v>2.34</v>
      </c>
      <c r="AC121">
        <f>SUMIF('库存（子SKU）'!$C:$C,$A121,'库存（子SKU）'!AE:AE)</f>
        <v>3.3</v>
      </c>
      <c r="AD121" s="18" t="str">
        <f t="shared" si="23"/>
        <v>有广告无销量</v>
      </c>
      <c r="AE121" s="18" t="str">
        <f t="shared" si="24"/>
        <v>有广告无销量</v>
      </c>
      <c r="AF121" s="18" t="str">
        <f t="shared" si="25"/>
        <v>有广告无销量</v>
      </c>
      <c r="AG121" s="18">
        <f t="shared" si="26"/>
        <v>0.22</v>
      </c>
      <c r="AH121">
        <f>SUMIF('库存（子SKU）'!$C:$C,$A121,'库存（子SKU）'!AJ:AJ)</f>
        <v>21</v>
      </c>
      <c r="AI121">
        <f>SUMIF('库存（子SKU）'!$C:$C,$A121,'库存（子SKU）'!AK:AK)</f>
        <v>16</v>
      </c>
      <c r="AJ121">
        <f>SUMIF('库存（子SKU）'!$C:$C,$A121,'库存（子SKU）'!AL:AL)</f>
        <v>16</v>
      </c>
      <c r="AK121">
        <f>SUMIF('库存（子SKU）'!$C:$C,$A121,'库存（子SKU）'!AM:AM)</f>
        <v>24</v>
      </c>
      <c r="AL121" s="18">
        <f t="shared" si="27"/>
        <v>0</v>
      </c>
      <c r="AM121" s="18">
        <f t="shared" si="28"/>
        <v>0</v>
      </c>
      <c r="AN121" s="18">
        <f t="shared" si="29"/>
        <v>0</v>
      </c>
      <c r="AO121" s="18">
        <f t="shared" si="30"/>
        <v>0.0416666666666667</v>
      </c>
      <c r="AP121" s="5">
        <f t="shared" si="31"/>
        <v>0</v>
      </c>
      <c r="AQ121" s="5">
        <f t="shared" si="32"/>
        <v>0</v>
      </c>
      <c r="AR121" s="5">
        <f t="shared" si="33"/>
        <v>11</v>
      </c>
      <c r="AS121" t="str">
        <f t="shared" si="34"/>
        <v>库存为11</v>
      </c>
      <c r="AT121" s="2" t="str">
        <f>IFERROR(时间!$B$4+AS121,"上周无销量")</f>
        <v>上周无销量</v>
      </c>
    </row>
    <row r="122" spans="1:46">
      <c r="A122" t="s">
        <v>4343</v>
      </c>
      <c r="B122">
        <f>SUMIF('库存（子SKU）'!$C:$C,$A122,'库存（子SKU）'!D:D)</f>
        <v>0</v>
      </c>
      <c r="C122">
        <f>SUMIF('库存（子SKU）'!$C:$C,$A122,'库存（子SKU）'!E:E)</f>
        <v>0</v>
      </c>
      <c r="D122">
        <f>SUMIF('库存（子SKU）'!$C:$C,$A122,'库存（子SKU）'!F:F)</f>
        <v>0</v>
      </c>
      <c r="E122">
        <f>SUMIF('库存（子SKU）'!$C:$C,$A122,'库存（子SKU）'!G:G)</f>
        <v>0</v>
      </c>
      <c r="F122" s="5" t="s">
        <v>52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8" t="str">
        <f t="shared" si="19"/>
        <v/>
      </c>
      <c r="W122" s="18" t="str">
        <f t="shared" si="20"/>
        <v/>
      </c>
      <c r="X122" s="18" t="str">
        <f t="shared" si="21"/>
        <v/>
      </c>
      <c r="Y122" s="18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8">
        <f t="shared" si="23"/>
        <v>0</v>
      </c>
      <c r="AE122" s="18">
        <f t="shared" si="24"/>
        <v>0</v>
      </c>
      <c r="AF122" s="18">
        <f t="shared" si="25"/>
        <v>0</v>
      </c>
      <c r="AG122" s="18">
        <f t="shared" si="26"/>
        <v>0</v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18" t="str">
        <f t="shared" si="27"/>
        <v/>
      </c>
      <c r="AM122" s="18" t="str">
        <f t="shared" si="28"/>
        <v/>
      </c>
      <c r="AN122" s="18" t="str">
        <f t="shared" si="29"/>
        <v/>
      </c>
      <c r="AO122" s="18" t="str">
        <f t="shared" si="30"/>
        <v/>
      </c>
      <c r="AP122" s="5">
        <f t="shared" si="31"/>
        <v>0</v>
      </c>
      <c r="AQ122" s="5">
        <f t="shared" si="32"/>
        <v>0</v>
      </c>
      <c r="AR122" s="5">
        <f t="shared" si="33"/>
        <v>0</v>
      </c>
      <c r="AS122" t="str">
        <f t="shared" si="34"/>
        <v>库存为0</v>
      </c>
      <c r="AT122" s="2" t="str">
        <f>IFERROR(时间!$B$4+AS122,"上周无销量")</f>
        <v>上周无销量</v>
      </c>
    </row>
    <row r="123" spans="1:46">
      <c r="A123" t="s">
        <v>4380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5" t="s">
        <v>52</v>
      </c>
      <c r="G123">
        <f>SUMIF('库存（子SKU）'!$C:$C,$A123,'库存（子SKU）'!I:I)</f>
        <v>5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5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8" t="str">
        <f t="shared" si="19"/>
        <v/>
      </c>
      <c r="W123" s="18" t="str">
        <f t="shared" si="20"/>
        <v/>
      </c>
      <c r="X123" s="18" t="str">
        <f t="shared" si="21"/>
        <v/>
      </c>
      <c r="Y123" s="18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8">
        <f t="shared" si="23"/>
        <v>0</v>
      </c>
      <c r="AE123" s="18">
        <f t="shared" si="24"/>
        <v>0</v>
      </c>
      <c r="AF123" s="18">
        <f t="shared" si="25"/>
        <v>0</v>
      </c>
      <c r="AG123" s="18">
        <f t="shared" si="26"/>
        <v>0</v>
      </c>
      <c r="AH123">
        <f>SUMIF('库存（子SKU）'!$C:$C,$A123,'库存（子SKU）'!AJ:AJ)</f>
        <v>52</v>
      </c>
      <c r="AI123">
        <f>SUMIF('库存（子SKU）'!$C:$C,$A123,'库存（子SKU）'!AK:AK)</f>
        <v>54</v>
      </c>
      <c r="AJ123">
        <f>SUMIF('库存（子SKU）'!$C:$C,$A123,'库存（子SKU）'!AL:AL)</f>
        <v>48</v>
      </c>
      <c r="AK123">
        <f>SUMIF('库存（子SKU）'!$C:$C,$A123,'库存（子SKU）'!AM:AM)</f>
        <v>58</v>
      </c>
      <c r="AL123" s="18">
        <f t="shared" si="27"/>
        <v>0</v>
      </c>
      <c r="AM123" s="18">
        <f t="shared" si="28"/>
        <v>0</v>
      </c>
      <c r="AN123" s="18">
        <f t="shared" si="29"/>
        <v>0</v>
      </c>
      <c r="AO123" s="18">
        <f t="shared" si="30"/>
        <v>0</v>
      </c>
      <c r="AP123" s="5">
        <f t="shared" si="31"/>
        <v>0</v>
      </c>
      <c r="AQ123" s="5">
        <f t="shared" si="32"/>
        <v>0</v>
      </c>
      <c r="AR123" s="5">
        <f t="shared" si="33"/>
        <v>5</v>
      </c>
      <c r="AS123" t="str">
        <f t="shared" si="34"/>
        <v>库存为5</v>
      </c>
      <c r="AT123" s="2" t="str">
        <f>IFERROR(时间!$B$4+AS123,"上周无销量")</f>
        <v>上周无销量</v>
      </c>
    </row>
    <row r="124" spans="1:46">
      <c r="A124" t="s">
        <v>4389</v>
      </c>
      <c r="B124">
        <f>SUMIF('库存（子SKU）'!$C:$C,$A124,'库存（子SKU）'!D:D)</f>
        <v>16</v>
      </c>
      <c r="C124">
        <f>SUMIF('库存（子SKU）'!$C:$C,$A124,'库存（子SKU）'!E:E)</f>
        <v>9</v>
      </c>
      <c r="D124">
        <f>SUMIF('库存（子SKU）'!$C:$C,$A124,'库存（子SKU）'!F:F)</f>
        <v>16</v>
      </c>
      <c r="E124">
        <f>SUMIF('库存（子SKU）'!$C:$C,$A124,'库存（子SKU）'!G:G)</f>
        <v>11</v>
      </c>
      <c r="F124" s="5">
        <v>22.98</v>
      </c>
      <c r="G124">
        <f>SUMIF('库存（子SKU）'!$C:$C,$A124,'库存（子SKU）'!I:I)</f>
        <v>231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5</v>
      </c>
      <c r="K124">
        <f t="shared" si="18"/>
        <v>236</v>
      </c>
      <c r="L124">
        <f>SUMIF('库存（子SKU）'!$C:$C,$A124,'库存（子SKU）'!N:N)</f>
        <v>0</v>
      </c>
      <c r="M124">
        <f>SUMIF('库存（子SKU）'!$C:$C,$A124,'库存（子SKU）'!O:O)</f>
        <v>109</v>
      </c>
      <c r="N124">
        <f>SUMIF('库存（子SKU）'!$C:$C,$A124,'库存（子SKU）'!P:P)</f>
        <v>6707</v>
      </c>
      <c r="O124">
        <f>SUMIF('库存（子SKU）'!$C:$C,$A124,'库存（子SKU）'!Q:Q)</f>
        <v>3644</v>
      </c>
      <c r="P124">
        <f>SUMIF('库存（子SKU）'!$C:$C,$A124,'库存（子SKU）'!R:R)</f>
        <v>978</v>
      </c>
      <c r="Q124">
        <f>SUMIF('库存（子SKU）'!$C:$C,$A124,'库存（子SKU）'!S:S)</f>
        <v>404</v>
      </c>
      <c r="R124">
        <f>SUMIF('库存（子SKU）'!$C:$C,$A124,'库存（子SKU）'!T:T)</f>
        <v>31</v>
      </c>
      <c r="S124">
        <f>SUMIF('库存（子SKU）'!$C:$C,$A124,'库存（子SKU）'!U:U)</f>
        <v>24</v>
      </c>
      <c r="T124">
        <f>SUMIF('库存（子SKU）'!$C:$C,$A124,'库存（子SKU）'!V:V)</f>
        <v>10</v>
      </c>
      <c r="U124">
        <f>SUMIF('库存（子SKU）'!$C:$C,$A124,'库存（子SKU）'!W:W)</f>
        <v>2</v>
      </c>
      <c r="V124" s="18">
        <f t="shared" si="19"/>
        <v>0.00462203667809751</v>
      </c>
      <c r="W124" s="18">
        <f t="shared" si="20"/>
        <v>0.00658616904500549</v>
      </c>
      <c r="X124" s="18">
        <f t="shared" si="21"/>
        <v>0.0102249488752556</v>
      </c>
      <c r="Y124" s="18">
        <f t="shared" si="22"/>
        <v>0.00495049504950495</v>
      </c>
      <c r="Z124">
        <f>SUMIF('库存（子SKU）'!$C:$C,$A124,'库存（子SKU）'!AB:AB)</f>
        <v>20.53</v>
      </c>
      <c r="AA124">
        <f>SUMIF('库存（子SKU）'!$C:$C,$A124,'库存（子SKU）'!AC:AC)</f>
        <v>10.76</v>
      </c>
      <c r="AB124">
        <f>SUMIF('库存（子SKU）'!$C:$C,$A124,'库存（子SKU）'!AD:AD)</f>
        <v>5.78</v>
      </c>
      <c r="AC124">
        <f>SUMIF('库存（子SKU）'!$C:$C,$A124,'库存（子SKU）'!AE:AE)</f>
        <v>0.61</v>
      </c>
      <c r="AD124" s="18">
        <f t="shared" si="23"/>
        <v>0.0558365970409051</v>
      </c>
      <c r="AE124" s="18">
        <f t="shared" si="24"/>
        <v>0.0520259162556813</v>
      </c>
      <c r="AF124" s="18">
        <f t="shared" si="25"/>
        <v>0.0157201914708442</v>
      </c>
      <c r="AG124" s="18">
        <f t="shared" si="26"/>
        <v>0.00241316559854419</v>
      </c>
      <c r="AH124">
        <f>SUMIF('库存（子SKU）'!$C:$C,$A124,'库存（子SKU）'!AJ:AJ)</f>
        <v>175</v>
      </c>
      <c r="AI124">
        <f>SUMIF('库存（子SKU）'!$C:$C,$A124,'库存（子SKU）'!AK:AK)</f>
        <v>145</v>
      </c>
      <c r="AJ124">
        <f>SUMIF('库存（子SKU）'!$C:$C,$A124,'库存（子SKU）'!AL:AL)</f>
        <v>221</v>
      </c>
      <c r="AK124">
        <f>SUMIF('库存（子SKU）'!$C:$C,$A124,'库存（子SKU）'!AM:AM)</f>
        <v>179</v>
      </c>
      <c r="AL124" s="18">
        <f t="shared" si="27"/>
        <v>0.0914285714285714</v>
      </c>
      <c r="AM124" s="18">
        <f t="shared" si="28"/>
        <v>0.0620689655172414</v>
      </c>
      <c r="AN124" s="18">
        <f t="shared" si="29"/>
        <v>0.0723981900452489</v>
      </c>
      <c r="AO124" s="18">
        <f t="shared" si="30"/>
        <v>0.0614525139664804</v>
      </c>
      <c r="AP124" s="5">
        <f t="shared" si="31"/>
        <v>2.28571428571429</v>
      </c>
      <c r="AQ124" s="5">
        <f t="shared" si="32"/>
        <v>137.142857142857</v>
      </c>
      <c r="AR124" s="5">
        <f t="shared" si="33"/>
        <v>98.8571428571429</v>
      </c>
      <c r="AS124">
        <f t="shared" si="34"/>
        <v>103</v>
      </c>
      <c r="AT124" s="2">
        <f>IFERROR(时间!$B$4+AS124,"上周无销量")</f>
        <v>43421</v>
      </c>
    </row>
    <row r="125" spans="1:46">
      <c r="A125" t="s">
        <v>4413</v>
      </c>
      <c r="B125">
        <f>SUMIF('库存（子SKU）'!$C:$C,$A125,'库存（子SKU）'!D:D)</f>
        <v>0</v>
      </c>
      <c r="C125">
        <f>SUMIF('库存（子SKU）'!$C:$C,$A125,'库存（子SKU）'!E:E)</f>
        <v>0</v>
      </c>
      <c r="D125">
        <f>SUMIF('库存（子SKU）'!$C:$C,$A125,'库存（子SKU）'!F:F)</f>
        <v>0</v>
      </c>
      <c r="E125">
        <f>SUMIF('库存（子SKU）'!$C:$C,$A125,'库存（子SKU）'!G:G)</f>
        <v>0</v>
      </c>
      <c r="F125" s="5" t="s">
        <v>52</v>
      </c>
      <c r="G125">
        <f>SUMIF('库存（子SKU）'!$C:$C,$A125,'库存（子SKU）'!I:I)</f>
        <v>181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181</v>
      </c>
      <c r="L125">
        <f>SUMIF('库存（子SKU）'!$C:$C,$A125,'库存（子SKU）'!N:N)</f>
        <v>0</v>
      </c>
      <c r="M125">
        <f>SUMIF('库存（子SKU）'!$C:$C,$A125,'库存（子SKU）'!O:O)</f>
        <v>177</v>
      </c>
      <c r="N125">
        <f>SUMIF('库存（子SKU）'!$C:$C,$A125,'库存（子SKU）'!P:P)</f>
        <v>1851</v>
      </c>
      <c r="O125">
        <f>SUMIF('库存（子SKU）'!$C:$C,$A125,'库存（子SKU）'!Q:Q)</f>
        <v>3504</v>
      </c>
      <c r="P125">
        <f>SUMIF('库存（子SKU）'!$C:$C,$A125,'库存（子SKU）'!R:R)</f>
        <v>6426</v>
      </c>
      <c r="Q125">
        <f>SUMIF('库存（子SKU）'!$C:$C,$A125,'库存（子SKU）'!S:S)</f>
        <v>7433</v>
      </c>
      <c r="R125">
        <f>SUMIF('库存（子SKU）'!$C:$C,$A125,'库存（子SKU）'!T:T)</f>
        <v>5</v>
      </c>
      <c r="S125">
        <f>SUMIF('库存（子SKU）'!$C:$C,$A125,'库存（子SKU）'!U:U)</f>
        <v>4</v>
      </c>
      <c r="T125">
        <f>SUMIF('库存（子SKU）'!$C:$C,$A125,'库存（子SKU）'!V:V)</f>
        <v>0</v>
      </c>
      <c r="U125">
        <f>SUMIF('库存（子SKU）'!$C:$C,$A125,'库存（子SKU）'!W:W)</f>
        <v>6</v>
      </c>
      <c r="V125" s="18">
        <f t="shared" si="19"/>
        <v>0.00270124257158293</v>
      </c>
      <c r="W125" s="18">
        <f t="shared" si="20"/>
        <v>0.00114155251141553</v>
      </c>
      <c r="X125" s="18">
        <f t="shared" si="21"/>
        <v>0</v>
      </c>
      <c r="Y125" s="18">
        <f t="shared" si="22"/>
        <v>0.00080721108569891</v>
      </c>
      <c r="Z125">
        <f>SUMIF('库存（子SKU）'!$C:$C,$A125,'库存（子SKU）'!AB:AB)</f>
        <v>2.48</v>
      </c>
      <c r="AA125">
        <f>SUMIF('库存（子SKU）'!$C:$C,$A125,'库存（子SKU）'!AC:AC)</f>
        <v>1.59</v>
      </c>
      <c r="AB125">
        <f>SUMIF('库存（子SKU）'!$C:$C,$A125,'库存（子SKU）'!AD:AD)</f>
        <v>0</v>
      </c>
      <c r="AC125">
        <f>SUMIF('库存（子SKU）'!$C:$C,$A125,'库存（子SKU）'!AE:AE)</f>
        <v>2.54</v>
      </c>
      <c r="AD125" s="18" t="str">
        <f t="shared" si="23"/>
        <v>有广告无销量</v>
      </c>
      <c r="AE125" s="18" t="str">
        <f t="shared" si="24"/>
        <v>有广告无销量</v>
      </c>
      <c r="AF125" s="18">
        <f t="shared" si="25"/>
        <v>0</v>
      </c>
      <c r="AG125" s="18" t="str">
        <f t="shared" si="26"/>
        <v>有广告无销量</v>
      </c>
      <c r="AH125">
        <f>SUMIF('库存（子SKU）'!$C:$C,$A125,'库存（子SKU）'!AJ:AJ)</f>
        <v>29</v>
      </c>
      <c r="AI125">
        <f>SUMIF('库存（子SKU）'!$C:$C,$A125,'库存（子SKU）'!AK:AK)</f>
        <v>62</v>
      </c>
      <c r="AJ125">
        <f>SUMIF('库存（子SKU）'!$C:$C,$A125,'库存（子SKU）'!AL:AL)</f>
        <v>43</v>
      </c>
      <c r="AK125">
        <f>SUMIF('库存（子SKU）'!$C:$C,$A125,'库存（子SKU）'!AM:AM)</f>
        <v>81</v>
      </c>
      <c r="AL125" s="18">
        <f t="shared" si="27"/>
        <v>0</v>
      </c>
      <c r="AM125" s="18">
        <f t="shared" si="28"/>
        <v>0</v>
      </c>
      <c r="AN125" s="18">
        <f t="shared" si="29"/>
        <v>0</v>
      </c>
      <c r="AO125" s="18">
        <f t="shared" si="30"/>
        <v>0</v>
      </c>
      <c r="AP125" s="5">
        <f t="shared" si="31"/>
        <v>0</v>
      </c>
      <c r="AQ125" s="5">
        <f t="shared" si="32"/>
        <v>0</v>
      </c>
      <c r="AR125" s="5">
        <f t="shared" si="33"/>
        <v>181</v>
      </c>
      <c r="AS125" t="str">
        <f t="shared" si="34"/>
        <v>库存为181</v>
      </c>
      <c r="AT125" s="2" t="str">
        <f>IFERROR(时间!$B$4+AS125,"上周无销量")</f>
        <v>上周无销量</v>
      </c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360" operator="lessThan">
      <formula>20</formula>
    </cfRule>
    <cfRule type="cellIs" dxfId="1" priority="240" operator="greaterThan">
      <formula>120</formula>
    </cfRule>
    <cfRule type="containsText" dxfId="3" priority="120" operator="between" text="库存">
      <formula>NOT(ISERROR(SEARCH("库存",AS6)))</formula>
    </cfRule>
  </conditionalFormatting>
  <conditionalFormatting sqref="AS7">
    <cfRule type="cellIs" dxfId="2" priority="359" operator="lessThan">
      <formula>20</formula>
    </cfRule>
    <cfRule type="cellIs" dxfId="1" priority="239" operator="greaterThan">
      <formula>120</formula>
    </cfRule>
    <cfRule type="containsText" dxfId="3" priority="119" operator="between" text="库存">
      <formula>NOT(ISERROR(SEARCH("库存",AS7)))</formula>
    </cfRule>
  </conditionalFormatting>
  <conditionalFormatting sqref="AS8">
    <cfRule type="cellIs" dxfId="2" priority="358" operator="lessThan">
      <formula>20</formula>
    </cfRule>
    <cfRule type="cellIs" dxfId="1" priority="238" operator="greaterThan">
      <formula>120</formula>
    </cfRule>
    <cfRule type="containsText" dxfId="3" priority="118" operator="between" text="库存">
      <formula>NOT(ISERROR(SEARCH("库存",AS8)))</formula>
    </cfRule>
  </conditionalFormatting>
  <conditionalFormatting sqref="AS9">
    <cfRule type="cellIs" dxfId="2" priority="357" operator="lessThan">
      <formula>20</formula>
    </cfRule>
    <cfRule type="cellIs" dxfId="1" priority="237" operator="greaterThan">
      <formula>120</formula>
    </cfRule>
    <cfRule type="containsText" dxfId="3" priority="117" operator="between" text="库存">
      <formula>NOT(ISERROR(SEARCH("库存",AS9)))</formula>
    </cfRule>
  </conditionalFormatting>
  <conditionalFormatting sqref="AS10">
    <cfRule type="cellIs" dxfId="2" priority="356" operator="lessThan">
      <formula>20</formula>
    </cfRule>
    <cfRule type="cellIs" dxfId="1" priority="236" operator="greaterThan">
      <formula>120</formula>
    </cfRule>
    <cfRule type="containsText" dxfId="3" priority="116" operator="between" text="库存">
      <formula>NOT(ISERROR(SEARCH("库存",AS10)))</formula>
    </cfRule>
  </conditionalFormatting>
  <conditionalFormatting sqref="AS11">
    <cfRule type="cellIs" dxfId="2" priority="355" operator="lessThan">
      <formula>20</formula>
    </cfRule>
    <cfRule type="cellIs" dxfId="1" priority="235" operator="greaterThan">
      <formula>120</formula>
    </cfRule>
    <cfRule type="containsText" dxfId="3" priority="115" operator="between" text="库存">
      <formula>NOT(ISERROR(SEARCH("库存",AS11)))</formula>
    </cfRule>
  </conditionalFormatting>
  <conditionalFormatting sqref="AS12">
    <cfRule type="cellIs" dxfId="2" priority="354" operator="lessThan">
      <formula>20</formula>
    </cfRule>
    <cfRule type="cellIs" dxfId="1" priority="234" operator="greaterThan">
      <formula>120</formula>
    </cfRule>
    <cfRule type="containsText" dxfId="3" priority="114" operator="between" text="库存">
      <formula>NOT(ISERROR(SEARCH("库存",AS12)))</formula>
    </cfRule>
  </conditionalFormatting>
  <conditionalFormatting sqref="AS13">
    <cfRule type="cellIs" dxfId="2" priority="353" operator="lessThan">
      <formula>20</formula>
    </cfRule>
    <cfRule type="cellIs" dxfId="1" priority="233" operator="greaterThan">
      <formula>120</formula>
    </cfRule>
    <cfRule type="containsText" dxfId="3" priority="113" operator="between" text="库存">
      <formula>NOT(ISERROR(SEARCH("库存",AS13)))</formula>
    </cfRule>
  </conditionalFormatting>
  <conditionalFormatting sqref="AS14">
    <cfRule type="cellIs" dxfId="2" priority="352" operator="lessThan">
      <formula>20</formula>
    </cfRule>
    <cfRule type="cellIs" dxfId="1" priority="232" operator="greaterThan">
      <formula>120</formula>
    </cfRule>
    <cfRule type="containsText" dxfId="3" priority="112" operator="between" text="库存">
      <formula>NOT(ISERROR(SEARCH("库存",AS14)))</formula>
    </cfRule>
  </conditionalFormatting>
  <conditionalFormatting sqref="AS15">
    <cfRule type="cellIs" dxfId="2" priority="351" operator="lessThan">
      <formula>20</formula>
    </cfRule>
    <cfRule type="cellIs" dxfId="1" priority="231" operator="greaterThan">
      <formula>120</formula>
    </cfRule>
    <cfRule type="containsText" dxfId="3" priority="111" operator="between" text="库存">
      <formula>NOT(ISERROR(SEARCH("库存",AS15)))</formula>
    </cfRule>
  </conditionalFormatting>
  <conditionalFormatting sqref="AS16">
    <cfRule type="cellIs" dxfId="2" priority="350" operator="lessThan">
      <formula>20</formula>
    </cfRule>
    <cfRule type="cellIs" dxfId="1" priority="230" operator="greaterThan">
      <formula>120</formula>
    </cfRule>
    <cfRule type="containsText" dxfId="3" priority="110" operator="between" text="库存">
      <formula>NOT(ISERROR(SEARCH("库存",AS16)))</formula>
    </cfRule>
  </conditionalFormatting>
  <conditionalFormatting sqref="AS17">
    <cfRule type="cellIs" dxfId="2" priority="349" operator="lessThan">
      <formula>20</formula>
    </cfRule>
    <cfRule type="cellIs" dxfId="1" priority="229" operator="greaterThan">
      <formula>120</formula>
    </cfRule>
    <cfRule type="containsText" dxfId="3" priority="109" operator="between" text="库存">
      <formula>NOT(ISERROR(SEARCH("库存",AS17)))</formula>
    </cfRule>
  </conditionalFormatting>
  <conditionalFormatting sqref="AS18">
    <cfRule type="cellIs" dxfId="2" priority="348" operator="lessThan">
      <formula>20</formula>
    </cfRule>
    <cfRule type="cellIs" dxfId="1" priority="228" operator="greaterThan">
      <formula>120</formula>
    </cfRule>
    <cfRule type="containsText" dxfId="3" priority="108" operator="between" text="库存">
      <formula>NOT(ISERROR(SEARCH("库存",AS18)))</formula>
    </cfRule>
  </conditionalFormatting>
  <conditionalFormatting sqref="AS19">
    <cfRule type="cellIs" dxfId="2" priority="347" operator="lessThan">
      <formula>20</formula>
    </cfRule>
    <cfRule type="cellIs" dxfId="1" priority="227" operator="greaterThan">
      <formula>120</formula>
    </cfRule>
    <cfRule type="containsText" dxfId="3" priority="107" operator="between" text="库存">
      <formula>NOT(ISERROR(SEARCH("库存",AS19)))</formula>
    </cfRule>
  </conditionalFormatting>
  <conditionalFormatting sqref="AS20">
    <cfRule type="cellIs" dxfId="2" priority="346" operator="lessThan">
      <formula>20</formula>
    </cfRule>
    <cfRule type="cellIs" dxfId="1" priority="226" operator="greaterThan">
      <formula>120</formula>
    </cfRule>
    <cfRule type="containsText" dxfId="3" priority="106" operator="between" text="库存">
      <formula>NOT(ISERROR(SEARCH("库存",AS20)))</formula>
    </cfRule>
  </conditionalFormatting>
  <conditionalFormatting sqref="AS21">
    <cfRule type="cellIs" dxfId="2" priority="345" operator="lessThan">
      <formula>20</formula>
    </cfRule>
    <cfRule type="cellIs" dxfId="1" priority="225" operator="greaterThan">
      <formula>120</formula>
    </cfRule>
    <cfRule type="containsText" dxfId="3" priority="105" operator="between" text="库存">
      <formula>NOT(ISERROR(SEARCH("库存",AS21)))</formula>
    </cfRule>
  </conditionalFormatting>
  <conditionalFormatting sqref="AS22">
    <cfRule type="cellIs" dxfId="2" priority="344" operator="lessThan">
      <formula>20</formula>
    </cfRule>
    <cfRule type="cellIs" dxfId="1" priority="224" operator="greaterThan">
      <formula>120</formula>
    </cfRule>
    <cfRule type="containsText" dxfId="3" priority="104" operator="between" text="库存">
      <formula>NOT(ISERROR(SEARCH("库存",AS22)))</formula>
    </cfRule>
  </conditionalFormatting>
  <conditionalFormatting sqref="AS23">
    <cfRule type="cellIs" dxfId="2" priority="343" operator="lessThan">
      <formula>20</formula>
    </cfRule>
    <cfRule type="cellIs" dxfId="1" priority="223" operator="greaterThan">
      <formula>120</formula>
    </cfRule>
    <cfRule type="containsText" dxfId="3" priority="103" operator="between" text="库存">
      <formula>NOT(ISERROR(SEARCH("库存",AS23)))</formula>
    </cfRule>
  </conditionalFormatting>
  <conditionalFormatting sqref="AS24">
    <cfRule type="cellIs" dxfId="2" priority="342" operator="lessThan">
      <formula>20</formula>
    </cfRule>
    <cfRule type="cellIs" dxfId="1" priority="222" operator="greaterThan">
      <formula>120</formula>
    </cfRule>
    <cfRule type="containsText" dxfId="3" priority="102" operator="between" text="库存">
      <formula>NOT(ISERROR(SEARCH("库存",AS24)))</formula>
    </cfRule>
  </conditionalFormatting>
  <conditionalFormatting sqref="AS25">
    <cfRule type="cellIs" dxfId="2" priority="341" operator="lessThan">
      <formula>20</formula>
    </cfRule>
    <cfRule type="cellIs" dxfId="1" priority="221" operator="greaterThan">
      <formula>120</formula>
    </cfRule>
    <cfRule type="containsText" dxfId="3" priority="101" operator="between" text="库存">
      <formula>NOT(ISERROR(SEARCH("库存",AS25)))</formula>
    </cfRule>
  </conditionalFormatting>
  <conditionalFormatting sqref="AS26">
    <cfRule type="cellIs" dxfId="2" priority="340" operator="lessThan">
      <formula>20</formula>
    </cfRule>
    <cfRule type="cellIs" dxfId="1" priority="220" operator="greaterThan">
      <formula>120</formula>
    </cfRule>
    <cfRule type="containsText" dxfId="3" priority="100" operator="between" text="库存">
      <formula>NOT(ISERROR(SEARCH("库存",AS26)))</formula>
    </cfRule>
  </conditionalFormatting>
  <conditionalFormatting sqref="AS27">
    <cfRule type="cellIs" dxfId="2" priority="339" operator="lessThan">
      <formula>20</formula>
    </cfRule>
    <cfRule type="cellIs" dxfId="1" priority="219" operator="greaterThan">
      <formula>120</formula>
    </cfRule>
    <cfRule type="containsText" dxfId="3" priority="99" operator="between" text="库存">
      <formula>NOT(ISERROR(SEARCH("库存",AS27)))</formula>
    </cfRule>
  </conditionalFormatting>
  <conditionalFormatting sqref="AS28">
    <cfRule type="cellIs" dxfId="2" priority="338" operator="lessThan">
      <formula>20</formula>
    </cfRule>
    <cfRule type="cellIs" dxfId="1" priority="218" operator="greaterThan">
      <formula>120</formula>
    </cfRule>
    <cfRule type="containsText" dxfId="3" priority="98" operator="between" text="库存">
      <formula>NOT(ISERROR(SEARCH("库存",AS28)))</formula>
    </cfRule>
  </conditionalFormatting>
  <conditionalFormatting sqref="AS29">
    <cfRule type="cellIs" dxfId="2" priority="337" operator="lessThan">
      <formula>20</formula>
    </cfRule>
    <cfRule type="cellIs" dxfId="1" priority="217" operator="greaterThan">
      <formula>120</formula>
    </cfRule>
    <cfRule type="containsText" dxfId="3" priority="97" operator="between" text="库存">
      <formula>NOT(ISERROR(SEARCH("库存",AS29)))</formula>
    </cfRule>
  </conditionalFormatting>
  <conditionalFormatting sqref="AS30">
    <cfRule type="cellIs" dxfId="2" priority="336" operator="lessThan">
      <formula>20</formula>
    </cfRule>
    <cfRule type="cellIs" dxfId="1" priority="216" operator="greaterThan">
      <formula>120</formula>
    </cfRule>
    <cfRule type="containsText" dxfId="3" priority="96" operator="between" text="库存">
      <formula>NOT(ISERROR(SEARCH("库存",AS30)))</formula>
    </cfRule>
  </conditionalFormatting>
  <conditionalFormatting sqref="AS31">
    <cfRule type="cellIs" dxfId="2" priority="335" operator="lessThan">
      <formula>20</formula>
    </cfRule>
    <cfRule type="cellIs" dxfId="1" priority="215" operator="greaterThan">
      <formula>120</formula>
    </cfRule>
    <cfRule type="containsText" dxfId="3" priority="95" operator="between" text="库存">
      <formula>NOT(ISERROR(SEARCH("库存",AS31)))</formula>
    </cfRule>
  </conditionalFormatting>
  <conditionalFormatting sqref="AS32">
    <cfRule type="cellIs" dxfId="2" priority="334" operator="lessThan">
      <formula>20</formula>
    </cfRule>
    <cfRule type="cellIs" dxfId="1" priority="214" operator="greaterThan">
      <formula>120</formula>
    </cfRule>
    <cfRule type="containsText" dxfId="3" priority="94" operator="between" text="库存">
      <formula>NOT(ISERROR(SEARCH("库存",AS32)))</formula>
    </cfRule>
  </conditionalFormatting>
  <conditionalFormatting sqref="AS33">
    <cfRule type="cellIs" dxfId="2" priority="333" operator="lessThan">
      <formula>20</formula>
    </cfRule>
    <cfRule type="cellIs" dxfId="1" priority="213" operator="greaterThan">
      <formula>120</formula>
    </cfRule>
    <cfRule type="containsText" dxfId="3" priority="93" operator="between" text="库存">
      <formula>NOT(ISERROR(SEARCH("库存",AS33)))</formula>
    </cfRule>
  </conditionalFormatting>
  <conditionalFormatting sqref="AS34">
    <cfRule type="cellIs" dxfId="2" priority="332" operator="lessThan">
      <formula>20</formula>
    </cfRule>
    <cfRule type="cellIs" dxfId="1" priority="212" operator="greaterThan">
      <formula>120</formula>
    </cfRule>
    <cfRule type="containsText" dxfId="3" priority="92" operator="between" text="库存">
      <formula>NOT(ISERROR(SEARCH("库存",AS34)))</formula>
    </cfRule>
  </conditionalFormatting>
  <conditionalFormatting sqref="AS35">
    <cfRule type="cellIs" dxfId="2" priority="331" operator="lessThan">
      <formula>20</formula>
    </cfRule>
    <cfRule type="cellIs" dxfId="1" priority="211" operator="greaterThan">
      <formula>120</formula>
    </cfRule>
    <cfRule type="containsText" dxfId="3" priority="91" operator="between" text="库存">
      <formula>NOT(ISERROR(SEARCH("库存",AS35)))</formula>
    </cfRule>
  </conditionalFormatting>
  <conditionalFormatting sqref="AS36">
    <cfRule type="cellIs" dxfId="2" priority="330" operator="lessThan">
      <formula>20</formula>
    </cfRule>
    <cfRule type="cellIs" dxfId="1" priority="210" operator="greaterThan">
      <formula>120</formula>
    </cfRule>
    <cfRule type="containsText" dxfId="3" priority="90" operator="between" text="库存">
      <formula>NOT(ISERROR(SEARCH("库存",AS36)))</formula>
    </cfRule>
  </conditionalFormatting>
  <conditionalFormatting sqref="AS37">
    <cfRule type="cellIs" dxfId="2" priority="329" operator="lessThan">
      <formula>20</formula>
    </cfRule>
    <cfRule type="cellIs" dxfId="1" priority="209" operator="greaterThan">
      <formula>120</formula>
    </cfRule>
    <cfRule type="containsText" dxfId="3" priority="89" operator="between" text="库存">
      <formula>NOT(ISERROR(SEARCH("库存",AS37)))</formula>
    </cfRule>
  </conditionalFormatting>
  <conditionalFormatting sqref="AS38">
    <cfRule type="cellIs" dxfId="2" priority="328" operator="lessThan">
      <formula>20</formula>
    </cfRule>
    <cfRule type="cellIs" dxfId="1" priority="208" operator="greaterThan">
      <formula>120</formula>
    </cfRule>
    <cfRule type="containsText" dxfId="3" priority="88" operator="between" text="库存">
      <formula>NOT(ISERROR(SEARCH("库存",AS38)))</formula>
    </cfRule>
  </conditionalFormatting>
  <conditionalFormatting sqref="AS39">
    <cfRule type="cellIs" dxfId="2" priority="327" operator="lessThan">
      <formula>20</formula>
    </cfRule>
    <cfRule type="cellIs" dxfId="1" priority="207" operator="greaterThan">
      <formula>120</formula>
    </cfRule>
    <cfRule type="containsText" dxfId="3" priority="87" operator="between" text="库存">
      <formula>NOT(ISERROR(SEARCH("库存",AS39)))</formula>
    </cfRule>
  </conditionalFormatting>
  <conditionalFormatting sqref="AS40">
    <cfRule type="cellIs" dxfId="2" priority="326" operator="lessThan">
      <formula>20</formula>
    </cfRule>
    <cfRule type="cellIs" dxfId="1" priority="206" operator="greaterThan">
      <formula>120</formula>
    </cfRule>
    <cfRule type="containsText" dxfId="3" priority="86" operator="between" text="库存">
      <formula>NOT(ISERROR(SEARCH("库存",AS40)))</formula>
    </cfRule>
  </conditionalFormatting>
  <conditionalFormatting sqref="AS41">
    <cfRule type="cellIs" dxfId="2" priority="325" operator="lessThan">
      <formula>20</formula>
    </cfRule>
    <cfRule type="cellIs" dxfId="1" priority="205" operator="greaterThan">
      <formula>120</formula>
    </cfRule>
    <cfRule type="containsText" dxfId="3" priority="85" operator="between" text="库存">
      <formula>NOT(ISERROR(SEARCH("库存",AS41)))</formula>
    </cfRule>
  </conditionalFormatting>
  <conditionalFormatting sqref="AS42">
    <cfRule type="cellIs" dxfId="2" priority="324" operator="lessThan">
      <formula>20</formula>
    </cfRule>
    <cfRule type="cellIs" dxfId="1" priority="204" operator="greaterThan">
      <formula>120</formula>
    </cfRule>
    <cfRule type="containsText" dxfId="3" priority="84" operator="between" text="库存">
      <formula>NOT(ISERROR(SEARCH("库存",AS42)))</formula>
    </cfRule>
  </conditionalFormatting>
  <conditionalFormatting sqref="AS43">
    <cfRule type="cellIs" dxfId="2" priority="323" operator="lessThan">
      <formula>20</formula>
    </cfRule>
    <cfRule type="cellIs" dxfId="1" priority="203" operator="greaterThan">
      <formula>120</formula>
    </cfRule>
    <cfRule type="containsText" dxfId="3" priority="83" operator="between" text="库存">
      <formula>NOT(ISERROR(SEARCH("库存",AS43)))</formula>
    </cfRule>
  </conditionalFormatting>
  <conditionalFormatting sqref="AS44">
    <cfRule type="cellIs" dxfId="2" priority="322" operator="lessThan">
      <formula>20</formula>
    </cfRule>
    <cfRule type="cellIs" dxfId="1" priority="202" operator="greaterThan">
      <formula>120</formula>
    </cfRule>
    <cfRule type="containsText" dxfId="3" priority="82" operator="between" text="库存">
      <formula>NOT(ISERROR(SEARCH("库存",AS44)))</formula>
    </cfRule>
  </conditionalFormatting>
  <conditionalFormatting sqref="AS45">
    <cfRule type="cellIs" dxfId="2" priority="321" operator="lessThan">
      <formula>20</formula>
    </cfRule>
    <cfRule type="cellIs" dxfId="1" priority="201" operator="greaterThan">
      <formula>120</formula>
    </cfRule>
    <cfRule type="containsText" dxfId="3" priority="81" operator="between" text="库存">
      <formula>NOT(ISERROR(SEARCH("库存",AS45)))</formula>
    </cfRule>
  </conditionalFormatting>
  <conditionalFormatting sqref="AS46">
    <cfRule type="cellIs" dxfId="2" priority="320" operator="lessThan">
      <formula>20</formula>
    </cfRule>
    <cfRule type="cellIs" dxfId="1" priority="200" operator="greaterThan">
      <formula>120</formula>
    </cfRule>
    <cfRule type="containsText" dxfId="3" priority="80" operator="between" text="库存">
      <formula>NOT(ISERROR(SEARCH("库存",AS46)))</formula>
    </cfRule>
  </conditionalFormatting>
  <conditionalFormatting sqref="AS47">
    <cfRule type="cellIs" dxfId="2" priority="319" operator="lessThan">
      <formula>20</formula>
    </cfRule>
    <cfRule type="cellIs" dxfId="1" priority="199" operator="greaterThan">
      <formula>120</formula>
    </cfRule>
    <cfRule type="containsText" dxfId="3" priority="79" operator="between" text="库存">
      <formula>NOT(ISERROR(SEARCH("库存",AS47)))</formula>
    </cfRule>
  </conditionalFormatting>
  <conditionalFormatting sqref="AS48">
    <cfRule type="cellIs" dxfId="2" priority="318" operator="lessThan">
      <formula>20</formula>
    </cfRule>
    <cfRule type="cellIs" dxfId="1" priority="198" operator="greaterThan">
      <formula>120</formula>
    </cfRule>
    <cfRule type="containsText" dxfId="3" priority="78" operator="between" text="库存">
      <formula>NOT(ISERROR(SEARCH("库存",AS48)))</formula>
    </cfRule>
  </conditionalFormatting>
  <conditionalFormatting sqref="AS49">
    <cfRule type="cellIs" dxfId="2" priority="317" operator="lessThan">
      <formula>20</formula>
    </cfRule>
    <cfRule type="cellIs" dxfId="1" priority="197" operator="greaterThan">
      <formula>120</formula>
    </cfRule>
    <cfRule type="containsText" dxfId="3" priority="77" operator="between" text="库存">
      <formula>NOT(ISERROR(SEARCH("库存",AS49)))</formula>
    </cfRule>
  </conditionalFormatting>
  <conditionalFormatting sqref="AS50">
    <cfRule type="cellIs" dxfId="2" priority="316" operator="lessThan">
      <formula>20</formula>
    </cfRule>
    <cfRule type="cellIs" dxfId="1" priority="196" operator="greaterThan">
      <formula>120</formula>
    </cfRule>
    <cfRule type="containsText" dxfId="3" priority="76" operator="between" text="库存">
      <formula>NOT(ISERROR(SEARCH("库存",AS50)))</formula>
    </cfRule>
  </conditionalFormatting>
  <conditionalFormatting sqref="AS51">
    <cfRule type="cellIs" dxfId="2" priority="315" operator="lessThan">
      <formula>20</formula>
    </cfRule>
    <cfRule type="cellIs" dxfId="1" priority="195" operator="greaterThan">
      <formula>120</formula>
    </cfRule>
    <cfRule type="containsText" dxfId="3" priority="75" operator="between" text="库存">
      <formula>NOT(ISERROR(SEARCH("库存",AS51)))</formula>
    </cfRule>
  </conditionalFormatting>
  <conditionalFormatting sqref="AS52">
    <cfRule type="cellIs" dxfId="2" priority="314" operator="lessThan">
      <formula>20</formula>
    </cfRule>
    <cfRule type="cellIs" dxfId="1" priority="194" operator="greaterThan">
      <formula>120</formula>
    </cfRule>
    <cfRule type="containsText" dxfId="3" priority="74" operator="between" text="库存">
      <formula>NOT(ISERROR(SEARCH("库存",AS52)))</formula>
    </cfRule>
  </conditionalFormatting>
  <conditionalFormatting sqref="AS53">
    <cfRule type="cellIs" dxfId="2" priority="313" operator="lessThan">
      <formula>20</formula>
    </cfRule>
    <cfRule type="cellIs" dxfId="1" priority="193" operator="greaterThan">
      <formula>120</formula>
    </cfRule>
    <cfRule type="containsText" dxfId="3" priority="73" operator="between" text="库存">
      <formula>NOT(ISERROR(SEARCH("库存",AS53)))</formula>
    </cfRule>
  </conditionalFormatting>
  <conditionalFormatting sqref="AS54">
    <cfRule type="cellIs" dxfId="2" priority="312" operator="lessThan">
      <formula>20</formula>
    </cfRule>
    <cfRule type="cellIs" dxfId="1" priority="192" operator="greaterThan">
      <formula>120</formula>
    </cfRule>
    <cfRule type="containsText" dxfId="3" priority="72" operator="between" text="库存">
      <formula>NOT(ISERROR(SEARCH("库存",AS54)))</formula>
    </cfRule>
  </conditionalFormatting>
  <conditionalFormatting sqref="AS55">
    <cfRule type="cellIs" dxfId="2" priority="311" operator="lessThan">
      <formula>20</formula>
    </cfRule>
    <cfRule type="cellIs" dxfId="1" priority="191" operator="greaterThan">
      <formula>120</formula>
    </cfRule>
    <cfRule type="containsText" dxfId="3" priority="71" operator="between" text="库存">
      <formula>NOT(ISERROR(SEARCH("库存",AS55)))</formula>
    </cfRule>
  </conditionalFormatting>
  <conditionalFormatting sqref="AS56">
    <cfRule type="cellIs" dxfId="2" priority="310" operator="lessThan">
      <formula>20</formula>
    </cfRule>
    <cfRule type="cellIs" dxfId="1" priority="190" operator="greaterThan">
      <formula>120</formula>
    </cfRule>
    <cfRule type="containsText" dxfId="3" priority="70" operator="between" text="库存">
      <formula>NOT(ISERROR(SEARCH("库存",AS56)))</formula>
    </cfRule>
  </conditionalFormatting>
  <conditionalFormatting sqref="AS57">
    <cfRule type="cellIs" dxfId="2" priority="309" operator="lessThan">
      <formula>20</formula>
    </cfRule>
    <cfRule type="cellIs" dxfId="1" priority="189" operator="greaterThan">
      <formula>120</formula>
    </cfRule>
    <cfRule type="containsText" dxfId="3" priority="69" operator="between" text="库存">
      <formula>NOT(ISERROR(SEARCH("库存",AS57)))</formula>
    </cfRule>
  </conditionalFormatting>
  <conditionalFormatting sqref="AS58">
    <cfRule type="cellIs" dxfId="2" priority="308" operator="lessThan">
      <formula>20</formula>
    </cfRule>
    <cfRule type="cellIs" dxfId="1" priority="188" operator="greaterThan">
      <formula>120</formula>
    </cfRule>
    <cfRule type="containsText" dxfId="3" priority="68" operator="between" text="库存">
      <formula>NOT(ISERROR(SEARCH("库存",AS58)))</formula>
    </cfRule>
  </conditionalFormatting>
  <conditionalFormatting sqref="AS59">
    <cfRule type="cellIs" dxfId="2" priority="307" operator="lessThan">
      <formula>20</formula>
    </cfRule>
    <cfRule type="cellIs" dxfId="1" priority="187" operator="greaterThan">
      <formula>120</formula>
    </cfRule>
    <cfRule type="containsText" dxfId="3" priority="67" operator="between" text="库存">
      <formula>NOT(ISERROR(SEARCH("库存",AS59)))</formula>
    </cfRule>
  </conditionalFormatting>
  <conditionalFormatting sqref="AS60">
    <cfRule type="cellIs" dxfId="2" priority="306" operator="lessThan">
      <formula>20</formula>
    </cfRule>
    <cfRule type="cellIs" dxfId="1" priority="186" operator="greaterThan">
      <formula>120</formula>
    </cfRule>
    <cfRule type="containsText" dxfId="3" priority="66" operator="between" text="库存">
      <formula>NOT(ISERROR(SEARCH("库存",AS60)))</formula>
    </cfRule>
  </conditionalFormatting>
  <conditionalFormatting sqref="AS61">
    <cfRule type="cellIs" dxfId="2" priority="305" operator="lessThan">
      <formula>20</formula>
    </cfRule>
    <cfRule type="cellIs" dxfId="1" priority="185" operator="greaterThan">
      <formula>120</formula>
    </cfRule>
    <cfRule type="containsText" dxfId="3" priority="65" operator="between" text="库存">
      <formula>NOT(ISERROR(SEARCH("库存",AS61)))</formula>
    </cfRule>
  </conditionalFormatting>
  <conditionalFormatting sqref="AS62">
    <cfRule type="cellIs" dxfId="2" priority="304" operator="lessThan">
      <formula>20</formula>
    </cfRule>
    <cfRule type="cellIs" dxfId="1" priority="184" operator="greaterThan">
      <formula>120</formula>
    </cfRule>
    <cfRule type="containsText" dxfId="3" priority="64" operator="between" text="库存">
      <formula>NOT(ISERROR(SEARCH("库存",AS62)))</formula>
    </cfRule>
  </conditionalFormatting>
  <conditionalFormatting sqref="AS63">
    <cfRule type="cellIs" dxfId="2" priority="303" operator="lessThan">
      <formula>20</formula>
    </cfRule>
    <cfRule type="cellIs" dxfId="1" priority="183" operator="greaterThan">
      <formula>120</formula>
    </cfRule>
    <cfRule type="containsText" dxfId="3" priority="63" operator="between" text="库存">
      <formula>NOT(ISERROR(SEARCH("库存",AS63)))</formula>
    </cfRule>
  </conditionalFormatting>
  <conditionalFormatting sqref="AS64">
    <cfRule type="cellIs" dxfId="2" priority="302" operator="lessThan">
      <formula>20</formula>
    </cfRule>
    <cfRule type="cellIs" dxfId="1" priority="182" operator="greaterThan">
      <formula>120</formula>
    </cfRule>
    <cfRule type="containsText" dxfId="3" priority="62" operator="between" text="库存">
      <formula>NOT(ISERROR(SEARCH("库存",AS64)))</formula>
    </cfRule>
  </conditionalFormatting>
  <conditionalFormatting sqref="AS65">
    <cfRule type="cellIs" dxfId="2" priority="301" operator="lessThan">
      <formula>20</formula>
    </cfRule>
    <cfRule type="cellIs" dxfId="1" priority="181" operator="greaterThan">
      <formula>120</formula>
    </cfRule>
    <cfRule type="containsText" dxfId="3" priority="61" operator="between" text="库存">
      <formula>NOT(ISERROR(SEARCH("库存",AS65)))</formula>
    </cfRule>
  </conditionalFormatting>
  <conditionalFormatting sqref="AS66">
    <cfRule type="cellIs" dxfId="2" priority="300" operator="lessThan">
      <formula>20</formula>
    </cfRule>
    <cfRule type="cellIs" dxfId="1" priority="180" operator="greaterThan">
      <formula>120</formula>
    </cfRule>
    <cfRule type="containsText" dxfId="3" priority="60" operator="between" text="库存">
      <formula>NOT(ISERROR(SEARCH("库存",AS66)))</formula>
    </cfRule>
  </conditionalFormatting>
  <conditionalFormatting sqref="AS67">
    <cfRule type="cellIs" dxfId="2" priority="299" operator="lessThan">
      <formula>20</formula>
    </cfRule>
    <cfRule type="cellIs" dxfId="1" priority="179" operator="greaterThan">
      <formula>120</formula>
    </cfRule>
    <cfRule type="containsText" dxfId="3" priority="59" operator="between" text="库存">
      <formula>NOT(ISERROR(SEARCH("库存",AS67)))</formula>
    </cfRule>
  </conditionalFormatting>
  <conditionalFormatting sqref="AS68">
    <cfRule type="cellIs" dxfId="2" priority="298" operator="lessThan">
      <formula>20</formula>
    </cfRule>
    <cfRule type="cellIs" dxfId="1" priority="178" operator="greaterThan">
      <formula>120</formula>
    </cfRule>
    <cfRule type="containsText" dxfId="3" priority="58" operator="between" text="库存">
      <formula>NOT(ISERROR(SEARCH("库存",AS68)))</formula>
    </cfRule>
  </conditionalFormatting>
  <conditionalFormatting sqref="AS69">
    <cfRule type="cellIs" dxfId="2" priority="297" operator="lessThan">
      <formula>20</formula>
    </cfRule>
    <cfRule type="cellIs" dxfId="1" priority="177" operator="greaterThan">
      <formula>120</formula>
    </cfRule>
    <cfRule type="containsText" dxfId="3" priority="57" operator="between" text="库存">
      <formula>NOT(ISERROR(SEARCH("库存",AS69)))</formula>
    </cfRule>
  </conditionalFormatting>
  <conditionalFormatting sqref="AS70">
    <cfRule type="cellIs" dxfId="2" priority="296" operator="lessThan">
      <formula>20</formula>
    </cfRule>
    <cfRule type="cellIs" dxfId="1" priority="176" operator="greaterThan">
      <formula>120</formula>
    </cfRule>
    <cfRule type="containsText" dxfId="3" priority="56" operator="between" text="库存">
      <formula>NOT(ISERROR(SEARCH("库存",AS70)))</formula>
    </cfRule>
  </conditionalFormatting>
  <conditionalFormatting sqref="AS71">
    <cfRule type="cellIs" dxfId="2" priority="295" operator="lessThan">
      <formula>20</formula>
    </cfRule>
    <cfRule type="cellIs" dxfId="1" priority="175" operator="greaterThan">
      <formula>120</formula>
    </cfRule>
    <cfRule type="containsText" dxfId="3" priority="55" operator="between" text="库存">
      <formula>NOT(ISERROR(SEARCH("库存",AS71)))</formula>
    </cfRule>
  </conditionalFormatting>
  <conditionalFormatting sqref="AS72">
    <cfRule type="cellIs" dxfId="2" priority="294" operator="lessThan">
      <formula>20</formula>
    </cfRule>
    <cfRule type="cellIs" dxfId="1" priority="174" operator="greaterThan">
      <formula>120</formula>
    </cfRule>
    <cfRule type="containsText" dxfId="3" priority="54" operator="between" text="库存">
      <formula>NOT(ISERROR(SEARCH("库存",AS72)))</formula>
    </cfRule>
  </conditionalFormatting>
  <conditionalFormatting sqref="AS73">
    <cfRule type="cellIs" dxfId="2" priority="293" operator="lessThan">
      <formula>20</formula>
    </cfRule>
    <cfRule type="cellIs" dxfId="1" priority="173" operator="greaterThan">
      <formula>120</formula>
    </cfRule>
    <cfRule type="containsText" dxfId="3" priority="53" operator="between" text="库存">
      <formula>NOT(ISERROR(SEARCH("库存",AS73)))</formula>
    </cfRule>
  </conditionalFormatting>
  <conditionalFormatting sqref="AS74">
    <cfRule type="cellIs" dxfId="2" priority="292" operator="lessThan">
      <formula>20</formula>
    </cfRule>
    <cfRule type="cellIs" dxfId="1" priority="172" operator="greaterThan">
      <formula>120</formula>
    </cfRule>
    <cfRule type="containsText" dxfId="3" priority="52" operator="between" text="库存">
      <formula>NOT(ISERROR(SEARCH("库存",AS74)))</formula>
    </cfRule>
  </conditionalFormatting>
  <conditionalFormatting sqref="AS75">
    <cfRule type="cellIs" dxfId="2" priority="291" operator="lessThan">
      <formula>20</formula>
    </cfRule>
    <cfRule type="cellIs" dxfId="1" priority="171" operator="greaterThan">
      <formula>120</formula>
    </cfRule>
    <cfRule type="containsText" dxfId="3" priority="51" operator="between" text="库存">
      <formula>NOT(ISERROR(SEARCH("库存",AS75)))</formula>
    </cfRule>
  </conditionalFormatting>
  <conditionalFormatting sqref="AS76">
    <cfRule type="cellIs" dxfId="2" priority="290" operator="lessThan">
      <formula>20</formula>
    </cfRule>
    <cfRule type="cellIs" dxfId="1" priority="170" operator="greaterThan">
      <formula>120</formula>
    </cfRule>
    <cfRule type="containsText" dxfId="3" priority="50" operator="between" text="库存">
      <formula>NOT(ISERROR(SEARCH("库存",AS76)))</formula>
    </cfRule>
  </conditionalFormatting>
  <conditionalFormatting sqref="AS77">
    <cfRule type="cellIs" dxfId="2" priority="289" operator="lessThan">
      <formula>20</formula>
    </cfRule>
    <cfRule type="cellIs" dxfId="1" priority="169" operator="greaterThan">
      <formula>120</formula>
    </cfRule>
    <cfRule type="containsText" dxfId="3" priority="49" operator="between" text="库存">
      <formula>NOT(ISERROR(SEARCH("库存",AS77)))</formula>
    </cfRule>
  </conditionalFormatting>
  <conditionalFormatting sqref="AS78">
    <cfRule type="cellIs" dxfId="2" priority="288" operator="lessThan">
      <formula>20</formula>
    </cfRule>
    <cfRule type="cellIs" dxfId="1" priority="168" operator="greaterThan">
      <formula>120</formula>
    </cfRule>
    <cfRule type="containsText" dxfId="3" priority="48" operator="between" text="库存">
      <formula>NOT(ISERROR(SEARCH("库存",AS78)))</formula>
    </cfRule>
  </conditionalFormatting>
  <conditionalFormatting sqref="AS79">
    <cfRule type="cellIs" dxfId="2" priority="287" operator="lessThan">
      <formula>20</formula>
    </cfRule>
    <cfRule type="cellIs" dxfId="1" priority="167" operator="greaterThan">
      <formula>120</formula>
    </cfRule>
    <cfRule type="containsText" dxfId="3" priority="47" operator="between" text="库存">
      <formula>NOT(ISERROR(SEARCH("库存",AS79)))</formula>
    </cfRule>
  </conditionalFormatting>
  <conditionalFormatting sqref="AS80">
    <cfRule type="cellIs" dxfId="2" priority="286" operator="lessThan">
      <formula>20</formula>
    </cfRule>
    <cfRule type="cellIs" dxfId="1" priority="166" operator="greaterThan">
      <formula>120</formula>
    </cfRule>
    <cfRule type="containsText" dxfId="3" priority="46" operator="between" text="库存">
      <formula>NOT(ISERROR(SEARCH("库存",AS80)))</formula>
    </cfRule>
  </conditionalFormatting>
  <conditionalFormatting sqref="AS81">
    <cfRule type="cellIs" dxfId="2" priority="285" operator="lessThan">
      <formula>20</formula>
    </cfRule>
    <cfRule type="cellIs" dxfId="1" priority="165" operator="greaterThan">
      <formula>120</formula>
    </cfRule>
    <cfRule type="containsText" dxfId="3" priority="45" operator="between" text="库存">
      <formula>NOT(ISERROR(SEARCH("库存",AS81)))</formula>
    </cfRule>
  </conditionalFormatting>
  <conditionalFormatting sqref="AS82">
    <cfRule type="cellIs" dxfId="2" priority="284" operator="lessThan">
      <formula>20</formula>
    </cfRule>
    <cfRule type="cellIs" dxfId="1" priority="164" operator="greaterThan">
      <formula>120</formula>
    </cfRule>
    <cfRule type="containsText" dxfId="3" priority="44" operator="between" text="库存">
      <formula>NOT(ISERROR(SEARCH("库存",AS82)))</formula>
    </cfRule>
  </conditionalFormatting>
  <conditionalFormatting sqref="AS83">
    <cfRule type="cellIs" dxfId="2" priority="283" operator="lessThan">
      <formula>20</formula>
    </cfRule>
    <cfRule type="cellIs" dxfId="1" priority="163" operator="greaterThan">
      <formula>120</formula>
    </cfRule>
    <cfRule type="containsText" dxfId="3" priority="43" operator="between" text="库存">
      <formula>NOT(ISERROR(SEARCH("库存",AS83)))</formula>
    </cfRule>
  </conditionalFormatting>
  <conditionalFormatting sqref="AS84">
    <cfRule type="cellIs" dxfId="2" priority="282" operator="lessThan">
      <formula>20</formula>
    </cfRule>
    <cfRule type="cellIs" dxfId="1" priority="162" operator="greaterThan">
      <formula>120</formula>
    </cfRule>
    <cfRule type="containsText" dxfId="3" priority="42" operator="between" text="库存">
      <formula>NOT(ISERROR(SEARCH("库存",AS84)))</formula>
    </cfRule>
  </conditionalFormatting>
  <conditionalFormatting sqref="AS85">
    <cfRule type="cellIs" dxfId="2" priority="281" operator="lessThan">
      <formula>20</formula>
    </cfRule>
    <cfRule type="cellIs" dxfId="1" priority="161" operator="greaterThan">
      <formula>120</formula>
    </cfRule>
    <cfRule type="containsText" dxfId="3" priority="41" operator="between" text="库存">
      <formula>NOT(ISERROR(SEARCH("库存",AS85)))</formula>
    </cfRule>
  </conditionalFormatting>
  <conditionalFormatting sqref="AS86">
    <cfRule type="cellIs" dxfId="2" priority="280" operator="lessThan">
      <formula>20</formula>
    </cfRule>
    <cfRule type="cellIs" dxfId="1" priority="160" operator="greaterThan">
      <formula>120</formula>
    </cfRule>
    <cfRule type="containsText" dxfId="3" priority="40" operator="between" text="库存">
      <formula>NOT(ISERROR(SEARCH("库存",AS86)))</formula>
    </cfRule>
  </conditionalFormatting>
  <conditionalFormatting sqref="AS87">
    <cfRule type="cellIs" dxfId="2" priority="279" operator="lessThan">
      <formula>20</formula>
    </cfRule>
    <cfRule type="cellIs" dxfId="1" priority="159" operator="greaterThan">
      <formula>120</formula>
    </cfRule>
    <cfRule type="containsText" dxfId="3" priority="39" operator="between" text="库存">
      <formula>NOT(ISERROR(SEARCH("库存",AS87)))</formula>
    </cfRule>
  </conditionalFormatting>
  <conditionalFormatting sqref="AS88">
    <cfRule type="cellIs" dxfId="2" priority="278" operator="lessThan">
      <formula>20</formula>
    </cfRule>
    <cfRule type="cellIs" dxfId="1" priority="158" operator="greaterThan">
      <formula>120</formula>
    </cfRule>
    <cfRule type="containsText" dxfId="3" priority="38" operator="between" text="库存">
      <formula>NOT(ISERROR(SEARCH("库存",AS88)))</formula>
    </cfRule>
  </conditionalFormatting>
  <conditionalFormatting sqref="AS89">
    <cfRule type="cellIs" dxfId="2" priority="277" operator="lessThan">
      <formula>20</formula>
    </cfRule>
    <cfRule type="cellIs" dxfId="1" priority="157" operator="greaterThan">
      <formula>120</formula>
    </cfRule>
    <cfRule type="containsText" dxfId="3" priority="37" operator="between" text="库存">
      <formula>NOT(ISERROR(SEARCH("库存",AS89)))</formula>
    </cfRule>
  </conditionalFormatting>
  <conditionalFormatting sqref="AS90">
    <cfRule type="cellIs" dxfId="2" priority="276" operator="lessThan">
      <formula>20</formula>
    </cfRule>
    <cfRule type="cellIs" dxfId="1" priority="156" operator="greaterThan">
      <formula>120</formula>
    </cfRule>
    <cfRule type="containsText" dxfId="3" priority="36" operator="between" text="库存">
      <formula>NOT(ISERROR(SEARCH("库存",AS90)))</formula>
    </cfRule>
  </conditionalFormatting>
  <conditionalFormatting sqref="AS91">
    <cfRule type="cellIs" dxfId="2" priority="275" operator="lessThan">
      <formula>20</formula>
    </cfRule>
    <cfRule type="cellIs" dxfId="1" priority="155" operator="greaterThan">
      <formula>120</formula>
    </cfRule>
    <cfRule type="containsText" dxfId="3" priority="35" operator="between" text="库存">
      <formula>NOT(ISERROR(SEARCH("库存",AS91)))</formula>
    </cfRule>
  </conditionalFormatting>
  <conditionalFormatting sqref="AS92">
    <cfRule type="cellIs" dxfId="2" priority="274" operator="lessThan">
      <formula>20</formula>
    </cfRule>
    <cfRule type="cellIs" dxfId="1" priority="154" operator="greaterThan">
      <formula>120</formula>
    </cfRule>
    <cfRule type="containsText" dxfId="3" priority="34" operator="between" text="库存">
      <formula>NOT(ISERROR(SEARCH("库存",AS92)))</formula>
    </cfRule>
  </conditionalFormatting>
  <conditionalFormatting sqref="AS93">
    <cfRule type="cellIs" dxfId="2" priority="273" operator="lessThan">
      <formula>20</formula>
    </cfRule>
    <cfRule type="cellIs" dxfId="1" priority="153" operator="greaterThan">
      <formula>120</formula>
    </cfRule>
    <cfRule type="containsText" dxfId="3" priority="33" operator="between" text="库存">
      <formula>NOT(ISERROR(SEARCH("库存",AS93)))</formula>
    </cfRule>
  </conditionalFormatting>
  <conditionalFormatting sqref="AS94">
    <cfRule type="cellIs" dxfId="2" priority="272" operator="lessThan">
      <formula>20</formula>
    </cfRule>
    <cfRule type="cellIs" dxfId="1" priority="152" operator="greaterThan">
      <formula>120</formula>
    </cfRule>
    <cfRule type="containsText" dxfId="3" priority="32" operator="between" text="库存">
      <formula>NOT(ISERROR(SEARCH("库存",AS94)))</formula>
    </cfRule>
  </conditionalFormatting>
  <conditionalFormatting sqref="AS95">
    <cfRule type="cellIs" dxfId="2" priority="271" operator="lessThan">
      <formula>20</formula>
    </cfRule>
    <cfRule type="cellIs" dxfId="1" priority="151" operator="greaterThan">
      <formula>120</formula>
    </cfRule>
    <cfRule type="containsText" dxfId="3" priority="31" operator="between" text="库存">
      <formula>NOT(ISERROR(SEARCH("库存",AS95)))</formula>
    </cfRule>
  </conditionalFormatting>
  <conditionalFormatting sqref="AS96">
    <cfRule type="cellIs" dxfId="2" priority="270" operator="lessThan">
      <formula>20</formula>
    </cfRule>
    <cfRule type="cellIs" dxfId="1" priority="150" operator="greaterThan">
      <formula>120</formula>
    </cfRule>
    <cfRule type="containsText" dxfId="3" priority="30" operator="between" text="库存">
      <formula>NOT(ISERROR(SEARCH("库存",AS96)))</formula>
    </cfRule>
  </conditionalFormatting>
  <conditionalFormatting sqref="AS97">
    <cfRule type="cellIs" dxfId="2" priority="269" operator="lessThan">
      <formula>20</formula>
    </cfRule>
    <cfRule type="cellIs" dxfId="1" priority="149" operator="greaterThan">
      <formula>120</formula>
    </cfRule>
    <cfRule type="containsText" dxfId="3" priority="29" operator="between" text="库存">
      <formula>NOT(ISERROR(SEARCH("库存",AS97)))</formula>
    </cfRule>
  </conditionalFormatting>
  <conditionalFormatting sqref="AS98">
    <cfRule type="cellIs" dxfId="2" priority="268" operator="lessThan">
      <formula>20</formula>
    </cfRule>
    <cfRule type="cellIs" dxfId="1" priority="148" operator="greaterThan">
      <formula>120</formula>
    </cfRule>
    <cfRule type="containsText" dxfId="3" priority="28" operator="between" text="库存">
      <formula>NOT(ISERROR(SEARCH("库存",AS98)))</formula>
    </cfRule>
  </conditionalFormatting>
  <conditionalFormatting sqref="AS99">
    <cfRule type="cellIs" dxfId="2" priority="267" operator="lessThan">
      <formula>20</formula>
    </cfRule>
    <cfRule type="cellIs" dxfId="1" priority="147" operator="greaterThan">
      <formula>120</formula>
    </cfRule>
    <cfRule type="containsText" dxfId="3" priority="27" operator="between" text="库存">
      <formula>NOT(ISERROR(SEARCH("库存",AS99)))</formula>
    </cfRule>
  </conditionalFormatting>
  <conditionalFormatting sqref="AS100">
    <cfRule type="cellIs" dxfId="2" priority="266" operator="lessThan">
      <formula>20</formula>
    </cfRule>
    <cfRule type="cellIs" dxfId="1" priority="146" operator="greaterThan">
      <formula>120</formula>
    </cfRule>
    <cfRule type="containsText" dxfId="3" priority="26" operator="between" text="库存">
      <formula>NOT(ISERROR(SEARCH("库存",AS100)))</formula>
    </cfRule>
  </conditionalFormatting>
  <conditionalFormatting sqref="AS101">
    <cfRule type="cellIs" dxfId="2" priority="265" operator="lessThan">
      <formula>20</formula>
    </cfRule>
    <cfRule type="cellIs" dxfId="1" priority="145" operator="greaterThan">
      <formula>120</formula>
    </cfRule>
    <cfRule type="containsText" dxfId="3" priority="25" operator="between" text="库存">
      <formula>NOT(ISERROR(SEARCH("库存",AS101)))</formula>
    </cfRule>
  </conditionalFormatting>
  <conditionalFormatting sqref="AS102">
    <cfRule type="cellIs" dxfId="2" priority="264" operator="lessThan">
      <formula>20</formula>
    </cfRule>
    <cfRule type="cellIs" dxfId="1" priority="144" operator="greaterThan">
      <formula>120</formula>
    </cfRule>
    <cfRule type="containsText" dxfId="3" priority="24" operator="between" text="库存">
      <formula>NOT(ISERROR(SEARCH("库存",AS102)))</formula>
    </cfRule>
  </conditionalFormatting>
  <conditionalFormatting sqref="AS103">
    <cfRule type="cellIs" dxfId="2" priority="263" operator="lessThan">
      <formula>20</formula>
    </cfRule>
    <cfRule type="cellIs" dxfId="1" priority="143" operator="greaterThan">
      <formula>120</formula>
    </cfRule>
    <cfRule type="containsText" dxfId="3" priority="23" operator="between" text="库存">
      <formula>NOT(ISERROR(SEARCH("库存",AS103)))</formula>
    </cfRule>
  </conditionalFormatting>
  <conditionalFormatting sqref="AS104">
    <cfRule type="cellIs" dxfId="2" priority="262" operator="lessThan">
      <formula>20</formula>
    </cfRule>
    <cfRule type="cellIs" dxfId="1" priority="142" operator="greaterThan">
      <formula>120</formula>
    </cfRule>
    <cfRule type="containsText" dxfId="3" priority="22" operator="between" text="库存">
      <formula>NOT(ISERROR(SEARCH("库存",AS104)))</formula>
    </cfRule>
  </conditionalFormatting>
  <conditionalFormatting sqref="AS105">
    <cfRule type="cellIs" dxfId="2" priority="261" operator="lessThan">
      <formula>20</formula>
    </cfRule>
    <cfRule type="cellIs" dxfId="1" priority="141" operator="greaterThan">
      <formula>120</formula>
    </cfRule>
    <cfRule type="containsText" dxfId="3" priority="21" operator="between" text="库存">
      <formula>NOT(ISERROR(SEARCH("库存",AS105)))</formula>
    </cfRule>
  </conditionalFormatting>
  <conditionalFormatting sqref="AS106">
    <cfRule type="cellIs" dxfId="2" priority="260" operator="lessThan">
      <formula>20</formula>
    </cfRule>
    <cfRule type="cellIs" dxfId="1" priority="140" operator="greaterThan">
      <formula>120</formula>
    </cfRule>
    <cfRule type="containsText" dxfId="3" priority="20" operator="between" text="库存">
      <formula>NOT(ISERROR(SEARCH("库存",AS106)))</formula>
    </cfRule>
  </conditionalFormatting>
  <conditionalFormatting sqref="AS107">
    <cfRule type="cellIs" dxfId="2" priority="259" operator="lessThan">
      <formula>20</formula>
    </cfRule>
    <cfRule type="cellIs" dxfId="1" priority="139" operator="greaterThan">
      <formula>120</formula>
    </cfRule>
    <cfRule type="containsText" dxfId="3" priority="19" operator="between" text="库存">
      <formula>NOT(ISERROR(SEARCH("库存",AS107)))</formula>
    </cfRule>
  </conditionalFormatting>
  <conditionalFormatting sqref="AS108">
    <cfRule type="cellIs" dxfId="2" priority="258" operator="lessThan">
      <formula>20</formula>
    </cfRule>
    <cfRule type="cellIs" dxfId="1" priority="138" operator="greaterThan">
      <formula>120</formula>
    </cfRule>
    <cfRule type="containsText" dxfId="3" priority="18" operator="between" text="库存">
      <formula>NOT(ISERROR(SEARCH("库存",AS108)))</formula>
    </cfRule>
  </conditionalFormatting>
  <conditionalFormatting sqref="AS109">
    <cfRule type="cellIs" dxfId="2" priority="257" operator="lessThan">
      <formula>20</formula>
    </cfRule>
    <cfRule type="cellIs" dxfId="1" priority="137" operator="greaterThan">
      <formula>120</formula>
    </cfRule>
    <cfRule type="containsText" dxfId="3" priority="17" operator="between" text="库存">
      <formula>NOT(ISERROR(SEARCH("库存",AS109)))</formula>
    </cfRule>
  </conditionalFormatting>
  <conditionalFormatting sqref="AS110">
    <cfRule type="cellIs" dxfId="2" priority="256" operator="lessThan">
      <formula>20</formula>
    </cfRule>
    <cfRule type="cellIs" dxfId="1" priority="136" operator="greaterThan">
      <formula>120</formula>
    </cfRule>
    <cfRule type="containsText" dxfId="3" priority="16" operator="between" text="库存">
      <formula>NOT(ISERROR(SEARCH("库存",AS110)))</formula>
    </cfRule>
  </conditionalFormatting>
  <conditionalFormatting sqref="AS111">
    <cfRule type="cellIs" dxfId="2" priority="255" operator="lessThan">
      <formula>20</formula>
    </cfRule>
    <cfRule type="cellIs" dxfId="1" priority="135" operator="greaterThan">
      <formula>120</formula>
    </cfRule>
    <cfRule type="containsText" dxfId="3" priority="15" operator="between" text="库存">
      <formula>NOT(ISERROR(SEARCH("库存",AS111)))</formula>
    </cfRule>
  </conditionalFormatting>
  <conditionalFormatting sqref="AS112">
    <cfRule type="cellIs" dxfId="2" priority="254" operator="lessThan">
      <formula>20</formula>
    </cfRule>
    <cfRule type="cellIs" dxfId="1" priority="134" operator="greaterThan">
      <formula>120</formula>
    </cfRule>
    <cfRule type="containsText" dxfId="3" priority="14" operator="between" text="库存">
      <formula>NOT(ISERROR(SEARCH("库存",AS112)))</formula>
    </cfRule>
  </conditionalFormatting>
  <conditionalFormatting sqref="AS113">
    <cfRule type="cellIs" dxfId="2" priority="253" operator="lessThan">
      <formula>20</formula>
    </cfRule>
    <cfRule type="cellIs" dxfId="1" priority="133" operator="greaterThan">
      <formula>120</formula>
    </cfRule>
    <cfRule type="containsText" dxfId="3" priority="13" operator="between" text="库存">
      <formula>NOT(ISERROR(SEARCH("库存",AS113)))</formula>
    </cfRule>
  </conditionalFormatting>
  <conditionalFormatting sqref="AS114">
    <cfRule type="cellIs" dxfId="2" priority="252" operator="lessThan">
      <formula>20</formula>
    </cfRule>
    <cfRule type="cellIs" dxfId="1" priority="132" operator="greaterThan">
      <formula>120</formula>
    </cfRule>
    <cfRule type="containsText" dxfId="3" priority="12" operator="between" text="库存">
      <formula>NOT(ISERROR(SEARCH("库存",AS114)))</formula>
    </cfRule>
  </conditionalFormatting>
  <conditionalFormatting sqref="AS115">
    <cfRule type="cellIs" dxfId="2" priority="251" operator="lessThan">
      <formula>20</formula>
    </cfRule>
    <cfRule type="cellIs" dxfId="1" priority="131" operator="greaterThan">
      <formula>120</formula>
    </cfRule>
    <cfRule type="containsText" dxfId="3" priority="11" operator="between" text="库存">
      <formula>NOT(ISERROR(SEARCH("库存",AS115)))</formula>
    </cfRule>
  </conditionalFormatting>
  <conditionalFormatting sqref="AS116">
    <cfRule type="cellIs" dxfId="2" priority="250" operator="lessThan">
      <formula>20</formula>
    </cfRule>
    <cfRule type="cellIs" dxfId="1" priority="130" operator="greaterThan">
      <formula>120</formula>
    </cfRule>
    <cfRule type="containsText" dxfId="3" priority="10" operator="between" text="库存">
      <formula>NOT(ISERROR(SEARCH("库存",AS116)))</formula>
    </cfRule>
  </conditionalFormatting>
  <conditionalFormatting sqref="AS117">
    <cfRule type="cellIs" dxfId="2" priority="249" operator="lessThan">
      <formula>20</formula>
    </cfRule>
    <cfRule type="cellIs" dxfId="1" priority="129" operator="greaterThan">
      <formula>120</formula>
    </cfRule>
    <cfRule type="containsText" dxfId="3" priority="9" operator="between" text="库存">
      <formula>NOT(ISERROR(SEARCH("库存",AS117)))</formula>
    </cfRule>
  </conditionalFormatting>
  <conditionalFormatting sqref="AS118">
    <cfRule type="cellIs" dxfId="2" priority="248" operator="lessThan">
      <formula>20</formula>
    </cfRule>
    <cfRule type="cellIs" dxfId="1" priority="128" operator="greaterThan">
      <formula>120</formula>
    </cfRule>
    <cfRule type="containsText" dxfId="3" priority="8" operator="between" text="库存">
      <formula>NOT(ISERROR(SEARCH("库存",AS118)))</formula>
    </cfRule>
  </conditionalFormatting>
  <conditionalFormatting sqref="AS119">
    <cfRule type="cellIs" dxfId="2" priority="247" operator="lessThan">
      <formula>20</formula>
    </cfRule>
    <cfRule type="cellIs" dxfId="1" priority="127" operator="greaterThan">
      <formula>120</formula>
    </cfRule>
    <cfRule type="containsText" dxfId="3" priority="7" operator="between" text="库存">
      <formula>NOT(ISERROR(SEARCH("库存",AS119)))</formula>
    </cfRule>
  </conditionalFormatting>
  <conditionalFormatting sqref="AS120">
    <cfRule type="cellIs" dxfId="2" priority="246" operator="lessThan">
      <formula>20</formula>
    </cfRule>
    <cfRule type="cellIs" dxfId="1" priority="126" operator="greaterThan">
      <formula>120</formula>
    </cfRule>
    <cfRule type="containsText" dxfId="3" priority="6" operator="between" text="库存">
      <formula>NOT(ISERROR(SEARCH("库存",AS120)))</formula>
    </cfRule>
  </conditionalFormatting>
  <conditionalFormatting sqref="AS121">
    <cfRule type="cellIs" dxfId="2" priority="245" operator="lessThan">
      <formula>20</formula>
    </cfRule>
    <cfRule type="cellIs" dxfId="1" priority="125" operator="greaterThan">
      <formula>120</formula>
    </cfRule>
    <cfRule type="containsText" dxfId="3" priority="5" operator="between" text="库存">
      <formula>NOT(ISERROR(SEARCH("库存",AS121)))</formula>
    </cfRule>
  </conditionalFormatting>
  <conditionalFormatting sqref="AS122">
    <cfRule type="cellIs" dxfId="2" priority="244" operator="lessThan">
      <formula>20</formula>
    </cfRule>
    <cfRule type="cellIs" dxfId="1" priority="124" operator="greaterThan">
      <formula>120</formula>
    </cfRule>
    <cfRule type="containsText" dxfId="3" priority="4" operator="between" text="库存">
      <formula>NOT(ISERROR(SEARCH("库存",AS122)))</formula>
    </cfRule>
  </conditionalFormatting>
  <conditionalFormatting sqref="AS123">
    <cfRule type="cellIs" dxfId="2" priority="243" operator="lessThan">
      <formula>20</formula>
    </cfRule>
    <cfRule type="cellIs" dxfId="1" priority="123" operator="greaterThan">
      <formula>120</formula>
    </cfRule>
    <cfRule type="containsText" dxfId="3" priority="3" operator="between" text="库存">
      <formula>NOT(ISERROR(SEARCH("库存",AS123)))</formula>
    </cfRule>
  </conditionalFormatting>
  <conditionalFormatting sqref="AS124">
    <cfRule type="cellIs" dxfId="2" priority="242" operator="lessThan">
      <formula>20</formula>
    </cfRule>
    <cfRule type="cellIs" dxfId="1" priority="122" operator="greaterThan">
      <formula>120</formula>
    </cfRule>
    <cfRule type="containsText" dxfId="3" priority="2" operator="between" text="库存">
      <formula>NOT(ISERROR(SEARCH("库存",AS124)))</formula>
    </cfRule>
  </conditionalFormatting>
  <conditionalFormatting sqref="AS125">
    <cfRule type="cellIs" dxfId="2" priority="241" operator="lessThan">
      <formula>20</formula>
    </cfRule>
    <cfRule type="cellIs" dxfId="1" priority="121" operator="greaterThan">
      <formula>120</formula>
    </cfRule>
    <cfRule type="containsText" dxfId="3" priority="1" operator="between" text="库存">
      <formula>NOT(ISERROR(SEARCH("库存",AS125)))</formula>
    </cfRule>
  </conditionalFormatting>
  <conditionalFormatting sqref="AS1:AS5 AS126:AS1048576">
    <cfRule type="cellIs" dxfId="2" priority="3057" operator="lessThan">
      <formula>20</formula>
    </cfRule>
    <cfRule type="cellIs" dxfId="1" priority="3056" operator="greaterThan">
      <formula>120</formula>
    </cfRule>
    <cfRule type="containsText" dxfId="3" priority="305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12" sqref="G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4483</v>
      </c>
      <c r="B1" s="1">
        <f>B12</f>
        <v>43290</v>
      </c>
    </row>
    <row r="2" spans="1:2">
      <c r="A2" t="s">
        <v>4484</v>
      </c>
      <c r="B2" s="1">
        <v>43317</v>
      </c>
    </row>
    <row r="4" spans="1:2">
      <c r="A4" t="s">
        <v>4485</v>
      </c>
      <c r="B4" s="2">
        <f>B2+1</f>
        <v>43318</v>
      </c>
    </row>
    <row r="5" spans="1:2">
      <c r="A5" t="s">
        <v>4486</v>
      </c>
      <c r="B5" s="3">
        <f>B2</f>
        <v>43317</v>
      </c>
    </row>
    <row r="6" spans="1:2">
      <c r="A6" t="s">
        <v>4487</v>
      </c>
      <c r="B6" s="2">
        <f>B5-6</f>
        <v>43311</v>
      </c>
    </row>
    <row r="7" spans="1:2">
      <c r="A7" t="s">
        <v>4488</v>
      </c>
      <c r="B7" s="2">
        <f>B5-7</f>
        <v>43310</v>
      </c>
    </row>
    <row r="8" spans="1:2">
      <c r="A8" t="s">
        <v>4489</v>
      </c>
      <c r="B8" s="2">
        <f>B5-13</f>
        <v>43304</v>
      </c>
    </row>
    <row r="9" spans="1:2">
      <c r="A9" t="s">
        <v>4490</v>
      </c>
      <c r="B9" s="2">
        <f>B5-14</f>
        <v>43303</v>
      </c>
    </row>
    <row r="10" spans="1:2">
      <c r="A10" t="s">
        <v>4491</v>
      </c>
      <c r="B10" s="2">
        <f>B5-20</f>
        <v>43297</v>
      </c>
    </row>
    <row r="11" spans="1:2">
      <c r="A11" t="s">
        <v>4492</v>
      </c>
      <c r="B11" s="2">
        <f>B5-21</f>
        <v>43296</v>
      </c>
    </row>
    <row r="12" spans="1:2">
      <c r="A12" t="s">
        <v>4493</v>
      </c>
      <c r="B12" s="2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2018-08-08T02:08:55Z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